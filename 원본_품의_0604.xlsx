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채널 프로모션 요금\양양\"/>
    </mc:Choice>
  </mc:AlternateContent>
  <bookViews>
    <workbookView xWindow="-120" yWindow="-120" windowWidth="29040" windowHeight="15720"/>
  </bookViews>
  <sheets>
    <sheet name="내용" sheetId="35" r:id="rId1"/>
    <sheet name="마이리얼트립" sheetId="37" r:id="rId2"/>
    <sheet name="카카오톡예약하기_맘맘" sheetId="39" r:id="rId3"/>
  </sheets>
  <definedNames>
    <definedName name="_xlnm._FilterDatabase" localSheetId="1" hidden="1">마이리얼트립!$A$1:$AJ$5</definedName>
    <definedName name="_xlnm._FilterDatabase" localSheetId="2" hidden="1">카카오톡예약하기_맘맘!$A$1:$AI$5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7" i="39" l="1"/>
  <c r="AH117" i="39"/>
  <c r="AG117" i="39"/>
  <c r="AF117" i="39"/>
  <c r="AE117" i="39"/>
  <c r="AG116" i="39"/>
  <c r="AF116" i="39"/>
  <c r="AE116" i="39"/>
  <c r="AG115" i="39"/>
  <c r="AF115" i="39"/>
  <c r="AE115" i="39"/>
  <c r="AG114" i="39"/>
  <c r="AF114" i="39"/>
  <c r="AE114" i="39"/>
  <c r="AG113" i="39"/>
  <c r="AF113" i="39"/>
  <c r="AE113" i="39"/>
  <c r="AG112" i="39"/>
  <c r="AH112" i="39" s="1"/>
  <c r="AI112" i="39" s="1"/>
  <c r="AF112" i="39"/>
  <c r="AE112" i="39"/>
  <c r="AG111" i="39"/>
  <c r="AF111" i="39"/>
  <c r="AE111" i="39"/>
  <c r="AG110" i="39"/>
  <c r="AF110" i="39"/>
  <c r="AE110" i="39"/>
  <c r="AG109" i="39"/>
  <c r="AF109" i="39"/>
  <c r="AE109" i="39"/>
  <c r="AG108" i="39"/>
  <c r="AF108" i="39"/>
  <c r="AE108" i="39"/>
  <c r="AG107" i="39"/>
  <c r="AF107" i="39"/>
  <c r="AE107" i="39"/>
  <c r="AH106" i="39"/>
  <c r="AG106" i="39"/>
  <c r="AI106" i="39" s="1"/>
  <c r="AF106" i="39"/>
  <c r="AE106" i="39"/>
  <c r="AH105" i="39"/>
  <c r="AI105" i="39" s="1"/>
  <c r="AG105" i="39"/>
  <c r="AF105" i="39"/>
  <c r="AE105" i="39"/>
  <c r="AG104" i="39"/>
  <c r="AF104" i="39"/>
  <c r="AE104" i="39"/>
  <c r="AH103" i="39"/>
  <c r="AI103" i="39" s="1"/>
  <c r="AG103" i="39"/>
  <c r="AF103" i="39"/>
  <c r="AE103" i="39"/>
  <c r="AG102" i="39"/>
  <c r="AF102" i="39"/>
  <c r="AE102" i="39"/>
  <c r="AG101" i="39"/>
  <c r="AF101" i="39"/>
  <c r="AE101" i="39"/>
  <c r="AI100" i="39"/>
  <c r="AG100" i="39"/>
  <c r="AH100" i="39" s="1"/>
  <c r="AF100" i="39"/>
  <c r="AE100" i="39"/>
  <c r="AG99" i="39"/>
  <c r="AF99" i="39"/>
  <c r="AE99" i="39"/>
  <c r="AG98" i="39"/>
  <c r="AF98" i="39"/>
  <c r="AE98" i="39"/>
  <c r="AG97" i="39"/>
  <c r="AF97" i="39"/>
  <c r="AE97" i="39"/>
  <c r="AG96" i="39"/>
  <c r="AF96" i="39"/>
  <c r="AE96" i="39"/>
  <c r="AG95" i="39"/>
  <c r="AF95" i="39"/>
  <c r="AE95" i="39"/>
  <c r="AG94" i="39"/>
  <c r="AH94" i="39" s="1"/>
  <c r="AI94" i="39" s="1"/>
  <c r="AF94" i="39"/>
  <c r="AE94" i="39"/>
  <c r="AH93" i="39"/>
  <c r="AI93" i="39" s="1"/>
  <c r="AG93" i="39"/>
  <c r="AF93" i="39"/>
  <c r="AE93" i="39"/>
  <c r="AG92" i="39"/>
  <c r="AF92" i="39"/>
  <c r="AE92" i="39"/>
  <c r="AG91" i="39"/>
  <c r="AF91" i="39"/>
  <c r="AE91" i="39"/>
  <c r="AG90" i="39"/>
  <c r="AF90" i="39"/>
  <c r="AE90" i="39"/>
  <c r="AG89" i="39"/>
  <c r="AF89" i="39"/>
  <c r="AE89" i="39"/>
  <c r="AG88" i="39"/>
  <c r="AH88" i="39" s="1"/>
  <c r="AI88" i="39" s="1"/>
  <c r="AF88" i="39"/>
  <c r="AE88" i="39"/>
  <c r="AG87" i="39"/>
  <c r="AF87" i="39"/>
  <c r="AE87" i="39"/>
  <c r="AH86" i="39"/>
  <c r="AI86" i="39" s="1"/>
  <c r="AG86" i="39"/>
  <c r="AF86" i="39"/>
  <c r="AE86" i="39"/>
  <c r="AG85" i="39"/>
  <c r="AF85" i="39"/>
  <c r="AE85" i="39"/>
  <c r="AG84" i="39"/>
  <c r="AF84" i="39"/>
  <c r="AE84" i="39"/>
  <c r="AG83" i="39"/>
  <c r="AF83" i="39"/>
  <c r="AE83" i="39"/>
  <c r="AG82" i="39"/>
  <c r="AF82" i="39"/>
  <c r="AE82" i="39"/>
  <c r="AH81" i="39"/>
  <c r="AI81" i="39" s="1"/>
  <c r="AG81" i="39"/>
  <c r="AF81" i="39"/>
  <c r="AE81" i="39"/>
  <c r="AG80" i="39"/>
  <c r="AF80" i="39"/>
  <c r="AE80" i="39"/>
  <c r="AG79" i="39"/>
  <c r="AF79" i="39"/>
  <c r="AE79" i="39"/>
  <c r="AG78" i="39"/>
  <c r="AF78" i="39"/>
  <c r="AE78" i="39"/>
  <c r="AH77" i="39"/>
  <c r="AI77" i="39" s="1"/>
  <c r="AG77" i="39"/>
  <c r="AF77" i="39"/>
  <c r="AE77" i="39"/>
  <c r="AG76" i="39"/>
  <c r="AH76" i="39" s="1"/>
  <c r="AI76" i="39" s="1"/>
  <c r="AF76" i="39"/>
  <c r="AE76" i="39"/>
  <c r="AG75" i="39"/>
  <c r="AF75" i="39"/>
  <c r="AE75" i="39"/>
  <c r="AG74" i="39"/>
  <c r="AH74" i="39" s="1"/>
  <c r="AI74" i="39" s="1"/>
  <c r="AF74" i="39"/>
  <c r="AE74" i="39"/>
  <c r="AG73" i="39"/>
  <c r="AF73" i="39"/>
  <c r="AE73" i="39"/>
  <c r="AG72" i="39"/>
  <c r="AF72" i="39"/>
  <c r="AE72" i="39"/>
  <c r="AG71" i="39"/>
  <c r="AF71" i="39"/>
  <c r="AE71" i="39"/>
  <c r="AG70" i="39"/>
  <c r="AF70" i="39"/>
  <c r="AE70" i="39"/>
  <c r="AH69" i="39"/>
  <c r="AI69" i="39" s="1"/>
  <c r="AG69" i="39"/>
  <c r="AF69" i="39"/>
  <c r="AE69" i="39"/>
  <c r="AG68" i="39"/>
  <c r="AF68" i="39"/>
  <c r="AE68" i="39"/>
  <c r="AG67" i="39"/>
  <c r="AF67" i="39"/>
  <c r="AE67" i="39"/>
  <c r="AG66" i="39"/>
  <c r="AF66" i="39"/>
  <c r="AE66" i="39"/>
  <c r="AG65" i="39"/>
  <c r="AF65" i="39"/>
  <c r="AE65" i="39"/>
  <c r="AG64" i="39"/>
  <c r="AH64" i="39" s="1"/>
  <c r="AI64" i="39" s="1"/>
  <c r="AF64" i="39"/>
  <c r="AE64" i="39"/>
  <c r="AG63" i="39"/>
  <c r="AF63" i="39"/>
  <c r="AE63" i="39"/>
  <c r="AG62" i="39"/>
  <c r="AF62" i="39"/>
  <c r="AE62" i="39"/>
  <c r="AG61" i="39"/>
  <c r="AF61" i="39"/>
  <c r="AE61" i="39"/>
  <c r="AG60" i="39"/>
  <c r="AF60" i="39"/>
  <c r="AE60" i="39"/>
  <c r="AG59" i="39"/>
  <c r="AF59" i="39"/>
  <c r="AE59" i="39"/>
  <c r="AG58" i="39"/>
  <c r="AF58" i="39"/>
  <c r="AE58" i="39"/>
  <c r="AI57" i="39"/>
  <c r="AH57" i="39"/>
  <c r="AG57" i="39"/>
  <c r="AF57" i="39"/>
  <c r="AE57" i="39"/>
  <c r="AG56" i="39"/>
  <c r="AF56" i="39"/>
  <c r="AE56" i="39"/>
  <c r="AG55" i="39"/>
  <c r="AF55" i="39"/>
  <c r="AE55" i="39"/>
  <c r="AG54" i="39"/>
  <c r="AF54" i="39"/>
  <c r="AE54" i="39"/>
  <c r="AG53" i="39"/>
  <c r="AF53" i="39"/>
  <c r="AE53" i="39"/>
  <c r="AG52" i="39"/>
  <c r="AH52" i="39" s="1"/>
  <c r="AI52" i="39" s="1"/>
  <c r="AF52" i="39"/>
  <c r="AE52" i="39"/>
  <c r="AH51" i="39"/>
  <c r="AG51" i="39"/>
  <c r="AF51" i="39"/>
  <c r="AE51" i="39"/>
  <c r="AG50" i="39"/>
  <c r="AF50" i="39"/>
  <c r="AE50" i="39"/>
  <c r="AG49" i="39"/>
  <c r="AF49" i="39"/>
  <c r="AE49" i="39"/>
  <c r="AG48" i="39"/>
  <c r="AH48" i="39" s="1"/>
  <c r="AI48" i="39" s="1"/>
  <c r="AF48" i="39"/>
  <c r="AE48" i="39"/>
  <c r="AG47" i="39"/>
  <c r="AF47" i="39"/>
  <c r="AE47" i="39"/>
  <c r="AG46" i="39"/>
  <c r="AF46" i="39"/>
  <c r="AE46" i="39"/>
  <c r="AH45" i="39"/>
  <c r="AI45" i="39" s="1"/>
  <c r="AG45" i="39"/>
  <c r="AF45" i="39"/>
  <c r="AE45" i="39"/>
  <c r="AG44" i="39"/>
  <c r="AF44" i="39"/>
  <c r="AE44" i="39"/>
  <c r="AG43" i="39"/>
  <c r="AH43" i="39" s="1"/>
  <c r="AI43" i="39" s="1"/>
  <c r="AF43" i="39"/>
  <c r="AE43" i="39"/>
  <c r="AG42" i="39"/>
  <c r="AF42" i="39"/>
  <c r="AE42" i="39"/>
  <c r="AG41" i="39"/>
  <c r="AF41" i="39"/>
  <c r="AE41" i="39"/>
  <c r="AG40" i="39"/>
  <c r="AH40" i="39" s="1"/>
  <c r="AI40" i="39" s="1"/>
  <c r="AF40" i="39"/>
  <c r="AE40" i="39"/>
  <c r="AG39" i="39"/>
  <c r="AF39" i="39"/>
  <c r="AE39" i="39"/>
  <c r="AG38" i="39"/>
  <c r="AF38" i="39"/>
  <c r="AE38" i="39"/>
  <c r="AG37" i="39"/>
  <c r="AF37" i="39"/>
  <c r="AE37" i="39"/>
  <c r="AG36" i="39"/>
  <c r="AF36" i="39"/>
  <c r="AE36" i="39"/>
  <c r="AG35" i="39"/>
  <c r="AF35" i="39"/>
  <c r="AE35" i="39"/>
  <c r="AH34" i="39"/>
  <c r="AI34" i="39" s="1"/>
  <c r="AG34" i="39"/>
  <c r="AF34" i="39"/>
  <c r="AE34" i="39"/>
  <c r="AH33" i="39"/>
  <c r="AI33" i="39" s="1"/>
  <c r="AG33" i="39"/>
  <c r="AF33" i="39"/>
  <c r="AE33" i="39"/>
  <c r="AG32" i="39"/>
  <c r="AF32" i="39"/>
  <c r="AE32" i="39"/>
  <c r="AG31" i="39"/>
  <c r="AF31" i="39"/>
  <c r="AE31" i="39"/>
  <c r="AG30" i="39"/>
  <c r="AF30" i="39"/>
  <c r="AE30" i="39"/>
  <c r="AG29" i="39"/>
  <c r="AF29" i="39"/>
  <c r="AE29" i="39"/>
  <c r="AG28" i="39"/>
  <c r="AH28" i="39" s="1"/>
  <c r="AI28" i="39" s="1"/>
  <c r="AF28" i="39"/>
  <c r="AE28" i="39"/>
  <c r="AG27" i="39"/>
  <c r="AF27" i="39"/>
  <c r="AE27" i="39"/>
  <c r="AI26" i="39"/>
  <c r="AH26" i="39"/>
  <c r="AG26" i="39"/>
  <c r="AF26" i="39"/>
  <c r="AE26" i="39"/>
  <c r="AG25" i="39"/>
  <c r="AF25" i="39"/>
  <c r="AE25" i="39"/>
  <c r="AG24" i="39"/>
  <c r="AF24" i="39"/>
  <c r="AE24" i="39"/>
  <c r="AG23" i="39"/>
  <c r="AF23" i="39"/>
  <c r="AE23" i="39"/>
  <c r="AG22" i="39"/>
  <c r="AF22" i="39"/>
  <c r="AE22" i="39"/>
  <c r="AH21" i="39"/>
  <c r="AI21" i="39" s="1"/>
  <c r="AG21" i="39"/>
  <c r="AF21" i="39"/>
  <c r="AE21" i="39"/>
  <c r="AG20" i="39"/>
  <c r="AF20" i="39"/>
  <c r="AE20" i="39"/>
  <c r="AG19" i="39"/>
  <c r="AF19" i="39"/>
  <c r="AE19" i="39"/>
  <c r="AG18" i="39"/>
  <c r="AF18" i="39"/>
  <c r="AE18" i="39"/>
  <c r="AG17" i="39"/>
  <c r="AF17" i="39"/>
  <c r="AE17" i="39"/>
  <c r="AG16" i="39"/>
  <c r="AH16" i="39" s="1"/>
  <c r="AI16" i="39" s="1"/>
  <c r="AF16" i="39"/>
  <c r="AE16" i="39"/>
  <c r="AG15" i="39"/>
  <c r="AH15" i="39" s="1"/>
  <c r="AI15" i="39" s="1"/>
  <c r="AF15" i="39"/>
  <c r="AE15" i="39"/>
  <c r="AG14" i="39"/>
  <c r="AF14" i="39"/>
  <c r="AE14" i="39"/>
  <c r="AG13" i="39"/>
  <c r="AF13" i="39"/>
  <c r="AE13" i="39"/>
  <c r="AH12" i="39"/>
  <c r="AI12" i="39" s="1"/>
  <c r="AG12" i="39"/>
  <c r="AF12" i="39"/>
  <c r="AE12" i="39"/>
  <c r="AG11" i="39"/>
  <c r="AF11" i="39"/>
  <c r="AE11" i="39"/>
  <c r="AH72" i="39" l="1"/>
  <c r="AI72" i="39" s="1"/>
  <c r="AI115" i="39"/>
  <c r="AI27" i="39"/>
  <c r="AH24" i="39"/>
  <c r="AI24" i="39" s="1"/>
  <c r="AH80" i="39"/>
  <c r="AI80" i="39" s="1"/>
  <c r="AH98" i="39"/>
  <c r="AI98" i="39" s="1"/>
  <c r="AI62" i="39"/>
  <c r="AI91" i="39"/>
  <c r="AH38" i="39"/>
  <c r="AI38" i="39"/>
  <c r="AI70" i="39"/>
  <c r="AI63" i="39"/>
  <c r="AH92" i="39"/>
  <c r="AI92" i="39" s="1"/>
  <c r="AI113" i="39"/>
  <c r="AI36" i="39"/>
  <c r="AI54" i="39"/>
  <c r="AI55" i="39"/>
  <c r="AI108" i="39"/>
  <c r="AI17" i="39"/>
  <c r="AI39" i="39"/>
  <c r="AH63" i="39"/>
  <c r="AH29" i="39"/>
  <c r="AI29" i="39" s="1"/>
  <c r="AI53" i="39"/>
  <c r="AH60" i="39"/>
  <c r="AI60" i="39" s="1"/>
  <c r="AI89" i="39"/>
  <c r="AI110" i="39"/>
  <c r="AI37" i="39"/>
  <c r="AH37" i="39"/>
  <c r="AH115" i="39"/>
  <c r="AI14" i="39"/>
  <c r="AI18" i="39"/>
  <c r="AH32" i="39"/>
  <c r="AI32" i="39" s="1"/>
  <c r="AI67" i="39"/>
  <c r="AH46" i="39"/>
  <c r="AI46" i="39" s="1"/>
  <c r="AI82" i="39"/>
  <c r="AH89" i="39"/>
  <c r="AH55" i="39"/>
  <c r="AH75" i="39"/>
  <c r="AI75" i="39" s="1"/>
  <c r="AH101" i="39"/>
  <c r="AI101" i="39" s="1"/>
  <c r="AH104" i="39"/>
  <c r="AI104" i="39" s="1"/>
  <c r="AH58" i="39"/>
  <c r="AI58" i="39" s="1"/>
  <c r="AI87" i="39"/>
  <c r="AH110" i="39"/>
  <c r="AI30" i="39"/>
  <c r="AH41" i="39"/>
  <c r="AI41" i="39" s="1"/>
  <c r="AH44" i="39"/>
  <c r="AI44" i="39" s="1"/>
  <c r="AH13" i="39"/>
  <c r="AI13" i="39" s="1"/>
  <c r="AH27" i="39"/>
  <c r="AH84" i="39"/>
  <c r="AI84" i="39" s="1"/>
  <c r="AH19" i="39"/>
  <c r="AI19" i="39" s="1"/>
  <c r="AH67" i="39"/>
  <c r="AH87" i="39"/>
  <c r="AH113" i="39"/>
  <c r="AH116" i="39"/>
  <c r="AI116" i="39" s="1"/>
  <c r="AI47" i="39"/>
  <c r="AH50" i="39"/>
  <c r="AI50" i="39" s="1"/>
  <c r="AH70" i="39"/>
  <c r="AH96" i="39"/>
  <c r="AI96" i="39" s="1"/>
  <c r="AI99" i="39"/>
  <c r="AH14" i="39"/>
  <c r="AH22" i="39"/>
  <c r="AI22" i="39" s="1"/>
  <c r="AH25" i="39"/>
  <c r="AI25" i="39" s="1"/>
  <c r="AH36" i="39"/>
  <c r="AH53" i="39"/>
  <c r="AH56" i="39"/>
  <c r="AI56" i="39" s="1"/>
  <c r="AH79" i="39"/>
  <c r="AI79" i="39" s="1"/>
  <c r="AH99" i="39"/>
  <c r="AI102" i="39"/>
  <c r="AH39" i="39"/>
  <c r="AH62" i="39"/>
  <c r="AH82" i="39"/>
  <c r="AI85" i="39"/>
  <c r="AH108" i="39"/>
  <c r="AI111" i="39"/>
  <c r="AH17" i="39"/>
  <c r="AI20" i="39"/>
  <c r="AH31" i="39"/>
  <c r="AI31" i="39" s="1"/>
  <c r="AI42" i="39"/>
  <c r="AH65" i="39"/>
  <c r="AI65" i="39" s="1"/>
  <c r="AH68" i="39"/>
  <c r="AI68" i="39" s="1"/>
  <c r="AH91" i="39"/>
  <c r="AH111" i="39"/>
  <c r="AH20" i="39"/>
  <c r="AI51" i="39"/>
  <c r="AI71" i="39"/>
  <c r="AI97" i="39"/>
  <c r="AH49" i="39"/>
  <c r="AI49" i="39" s="1"/>
  <c r="AH61" i="39"/>
  <c r="AI61" i="39" s="1"/>
  <c r="AH73" i="39"/>
  <c r="AI73" i="39" s="1"/>
  <c r="AH85" i="39"/>
  <c r="AH97" i="39"/>
  <c r="AH109" i="39"/>
  <c r="AI109" i="39" s="1"/>
  <c r="AH18" i="39"/>
  <c r="AH30" i="39"/>
  <c r="AH42" i="39"/>
  <c r="AH54" i="39"/>
  <c r="AH66" i="39"/>
  <c r="AI66" i="39" s="1"/>
  <c r="AH78" i="39"/>
  <c r="AI78" i="39" s="1"/>
  <c r="AH90" i="39"/>
  <c r="AI90" i="39" s="1"/>
  <c r="AH102" i="39"/>
  <c r="AH114" i="39"/>
  <c r="AI114" i="39" s="1"/>
  <c r="AH11" i="39"/>
  <c r="AI11" i="39" s="1"/>
  <c r="AH23" i="39"/>
  <c r="AI23" i="39" s="1"/>
  <c r="AH35" i="39"/>
  <c r="AI35" i="39" s="1"/>
  <c r="AH47" i="39"/>
  <c r="AH59" i="39"/>
  <c r="AI59" i="39" s="1"/>
  <c r="AH71" i="39"/>
  <c r="AH83" i="39"/>
  <c r="AI83" i="39" s="1"/>
  <c r="AH95" i="39"/>
  <c r="AI95" i="39" s="1"/>
  <c r="AH107" i="39"/>
  <c r="AI107" i="39" s="1"/>
  <c r="AG10" i="39" l="1"/>
  <c r="AF10" i="39"/>
  <c r="AE10" i="39"/>
  <c r="AB117" i="39"/>
  <c r="Z117" i="39"/>
  <c r="AB112" i="39"/>
  <c r="Z112" i="39"/>
  <c r="AB107" i="39"/>
  <c r="Z107" i="39"/>
  <c r="AB102" i="39"/>
  <c r="Z102" i="39"/>
  <c r="AB97" i="39"/>
  <c r="Z97" i="39"/>
  <c r="AB92" i="39"/>
  <c r="Z92" i="39"/>
  <c r="AB87" i="39"/>
  <c r="AC87" i="39" s="1"/>
  <c r="Z87" i="39"/>
  <c r="AA87" i="39" s="1"/>
  <c r="AB82" i="39"/>
  <c r="Z82" i="39"/>
  <c r="AA82" i="39" s="1"/>
  <c r="AB77" i="39"/>
  <c r="Z77" i="39"/>
  <c r="Y117" i="39"/>
  <c r="Y112" i="39"/>
  <c r="Y107" i="39"/>
  <c r="Y102" i="39"/>
  <c r="Y97" i="39"/>
  <c r="Y92" i="39"/>
  <c r="Y87" i="39"/>
  <c r="Y82" i="39"/>
  <c r="Y77" i="39"/>
  <c r="W117" i="39"/>
  <c r="W112" i="39"/>
  <c r="W107" i="39"/>
  <c r="W102" i="39"/>
  <c r="W97" i="39"/>
  <c r="W92" i="39"/>
  <c r="W87" i="39"/>
  <c r="W82" i="39"/>
  <c r="W77" i="39"/>
  <c r="U117" i="39"/>
  <c r="U112" i="39"/>
  <c r="U107" i="39"/>
  <c r="U102" i="39"/>
  <c r="U97" i="39"/>
  <c r="U92" i="39"/>
  <c r="U87" i="39"/>
  <c r="U82" i="39"/>
  <c r="U77" i="39"/>
  <c r="X115" i="39"/>
  <c r="X114" i="39"/>
  <c r="X113" i="39"/>
  <c r="X110" i="39"/>
  <c r="X109" i="39"/>
  <c r="X108" i="39"/>
  <c r="X105" i="39"/>
  <c r="X104" i="39"/>
  <c r="X103" i="39"/>
  <c r="X100" i="39"/>
  <c r="X99" i="39"/>
  <c r="X98" i="39"/>
  <c r="X95" i="39"/>
  <c r="X94" i="39"/>
  <c r="X93" i="39"/>
  <c r="X90" i="39"/>
  <c r="X89" i="39"/>
  <c r="X88" i="39"/>
  <c r="X32" i="39"/>
  <c r="X31" i="39"/>
  <c r="X29" i="39"/>
  <c r="X28" i="39"/>
  <c r="X25" i="39"/>
  <c r="X20" i="39"/>
  <c r="X19" i="39"/>
  <c r="V114" i="39"/>
  <c r="V113" i="39"/>
  <c r="V109" i="39"/>
  <c r="V108" i="39"/>
  <c r="V105" i="39"/>
  <c r="V104" i="39"/>
  <c r="V103" i="39"/>
  <c r="V100" i="39"/>
  <c r="V99" i="39"/>
  <c r="V98" i="39"/>
  <c r="V95" i="39"/>
  <c r="V94" i="39"/>
  <c r="V93" i="39"/>
  <c r="V90" i="39"/>
  <c r="V89" i="39"/>
  <c r="V88" i="39"/>
  <c r="V36" i="39"/>
  <c r="V35" i="39"/>
  <c r="X35" i="39" s="1"/>
  <c r="V34" i="39"/>
  <c r="X34" i="39" s="1"/>
  <c r="V33" i="39"/>
  <c r="V32" i="39"/>
  <c r="V31" i="39"/>
  <c r="V30" i="39"/>
  <c r="V29" i="39"/>
  <c r="V28" i="39"/>
  <c r="V27" i="39"/>
  <c r="V26" i="39"/>
  <c r="X26" i="39" s="1"/>
  <c r="V25" i="39"/>
  <c r="V24" i="39"/>
  <c r="V23" i="39"/>
  <c r="X23" i="39" s="1"/>
  <c r="V22" i="39"/>
  <c r="X22" i="39" s="1"/>
  <c r="V21" i="39"/>
  <c r="V20" i="39"/>
  <c r="V19" i="39"/>
  <c r="V18" i="39"/>
  <c r="V17" i="39"/>
  <c r="V16" i="39"/>
  <c r="V15" i="39"/>
  <c r="V14" i="39"/>
  <c r="V13" i="39"/>
  <c r="V12" i="39"/>
  <c r="V11" i="39"/>
  <c r="V10" i="39"/>
  <c r="X10" i="39" s="1"/>
  <c r="N117" i="39"/>
  <c r="M117" i="39"/>
  <c r="N116" i="39"/>
  <c r="M116" i="39"/>
  <c r="N115" i="39"/>
  <c r="M115" i="39"/>
  <c r="N114" i="39"/>
  <c r="M114" i="39"/>
  <c r="N113" i="39"/>
  <c r="M113" i="39"/>
  <c r="N112" i="39"/>
  <c r="M112" i="39"/>
  <c r="N111" i="39"/>
  <c r="M111" i="39"/>
  <c r="N110" i="39"/>
  <c r="M110" i="39"/>
  <c r="N109" i="39"/>
  <c r="M109" i="39"/>
  <c r="N108" i="39"/>
  <c r="M108" i="39"/>
  <c r="N107" i="39"/>
  <c r="M107" i="39"/>
  <c r="N106" i="39"/>
  <c r="M106" i="39"/>
  <c r="N105" i="39"/>
  <c r="M105" i="39"/>
  <c r="N104" i="39"/>
  <c r="M104" i="39"/>
  <c r="N103" i="39"/>
  <c r="M103" i="39"/>
  <c r="N102" i="39"/>
  <c r="M102" i="39"/>
  <c r="N101" i="39"/>
  <c r="M101" i="39"/>
  <c r="N100" i="39"/>
  <c r="M100" i="39"/>
  <c r="N99" i="39"/>
  <c r="M99" i="39"/>
  <c r="N98" i="39"/>
  <c r="M98" i="39"/>
  <c r="N97" i="39"/>
  <c r="M97" i="39"/>
  <c r="N96" i="39"/>
  <c r="M96" i="39"/>
  <c r="N95" i="39"/>
  <c r="M95" i="39"/>
  <c r="N94" i="39"/>
  <c r="M94" i="39"/>
  <c r="N93" i="39"/>
  <c r="M93" i="39"/>
  <c r="N92" i="39"/>
  <c r="M92" i="39"/>
  <c r="N91" i="39"/>
  <c r="M91" i="39"/>
  <c r="N90" i="39"/>
  <c r="M90" i="39"/>
  <c r="N89" i="39"/>
  <c r="M89" i="39"/>
  <c r="N88" i="39"/>
  <c r="M88" i="39"/>
  <c r="N87" i="39"/>
  <c r="M87" i="39"/>
  <c r="N86" i="39"/>
  <c r="M86" i="39"/>
  <c r="N85" i="39"/>
  <c r="M85" i="39"/>
  <c r="N84" i="39"/>
  <c r="M84" i="39"/>
  <c r="N83" i="39"/>
  <c r="M83" i="39"/>
  <c r="N82" i="39"/>
  <c r="M82" i="39"/>
  <c r="N81" i="39"/>
  <c r="M81" i="39"/>
  <c r="N80" i="39"/>
  <c r="M80" i="39"/>
  <c r="N79" i="39"/>
  <c r="M79" i="39"/>
  <c r="N78" i="39"/>
  <c r="M78" i="39"/>
  <c r="M77" i="39"/>
  <c r="N77" i="39"/>
  <c r="N76" i="39"/>
  <c r="N75" i="39"/>
  <c r="N72" i="39"/>
  <c r="N71" i="39"/>
  <c r="N70" i="39"/>
  <c r="N69" i="39"/>
  <c r="N68" i="39"/>
  <c r="N67" i="39"/>
  <c r="N66" i="39"/>
  <c r="N65" i="39"/>
  <c r="N64" i="39"/>
  <c r="N63" i="39"/>
  <c r="N62" i="39"/>
  <c r="N61" i="39"/>
  <c r="N60" i="39"/>
  <c r="N59" i="39"/>
  <c r="N58" i="39"/>
  <c r="N57" i="39"/>
  <c r="N56" i="39"/>
  <c r="N55" i="39"/>
  <c r="N54" i="39"/>
  <c r="N53" i="39"/>
  <c r="N52" i="39"/>
  <c r="N51" i="39"/>
  <c r="N50" i="39"/>
  <c r="N49" i="39"/>
  <c r="N48" i="39"/>
  <c r="N47" i="39"/>
  <c r="N46" i="39"/>
  <c r="N45" i="39"/>
  <c r="N44" i="39"/>
  <c r="N43" i="39"/>
  <c r="N42" i="39"/>
  <c r="N41" i="39"/>
  <c r="N40" i="39"/>
  <c r="N39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AC77" i="39" l="1"/>
  <c r="AC107" i="39"/>
  <c r="AC82" i="39"/>
  <c r="AC112" i="39"/>
  <c r="AA77" i="39"/>
  <c r="AC92" i="39"/>
  <c r="AC97" i="39"/>
  <c r="AA92" i="39"/>
  <c r="AC117" i="39"/>
  <c r="AC102" i="39"/>
  <c r="AA112" i="39"/>
  <c r="AA107" i="39"/>
  <c r="AA117" i="39"/>
  <c r="AA97" i="39"/>
  <c r="AA102" i="39"/>
  <c r="AG117" i="37" l="1"/>
  <c r="AF117" i="37"/>
  <c r="AE117" i="37"/>
  <c r="AG116" i="37"/>
  <c r="AF116" i="37"/>
  <c r="AE116" i="37"/>
  <c r="AI115" i="37"/>
  <c r="AH115" i="37"/>
  <c r="AG115" i="37"/>
  <c r="AF115" i="37"/>
  <c r="AE115" i="37"/>
  <c r="AG114" i="37"/>
  <c r="AH114" i="37" s="1"/>
  <c r="AF114" i="37"/>
  <c r="AE114" i="37"/>
  <c r="AG113" i="37"/>
  <c r="AH113" i="37" s="1"/>
  <c r="AF113" i="37"/>
  <c r="AE113" i="37"/>
  <c r="AG112" i="37"/>
  <c r="AF112" i="37"/>
  <c r="AE112" i="37"/>
  <c r="AG111" i="37"/>
  <c r="AH111" i="37" s="1"/>
  <c r="AF111" i="37"/>
  <c r="AE111" i="37"/>
  <c r="AG110" i="37"/>
  <c r="AH110" i="37" s="1"/>
  <c r="AI110" i="37" s="1"/>
  <c r="AF110" i="37"/>
  <c r="AE110" i="37"/>
  <c r="AG109" i="37"/>
  <c r="AH109" i="37" s="1"/>
  <c r="AF109" i="37"/>
  <c r="AE109" i="37"/>
  <c r="AH108" i="37"/>
  <c r="AI108" i="37" s="1"/>
  <c r="AG108" i="37"/>
  <c r="AF108" i="37"/>
  <c r="AE108" i="37"/>
  <c r="AG107" i="37"/>
  <c r="AH107" i="37" s="1"/>
  <c r="AF107" i="37"/>
  <c r="AE107" i="37"/>
  <c r="AG106" i="37"/>
  <c r="AH106" i="37" s="1"/>
  <c r="AF106" i="37"/>
  <c r="AE106" i="37"/>
  <c r="AG105" i="37"/>
  <c r="AF105" i="37"/>
  <c r="AE105" i="37"/>
  <c r="AG104" i="37"/>
  <c r="AF104" i="37"/>
  <c r="AE104" i="37"/>
  <c r="AI103" i="37"/>
  <c r="AH103" i="37"/>
  <c r="AG103" i="37"/>
  <c r="AF103" i="37"/>
  <c r="AE103" i="37"/>
  <c r="AG102" i="37"/>
  <c r="AF102" i="37"/>
  <c r="AE102" i="37"/>
  <c r="AG101" i="37"/>
  <c r="AF101" i="37"/>
  <c r="AE101" i="37"/>
  <c r="AG100" i="37"/>
  <c r="AF100" i="37"/>
  <c r="AE100" i="37"/>
  <c r="AG99" i="37"/>
  <c r="AF99" i="37"/>
  <c r="AE99" i="37"/>
  <c r="AG98" i="37"/>
  <c r="AH98" i="37" s="1"/>
  <c r="AI98" i="37" s="1"/>
  <c r="AF98" i="37"/>
  <c r="AE98" i="37"/>
  <c r="AG97" i="37"/>
  <c r="AF97" i="37"/>
  <c r="AE97" i="37"/>
  <c r="AH96" i="37"/>
  <c r="AI96" i="37" s="1"/>
  <c r="AG96" i="37"/>
  <c r="AF96" i="37"/>
  <c r="AE96" i="37"/>
  <c r="AG95" i="37"/>
  <c r="AF95" i="37"/>
  <c r="AE95" i="37"/>
  <c r="AG94" i="37"/>
  <c r="AF94" i="37"/>
  <c r="AE94" i="37"/>
  <c r="AG93" i="37"/>
  <c r="AF93" i="37"/>
  <c r="AE93" i="37"/>
  <c r="AG92" i="37"/>
  <c r="AH92" i="37" s="1"/>
  <c r="AF92" i="37"/>
  <c r="AE92" i="37"/>
  <c r="AI91" i="37"/>
  <c r="AH91" i="37"/>
  <c r="AG91" i="37"/>
  <c r="AF91" i="37"/>
  <c r="AE91" i="37"/>
  <c r="AG90" i="37"/>
  <c r="AH90" i="37" s="1"/>
  <c r="AF90" i="37"/>
  <c r="AE90" i="37"/>
  <c r="AG89" i="37"/>
  <c r="AF89" i="37"/>
  <c r="AE89" i="37"/>
  <c r="AG88" i="37"/>
  <c r="AF88" i="37"/>
  <c r="AE88" i="37"/>
  <c r="AG87" i="37"/>
  <c r="AF87" i="37"/>
  <c r="AE87" i="37"/>
  <c r="AG86" i="37"/>
  <c r="AH86" i="37" s="1"/>
  <c r="AI86" i="37" s="1"/>
  <c r="AF86" i="37"/>
  <c r="AE86" i="37"/>
  <c r="AG85" i="37"/>
  <c r="AF85" i="37"/>
  <c r="AE85" i="37"/>
  <c r="AH84" i="37"/>
  <c r="AI84" i="37" s="1"/>
  <c r="AG84" i="37"/>
  <c r="AF84" i="37"/>
  <c r="AE84" i="37"/>
  <c r="AG83" i="37"/>
  <c r="AF83" i="37"/>
  <c r="AE83" i="37"/>
  <c r="AG82" i="37"/>
  <c r="AH82" i="37" s="1"/>
  <c r="AF82" i="37"/>
  <c r="AE82" i="37"/>
  <c r="AG81" i="37"/>
  <c r="AF81" i="37"/>
  <c r="AE81" i="37"/>
  <c r="AG80" i="37"/>
  <c r="AF80" i="37"/>
  <c r="AE80" i="37"/>
  <c r="AI79" i="37"/>
  <c r="AH79" i="37"/>
  <c r="AG79" i="37"/>
  <c r="AF79" i="37"/>
  <c r="AE79" i="37"/>
  <c r="AG78" i="37"/>
  <c r="AH78" i="37" s="1"/>
  <c r="AF78" i="37"/>
  <c r="AE78" i="37"/>
  <c r="AG77" i="37"/>
  <c r="AF77" i="37"/>
  <c r="AE77" i="37"/>
  <c r="AG76" i="37"/>
  <c r="AF76" i="37"/>
  <c r="AE76" i="37"/>
  <c r="AG75" i="37"/>
  <c r="AF75" i="37"/>
  <c r="AE75" i="37"/>
  <c r="AG74" i="37"/>
  <c r="AH74" i="37" s="1"/>
  <c r="AI74" i="37" s="1"/>
  <c r="AF74" i="37"/>
  <c r="AE74" i="37"/>
  <c r="AG73" i="37"/>
  <c r="AF73" i="37"/>
  <c r="AE73" i="37"/>
  <c r="AH72" i="37"/>
  <c r="AI72" i="37" s="1"/>
  <c r="AG72" i="37"/>
  <c r="AF72" i="37"/>
  <c r="AE72" i="37"/>
  <c r="AG71" i="37"/>
  <c r="AF71" i="37"/>
  <c r="AE71" i="37"/>
  <c r="AG70" i="37"/>
  <c r="AF70" i="37"/>
  <c r="AE70" i="37"/>
  <c r="AG69" i="37"/>
  <c r="AF69" i="37"/>
  <c r="AE69" i="37"/>
  <c r="AG68" i="37"/>
  <c r="AF68" i="37"/>
  <c r="AE68" i="37"/>
  <c r="AI67" i="37"/>
  <c r="AH67" i="37"/>
  <c r="AG67" i="37"/>
  <c r="AF67" i="37"/>
  <c r="AE67" i="37"/>
  <c r="AG66" i="37"/>
  <c r="AF66" i="37"/>
  <c r="AE66" i="37"/>
  <c r="AG65" i="37"/>
  <c r="AF65" i="37"/>
  <c r="AE65" i="37"/>
  <c r="AG64" i="37"/>
  <c r="AF64" i="37"/>
  <c r="AE64" i="37"/>
  <c r="AG63" i="37"/>
  <c r="AF63" i="37"/>
  <c r="AE63" i="37"/>
  <c r="AG62" i="37"/>
  <c r="AH62" i="37" s="1"/>
  <c r="AI62" i="37" s="1"/>
  <c r="AF62" i="37"/>
  <c r="AE62" i="37"/>
  <c r="AG61" i="37"/>
  <c r="AF61" i="37"/>
  <c r="AE61" i="37"/>
  <c r="AH60" i="37"/>
  <c r="AI60" i="37" s="1"/>
  <c r="AG60" i="37"/>
  <c r="AF60" i="37"/>
  <c r="AE60" i="37"/>
  <c r="AG59" i="37"/>
  <c r="AH59" i="37" s="1"/>
  <c r="AF59" i="37"/>
  <c r="AE59" i="37"/>
  <c r="AG58" i="37"/>
  <c r="AF58" i="37"/>
  <c r="AE58" i="37"/>
  <c r="AG57" i="37"/>
  <c r="AF57" i="37"/>
  <c r="AE57" i="37"/>
  <c r="AG56" i="37"/>
  <c r="AF56" i="37"/>
  <c r="AE56" i="37"/>
  <c r="AI55" i="37"/>
  <c r="AH55" i="37"/>
  <c r="AG55" i="37"/>
  <c r="AF55" i="37"/>
  <c r="AE55" i="37"/>
  <c r="AG54" i="37"/>
  <c r="AH54" i="37" s="1"/>
  <c r="AF54" i="37"/>
  <c r="AE54" i="37"/>
  <c r="AG53" i="37"/>
  <c r="AF53" i="37"/>
  <c r="AE53" i="37"/>
  <c r="AG52" i="37"/>
  <c r="AF52" i="37"/>
  <c r="AE52" i="37"/>
  <c r="AG51" i="37"/>
  <c r="AF51" i="37"/>
  <c r="AE51" i="37"/>
  <c r="AG50" i="37"/>
  <c r="AH50" i="37" s="1"/>
  <c r="AI50" i="37" s="1"/>
  <c r="AF50" i="37"/>
  <c r="AE50" i="37"/>
  <c r="AG49" i="37"/>
  <c r="AF49" i="37"/>
  <c r="AE49" i="37"/>
  <c r="AH48" i="37"/>
  <c r="AI48" i="37" s="1"/>
  <c r="AG48" i="37"/>
  <c r="AF48" i="37"/>
  <c r="AE48" i="37"/>
  <c r="AG47" i="37"/>
  <c r="AH47" i="37" s="1"/>
  <c r="AF47" i="37"/>
  <c r="AE47" i="37"/>
  <c r="AG46" i="37"/>
  <c r="AF46" i="37"/>
  <c r="AE46" i="37"/>
  <c r="AG45" i="37"/>
  <c r="AF45" i="37"/>
  <c r="AE45" i="37"/>
  <c r="AG44" i="37"/>
  <c r="AH44" i="37" s="1"/>
  <c r="AF44" i="37"/>
  <c r="AE44" i="37"/>
  <c r="AI43" i="37"/>
  <c r="AH43" i="37"/>
  <c r="AG43" i="37"/>
  <c r="AF43" i="37"/>
  <c r="AE43" i="37"/>
  <c r="AG42" i="37"/>
  <c r="AF42" i="37"/>
  <c r="AE42" i="37"/>
  <c r="AG41" i="37"/>
  <c r="AF41" i="37"/>
  <c r="AE41" i="37"/>
  <c r="AG40" i="37"/>
  <c r="AF40" i="37"/>
  <c r="AE40" i="37"/>
  <c r="AG39" i="37"/>
  <c r="AF39" i="37"/>
  <c r="AE39" i="37"/>
  <c r="AG38" i="37"/>
  <c r="AH38" i="37" s="1"/>
  <c r="AI38" i="37" s="1"/>
  <c r="AF38" i="37"/>
  <c r="AE38" i="37"/>
  <c r="AG37" i="37"/>
  <c r="AF37" i="37"/>
  <c r="AE37" i="37"/>
  <c r="AH36" i="37"/>
  <c r="AI36" i="37" s="1"/>
  <c r="AG36" i="37"/>
  <c r="AF36" i="37"/>
  <c r="AE36" i="37"/>
  <c r="AG35" i="37"/>
  <c r="AF35" i="37"/>
  <c r="AE35" i="37"/>
  <c r="AG34" i="37"/>
  <c r="AF34" i="37"/>
  <c r="AE34" i="37"/>
  <c r="AG33" i="37"/>
  <c r="AF33" i="37"/>
  <c r="AE33" i="37"/>
  <c r="AG32" i="37"/>
  <c r="AH32" i="37" s="1"/>
  <c r="AF32" i="37"/>
  <c r="AE32" i="37"/>
  <c r="AI31" i="37"/>
  <c r="AH31" i="37"/>
  <c r="AG31" i="37"/>
  <c r="AF31" i="37"/>
  <c r="AE31" i="37"/>
  <c r="AG30" i="37"/>
  <c r="AF30" i="37"/>
  <c r="AE30" i="37"/>
  <c r="AG29" i="37"/>
  <c r="AF29" i="37"/>
  <c r="AE29" i="37"/>
  <c r="AG28" i="37"/>
  <c r="AF28" i="37"/>
  <c r="AE28" i="37"/>
  <c r="AG27" i="37"/>
  <c r="AF27" i="37"/>
  <c r="AE27" i="37"/>
  <c r="AG26" i="37"/>
  <c r="AH26" i="37" s="1"/>
  <c r="AI26" i="37" s="1"/>
  <c r="AF26" i="37"/>
  <c r="AE26" i="37"/>
  <c r="AG25" i="37"/>
  <c r="AF25" i="37"/>
  <c r="AE25" i="37"/>
  <c r="AH24" i="37"/>
  <c r="AI24" i="37" s="1"/>
  <c r="AG24" i="37"/>
  <c r="AF24" i="37"/>
  <c r="AE24" i="37"/>
  <c r="AG23" i="37"/>
  <c r="AF23" i="37"/>
  <c r="AE23" i="37"/>
  <c r="AG22" i="37"/>
  <c r="AH22" i="37" s="1"/>
  <c r="AF22" i="37"/>
  <c r="AE22" i="37"/>
  <c r="AG21" i="37"/>
  <c r="AF21" i="37"/>
  <c r="AE21" i="37"/>
  <c r="AG20" i="37"/>
  <c r="AH20" i="37" s="1"/>
  <c r="AF20" i="37"/>
  <c r="AE20" i="37"/>
  <c r="AI19" i="37"/>
  <c r="AH19" i="37"/>
  <c r="AG19" i="37"/>
  <c r="AF19" i="37"/>
  <c r="AE19" i="37"/>
  <c r="AG18" i="37"/>
  <c r="AF18" i="37"/>
  <c r="AE18" i="37"/>
  <c r="AG17" i="37"/>
  <c r="AF17" i="37"/>
  <c r="AE17" i="37"/>
  <c r="AG16" i="37"/>
  <c r="AF16" i="37"/>
  <c r="AE16" i="37"/>
  <c r="AG15" i="37"/>
  <c r="AH15" i="37" s="1"/>
  <c r="AF15" i="37"/>
  <c r="AE15" i="37"/>
  <c r="AG14" i="37"/>
  <c r="AH14" i="37" s="1"/>
  <c r="AI14" i="37" s="1"/>
  <c r="AF14" i="37"/>
  <c r="AE14" i="37"/>
  <c r="AG13" i="37"/>
  <c r="AF13" i="37"/>
  <c r="AE13" i="37"/>
  <c r="AH12" i="37"/>
  <c r="AI12" i="37" s="1"/>
  <c r="AG12" i="37"/>
  <c r="AF12" i="37"/>
  <c r="AE12" i="37"/>
  <c r="AG11" i="37"/>
  <c r="AF11" i="37"/>
  <c r="AE11" i="37"/>
  <c r="Z117" i="37"/>
  <c r="Z116" i="37"/>
  <c r="Z115" i="37"/>
  <c r="Z114" i="37"/>
  <c r="Z113" i="37"/>
  <c r="Z112" i="37"/>
  <c r="Z111" i="37"/>
  <c r="Z110" i="37"/>
  <c r="Z109" i="37"/>
  <c r="Z108" i="37"/>
  <c r="Z107" i="37"/>
  <c r="Z106" i="37"/>
  <c r="Z105" i="37"/>
  <c r="Z104" i="37"/>
  <c r="Z103" i="37"/>
  <c r="Z102" i="37"/>
  <c r="Z101" i="37"/>
  <c r="Z100" i="37"/>
  <c r="Z99" i="37"/>
  <c r="Z98" i="37"/>
  <c r="Z97" i="37"/>
  <c r="Z96" i="37"/>
  <c r="Z95" i="37"/>
  <c r="Z94" i="37"/>
  <c r="Z93" i="37"/>
  <c r="Z92" i="37"/>
  <c r="Z91" i="37"/>
  <c r="Z90" i="37"/>
  <c r="Z89" i="37"/>
  <c r="Z88" i="37"/>
  <c r="Z87" i="37"/>
  <c r="Z86" i="37"/>
  <c r="Z85" i="37"/>
  <c r="Z84" i="37"/>
  <c r="Z83" i="37"/>
  <c r="Z82" i="37"/>
  <c r="Z81" i="37"/>
  <c r="Z80" i="37"/>
  <c r="Z79" i="37"/>
  <c r="Z78" i="37"/>
  <c r="Z77" i="37"/>
  <c r="Z76" i="37"/>
  <c r="Z75" i="37"/>
  <c r="Z74" i="37"/>
  <c r="Z73" i="37"/>
  <c r="Z72" i="37"/>
  <c r="Z71" i="37"/>
  <c r="Z70" i="37"/>
  <c r="Z69" i="37"/>
  <c r="Z68" i="37"/>
  <c r="Z67" i="37"/>
  <c r="Z66" i="37"/>
  <c r="Z65" i="37"/>
  <c r="Z64" i="37"/>
  <c r="Z63" i="37"/>
  <c r="Z62" i="37"/>
  <c r="Z61" i="37"/>
  <c r="Z60" i="37"/>
  <c r="Z59" i="37"/>
  <c r="Z58" i="37"/>
  <c r="Z57" i="37"/>
  <c r="Z56" i="37"/>
  <c r="Z55" i="37"/>
  <c r="Z54" i="37"/>
  <c r="Z53" i="37"/>
  <c r="Z52" i="37"/>
  <c r="Z51" i="37"/>
  <c r="Z50" i="37"/>
  <c r="Z49" i="37"/>
  <c r="Z48" i="37"/>
  <c r="Z47" i="37"/>
  <c r="Z46" i="37"/>
  <c r="Z45" i="37"/>
  <c r="Z44" i="37"/>
  <c r="Z43" i="37"/>
  <c r="Z42" i="37"/>
  <c r="Z41" i="37"/>
  <c r="Z40" i="37"/>
  <c r="Z39" i="37"/>
  <c r="Z38" i="37"/>
  <c r="Z37" i="37"/>
  <c r="AI11" i="37" l="1"/>
  <c r="AI81" i="37"/>
  <c r="AI29" i="37"/>
  <c r="AI51" i="37"/>
  <c r="AI70" i="37"/>
  <c r="AI40" i="37"/>
  <c r="AI66" i="37"/>
  <c r="AI99" i="37"/>
  <c r="AI56" i="37"/>
  <c r="AI93" i="37"/>
  <c r="AI42" i="37"/>
  <c r="AI35" i="37"/>
  <c r="AI57" i="37"/>
  <c r="AI94" i="37"/>
  <c r="AI105" i="37"/>
  <c r="AI61" i="37"/>
  <c r="AI65" i="37"/>
  <c r="AI30" i="37"/>
  <c r="AI89" i="37"/>
  <c r="AI34" i="37"/>
  <c r="AI53" i="37"/>
  <c r="AI17" i="37"/>
  <c r="AI58" i="37"/>
  <c r="AI69" i="37"/>
  <c r="AI80" i="37"/>
  <c r="AH53" i="37"/>
  <c r="AH34" i="37"/>
  <c r="AH46" i="37"/>
  <c r="AI46" i="37" s="1"/>
  <c r="AH94" i="37"/>
  <c r="AI113" i="37"/>
  <c r="AH87" i="37"/>
  <c r="AI87" i="37" s="1"/>
  <c r="AI15" i="37"/>
  <c r="AH80" i="37"/>
  <c r="AI32" i="37"/>
  <c r="AH37" i="37"/>
  <c r="AI37" i="37" s="1"/>
  <c r="AH49" i="37"/>
  <c r="AI49" i="37" s="1"/>
  <c r="AH30" i="37"/>
  <c r="AH29" i="37"/>
  <c r="AH89" i="37"/>
  <c r="AH101" i="37"/>
  <c r="AI101" i="37" s="1"/>
  <c r="AH58" i="37"/>
  <c r="AH70" i="37"/>
  <c r="AH99" i="37"/>
  <c r="AH68" i="37"/>
  <c r="AI68" i="37" s="1"/>
  <c r="AH104" i="37"/>
  <c r="AI104" i="37" s="1"/>
  <c r="AH116" i="37"/>
  <c r="AI116" i="37" s="1"/>
  <c r="AI20" i="37"/>
  <c r="AI44" i="37"/>
  <c r="AH61" i="37"/>
  <c r="AH73" i="37"/>
  <c r="AI73" i="37" s="1"/>
  <c r="AH66" i="37"/>
  <c r="AI109" i="37"/>
  <c r="AH83" i="37"/>
  <c r="AI83" i="37" s="1"/>
  <c r="AH17" i="37"/>
  <c r="AH65" i="37"/>
  <c r="AH77" i="37"/>
  <c r="AI77" i="37" s="1"/>
  <c r="AI22" i="37"/>
  <c r="AH27" i="37"/>
  <c r="AI27" i="37" s="1"/>
  <c r="AH39" i="37"/>
  <c r="AI39" i="37" s="1"/>
  <c r="AI82" i="37"/>
  <c r="AI106" i="37"/>
  <c r="AH56" i="37"/>
  <c r="AH25" i="37"/>
  <c r="AI25" i="37" s="1"/>
  <c r="AH85" i="37"/>
  <c r="AI85" i="37" s="1"/>
  <c r="AI92" i="37"/>
  <c r="AH97" i="37"/>
  <c r="AI97" i="37" s="1"/>
  <c r="AH71" i="37"/>
  <c r="AI71" i="37" s="1"/>
  <c r="AI78" i="37"/>
  <c r="AI90" i="37"/>
  <c r="AH95" i="37"/>
  <c r="AI95" i="37" s="1"/>
  <c r="AH16" i="37"/>
  <c r="AI16" i="37" s="1"/>
  <c r="AI59" i="37"/>
  <c r="AH64" i="37"/>
  <c r="AI64" i="37" s="1"/>
  <c r="AH76" i="37"/>
  <c r="AI76" i="37" s="1"/>
  <c r="AH88" i="37"/>
  <c r="AI88" i="37" s="1"/>
  <c r="AH100" i="37"/>
  <c r="AI100" i="37" s="1"/>
  <c r="AI107" i="37"/>
  <c r="AH112" i="37"/>
  <c r="AI112" i="37" s="1"/>
  <c r="AH41" i="37"/>
  <c r="AI41" i="37" s="1"/>
  <c r="AH63" i="37"/>
  <c r="AI63" i="37" s="1"/>
  <c r="AI111" i="37"/>
  <c r="AH13" i="37"/>
  <c r="AI13" i="37" s="1"/>
  <c r="AH18" i="37"/>
  <c r="AI18" i="37" s="1"/>
  <c r="AH42" i="37"/>
  <c r="AH11" i="37"/>
  <c r="AH35" i="37"/>
  <c r="AI54" i="37"/>
  <c r="AI114" i="37"/>
  <c r="AH28" i="37"/>
  <c r="AI28" i="37" s="1"/>
  <c r="AH40" i="37"/>
  <c r="AI47" i="37"/>
  <c r="AH52" i="37"/>
  <c r="AI52" i="37" s="1"/>
  <c r="AH21" i="37"/>
  <c r="AI21" i="37" s="1"/>
  <c r="AH33" i="37"/>
  <c r="AI33" i="37" s="1"/>
  <c r="AH45" i="37"/>
  <c r="AI45" i="37" s="1"/>
  <c r="AH57" i="37"/>
  <c r="AH69" i="37"/>
  <c r="AH81" i="37"/>
  <c r="AH93" i="37"/>
  <c r="AH105" i="37"/>
  <c r="AH117" i="37"/>
  <c r="AI117" i="37" s="1"/>
  <c r="AH51" i="37"/>
  <c r="AH75" i="37"/>
  <c r="AI75" i="37" s="1"/>
  <c r="AH102" i="37"/>
  <c r="AI102" i="37" s="1"/>
  <c r="AH23" i="37"/>
  <c r="AI23" i="37" s="1"/>
  <c r="AB116" i="37" l="1"/>
  <c r="Y116" i="37"/>
  <c r="W116" i="37"/>
  <c r="U116" i="37"/>
  <c r="N116" i="37"/>
  <c r="M116" i="37"/>
  <c r="AR116" i="37" s="1"/>
  <c r="AB115" i="37"/>
  <c r="X115" i="37"/>
  <c r="W115" i="37"/>
  <c r="U115" i="37"/>
  <c r="N115" i="37"/>
  <c r="M115" i="37"/>
  <c r="AR115" i="37" s="1"/>
  <c r="AB111" i="37"/>
  <c r="Y111" i="37"/>
  <c r="W111" i="37"/>
  <c r="U111" i="37"/>
  <c r="N111" i="37"/>
  <c r="M111" i="37"/>
  <c r="AR111" i="37" s="1"/>
  <c r="AB106" i="37"/>
  <c r="Y106" i="37"/>
  <c r="W106" i="37"/>
  <c r="U106" i="37"/>
  <c r="N106" i="37"/>
  <c r="M106" i="37"/>
  <c r="AR106" i="37" s="1"/>
  <c r="AB101" i="37"/>
  <c r="Y101" i="37"/>
  <c r="W101" i="37"/>
  <c r="U101" i="37"/>
  <c r="N101" i="37"/>
  <c r="M101" i="37"/>
  <c r="AR101" i="37" s="1"/>
  <c r="AB96" i="37"/>
  <c r="Y96" i="37"/>
  <c r="W96" i="37"/>
  <c r="U96" i="37"/>
  <c r="N96" i="37"/>
  <c r="M96" i="37"/>
  <c r="AR96" i="37" s="1"/>
  <c r="AB91" i="37"/>
  <c r="Y91" i="37"/>
  <c r="W91" i="37"/>
  <c r="U91" i="37"/>
  <c r="N91" i="37"/>
  <c r="M91" i="37"/>
  <c r="AR91" i="37" s="1"/>
  <c r="AB86" i="37"/>
  <c r="Y86" i="37"/>
  <c r="W86" i="37"/>
  <c r="U86" i="37"/>
  <c r="N86" i="37"/>
  <c r="M86" i="37"/>
  <c r="AR86" i="37" s="1"/>
  <c r="AB81" i="37"/>
  <c r="Y81" i="37"/>
  <c r="W81" i="37"/>
  <c r="U81" i="37"/>
  <c r="N81" i="37"/>
  <c r="M81" i="37"/>
  <c r="AB76" i="37"/>
  <c r="Y76" i="37"/>
  <c r="W76" i="37"/>
  <c r="U76" i="37"/>
  <c r="N76" i="37"/>
  <c r="M76" i="37"/>
  <c r="AR76" i="37" s="1"/>
  <c r="AR81" i="37" l="1"/>
  <c r="AC116" i="37"/>
  <c r="AC115" i="37"/>
  <c r="AA116" i="37"/>
  <c r="AA115" i="37"/>
  <c r="Y115" i="37"/>
  <c r="AC111" i="37"/>
  <c r="AC106" i="37"/>
  <c r="AA111" i="37"/>
  <c r="AC101" i="37"/>
  <c r="AA106" i="37"/>
  <c r="AC96" i="37"/>
  <c r="AM101" i="37"/>
  <c r="AA101" i="37"/>
  <c r="AC91" i="37"/>
  <c r="AA96" i="37"/>
  <c r="AM91" i="37"/>
  <c r="AA91" i="37"/>
  <c r="AC86" i="37"/>
  <c r="AC81" i="37"/>
  <c r="AC76" i="37"/>
  <c r="AM86" i="37"/>
  <c r="AA86" i="37"/>
  <c r="AA81" i="37"/>
  <c r="AM76" i="37"/>
  <c r="AA76" i="37"/>
  <c r="X114" i="37"/>
  <c r="Y114" i="37" s="1"/>
  <c r="X113" i="37"/>
  <c r="X110" i="37"/>
  <c r="X109" i="37"/>
  <c r="Y109" i="37" s="1"/>
  <c r="X108" i="37"/>
  <c r="Y108" i="37" s="1"/>
  <c r="X105" i="37"/>
  <c r="X104" i="37"/>
  <c r="Y104" i="37" s="1"/>
  <c r="X103" i="37"/>
  <c r="Y103" i="37" s="1"/>
  <c r="X100" i="37"/>
  <c r="Y100" i="37" s="1"/>
  <c r="X99" i="37"/>
  <c r="Y99" i="37" s="1"/>
  <c r="X98" i="37"/>
  <c r="Y98" i="37" s="1"/>
  <c r="X95" i="37"/>
  <c r="X94" i="37"/>
  <c r="X93" i="37"/>
  <c r="Y93" i="37" s="1"/>
  <c r="Y92" i="37"/>
  <c r="X90" i="37"/>
  <c r="X89" i="37"/>
  <c r="X88" i="37"/>
  <c r="Y88" i="37" s="1"/>
  <c r="V114" i="37"/>
  <c r="W114" i="37" s="1"/>
  <c r="V113" i="37"/>
  <c r="W113" i="37" s="1"/>
  <c r="V109" i="37"/>
  <c r="W109" i="37" s="1"/>
  <c r="V108" i="37"/>
  <c r="W108" i="37" s="1"/>
  <c r="V105" i="37"/>
  <c r="W105" i="37" s="1"/>
  <c r="V104" i="37"/>
  <c r="W104" i="37" s="1"/>
  <c r="V103" i="37"/>
  <c r="V100" i="37"/>
  <c r="W100" i="37" s="1"/>
  <c r="V99" i="37"/>
  <c r="W99" i="37" s="1"/>
  <c r="V98" i="37"/>
  <c r="V95" i="37"/>
  <c r="W95" i="37" s="1"/>
  <c r="V94" i="37"/>
  <c r="V93" i="37"/>
  <c r="W93" i="37" s="1"/>
  <c r="V90" i="37"/>
  <c r="W90" i="37" s="1"/>
  <c r="V89" i="37"/>
  <c r="W89" i="37" s="1"/>
  <c r="V88" i="37"/>
  <c r="W88" i="37" s="1"/>
  <c r="T114" i="37"/>
  <c r="U114" i="37" s="1"/>
  <c r="T113" i="37"/>
  <c r="T109" i="37"/>
  <c r="T108" i="37"/>
  <c r="T105" i="37"/>
  <c r="U105" i="37" s="1"/>
  <c r="T104" i="37"/>
  <c r="U104" i="37" s="1"/>
  <c r="T103" i="37"/>
  <c r="U103" i="37" s="1"/>
  <c r="T100" i="37"/>
  <c r="U100" i="37" s="1"/>
  <c r="T99" i="37"/>
  <c r="U99" i="37" s="1"/>
  <c r="T98" i="37"/>
  <c r="U98" i="37" s="1"/>
  <c r="T95" i="37"/>
  <c r="U95" i="37" s="1"/>
  <c r="T94" i="37"/>
  <c r="T93" i="37"/>
  <c r="U93" i="37" s="1"/>
  <c r="T90" i="37"/>
  <c r="U90" i="37" s="1"/>
  <c r="T89" i="37"/>
  <c r="T88" i="37"/>
  <c r="U88" i="37" s="1"/>
  <c r="X36" i="37"/>
  <c r="X33" i="37"/>
  <c r="X30" i="37"/>
  <c r="X27" i="37"/>
  <c r="X24" i="37"/>
  <c r="X21" i="37"/>
  <c r="V36" i="37"/>
  <c r="V35" i="37"/>
  <c r="X35" i="37" s="1"/>
  <c r="V34" i="37"/>
  <c r="X34" i="37" s="1"/>
  <c r="V33" i="37"/>
  <c r="V32" i="37"/>
  <c r="X32" i="37" s="1"/>
  <c r="V31" i="37"/>
  <c r="X31" i="37" s="1"/>
  <c r="V30" i="37"/>
  <c r="V29" i="37"/>
  <c r="X29" i="37" s="1"/>
  <c r="V28" i="37"/>
  <c r="X28" i="37" s="1"/>
  <c r="V27" i="37"/>
  <c r="V26" i="37"/>
  <c r="V25" i="37"/>
  <c r="X25" i="37" s="1"/>
  <c r="V24" i="37"/>
  <c r="V23" i="37"/>
  <c r="X23" i="37" s="1"/>
  <c r="V22" i="37"/>
  <c r="X22" i="37" s="1"/>
  <c r="V21" i="37"/>
  <c r="V20" i="37"/>
  <c r="X20" i="37" s="1"/>
  <c r="V19" i="37"/>
  <c r="X19" i="37" s="1"/>
  <c r="V18" i="37"/>
  <c r="V17" i="37"/>
  <c r="V16" i="37"/>
  <c r="V15" i="37"/>
  <c r="V14" i="37"/>
  <c r="V13" i="37"/>
  <c r="T36" i="37"/>
  <c r="T35" i="37"/>
  <c r="T34" i="37"/>
  <c r="T33" i="37"/>
  <c r="T32" i="37"/>
  <c r="T31" i="37"/>
  <c r="T30" i="37"/>
  <c r="T29" i="37"/>
  <c r="T28" i="37"/>
  <c r="T27" i="37"/>
  <c r="T26" i="37"/>
  <c r="T25" i="37"/>
  <c r="T24" i="37"/>
  <c r="T23" i="37"/>
  <c r="T22" i="37"/>
  <c r="T21" i="37"/>
  <c r="T20" i="37"/>
  <c r="T19" i="37"/>
  <c r="T18" i="37"/>
  <c r="T17" i="37"/>
  <c r="T16" i="37"/>
  <c r="T15" i="37"/>
  <c r="T14" i="37"/>
  <c r="T13" i="37"/>
  <c r="V12" i="37"/>
  <c r="V11" i="37"/>
  <c r="V10" i="37"/>
  <c r="X10" i="37" s="1"/>
  <c r="T12" i="37"/>
  <c r="T11" i="37"/>
  <c r="T10" i="37"/>
  <c r="AB116" i="39"/>
  <c r="Z116" i="39"/>
  <c r="AB115" i="39"/>
  <c r="Z115" i="39"/>
  <c r="AB114" i="39"/>
  <c r="Z114" i="39"/>
  <c r="AB113" i="39"/>
  <c r="Z113" i="39"/>
  <c r="AB111" i="39"/>
  <c r="Z111" i="39"/>
  <c r="AB110" i="39"/>
  <c r="Z110" i="39"/>
  <c r="AB109" i="39"/>
  <c r="Z109" i="39"/>
  <c r="AB108" i="39"/>
  <c r="Z108" i="39"/>
  <c r="AB106" i="39"/>
  <c r="Z106" i="39"/>
  <c r="AB105" i="39"/>
  <c r="Z105" i="39"/>
  <c r="AB104" i="39"/>
  <c r="Z104" i="39"/>
  <c r="AB103" i="39"/>
  <c r="Z103" i="39"/>
  <c r="AB101" i="39"/>
  <c r="Z101" i="39"/>
  <c r="AB100" i="39"/>
  <c r="Z100" i="39"/>
  <c r="AB99" i="39"/>
  <c r="Z99" i="39"/>
  <c r="AB98" i="39"/>
  <c r="Z98" i="39"/>
  <c r="AB96" i="39"/>
  <c r="Z96" i="39"/>
  <c r="AB95" i="39"/>
  <c r="Z95" i="39"/>
  <c r="AB94" i="39"/>
  <c r="Z94" i="39"/>
  <c r="AB93" i="39"/>
  <c r="Z93" i="39"/>
  <c r="AB91" i="39"/>
  <c r="Z91" i="39"/>
  <c r="AB90" i="39"/>
  <c r="Z90" i="39"/>
  <c r="AB89" i="39"/>
  <c r="Z89" i="39"/>
  <c r="AB88" i="39"/>
  <c r="Z88" i="39"/>
  <c r="AB86" i="39"/>
  <c r="Z86" i="39"/>
  <c r="AB85" i="39"/>
  <c r="Z85" i="39"/>
  <c r="AB84" i="39"/>
  <c r="Z84" i="39"/>
  <c r="AB83" i="39"/>
  <c r="Z83" i="39"/>
  <c r="AB81" i="39"/>
  <c r="Z81" i="39"/>
  <c r="AB80" i="39"/>
  <c r="Z80" i="39"/>
  <c r="AB79" i="39"/>
  <c r="Z79" i="39"/>
  <c r="AB78" i="39"/>
  <c r="Z78" i="39"/>
  <c r="AB76" i="39"/>
  <c r="Z76" i="39"/>
  <c r="AB75" i="39"/>
  <c r="Z75" i="39"/>
  <c r="AB74" i="39"/>
  <c r="Z74" i="39"/>
  <c r="AB73" i="39"/>
  <c r="Z73" i="39"/>
  <c r="AB72" i="39"/>
  <c r="Z72" i="39"/>
  <c r="AB71" i="39"/>
  <c r="Z71" i="39"/>
  <c r="AB70" i="39"/>
  <c r="Z70" i="39"/>
  <c r="AB69" i="39"/>
  <c r="Z69" i="39"/>
  <c r="AB68" i="39"/>
  <c r="Z68" i="39"/>
  <c r="AB67" i="39"/>
  <c r="Z67" i="39"/>
  <c r="AB66" i="39"/>
  <c r="Z66" i="39"/>
  <c r="AB65" i="39"/>
  <c r="Z65" i="39"/>
  <c r="AB64" i="39"/>
  <c r="Z64" i="39"/>
  <c r="AB63" i="39"/>
  <c r="Z63" i="39"/>
  <c r="AB62" i="39"/>
  <c r="Z62" i="39"/>
  <c r="AB61" i="39"/>
  <c r="Z61" i="39"/>
  <c r="AB60" i="39"/>
  <c r="Z60" i="39"/>
  <c r="AB59" i="39"/>
  <c r="Z59" i="39"/>
  <c r="AB58" i="39"/>
  <c r="Z58" i="39"/>
  <c r="AB57" i="39"/>
  <c r="Z57" i="39"/>
  <c r="AB56" i="39"/>
  <c r="Z56" i="39"/>
  <c r="AB55" i="39"/>
  <c r="Z55" i="39"/>
  <c r="AB54" i="39"/>
  <c r="Z54" i="39"/>
  <c r="AB53" i="39"/>
  <c r="Z53" i="39"/>
  <c r="AB52" i="39"/>
  <c r="Z52" i="39"/>
  <c r="AB51" i="39"/>
  <c r="Z51" i="39"/>
  <c r="AB50" i="39"/>
  <c r="Z50" i="39"/>
  <c r="AB49" i="39"/>
  <c r="Z49" i="39"/>
  <c r="AB48" i="39"/>
  <c r="Z48" i="39"/>
  <c r="AB47" i="39"/>
  <c r="Z47" i="39"/>
  <c r="AB46" i="39"/>
  <c r="Z46" i="39"/>
  <c r="AB45" i="39"/>
  <c r="Z45" i="39"/>
  <c r="AB44" i="39"/>
  <c r="Z44" i="39"/>
  <c r="AB43" i="39"/>
  <c r="Z43" i="39"/>
  <c r="AB42" i="39"/>
  <c r="Z42" i="39"/>
  <c r="AB41" i="39"/>
  <c r="Z41" i="39"/>
  <c r="AB40" i="39"/>
  <c r="Z40" i="39"/>
  <c r="AB39" i="39"/>
  <c r="Z39" i="39"/>
  <c r="AB38" i="39"/>
  <c r="Z38" i="39"/>
  <c r="AB37" i="39"/>
  <c r="Z37" i="39"/>
  <c r="AB36" i="39"/>
  <c r="Z36" i="39"/>
  <c r="AB35" i="39"/>
  <c r="Z35" i="39"/>
  <c r="AB34" i="39"/>
  <c r="Z34" i="39"/>
  <c r="AB33" i="39"/>
  <c r="Z33" i="39"/>
  <c r="AB32" i="39"/>
  <c r="Z32" i="39"/>
  <c r="AB31" i="39"/>
  <c r="Z31" i="39"/>
  <c r="AB30" i="39"/>
  <c r="Z30" i="39"/>
  <c r="AB29" i="39"/>
  <c r="Z29" i="39"/>
  <c r="AB28" i="39"/>
  <c r="Z28" i="39"/>
  <c r="AB27" i="39"/>
  <c r="Z27" i="39"/>
  <c r="AB26" i="39"/>
  <c r="Z26" i="39"/>
  <c r="AB25" i="39"/>
  <c r="Z25" i="39"/>
  <c r="AB24" i="39"/>
  <c r="Z24" i="39"/>
  <c r="AB23" i="39"/>
  <c r="Z23" i="39"/>
  <c r="AB22" i="39"/>
  <c r="Z22" i="39"/>
  <c r="AB21" i="39"/>
  <c r="Z21" i="39"/>
  <c r="AB20" i="39"/>
  <c r="Z20" i="39"/>
  <c r="AB19" i="39"/>
  <c r="Z19" i="39"/>
  <c r="AB18" i="39"/>
  <c r="Z18" i="39"/>
  <c r="AB17" i="39"/>
  <c r="Z17" i="39"/>
  <c r="AB16" i="39"/>
  <c r="Z16" i="39"/>
  <c r="AB15" i="39"/>
  <c r="Z15" i="39"/>
  <c r="AB14" i="39"/>
  <c r="Z14" i="39"/>
  <c r="AB13" i="39"/>
  <c r="Z13" i="39"/>
  <c r="AB12" i="39"/>
  <c r="Z12" i="39"/>
  <c r="AB11" i="39"/>
  <c r="Z11" i="39"/>
  <c r="AB10" i="39"/>
  <c r="Z10" i="39"/>
  <c r="AB117" i="37"/>
  <c r="AB114" i="37"/>
  <c r="AB113" i="37"/>
  <c r="AB112" i="37"/>
  <c r="AB110" i="37"/>
  <c r="AB109" i="37"/>
  <c r="AB108" i="37"/>
  <c r="AB107" i="37"/>
  <c r="AB105" i="37"/>
  <c r="AB104" i="37"/>
  <c r="AB103" i="37"/>
  <c r="AB102" i="37"/>
  <c r="AB100" i="37"/>
  <c r="AB99" i="37"/>
  <c r="AB98" i="37"/>
  <c r="AB97" i="37"/>
  <c r="AB95" i="37"/>
  <c r="AB94" i="37"/>
  <c r="AB93" i="37"/>
  <c r="AB92" i="37"/>
  <c r="AB90" i="37"/>
  <c r="AB89" i="37"/>
  <c r="AB88" i="37"/>
  <c r="AB87" i="37"/>
  <c r="AB85" i="37"/>
  <c r="AB84" i="37"/>
  <c r="AB83" i="37"/>
  <c r="AB82" i="37"/>
  <c r="AB80" i="37"/>
  <c r="AB79" i="37"/>
  <c r="AB78" i="37"/>
  <c r="AB77" i="37"/>
  <c r="AB75" i="37"/>
  <c r="AB74" i="37"/>
  <c r="AB73" i="37"/>
  <c r="AB72" i="37"/>
  <c r="AB71" i="37"/>
  <c r="AB70" i="37"/>
  <c r="AB69" i="37"/>
  <c r="AB68" i="37"/>
  <c r="AB67" i="37"/>
  <c r="AB66" i="37"/>
  <c r="AB65" i="37"/>
  <c r="AB64" i="37"/>
  <c r="AB63" i="37"/>
  <c r="AB62" i="37"/>
  <c r="AB61" i="37"/>
  <c r="AB60" i="37"/>
  <c r="AB59" i="37"/>
  <c r="AB58" i="37"/>
  <c r="AB57" i="37"/>
  <c r="AB56" i="37"/>
  <c r="AB55" i="37"/>
  <c r="AB54" i="37"/>
  <c r="AB53" i="37"/>
  <c r="AB52" i="37"/>
  <c r="AB51" i="37"/>
  <c r="AB50" i="37"/>
  <c r="AB49" i="37"/>
  <c r="AB48" i="37"/>
  <c r="AB47" i="37"/>
  <c r="AB46" i="37"/>
  <c r="AB45" i="37"/>
  <c r="AB44" i="37"/>
  <c r="AB43" i="37"/>
  <c r="AB42" i="37"/>
  <c r="AB41" i="37"/>
  <c r="AB40" i="37"/>
  <c r="AB39" i="37"/>
  <c r="AB38" i="37"/>
  <c r="AB37" i="37"/>
  <c r="AB36" i="37"/>
  <c r="Z36" i="37"/>
  <c r="AB35" i="37"/>
  <c r="Z35" i="37"/>
  <c r="AB34" i="37"/>
  <c r="Z34" i="37"/>
  <c r="AB33" i="37"/>
  <c r="Z33" i="37"/>
  <c r="AB32" i="37"/>
  <c r="Z32" i="37"/>
  <c r="AB31" i="37"/>
  <c r="Z31" i="37"/>
  <c r="AB30" i="37"/>
  <c r="Z30" i="37"/>
  <c r="AB29" i="37"/>
  <c r="Z29" i="37"/>
  <c r="AB28" i="37"/>
  <c r="Z28" i="37"/>
  <c r="AB27" i="37"/>
  <c r="Z27" i="37"/>
  <c r="AB26" i="37"/>
  <c r="Z26" i="37"/>
  <c r="AB25" i="37"/>
  <c r="Z25" i="37"/>
  <c r="AB24" i="37"/>
  <c r="Z24" i="37"/>
  <c r="AB23" i="37"/>
  <c r="Z23" i="37"/>
  <c r="AB22" i="37"/>
  <c r="Z22" i="37"/>
  <c r="AB21" i="37"/>
  <c r="Z21" i="37"/>
  <c r="AB20" i="37"/>
  <c r="Z20" i="37"/>
  <c r="AB19" i="37"/>
  <c r="Z19" i="37"/>
  <c r="AB18" i="37"/>
  <c r="Z18" i="37"/>
  <c r="AB17" i="37"/>
  <c r="Z17" i="37"/>
  <c r="AB16" i="37"/>
  <c r="Z16" i="37"/>
  <c r="AB15" i="37"/>
  <c r="Z15" i="37"/>
  <c r="AB14" i="37"/>
  <c r="Z14" i="37"/>
  <c r="AB13" i="37"/>
  <c r="Z13" i="37"/>
  <c r="AB12" i="37"/>
  <c r="Z12" i="37"/>
  <c r="AB11" i="37"/>
  <c r="Z11" i="37"/>
  <c r="N72" i="37"/>
  <c r="M72" i="37"/>
  <c r="N71" i="37"/>
  <c r="M71" i="37"/>
  <c r="N70" i="37"/>
  <c r="M70" i="37"/>
  <c r="N69" i="37"/>
  <c r="M69" i="37"/>
  <c r="N68" i="37"/>
  <c r="M68" i="37"/>
  <c r="N67" i="37"/>
  <c r="M67" i="37"/>
  <c r="N66" i="37"/>
  <c r="M66" i="37"/>
  <c r="N65" i="37"/>
  <c r="M65" i="37"/>
  <c r="N64" i="37"/>
  <c r="M64" i="37"/>
  <c r="N63" i="37"/>
  <c r="M63" i="37"/>
  <c r="N62" i="37"/>
  <c r="M62" i="37"/>
  <c r="N61" i="37"/>
  <c r="M61" i="37"/>
  <c r="N60" i="37"/>
  <c r="M60" i="37"/>
  <c r="N59" i="37"/>
  <c r="M59" i="37"/>
  <c r="N58" i="37"/>
  <c r="M58" i="37"/>
  <c r="N57" i="37"/>
  <c r="M57" i="37"/>
  <c r="N56" i="37"/>
  <c r="M56" i="37"/>
  <c r="N55" i="37"/>
  <c r="M55" i="37"/>
  <c r="N54" i="37"/>
  <c r="M54" i="37"/>
  <c r="N53" i="37"/>
  <c r="M53" i="37"/>
  <c r="N52" i="37"/>
  <c r="M52" i="37"/>
  <c r="N51" i="37"/>
  <c r="M51" i="37"/>
  <c r="N50" i="37"/>
  <c r="M50" i="37"/>
  <c r="N49" i="37"/>
  <c r="M49" i="37"/>
  <c r="N48" i="37"/>
  <c r="M48" i="37"/>
  <c r="N47" i="37"/>
  <c r="M47" i="37"/>
  <c r="N46" i="37"/>
  <c r="M46" i="37"/>
  <c r="N45" i="37"/>
  <c r="M45" i="37"/>
  <c r="N44" i="37"/>
  <c r="M44" i="37"/>
  <c r="N43" i="37"/>
  <c r="M43" i="37"/>
  <c r="N42" i="37"/>
  <c r="M42" i="37"/>
  <c r="N41" i="37"/>
  <c r="M41" i="37"/>
  <c r="N40" i="37"/>
  <c r="M40" i="37"/>
  <c r="N39" i="37"/>
  <c r="M39" i="37"/>
  <c r="N38" i="37"/>
  <c r="M38" i="37"/>
  <c r="N37" i="37"/>
  <c r="M37" i="37"/>
  <c r="Z10" i="37"/>
  <c r="AB10" i="37"/>
  <c r="N36" i="37"/>
  <c r="M36" i="37"/>
  <c r="N35" i="37"/>
  <c r="M35" i="37"/>
  <c r="N34" i="37"/>
  <c r="M34" i="37"/>
  <c r="N33" i="37"/>
  <c r="M33" i="37"/>
  <c r="N32" i="37"/>
  <c r="M32" i="37"/>
  <c r="N31" i="37"/>
  <c r="M31" i="37"/>
  <c r="N30" i="37"/>
  <c r="M30" i="37"/>
  <c r="N29" i="37"/>
  <c r="M29" i="37"/>
  <c r="N28" i="37"/>
  <c r="M28" i="37"/>
  <c r="N27" i="37"/>
  <c r="M27" i="37"/>
  <c r="N26" i="37"/>
  <c r="M26" i="37"/>
  <c r="N25" i="37"/>
  <c r="M25" i="37"/>
  <c r="N24" i="37"/>
  <c r="M24" i="37"/>
  <c r="N23" i="37"/>
  <c r="M23" i="37"/>
  <c r="N22" i="37"/>
  <c r="M22" i="37"/>
  <c r="N21" i="37"/>
  <c r="M21" i="37"/>
  <c r="N20" i="37"/>
  <c r="M20" i="37"/>
  <c r="N19" i="37"/>
  <c r="M19" i="37"/>
  <c r="N18" i="37"/>
  <c r="M18" i="37"/>
  <c r="N17" i="37"/>
  <c r="M17" i="37"/>
  <c r="N16" i="37"/>
  <c r="M16" i="37"/>
  <c r="N15" i="37"/>
  <c r="M15" i="37"/>
  <c r="N14" i="37"/>
  <c r="M14" i="37"/>
  <c r="N13" i="37"/>
  <c r="M13" i="37"/>
  <c r="N12" i="37"/>
  <c r="M12" i="37"/>
  <c r="N11" i="37"/>
  <c r="M11" i="37"/>
  <c r="M10" i="37"/>
  <c r="Y116" i="39"/>
  <c r="W116" i="39"/>
  <c r="U116" i="39"/>
  <c r="Y115" i="39"/>
  <c r="W115" i="39"/>
  <c r="U115" i="39"/>
  <c r="Y114" i="39"/>
  <c r="W114" i="39"/>
  <c r="U114" i="39"/>
  <c r="Y113" i="39"/>
  <c r="W113" i="39"/>
  <c r="U113" i="39"/>
  <c r="Y111" i="39"/>
  <c r="W111" i="39"/>
  <c r="U111" i="39"/>
  <c r="Y110" i="39"/>
  <c r="W110" i="39"/>
  <c r="U110" i="39"/>
  <c r="Y109" i="39"/>
  <c r="W109" i="39"/>
  <c r="U109" i="39"/>
  <c r="Y108" i="39"/>
  <c r="W108" i="39"/>
  <c r="U108" i="39"/>
  <c r="Y106" i="39"/>
  <c r="W106" i="39"/>
  <c r="U106" i="39"/>
  <c r="Y105" i="39"/>
  <c r="W105" i="39"/>
  <c r="U105" i="39"/>
  <c r="AP105" i="39"/>
  <c r="Y104" i="39"/>
  <c r="W104" i="39"/>
  <c r="U104" i="39"/>
  <c r="Y103" i="39"/>
  <c r="W103" i="39"/>
  <c r="U103" i="39"/>
  <c r="Y101" i="39"/>
  <c r="W101" i="39"/>
  <c r="U101" i="39"/>
  <c r="Y100" i="39"/>
  <c r="W100" i="39"/>
  <c r="U100" i="39"/>
  <c r="AP100" i="39"/>
  <c r="Y99" i="39"/>
  <c r="W99" i="39"/>
  <c r="U99" i="39"/>
  <c r="Y98" i="39"/>
  <c r="W98" i="39"/>
  <c r="U98" i="39"/>
  <c r="Y96" i="39"/>
  <c r="W96" i="39"/>
  <c r="U96" i="39"/>
  <c r="Y95" i="39"/>
  <c r="W95" i="39"/>
  <c r="U95" i="39"/>
  <c r="Y94" i="39"/>
  <c r="W94" i="39"/>
  <c r="U94" i="39"/>
  <c r="AP94" i="39"/>
  <c r="Y93" i="39"/>
  <c r="W93" i="39"/>
  <c r="U93" i="39"/>
  <c r="Y91" i="39"/>
  <c r="W91" i="39"/>
  <c r="U91" i="39"/>
  <c r="Y90" i="39"/>
  <c r="W90" i="39"/>
  <c r="U90" i="39"/>
  <c r="Y89" i="39"/>
  <c r="W89" i="39"/>
  <c r="U89" i="39"/>
  <c r="AP89" i="39"/>
  <c r="Y88" i="39"/>
  <c r="W88" i="39"/>
  <c r="U88" i="39"/>
  <c r="AP88" i="39"/>
  <c r="Y86" i="39"/>
  <c r="W86" i="39"/>
  <c r="U86" i="39"/>
  <c r="Y85" i="39"/>
  <c r="W85" i="39"/>
  <c r="U85" i="39"/>
  <c r="Y84" i="39"/>
  <c r="W84" i="39"/>
  <c r="U84" i="39"/>
  <c r="Y83" i="39"/>
  <c r="W83" i="39"/>
  <c r="U83" i="39"/>
  <c r="Y81" i="39"/>
  <c r="W81" i="39"/>
  <c r="U81" i="39"/>
  <c r="AP81" i="39"/>
  <c r="Y80" i="39"/>
  <c r="W80" i="39"/>
  <c r="U80" i="39"/>
  <c r="Y79" i="39"/>
  <c r="W79" i="39"/>
  <c r="U79" i="39"/>
  <c r="Y78" i="39"/>
  <c r="W78" i="39"/>
  <c r="U78" i="39"/>
  <c r="Y76" i="39"/>
  <c r="W76" i="39"/>
  <c r="U76" i="39"/>
  <c r="M76" i="39"/>
  <c r="Y75" i="39"/>
  <c r="W75" i="39"/>
  <c r="U75" i="39"/>
  <c r="M75" i="39"/>
  <c r="Y74" i="39"/>
  <c r="W74" i="39"/>
  <c r="U74" i="39"/>
  <c r="N74" i="39"/>
  <c r="M74" i="39"/>
  <c r="Y73" i="39"/>
  <c r="W73" i="39"/>
  <c r="U73" i="39"/>
  <c r="N73" i="39"/>
  <c r="M73" i="39"/>
  <c r="Y72" i="39"/>
  <c r="W72" i="39"/>
  <c r="U72" i="39"/>
  <c r="M72" i="39"/>
  <c r="Y71" i="39"/>
  <c r="W71" i="39"/>
  <c r="U71" i="39"/>
  <c r="M71" i="39"/>
  <c r="Y70" i="39"/>
  <c r="W70" i="39"/>
  <c r="U70" i="39"/>
  <c r="M70" i="39"/>
  <c r="Y69" i="39"/>
  <c r="W69" i="39"/>
  <c r="U69" i="39"/>
  <c r="M69" i="39"/>
  <c r="Y68" i="39"/>
  <c r="W68" i="39"/>
  <c r="U68" i="39"/>
  <c r="M68" i="39"/>
  <c r="Y67" i="39"/>
  <c r="W67" i="39"/>
  <c r="U67" i="39"/>
  <c r="M67" i="39"/>
  <c r="Y66" i="39"/>
  <c r="W66" i="39"/>
  <c r="U66" i="39"/>
  <c r="M66" i="39"/>
  <c r="Y65" i="39"/>
  <c r="W65" i="39"/>
  <c r="U65" i="39"/>
  <c r="M65" i="39"/>
  <c r="Y64" i="39"/>
  <c r="W64" i="39"/>
  <c r="U64" i="39"/>
  <c r="M64" i="39"/>
  <c r="Y63" i="39"/>
  <c r="W63" i="39"/>
  <c r="U63" i="39"/>
  <c r="M63" i="39"/>
  <c r="Y62" i="39"/>
  <c r="W62" i="39"/>
  <c r="U62" i="39"/>
  <c r="M62" i="39"/>
  <c r="Y61" i="39"/>
  <c r="W61" i="39"/>
  <c r="U61" i="39"/>
  <c r="M61" i="39"/>
  <c r="AP61" i="39" s="1"/>
  <c r="Y60" i="39"/>
  <c r="W60" i="39"/>
  <c r="U60" i="39"/>
  <c r="M60" i="39"/>
  <c r="Y59" i="39"/>
  <c r="W59" i="39"/>
  <c r="U59" i="39"/>
  <c r="M59" i="39"/>
  <c r="Y58" i="39"/>
  <c r="W58" i="39"/>
  <c r="U58" i="39"/>
  <c r="M58" i="39"/>
  <c r="AP58" i="39" s="1"/>
  <c r="Y57" i="39"/>
  <c r="W57" i="39"/>
  <c r="U57" i="39"/>
  <c r="M57" i="39"/>
  <c r="Y56" i="39"/>
  <c r="W56" i="39"/>
  <c r="U56" i="39"/>
  <c r="M56" i="39"/>
  <c r="Y55" i="39"/>
  <c r="W55" i="39"/>
  <c r="U55" i="39"/>
  <c r="M55" i="39"/>
  <c r="Y54" i="39"/>
  <c r="W54" i="39"/>
  <c r="U54" i="39"/>
  <c r="M54" i="39"/>
  <c r="Y53" i="39"/>
  <c r="W53" i="39"/>
  <c r="U53" i="39"/>
  <c r="M53" i="39"/>
  <c r="Y52" i="39"/>
  <c r="W52" i="39"/>
  <c r="U52" i="39"/>
  <c r="M52" i="39"/>
  <c r="Y51" i="39"/>
  <c r="W51" i="39"/>
  <c r="U51" i="39"/>
  <c r="M51" i="39"/>
  <c r="Y50" i="39"/>
  <c r="W50" i="39"/>
  <c r="U50" i="39"/>
  <c r="M50" i="39"/>
  <c r="Y49" i="39"/>
  <c r="W49" i="39"/>
  <c r="U49" i="39"/>
  <c r="M49" i="39"/>
  <c r="AP49" i="39" s="1"/>
  <c r="Y48" i="39"/>
  <c r="W48" i="39"/>
  <c r="U48" i="39"/>
  <c r="M48" i="39"/>
  <c r="Y47" i="39"/>
  <c r="W47" i="39"/>
  <c r="U47" i="39"/>
  <c r="M47" i="39"/>
  <c r="Y46" i="39"/>
  <c r="W46" i="39"/>
  <c r="U46" i="39"/>
  <c r="M46" i="39"/>
  <c r="Y45" i="39"/>
  <c r="W45" i="39"/>
  <c r="U45" i="39"/>
  <c r="M45" i="39"/>
  <c r="AP45" i="39" s="1"/>
  <c r="Y44" i="39"/>
  <c r="W44" i="39"/>
  <c r="U44" i="39"/>
  <c r="M44" i="39"/>
  <c r="AP44" i="39" s="1"/>
  <c r="Y43" i="39"/>
  <c r="W43" i="39"/>
  <c r="U43" i="39"/>
  <c r="M43" i="39"/>
  <c r="Y42" i="39"/>
  <c r="W42" i="39"/>
  <c r="U42" i="39"/>
  <c r="M42" i="39"/>
  <c r="AP42" i="39" s="1"/>
  <c r="Y41" i="39"/>
  <c r="W41" i="39"/>
  <c r="U41" i="39"/>
  <c r="M41" i="39"/>
  <c r="Y40" i="39"/>
  <c r="W40" i="39"/>
  <c r="U40" i="39"/>
  <c r="M40" i="39"/>
  <c r="Y39" i="39"/>
  <c r="W39" i="39"/>
  <c r="U39" i="39"/>
  <c r="M39" i="39"/>
  <c r="Y38" i="39"/>
  <c r="W38" i="39"/>
  <c r="U38" i="39"/>
  <c r="N38" i="39"/>
  <c r="M38" i="39"/>
  <c r="AP38" i="39" s="1"/>
  <c r="Y37" i="39"/>
  <c r="W37" i="39"/>
  <c r="U37" i="39"/>
  <c r="N37" i="39"/>
  <c r="M37" i="39"/>
  <c r="W36" i="39"/>
  <c r="U36" i="39"/>
  <c r="M36" i="39"/>
  <c r="X36" i="39" s="1"/>
  <c r="Y36" i="39" s="1"/>
  <c r="Y35" i="39"/>
  <c r="W35" i="39"/>
  <c r="U35" i="39"/>
  <c r="M35" i="39"/>
  <c r="Y34" i="39"/>
  <c r="W34" i="39"/>
  <c r="U34" i="39"/>
  <c r="M34" i="39"/>
  <c r="W33" i="39"/>
  <c r="U33" i="39"/>
  <c r="M33" i="39"/>
  <c r="X33" i="39" s="1"/>
  <c r="Y33" i="39" s="1"/>
  <c r="Y32" i="39"/>
  <c r="W32" i="39"/>
  <c r="U32" i="39"/>
  <c r="M32" i="39"/>
  <c r="Y31" i="39"/>
  <c r="W31" i="39"/>
  <c r="U31" i="39"/>
  <c r="M31" i="39"/>
  <c r="W30" i="39"/>
  <c r="U30" i="39"/>
  <c r="M30" i="39"/>
  <c r="X30" i="39" s="1"/>
  <c r="Y30" i="39" s="1"/>
  <c r="Y29" i="39"/>
  <c r="W29" i="39"/>
  <c r="U29" i="39"/>
  <c r="M29" i="39"/>
  <c r="Y28" i="39"/>
  <c r="W28" i="39"/>
  <c r="U28" i="39"/>
  <c r="M28" i="39"/>
  <c r="AP28" i="39" s="1"/>
  <c r="W27" i="39"/>
  <c r="U27" i="39"/>
  <c r="M27" i="39"/>
  <c r="X27" i="39" s="1"/>
  <c r="Y27" i="39" s="1"/>
  <c r="Y26" i="39"/>
  <c r="W26" i="39"/>
  <c r="U26" i="39"/>
  <c r="M26" i="39"/>
  <c r="Y25" i="39"/>
  <c r="W25" i="39"/>
  <c r="U25" i="39"/>
  <c r="M25" i="39"/>
  <c r="W24" i="39"/>
  <c r="U24" i="39"/>
  <c r="M24" i="39"/>
  <c r="X24" i="39" s="1"/>
  <c r="Y24" i="39" s="1"/>
  <c r="Y23" i="39"/>
  <c r="W23" i="39"/>
  <c r="U23" i="39"/>
  <c r="M23" i="39"/>
  <c r="Y22" i="39"/>
  <c r="W22" i="39"/>
  <c r="U22" i="39"/>
  <c r="M22" i="39"/>
  <c r="W21" i="39"/>
  <c r="U21" i="39"/>
  <c r="M21" i="39"/>
  <c r="X21" i="39" s="1"/>
  <c r="Y21" i="39" s="1"/>
  <c r="Y20" i="39"/>
  <c r="W20" i="39"/>
  <c r="U20" i="39"/>
  <c r="M20" i="39"/>
  <c r="Y19" i="39"/>
  <c r="W19" i="39"/>
  <c r="U19" i="39"/>
  <c r="M19" i="39"/>
  <c r="Y18" i="39"/>
  <c r="W18" i="39"/>
  <c r="U18" i="39"/>
  <c r="M18" i="39"/>
  <c r="Y17" i="39"/>
  <c r="W17" i="39"/>
  <c r="U17" i="39"/>
  <c r="M17" i="39"/>
  <c r="Y16" i="39"/>
  <c r="W16" i="39"/>
  <c r="U16" i="39"/>
  <c r="M16" i="39"/>
  <c r="Y15" i="39"/>
  <c r="W15" i="39"/>
  <c r="U15" i="39"/>
  <c r="M15" i="39"/>
  <c r="Y14" i="39"/>
  <c r="W14" i="39"/>
  <c r="U14" i="39"/>
  <c r="M14" i="39"/>
  <c r="Y13" i="39"/>
  <c r="W13" i="39"/>
  <c r="U13" i="39"/>
  <c r="M13" i="39"/>
  <c r="Y12" i="39"/>
  <c r="W12" i="39"/>
  <c r="U12" i="39"/>
  <c r="M12" i="39"/>
  <c r="Y11" i="39"/>
  <c r="W11" i="39"/>
  <c r="U11" i="39"/>
  <c r="N11" i="39"/>
  <c r="M11" i="39"/>
  <c r="Y10" i="39"/>
  <c r="W10" i="39"/>
  <c r="U10" i="39"/>
  <c r="N10" i="39"/>
  <c r="M10" i="39"/>
  <c r="Y117" i="37"/>
  <c r="W117" i="37"/>
  <c r="U117" i="37"/>
  <c r="N117" i="37"/>
  <c r="M117" i="37"/>
  <c r="N114" i="37"/>
  <c r="M114" i="37"/>
  <c r="Y113" i="37"/>
  <c r="U113" i="37"/>
  <c r="N113" i="37"/>
  <c r="M113" i="37"/>
  <c r="Y112" i="37"/>
  <c r="W112" i="37"/>
  <c r="U112" i="37"/>
  <c r="N112" i="37"/>
  <c r="M112" i="37"/>
  <c r="AR112" i="37" s="1"/>
  <c r="Y110" i="37"/>
  <c r="W110" i="37"/>
  <c r="U110" i="37"/>
  <c r="N110" i="37"/>
  <c r="M110" i="37"/>
  <c r="U109" i="37"/>
  <c r="N109" i="37"/>
  <c r="M109" i="37"/>
  <c r="U108" i="37"/>
  <c r="N108" i="37"/>
  <c r="M108" i="37"/>
  <c r="AR108" i="37" s="1"/>
  <c r="Y107" i="37"/>
  <c r="W107" i="37"/>
  <c r="U107" i="37"/>
  <c r="N107" i="37"/>
  <c r="M107" i="37"/>
  <c r="N105" i="37"/>
  <c r="M105" i="37"/>
  <c r="N104" i="37"/>
  <c r="M104" i="37"/>
  <c r="W103" i="37"/>
  <c r="N103" i="37"/>
  <c r="M103" i="37"/>
  <c r="Y102" i="37"/>
  <c r="W102" i="37"/>
  <c r="U102" i="37"/>
  <c r="N102" i="37"/>
  <c r="M102" i="37"/>
  <c r="N100" i="37"/>
  <c r="M100" i="37"/>
  <c r="N99" i="37"/>
  <c r="M99" i="37"/>
  <c r="W98" i="37"/>
  <c r="N98" i="37"/>
  <c r="M98" i="37"/>
  <c r="Y97" i="37"/>
  <c r="W97" i="37"/>
  <c r="U97" i="37"/>
  <c r="N97" i="37"/>
  <c r="M97" i="37"/>
  <c r="AR97" i="37" s="1"/>
  <c r="Y95" i="37"/>
  <c r="N95" i="37"/>
  <c r="M95" i="37"/>
  <c r="Y94" i="37"/>
  <c r="U94" i="37"/>
  <c r="N94" i="37"/>
  <c r="M94" i="37"/>
  <c r="N93" i="37"/>
  <c r="M93" i="37"/>
  <c r="W92" i="37"/>
  <c r="U92" i="37"/>
  <c r="N92" i="37"/>
  <c r="M92" i="37"/>
  <c r="AR92" i="37" s="1"/>
  <c r="Y90" i="37"/>
  <c r="N90" i="37"/>
  <c r="M90" i="37"/>
  <c r="Y89" i="37"/>
  <c r="U89" i="37"/>
  <c r="N89" i="37"/>
  <c r="M89" i="37"/>
  <c r="N88" i="37"/>
  <c r="M88" i="37"/>
  <c r="Y87" i="37"/>
  <c r="W87" i="37"/>
  <c r="U87" i="37"/>
  <c r="N87" i="37"/>
  <c r="M87" i="37"/>
  <c r="Y85" i="37"/>
  <c r="W85" i="37"/>
  <c r="U85" i="37"/>
  <c r="N85" i="37"/>
  <c r="M85" i="37"/>
  <c r="Y84" i="37"/>
  <c r="W84" i="37"/>
  <c r="U84" i="37"/>
  <c r="N84" i="37"/>
  <c r="M84" i="37"/>
  <c r="AR84" i="37" s="1"/>
  <c r="Y83" i="37"/>
  <c r="W83" i="37"/>
  <c r="U83" i="37"/>
  <c r="N83" i="37"/>
  <c r="M83" i="37"/>
  <c r="Y82" i="37"/>
  <c r="W82" i="37"/>
  <c r="U82" i="37"/>
  <c r="N82" i="37"/>
  <c r="M82" i="37"/>
  <c r="AR82" i="37" s="1"/>
  <c r="Y80" i="37"/>
  <c r="W80" i="37"/>
  <c r="U80" i="37"/>
  <c r="N80" i="37"/>
  <c r="M80" i="37"/>
  <c r="Y79" i="37"/>
  <c r="W79" i="37"/>
  <c r="U79" i="37"/>
  <c r="N79" i="37"/>
  <c r="M79" i="37"/>
  <c r="Y78" i="37"/>
  <c r="W78" i="37"/>
  <c r="U78" i="37"/>
  <c r="N78" i="37"/>
  <c r="M78" i="37"/>
  <c r="Y77" i="37"/>
  <c r="W77" i="37"/>
  <c r="U77" i="37"/>
  <c r="N77" i="37"/>
  <c r="M77" i="37"/>
  <c r="Y75" i="37"/>
  <c r="W75" i="37"/>
  <c r="U75" i="37"/>
  <c r="N75" i="37"/>
  <c r="M75" i="37"/>
  <c r="Y74" i="37"/>
  <c r="W74" i="37"/>
  <c r="U74" i="37"/>
  <c r="N74" i="37"/>
  <c r="M74" i="37"/>
  <c r="Y73" i="37"/>
  <c r="W73" i="37"/>
  <c r="U73" i="37"/>
  <c r="N73" i="37"/>
  <c r="M73" i="37"/>
  <c r="AK101" i="39" l="1"/>
  <c r="AQ56" i="39"/>
  <c r="AQ79" i="39"/>
  <c r="AQ94" i="39"/>
  <c r="AR94" i="39" s="1"/>
  <c r="AQ109" i="39"/>
  <c r="AK84" i="39"/>
  <c r="AQ99" i="39"/>
  <c r="AP11" i="39"/>
  <c r="AP13" i="39"/>
  <c r="AP25" i="39"/>
  <c r="AM96" i="37"/>
  <c r="AM116" i="37"/>
  <c r="AS113" i="37"/>
  <c r="AM106" i="37"/>
  <c r="AM111" i="37"/>
  <c r="AR114" i="37"/>
  <c r="AL116" i="37"/>
  <c r="AS116" i="37"/>
  <c r="AT116" i="37" s="1"/>
  <c r="AL115" i="37"/>
  <c r="AS115" i="37"/>
  <c r="AT115" i="37" s="1"/>
  <c r="AM115" i="37"/>
  <c r="AL111" i="37"/>
  <c r="AS111" i="37"/>
  <c r="AT111" i="37" s="1"/>
  <c r="AL106" i="37"/>
  <c r="AS106" i="37"/>
  <c r="AT106" i="37" s="1"/>
  <c r="AL101" i="37"/>
  <c r="AS101" i="37"/>
  <c r="AT101" i="37" s="1"/>
  <c r="AL96" i="37"/>
  <c r="AS96" i="37"/>
  <c r="AT96" i="37" s="1"/>
  <c r="AM81" i="37"/>
  <c r="AL91" i="37"/>
  <c r="AS91" i="37"/>
  <c r="AT91" i="37" s="1"/>
  <c r="AL86" i="37"/>
  <c r="AS86" i="37"/>
  <c r="AT86" i="37" s="1"/>
  <c r="AL81" i="37"/>
  <c r="AS81" i="37"/>
  <c r="AT81" i="37" s="1"/>
  <c r="AL76" i="37"/>
  <c r="AS76" i="37"/>
  <c r="AT76" i="37" s="1"/>
  <c r="AA110" i="39"/>
  <c r="AC76" i="39"/>
  <c r="AC63" i="39"/>
  <c r="AC61" i="39"/>
  <c r="AC57" i="39"/>
  <c r="AC55" i="39"/>
  <c r="AC53" i="39"/>
  <c r="AA48" i="39"/>
  <c r="AA47" i="39"/>
  <c r="AA44" i="39"/>
  <c r="AC42" i="39"/>
  <c r="AA40" i="39"/>
  <c r="AC38" i="39"/>
  <c r="AA33" i="39"/>
  <c r="AA29" i="39"/>
  <c r="AA27" i="39"/>
  <c r="AA25" i="39"/>
  <c r="AC116" i="39"/>
  <c r="AC104" i="39"/>
  <c r="AC96" i="39"/>
  <c r="AA95" i="39"/>
  <c r="AC89" i="39"/>
  <c r="AC84" i="39"/>
  <c r="AC81" i="39"/>
  <c r="AA80" i="39"/>
  <c r="AA73" i="39"/>
  <c r="AC65" i="39"/>
  <c r="AA65" i="39"/>
  <c r="AA64" i="39"/>
  <c r="AC60" i="39"/>
  <c r="AC59" i="39"/>
  <c r="AC58" i="39"/>
  <c r="AC56" i="39"/>
  <c r="AC54" i="39"/>
  <c r="AC52" i="39"/>
  <c r="AC51" i="39"/>
  <c r="AC50" i="39"/>
  <c r="AC48" i="39"/>
  <c r="AC47" i="39"/>
  <c r="AC46" i="39"/>
  <c r="AC45" i="39"/>
  <c r="AA35" i="39"/>
  <c r="AA31" i="39"/>
  <c r="AA23" i="39"/>
  <c r="AC114" i="39"/>
  <c r="AC111" i="39"/>
  <c r="AC109" i="39"/>
  <c r="AC106" i="39"/>
  <c r="AA103" i="39"/>
  <c r="AC101" i="39"/>
  <c r="AC99" i="39"/>
  <c r="AC94" i="39"/>
  <c r="AC91" i="39"/>
  <c r="AA88" i="39"/>
  <c r="AC86" i="39"/>
  <c r="AC79" i="39"/>
  <c r="AC74" i="39"/>
  <c r="AC64" i="39"/>
  <c r="AC62" i="39"/>
  <c r="AA60" i="39"/>
  <c r="AA56" i="39"/>
  <c r="AA52" i="39"/>
  <c r="AC44" i="39"/>
  <c r="AC43" i="39"/>
  <c r="AC41" i="39"/>
  <c r="AC40" i="39"/>
  <c r="AC39" i="39"/>
  <c r="AQ30" i="39"/>
  <c r="AQ29" i="39"/>
  <c r="AK28" i="39"/>
  <c r="AQ28" i="39"/>
  <c r="AR28" i="39" s="1"/>
  <c r="AQ27" i="39"/>
  <c r="AQ26" i="39"/>
  <c r="AQ25" i="39"/>
  <c r="AS94" i="37"/>
  <c r="AR80" i="37"/>
  <c r="AR87" i="37"/>
  <c r="AR105" i="37"/>
  <c r="AR104" i="37"/>
  <c r="W94" i="37"/>
  <c r="AR95" i="37"/>
  <c r="Y105" i="37"/>
  <c r="AS117" i="37"/>
  <c r="AC14" i="37"/>
  <c r="X26" i="37"/>
  <c r="AC113" i="37"/>
  <c r="AC87" i="37"/>
  <c r="AC75" i="37"/>
  <c r="AC54" i="37"/>
  <c r="AC51" i="37"/>
  <c r="AC46" i="37"/>
  <c r="AC44" i="37"/>
  <c r="AC41" i="37"/>
  <c r="AC39" i="37"/>
  <c r="AA36" i="37"/>
  <c r="AA28" i="37"/>
  <c r="AA25" i="37"/>
  <c r="AC22" i="37"/>
  <c r="AC19" i="37"/>
  <c r="AA17" i="37"/>
  <c r="AC117" i="37"/>
  <c r="AC102" i="37"/>
  <c r="AC98" i="37"/>
  <c r="AA58" i="37"/>
  <c r="AC52" i="37"/>
  <c r="AC49" i="37"/>
  <c r="AC37" i="37"/>
  <c r="AC30" i="37"/>
  <c r="AC28" i="37"/>
  <c r="AA24" i="37"/>
  <c r="AA20" i="37"/>
  <c r="AC17" i="37"/>
  <c r="AA15" i="37"/>
  <c r="AC12" i="37"/>
  <c r="AA10" i="37"/>
  <c r="AA103" i="37"/>
  <c r="AC94" i="37"/>
  <c r="AC47" i="37"/>
  <c r="AA44" i="37"/>
  <c r="AC23" i="37"/>
  <c r="AC20" i="37"/>
  <c r="AC16" i="37"/>
  <c r="AC109" i="37"/>
  <c r="AA94" i="37"/>
  <c r="AA80" i="37"/>
  <c r="AA55" i="37"/>
  <c r="AC50" i="37"/>
  <c r="AA43" i="37"/>
  <c r="AC38" i="37"/>
  <c r="AC25" i="37"/>
  <c r="AA23" i="37"/>
  <c r="AA21" i="37"/>
  <c r="AC18" i="37"/>
  <c r="AA16" i="37"/>
  <c r="AC13" i="37"/>
  <c r="AC11" i="37"/>
  <c r="AC105" i="37"/>
  <c r="AC90" i="37"/>
  <c r="AC83" i="37"/>
  <c r="AC79" i="37"/>
  <c r="AA70" i="37"/>
  <c r="AC53" i="37"/>
  <c r="AC48" i="37"/>
  <c r="AC45" i="37"/>
  <c r="AC42" i="37"/>
  <c r="AC33" i="37"/>
  <c r="AC27" i="37"/>
  <c r="AC24" i="37"/>
  <c r="AC21" i="37"/>
  <c r="AC15" i="37"/>
  <c r="AA11" i="37"/>
  <c r="AA107" i="37"/>
  <c r="AC115" i="39"/>
  <c r="AA114" i="39"/>
  <c r="AC113" i="39"/>
  <c r="AC110" i="39"/>
  <c r="AA109" i="39"/>
  <c r="AC108" i="39"/>
  <c r="AC105" i="39"/>
  <c r="AA104" i="39"/>
  <c r="AC103" i="39"/>
  <c r="AC100" i="39"/>
  <c r="AA99" i="39"/>
  <c r="AC98" i="39"/>
  <c r="AC95" i="39"/>
  <c r="AA94" i="39"/>
  <c r="AC93" i="39"/>
  <c r="AC90" i="39"/>
  <c r="AA89" i="39"/>
  <c r="AC88" i="39"/>
  <c r="AC85" i="39"/>
  <c r="AA84" i="39"/>
  <c r="AC83" i="39"/>
  <c r="AC80" i="39"/>
  <c r="AA79" i="39"/>
  <c r="AC78" i="39"/>
  <c r="AC75" i="39"/>
  <c r="AA74" i="39"/>
  <c r="AC73" i="39"/>
  <c r="AC72" i="39"/>
  <c r="AA72" i="39"/>
  <c r="AC71" i="39"/>
  <c r="AC70" i="39"/>
  <c r="AC69" i="39"/>
  <c r="AC68" i="39"/>
  <c r="AA68" i="39"/>
  <c r="AC66" i="39"/>
  <c r="AC36" i="37"/>
  <c r="AA35" i="37"/>
  <c r="AA34" i="37"/>
  <c r="AC36" i="39"/>
  <c r="AA36" i="39"/>
  <c r="AC35" i="39"/>
  <c r="AC34" i="39"/>
  <c r="AA34" i="39"/>
  <c r="AC33" i="39"/>
  <c r="AC32" i="39"/>
  <c r="AA32" i="39"/>
  <c r="AC31" i="39"/>
  <c r="AC30" i="39"/>
  <c r="AA30" i="39"/>
  <c r="AC29" i="39"/>
  <c r="AC28" i="39"/>
  <c r="AA28" i="39"/>
  <c r="AC27" i="39"/>
  <c r="AC26" i="39"/>
  <c r="AA26" i="39"/>
  <c r="AC25" i="39"/>
  <c r="AC24" i="39"/>
  <c r="AA24" i="39"/>
  <c r="AC23" i="39"/>
  <c r="AC22" i="39"/>
  <c r="AA22" i="39"/>
  <c r="AC21" i="39"/>
  <c r="AC20" i="39"/>
  <c r="AA20" i="39"/>
  <c r="AC19" i="39"/>
  <c r="AC18" i="39"/>
  <c r="AA18" i="39"/>
  <c r="AC17" i="39"/>
  <c r="AC16" i="39"/>
  <c r="AA16" i="39"/>
  <c r="AC15" i="39"/>
  <c r="AC14" i="39"/>
  <c r="AA14" i="39"/>
  <c r="AC13" i="39"/>
  <c r="AC12" i="39"/>
  <c r="AA12" i="39"/>
  <c r="AC11" i="39"/>
  <c r="AA117" i="37"/>
  <c r="AS114" i="37"/>
  <c r="AT114" i="37" s="1"/>
  <c r="AC112" i="37"/>
  <c r="AC110" i="37"/>
  <c r="AC108" i="37"/>
  <c r="AA108" i="37"/>
  <c r="AC107" i="37"/>
  <c r="AC104" i="37"/>
  <c r="AC103" i="37"/>
  <c r="AC100" i="37"/>
  <c r="AC97" i="37"/>
  <c r="AC89" i="37"/>
  <c r="AA89" i="37"/>
  <c r="AC88" i="37"/>
  <c r="AC85" i="37"/>
  <c r="AC84" i="37"/>
  <c r="AC82" i="37"/>
  <c r="AC78" i="37"/>
  <c r="AC69" i="37"/>
  <c r="AC68" i="37"/>
  <c r="AC63" i="37"/>
  <c r="AC61" i="37"/>
  <c r="AA56" i="37"/>
  <c r="AC35" i="37"/>
  <c r="AC32" i="37"/>
  <c r="AA31" i="37"/>
  <c r="AC93" i="37"/>
  <c r="AA93" i="37"/>
  <c r="AC92" i="37"/>
  <c r="AC74" i="37"/>
  <c r="AC72" i="37"/>
  <c r="AC71" i="37"/>
  <c r="AC67" i="37"/>
  <c r="AC66" i="37"/>
  <c r="AC65" i="37"/>
  <c r="AA65" i="37"/>
  <c r="AC64" i="37"/>
  <c r="AC62" i="37"/>
  <c r="AC60" i="37"/>
  <c r="AC59" i="37"/>
  <c r="AC57" i="37"/>
  <c r="AC56" i="37"/>
  <c r="AC34" i="37"/>
  <c r="AC31" i="37"/>
  <c r="AC29" i="37"/>
  <c r="AC26" i="37"/>
  <c r="AF10" i="37"/>
  <c r="AP24" i="39"/>
  <c r="AK21" i="39"/>
  <c r="AA21" i="39"/>
  <c r="AK20" i="39"/>
  <c r="AA19" i="39"/>
  <c r="AQ18" i="39"/>
  <c r="AK18" i="39"/>
  <c r="AA17" i="39"/>
  <c r="AA15" i="39"/>
  <c r="AQ13" i="39"/>
  <c r="AA13" i="39"/>
  <c r="AK11" i="39"/>
  <c r="AQ11" i="39"/>
  <c r="AA11" i="39"/>
  <c r="AA114" i="37"/>
  <c r="AA113" i="37"/>
  <c r="AA110" i="37"/>
  <c r="AA109" i="37"/>
  <c r="AM105" i="37"/>
  <c r="AA105" i="37"/>
  <c r="AA102" i="37"/>
  <c r="AM102" i="37"/>
  <c r="AA99" i="37"/>
  <c r="AA98" i="37"/>
  <c r="AA95" i="37"/>
  <c r="AA92" i="37"/>
  <c r="AA90" i="37"/>
  <c r="AS89" i="37"/>
  <c r="AA88" i="37"/>
  <c r="AA87" i="37"/>
  <c r="AS87" i="37"/>
  <c r="AA84" i="37"/>
  <c r="AA83" i="37"/>
  <c r="AA79" i="37"/>
  <c r="AS79" i="37"/>
  <c r="AM77" i="37"/>
  <c r="AA77" i="37"/>
  <c r="AA75" i="37"/>
  <c r="AS75" i="37"/>
  <c r="AS74" i="37"/>
  <c r="AA73" i="37"/>
  <c r="AA72" i="37"/>
  <c r="AA69" i="37"/>
  <c r="AA67" i="37"/>
  <c r="AA66" i="37"/>
  <c r="AA64" i="37"/>
  <c r="AA63" i="37"/>
  <c r="AA62" i="37"/>
  <c r="AA61" i="37"/>
  <c r="AA60" i="37"/>
  <c r="AA57" i="37"/>
  <c r="AA54" i="37"/>
  <c r="AA52" i="37"/>
  <c r="AA51" i="37"/>
  <c r="AA50" i="37"/>
  <c r="AA49" i="37"/>
  <c r="AA48" i="37"/>
  <c r="AA46" i="37"/>
  <c r="AA45" i="37"/>
  <c r="AA42" i="37"/>
  <c r="AA40" i="37"/>
  <c r="AA39" i="37"/>
  <c r="AA38" i="37"/>
  <c r="AA37" i="37"/>
  <c r="AA33" i="37"/>
  <c r="AA30" i="37"/>
  <c r="AA29" i="37"/>
  <c r="AA27" i="37"/>
  <c r="AA18" i="37"/>
  <c r="AA12" i="37"/>
  <c r="AQ85" i="39"/>
  <c r="AA78" i="39"/>
  <c r="AA85" i="39"/>
  <c r="AA93" i="39"/>
  <c r="AA100" i="39"/>
  <c r="AA108" i="39"/>
  <c r="AQ115" i="39"/>
  <c r="AA115" i="39"/>
  <c r="AQ105" i="39"/>
  <c r="AR105" i="39" s="1"/>
  <c r="AA75" i="39"/>
  <c r="AA83" i="39"/>
  <c r="AA90" i="39"/>
  <c r="AA98" i="39"/>
  <c r="AA105" i="39"/>
  <c r="AA113" i="39"/>
  <c r="AQ73" i="39"/>
  <c r="AK80" i="39"/>
  <c r="AK95" i="39"/>
  <c r="AK76" i="39"/>
  <c r="AQ86" i="39"/>
  <c r="AQ91" i="39"/>
  <c r="AQ96" i="39"/>
  <c r="AA76" i="39"/>
  <c r="AA81" i="39"/>
  <c r="AA86" i="39"/>
  <c r="AA91" i="39"/>
  <c r="AA96" i="39"/>
  <c r="AA101" i="39"/>
  <c r="AA106" i="39"/>
  <c r="AA111" i="39"/>
  <c r="AA116" i="39"/>
  <c r="AA41" i="39"/>
  <c r="AC67" i="39"/>
  <c r="AA53" i="39"/>
  <c r="AA59" i="39"/>
  <c r="AA39" i="39"/>
  <c r="AA71" i="39"/>
  <c r="AQ51" i="39"/>
  <c r="AA45" i="39"/>
  <c r="AA51" i="39"/>
  <c r="AA57" i="39"/>
  <c r="AA63" i="39"/>
  <c r="AA69" i="39"/>
  <c r="AC49" i="39"/>
  <c r="AQ47" i="39"/>
  <c r="AA43" i="39"/>
  <c r="AQ55" i="39"/>
  <c r="AA49" i="39"/>
  <c r="AA55" i="39"/>
  <c r="AA61" i="39"/>
  <c r="AA67" i="39"/>
  <c r="AK42" i="39"/>
  <c r="AQ58" i="39"/>
  <c r="AR58" i="39" s="1"/>
  <c r="AA38" i="39"/>
  <c r="AA42" i="39"/>
  <c r="AA46" i="39"/>
  <c r="AA50" i="39"/>
  <c r="AA54" i="39"/>
  <c r="AA58" i="39"/>
  <c r="AA62" i="39"/>
  <c r="AA66" i="39"/>
  <c r="AK58" i="39"/>
  <c r="AA70" i="39"/>
  <c r="AC10" i="39"/>
  <c r="AP26" i="39"/>
  <c r="AC37" i="39"/>
  <c r="AP93" i="39"/>
  <c r="AP99" i="39"/>
  <c r="AP46" i="39"/>
  <c r="AP15" i="39"/>
  <c r="AP33" i="39"/>
  <c r="AP37" i="39"/>
  <c r="AP50" i="39"/>
  <c r="AP54" i="39"/>
  <c r="AP68" i="39"/>
  <c r="AP96" i="39"/>
  <c r="AP103" i="39"/>
  <c r="AP40" i="39"/>
  <c r="AP53" i="39"/>
  <c r="AP63" i="39"/>
  <c r="AP48" i="39"/>
  <c r="AP21" i="39"/>
  <c r="AP10" i="39"/>
  <c r="AA10" i="39"/>
  <c r="AP85" i="39"/>
  <c r="AP91" i="39"/>
  <c r="AP41" i="39"/>
  <c r="AP36" i="39"/>
  <c r="AP62" i="39"/>
  <c r="AP115" i="39"/>
  <c r="AP23" i="39"/>
  <c r="AP27" i="39"/>
  <c r="AP86" i="39"/>
  <c r="AP95" i="39"/>
  <c r="AP64" i="39"/>
  <c r="AP75" i="39"/>
  <c r="AP78" i="39"/>
  <c r="AJ101" i="39"/>
  <c r="AP104" i="39"/>
  <c r="AP113" i="39"/>
  <c r="AP22" i="39"/>
  <c r="AP84" i="39"/>
  <c r="AP57" i="39"/>
  <c r="AP60" i="39"/>
  <c r="AP19" i="39"/>
  <c r="AP65" i="39"/>
  <c r="AP109" i="39"/>
  <c r="AC77" i="37"/>
  <c r="AA112" i="37"/>
  <c r="AC73" i="37"/>
  <c r="AC80" i="37"/>
  <c r="AC95" i="37"/>
  <c r="AC99" i="37"/>
  <c r="AC114" i="37"/>
  <c r="AS103" i="37"/>
  <c r="AA74" i="37"/>
  <c r="AA78" i="37"/>
  <c r="AA82" i="37"/>
  <c r="AA85" i="37"/>
  <c r="AA97" i="37"/>
  <c r="AA100" i="37"/>
  <c r="AS77" i="37"/>
  <c r="AS82" i="37"/>
  <c r="AT82" i="37" s="1"/>
  <c r="AS73" i="37"/>
  <c r="AA104" i="37"/>
  <c r="AM78" i="37"/>
  <c r="AS83" i="37"/>
  <c r="AL105" i="37"/>
  <c r="AC40" i="37"/>
  <c r="AC70" i="37"/>
  <c r="AA41" i="37"/>
  <c r="AA47" i="37"/>
  <c r="AA53" i="37"/>
  <c r="AA59" i="37"/>
  <c r="AA71" i="37"/>
  <c r="AC43" i="37"/>
  <c r="AC55" i="37"/>
  <c r="AC58" i="37"/>
  <c r="AA68" i="37"/>
  <c r="AA32" i="37"/>
  <c r="AA13" i="37"/>
  <c r="AA19" i="37"/>
  <c r="AA22" i="37"/>
  <c r="AA14" i="37"/>
  <c r="AA26" i="37"/>
  <c r="AE10" i="37"/>
  <c r="AG10" i="37"/>
  <c r="AH10" i="37" s="1"/>
  <c r="AR74" i="37"/>
  <c r="AR89" i="37"/>
  <c r="AR85" i="37"/>
  <c r="AR107" i="37"/>
  <c r="AR79" i="37"/>
  <c r="AR88" i="37"/>
  <c r="AR83" i="37"/>
  <c r="AR99" i="37"/>
  <c r="AR93" i="37"/>
  <c r="AR75" i="37"/>
  <c r="AR90" i="37"/>
  <c r="AR109" i="37"/>
  <c r="AR100" i="37"/>
  <c r="AR73" i="37"/>
  <c r="AR102" i="37"/>
  <c r="AR77" i="37"/>
  <c r="AR103" i="37"/>
  <c r="AR113" i="37"/>
  <c r="AR78" i="37"/>
  <c r="AR94" i="37"/>
  <c r="AT94" i="37" s="1"/>
  <c r="AS95" i="37"/>
  <c r="AR98" i="37"/>
  <c r="AR110" i="37"/>
  <c r="AP17" i="39"/>
  <c r="AP69" i="39"/>
  <c r="AP31" i="39"/>
  <c r="AP16" i="39"/>
  <c r="AH10" i="39"/>
  <c r="AP29" i="39"/>
  <c r="AP32" i="39"/>
  <c r="AP70" i="39"/>
  <c r="AP80" i="39"/>
  <c r="AP59" i="39"/>
  <c r="AP20" i="39"/>
  <c r="AP56" i="39"/>
  <c r="AP12" i="39"/>
  <c r="AP30" i="39"/>
  <c r="AP67" i="39"/>
  <c r="AP34" i="39"/>
  <c r="AP98" i="39"/>
  <c r="AP14" i="39"/>
  <c r="AP18" i="39"/>
  <c r="AP39" i="39"/>
  <c r="AP43" i="39"/>
  <c r="AP52" i="39"/>
  <c r="AP66" i="39"/>
  <c r="AP51" i="39"/>
  <c r="AQ89" i="39"/>
  <c r="AR89" i="39" s="1"/>
  <c r="AP71" i="39"/>
  <c r="AP76" i="39"/>
  <c r="AA37" i="39"/>
  <c r="AP73" i="39"/>
  <c r="AP111" i="39"/>
  <c r="AP55" i="39"/>
  <c r="AP114" i="39"/>
  <c r="AP74" i="39"/>
  <c r="AP35" i="39"/>
  <c r="AP47" i="39"/>
  <c r="AQ101" i="39"/>
  <c r="AP116" i="39"/>
  <c r="AP108" i="39"/>
  <c r="AP83" i="39"/>
  <c r="AP90" i="39"/>
  <c r="AP72" i="39"/>
  <c r="AP101" i="39"/>
  <c r="AP110" i="39"/>
  <c r="AP79" i="39"/>
  <c r="AP106" i="39"/>
  <c r="AR117" i="37"/>
  <c r="AR13" i="39" l="1"/>
  <c r="AK53" i="39"/>
  <c r="AK89" i="39"/>
  <c r="AK110" i="39"/>
  <c r="AK12" i="39"/>
  <c r="AK17" i="39"/>
  <c r="AR99" i="39"/>
  <c r="AK74" i="39"/>
  <c r="AK52" i="39"/>
  <c r="AK86" i="39"/>
  <c r="AK34" i="39"/>
  <c r="AK114" i="39"/>
  <c r="AK26" i="39"/>
  <c r="AK115" i="39"/>
  <c r="AJ109" i="39"/>
  <c r="AJ47" i="39"/>
  <c r="AK33" i="39"/>
  <c r="AK56" i="39"/>
  <c r="AR25" i="39"/>
  <c r="AR11" i="39"/>
  <c r="AK36" i="39"/>
  <c r="AR115" i="39"/>
  <c r="AJ91" i="39"/>
  <c r="AJ115" i="39"/>
  <c r="AK69" i="39"/>
  <c r="AR91" i="39"/>
  <c r="AR85" i="39"/>
  <c r="AR26" i="39"/>
  <c r="AK14" i="39"/>
  <c r="AJ51" i="39"/>
  <c r="AJ26" i="39"/>
  <c r="AM82" i="37"/>
  <c r="AM97" i="37"/>
  <c r="AM83" i="37"/>
  <c r="AM114" i="37"/>
  <c r="AT95" i="37"/>
  <c r="AM93" i="37"/>
  <c r="AM87" i="37"/>
  <c r="AM85" i="37"/>
  <c r="AT89" i="37"/>
  <c r="AM88" i="37"/>
  <c r="AM94" i="37"/>
  <c r="AL78" i="37"/>
  <c r="AT87" i="37"/>
  <c r="AL94" i="37"/>
  <c r="AL98" i="37"/>
  <c r="AL79" i="37"/>
  <c r="AM95" i="37"/>
  <c r="AM98" i="37"/>
  <c r="AL82" i="37"/>
  <c r="AM100" i="37"/>
  <c r="AM92" i="37"/>
  <c r="AL100" i="37"/>
  <c r="AK100" i="39"/>
  <c r="AK57" i="39"/>
  <c r="AM117" i="37"/>
  <c r="AM103" i="37"/>
  <c r="AR55" i="39"/>
  <c r="AJ98" i="39"/>
  <c r="AQ98" i="39"/>
  <c r="AR98" i="39" s="1"/>
  <c r="AK78" i="39"/>
  <c r="AR96" i="39"/>
  <c r="AJ58" i="39"/>
  <c r="AJ19" i="39"/>
  <c r="AK29" i="39"/>
  <c r="AK19" i="39"/>
  <c r="AJ11" i="39"/>
  <c r="AJ99" i="39"/>
  <c r="AK68" i="39"/>
  <c r="AK22" i="39"/>
  <c r="AJ85" i="39"/>
  <c r="AK90" i="39"/>
  <c r="AJ56" i="39"/>
  <c r="AR86" i="39"/>
  <c r="AK55" i="39"/>
  <c r="AJ89" i="39"/>
  <c r="AR29" i="39"/>
  <c r="AK44" i="39"/>
  <c r="AK67" i="39"/>
  <c r="AK59" i="39"/>
  <c r="AQ19" i="39"/>
  <c r="AR19" i="39" s="1"/>
  <c r="AK16" i="39"/>
  <c r="AJ55" i="39"/>
  <c r="AK85" i="39"/>
  <c r="AK15" i="39"/>
  <c r="AK54" i="39"/>
  <c r="AK37" i="39"/>
  <c r="AJ25" i="39"/>
  <c r="AK64" i="39"/>
  <c r="AK35" i="39"/>
  <c r="AR109" i="39"/>
  <c r="AK39" i="39"/>
  <c r="AK75" i="39"/>
  <c r="AK104" i="39"/>
  <c r="AJ79" i="39"/>
  <c r="AK50" i="39"/>
  <c r="AK43" i="39"/>
  <c r="AK23" i="39"/>
  <c r="AK40" i="39"/>
  <c r="AJ30" i="39"/>
  <c r="AJ29" i="39"/>
  <c r="AJ20" i="39"/>
  <c r="AQ20" i="39"/>
  <c r="AR20" i="39" s="1"/>
  <c r="AR73" i="39"/>
  <c r="AK66" i="39"/>
  <c r="AQ33" i="39"/>
  <c r="AR33" i="39" s="1"/>
  <c r="AJ33" i="39"/>
  <c r="AK32" i="39"/>
  <c r="AJ48" i="39"/>
  <c r="AQ48" i="39"/>
  <c r="AR48" i="39" s="1"/>
  <c r="AK51" i="39"/>
  <c r="AK63" i="39"/>
  <c r="AJ69" i="39"/>
  <c r="AQ69" i="39"/>
  <c r="AR69" i="39" s="1"/>
  <c r="AK48" i="39"/>
  <c r="AK25" i="39"/>
  <c r="AK47" i="39"/>
  <c r="AJ94" i="39"/>
  <c r="AJ64" i="39"/>
  <c r="AQ64" i="39"/>
  <c r="AR64" i="39" s="1"/>
  <c r="AK38" i="39"/>
  <c r="AK10" i="39"/>
  <c r="AJ31" i="39"/>
  <c r="AQ31" i="39"/>
  <c r="AR31" i="39" s="1"/>
  <c r="AK96" i="39"/>
  <c r="AK31" i="39"/>
  <c r="AK49" i="39"/>
  <c r="AR30" i="39"/>
  <c r="AJ18" i="39"/>
  <c r="AR27" i="39"/>
  <c r="AK79" i="39"/>
  <c r="AJ16" i="39"/>
  <c r="AQ16" i="39"/>
  <c r="AR16" i="39" s="1"/>
  <c r="AK116" i="39"/>
  <c r="AK30" i="39"/>
  <c r="AK61" i="39"/>
  <c r="AK71" i="39"/>
  <c r="AJ34" i="39"/>
  <c r="AQ34" i="39"/>
  <c r="AR34" i="39" s="1"/>
  <c r="AM84" i="37"/>
  <c r="AS78" i="37"/>
  <c r="AT78" i="37" s="1"/>
  <c r="AT74" i="37"/>
  <c r="AT79" i="37"/>
  <c r="AL117" i="37"/>
  <c r="AT117" i="37"/>
  <c r="AM113" i="37"/>
  <c r="AM109" i="37"/>
  <c r="AS100" i="37"/>
  <c r="AT100" i="37" s="1"/>
  <c r="AL113" i="37"/>
  <c r="AT83" i="37"/>
  <c r="AT113" i="37"/>
  <c r="AT75" i="37"/>
  <c r="AS105" i="37"/>
  <c r="AT105" i="37" s="1"/>
  <c r="AT77" i="37"/>
  <c r="AT103" i="37"/>
  <c r="AM75" i="37"/>
  <c r="AM80" i="37"/>
  <c r="AM104" i="37"/>
  <c r="AM112" i="37"/>
  <c r="AL103" i="37"/>
  <c r="AL114" i="37"/>
  <c r="AM89" i="37"/>
  <c r="AM99" i="37"/>
  <c r="AT73" i="37"/>
  <c r="AL80" i="37"/>
  <c r="AS98" i="37"/>
  <c r="AT98" i="37" s="1"/>
  <c r="AL83" i="37"/>
  <c r="AL95" i="37"/>
  <c r="AM90" i="37"/>
  <c r="AL75" i="37"/>
  <c r="AS93" i="37"/>
  <c r="AT93" i="37" s="1"/>
  <c r="AL93" i="37"/>
  <c r="AM79" i="37"/>
  <c r="AS80" i="37"/>
  <c r="AT80" i="37" s="1"/>
  <c r="AQ14" i="39"/>
  <c r="AR14" i="39" s="1"/>
  <c r="AJ14" i="39"/>
  <c r="AQ111" i="39"/>
  <c r="AR111" i="39" s="1"/>
  <c r="AJ111" i="39"/>
  <c r="AJ95" i="39"/>
  <c r="AQ95" i="39"/>
  <c r="AR95" i="39" s="1"/>
  <c r="AJ65" i="39"/>
  <c r="AQ65" i="39"/>
  <c r="AR65" i="39" s="1"/>
  <c r="AJ12" i="39"/>
  <c r="AQ12" i="39"/>
  <c r="AR12" i="39" s="1"/>
  <c r="AQ83" i="39"/>
  <c r="AR83" i="39" s="1"/>
  <c r="AJ83" i="39"/>
  <c r="AQ76" i="39"/>
  <c r="AR76" i="39" s="1"/>
  <c r="AJ76" i="39"/>
  <c r="AJ36" i="39"/>
  <c r="AQ36" i="39"/>
  <c r="AR36" i="39" s="1"/>
  <c r="AK108" i="39"/>
  <c r="AR79" i="39"/>
  <c r="AQ57" i="39"/>
  <c r="AR57" i="39" s="1"/>
  <c r="AJ57" i="39"/>
  <c r="AK46" i="39"/>
  <c r="AQ23" i="39"/>
  <c r="AR23" i="39" s="1"/>
  <c r="AJ23" i="39"/>
  <c r="AQ106" i="39"/>
  <c r="AR106" i="39" s="1"/>
  <c r="AJ106" i="39"/>
  <c r="AK103" i="39"/>
  <c r="AJ110" i="39"/>
  <c r="AQ110" i="39"/>
  <c r="AR110" i="39" s="1"/>
  <c r="AK41" i="39"/>
  <c r="AQ54" i="39"/>
  <c r="AR54" i="39" s="1"/>
  <c r="AJ54" i="39"/>
  <c r="AJ53" i="39"/>
  <c r="AQ53" i="39"/>
  <c r="AR53" i="39" s="1"/>
  <c r="AK93" i="39"/>
  <c r="AJ35" i="39"/>
  <c r="AQ35" i="39"/>
  <c r="AR35" i="39" s="1"/>
  <c r="AK91" i="39"/>
  <c r="AJ86" i="39"/>
  <c r="AJ80" i="39"/>
  <c r="AQ80" i="39"/>
  <c r="AR80" i="39" s="1"/>
  <c r="AK62" i="39"/>
  <c r="AR51" i="39"/>
  <c r="AQ104" i="39"/>
  <c r="AR104" i="39" s="1"/>
  <c r="AJ104" i="39"/>
  <c r="AQ39" i="39"/>
  <c r="AR39" i="39" s="1"/>
  <c r="AJ39" i="39"/>
  <c r="AQ41" i="39"/>
  <c r="AR41" i="39" s="1"/>
  <c r="AJ41" i="39"/>
  <c r="AJ50" i="39"/>
  <c r="AQ50" i="39"/>
  <c r="AR50" i="39" s="1"/>
  <c r="AK83" i="39"/>
  <c r="AQ10" i="39"/>
  <c r="AR10" i="39" s="1"/>
  <c r="AJ10" i="39"/>
  <c r="AQ60" i="39"/>
  <c r="AR60" i="39" s="1"/>
  <c r="AJ60" i="39"/>
  <c r="AJ71" i="39"/>
  <c r="AQ71" i="39"/>
  <c r="AR71" i="39" s="1"/>
  <c r="AQ46" i="39"/>
  <c r="AR46" i="39" s="1"/>
  <c r="AJ46" i="39"/>
  <c r="AJ114" i="39"/>
  <c r="AQ114" i="39"/>
  <c r="AR114" i="39" s="1"/>
  <c r="AQ22" i="39"/>
  <c r="AR22" i="39" s="1"/>
  <c r="AJ22" i="39"/>
  <c r="AJ27" i="39"/>
  <c r="AQ90" i="39"/>
  <c r="AR90" i="39" s="1"/>
  <c r="AJ90" i="39"/>
  <c r="AQ74" i="39"/>
  <c r="AR74" i="39" s="1"/>
  <c r="AJ74" i="39"/>
  <c r="AK105" i="39"/>
  <c r="AK60" i="39"/>
  <c r="AJ61" i="39"/>
  <c r="AQ61" i="39"/>
  <c r="AR61" i="39" s="1"/>
  <c r="AK113" i="39"/>
  <c r="AQ21" i="39"/>
  <c r="AR21" i="39" s="1"/>
  <c r="AJ21" i="39"/>
  <c r="AK13" i="39"/>
  <c r="AJ67" i="39"/>
  <c r="AQ67" i="39"/>
  <c r="AR67" i="39" s="1"/>
  <c r="AJ66" i="39"/>
  <c r="AQ66" i="39"/>
  <c r="AR66" i="39" s="1"/>
  <c r="AQ63" i="39"/>
  <c r="AR63" i="39" s="1"/>
  <c r="AJ63" i="39"/>
  <c r="AQ108" i="39"/>
  <c r="AR108" i="39" s="1"/>
  <c r="AJ108" i="39"/>
  <c r="AQ17" i="39"/>
  <c r="AR17" i="39" s="1"/>
  <c r="AJ17" i="39"/>
  <c r="AQ93" i="39"/>
  <c r="AR93" i="39" s="1"/>
  <c r="AJ93" i="39"/>
  <c r="AQ75" i="39"/>
  <c r="AR75" i="39" s="1"/>
  <c r="AJ75" i="39"/>
  <c r="AJ32" i="39"/>
  <c r="AQ32" i="39"/>
  <c r="AR32" i="39" s="1"/>
  <c r="AK81" i="39"/>
  <c r="AJ72" i="39"/>
  <c r="AQ72" i="39"/>
  <c r="AR72" i="39" s="1"/>
  <c r="AK98" i="39"/>
  <c r="AQ88" i="39"/>
  <c r="AR88" i="39" s="1"/>
  <c r="AJ88" i="39"/>
  <c r="AK111" i="39"/>
  <c r="AJ59" i="39"/>
  <c r="AQ59" i="39"/>
  <c r="AR59" i="39" s="1"/>
  <c r="AJ113" i="39"/>
  <c r="AQ113" i="39"/>
  <c r="AR113" i="39" s="1"/>
  <c r="AR56" i="39"/>
  <c r="AQ78" i="39"/>
  <c r="AR78" i="39" s="1"/>
  <c r="AJ78" i="39"/>
  <c r="AJ28" i="39"/>
  <c r="AK27" i="39"/>
  <c r="AJ24" i="39"/>
  <c r="AQ24" i="39"/>
  <c r="AR24" i="39" s="1"/>
  <c r="AK72" i="39"/>
  <c r="AJ13" i="39"/>
  <c r="AQ84" i="39"/>
  <c r="AR84" i="39" s="1"/>
  <c r="AJ84" i="39"/>
  <c r="AJ68" i="39"/>
  <c r="AQ68" i="39"/>
  <c r="AR68" i="39" s="1"/>
  <c r="AI10" i="39"/>
  <c r="AQ116" i="39"/>
  <c r="AR116" i="39" s="1"/>
  <c r="AJ116" i="39"/>
  <c r="AQ70" i="39"/>
  <c r="AR70" i="39" s="1"/>
  <c r="AJ70" i="39"/>
  <c r="AJ81" i="39"/>
  <c r="AQ81" i="39"/>
  <c r="AR81" i="39" s="1"/>
  <c r="AR18" i="39"/>
  <c r="AJ103" i="39"/>
  <c r="AQ103" i="39"/>
  <c r="AR103" i="39" s="1"/>
  <c r="AQ37" i="39"/>
  <c r="AR37" i="39" s="1"/>
  <c r="AJ37" i="39"/>
  <c r="AQ49" i="39"/>
  <c r="AR49" i="39" s="1"/>
  <c r="AJ49" i="39"/>
  <c r="AR47" i="39"/>
  <c r="AK65" i="39"/>
  <c r="AJ105" i="39"/>
  <c r="AJ73" i="39"/>
  <c r="AR101" i="39"/>
  <c r="AK70" i="39"/>
  <c r="AQ42" i="39"/>
  <c r="AR42" i="39" s="1"/>
  <c r="AJ42" i="39"/>
  <c r="AK106" i="39"/>
  <c r="AK45" i="39"/>
  <c r="AQ62" i="39"/>
  <c r="AR62" i="39" s="1"/>
  <c r="AJ62" i="39"/>
  <c r="AJ96" i="39"/>
  <c r="AJ44" i="39"/>
  <c r="AQ44" i="39"/>
  <c r="AR44" i="39" s="1"/>
  <c r="AK99" i="39"/>
  <c r="AQ100" i="39"/>
  <c r="AR100" i="39" s="1"/>
  <c r="AJ100" i="39"/>
  <c r="AK94" i="39"/>
  <c r="AK88" i="39"/>
  <c r="AJ40" i="39"/>
  <c r="AQ40" i="39"/>
  <c r="AR40" i="39" s="1"/>
  <c r="AK109" i="39"/>
  <c r="AJ38" i="39"/>
  <c r="AQ38" i="39"/>
  <c r="AR38" i="39" s="1"/>
  <c r="AQ52" i="39"/>
  <c r="AR52" i="39" s="1"/>
  <c r="AJ52" i="39"/>
  <c r="AQ43" i="39"/>
  <c r="AR43" i="39" s="1"/>
  <c r="AJ43" i="39"/>
  <c r="AJ15" i="39"/>
  <c r="AQ15" i="39"/>
  <c r="AR15" i="39" s="1"/>
  <c r="AK73" i="39"/>
  <c r="AK24" i="39"/>
  <c r="AQ45" i="39"/>
  <c r="AR45" i="39" s="1"/>
  <c r="AJ45" i="39"/>
  <c r="AL109" i="37"/>
  <c r="AS109" i="37"/>
  <c r="AT109" i="37" s="1"/>
  <c r="AS88" i="37"/>
  <c r="AT88" i="37" s="1"/>
  <c r="AL88" i="37"/>
  <c r="AS97" i="37"/>
  <c r="AT97" i="37" s="1"/>
  <c r="AL97" i="37"/>
  <c r="AS108" i="37"/>
  <c r="AT108" i="37" s="1"/>
  <c r="AL108" i="37"/>
  <c r="AS84" i="37"/>
  <c r="AT84" i="37" s="1"/>
  <c r="AL84" i="37"/>
  <c r="AM108" i="37"/>
  <c r="AL74" i="37"/>
  <c r="AM73" i="37"/>
  <c r="AL89" i="37"/>
  <c r="AL77" i="37"/>
  <c r="AL73" i="37"/>
  <c r="AL110" i="37"/>
  <c r="AS110" i="37"/>
  <c r="AT110" i="37" s="1"/>
  <c r="AL87" i="37"/>
  <c r="AS112" i="37"/>
  <c r="AT112" i="37" s="1"/>
  <c r="AL112" i="37"/>
  <c r="AL90" i="37"/>
  <c r="AS90" i="37"/>
  <c r="AT90" i="37" s="1"/>
  <c r="AS99" i="37"/>
  <c r="AT99" i="37" s="1"/>
  <c r="AL99" i="37"/>
  <c r="AS92" i="37"/>
  <c r="AT92" i="37" s="1"/>
  <c r="AL92" i="37"/>
  <c r="AS107" i="37"/>
  <c r="AT107" i="37" s="1"/>
  <c r="AL107" i="37"/>
  <c r="AL104" i="37"/>
  <c r="AS104" i="37"/>
  <c r="AT104" i="37" s="1"/>
  <c r="AS102" i="37"/>
  <c r="AT102" i="37" s="1"/>
  <c r="AL102" i="37"/>
  <c r="AL85" i="37"/>
  <c r="AS85" i="37"/>
  <c r="AT85" i="37" s="1"/>
  <c r="AM107" i="37"/>
  <c r="AM74" i="37"/>
  <c r="AM110" i="37"/>
  <c r="AM48" i="37" l="1"/>
  <c r="AM40" i="37"/>
  <c r="N10" i="37"/>
  <c r="AC10" i="37" s="1"/>
  <c r="AM42" i="37" l="1"/>
  <c r="AM50" i="37"/>
  <c r="AS33" i="37"/>
  <c r="AL35" i="37"/>
  <c r="AM51" i="37"/>
  <c r="AS10" i="37"/>
  <c r="AS18" i="37"/>
  <c r="AS14" i="37"/>
  <c r="AS24" i="37"/>
  <c r="AM43" i="37"/>
  <c r="AM44" i="37"/>
  <c r="AS19" i="37"/>
  <c r="AM45" i="37"/>
  <c r="AM52" i="37"/>
  <c r="AM54" i="37"/>
  <c r="AM56" i="37"/>
  <c r="AM58" i="37"/>
  <c r="AM60" i="37"/>
  <c r="AM62" i="37"/>
  <c r="AM64" i="37"/>
  <c r="AM66" i="37"/>
  <c r="AM68" i="37"/>
  <c r="AM70" i="37"/>
  <c r="AM72" i="37"/>
  <c r="AS50" i="37"/>
  <c r="AL50" i="37"/>
  <c r="AM17" i="37"/>
  <c r="AS43" i="37"/>
  <c r="AL43" i="37"/>
  <c r="AS42" i="37"/>
  <c r="AL42" i="37"/>
  <c r="AM13" i="37"/>
  <c r="AM22" i="37"/>
  <c r="AI10" i="37"/>
  <c r="AM28" i="37"/>
  <c r="AS41" i="37"/>
  <c r="AL41" i="37"/>
  <c r="AS49" i="37"/>
  <c r="AL49" i="37"/>
  <c r="AS53" i="37"/>
  <c r="AL53" i="37"/>
  <c r="AS55" i="37"/>
  <c r="AL55" i="37"/>
  <c r="AS57" i="37"/>
  <c r="AL57" i="37"/>
  <c r="AS59" i="37"/>
  <c r="AL59" i="37"/>
  <c r="AS61" i="37"/>
  <c r="AL61" i="37"/>
  <c r="AS63" i="37"/>
  <c r="AL63" i="37"/>
  <c r="AS65" i="37"/>
  <c r="AL65" i="37"/>
  <c r="AS67" i="37"/>
  <c r="AL67" i="37"/>
  <c r="AS69" i="37"/>
  <c r="AL69" i="37"/>
  <c r="AR12" i="37"/>
  <c r="AR15" i="37"/>
  <c r="AR18" i="37"/>
  <c r="AR21" i="37"/>
  <c r="AR24" i="37"/>
  <c r="AR27" i="37"/>
  <c r="AR30" i="37"/>
  <c r="AR33" i="37"/>
  <c r="AR36" i="37"/>
  <c r="AR39" i="37"/>
  <c r="AR43" i="37"/>
  <c r="AR47" i="37"/>
  <c r="AR51" i="37"/>
  <c r="AR55" i="37"/>
  <c r="AR59" i="37"/>
  <c r="AR63" i="37"/>
  <c r="AR67" i="37"/>
  <c r="AR71" i="37"/>
  <c r="AM41" i="37"/>
  <c r="AM49" i="37"/>
  <c r="AM53" i="37"/>
  <c r="AM55" i="37"/>
  <c r="AM57" i="37"/>
  <c r="AM59" i="37"/>
  <c r="AM61" i="37"/>
  <c r="AM63" i="37"/>
  <c r="AM65" i="37"/>
  <c r="AM67" i="37"/>
  <c r="AM69" i="37"/>
  <c r="AM71" i="37"/>
  <c r="AS71" i="37"/>
  <c r="AL71" i="37"/>
  <c r="AS44" i="37"/>
  <c r="AL44" i="37"/>
  <c r="AS39" i="37"/>
  <c r="AL39" i="37"/>
  <c r="AS47" i="37"/>
  <c r="AL47" i="37"/>
  <c r="AS38" i="37"/>
  <c r="AR40" i="37"/>
  <c r="AR44" i="37"/>
  <c r="AR48" i="37"/>
  <c r="AR52" i="37"/>
  <c r="AR56" i="37"/>
  <c r="AR60" i="37"/>
  <c r="AR64" i="37"/>
  <c r="AR68" i="37"/>
  <c r="AR72" i="37"/>
  <c r="AM39" i="37"/>
  <c r="AM47" i="37"/>
  <c r="AR10" i="37"/>
  <c r="AR13" i="37"/>
  <c r="AR16" i="37"/>
  <c r="AR19" i="37"/>
  <c r="AR22" i="37"/>
  <c r="AR25" i="37"/>
  <c r="AR28" i="37"/>
  <c r="AR31" i="37"/>
  <c r="AR34" i="37"/>
  <c r="AR45" i="37"/>
  <c r="AR57" i="37"/>
  <c r="AR65" i="37"/>
  <c r="AM46" i="37"/>
  <c r="AS52" i="37"/>
  <c r="AL52" i="37"/>
  <c r="AS54" i="37"/>
  <c r="AL54" i="37"/>
  <c r="AS56" i="37"/>
  <c r="AL56" i="37"/>
  <c r="AS58" i="37"/>
  <c r="AL58" i="37"/>
  <c r="AS60" i="37"/>
  <c r="AL60" i="37"/>
  <c r="AS62" i="37"/>
  <c r="AL62" i="37"/>
  <c r="AS64" i="37"/>
  <c r="AL64" i="37"/>
  <c r="AS66" i="37"/>
  <c r="AL66" i="37"/>
  <c r="AS68" i="37"/>
  <c r="AL68" i="37"/>
  <c r="AS70" i="37"/>
  <c r="AL70" i="37"/>
  <c r="AS72" i="37"/>
  <c r="AL72" i="37"/>
  <c r="AS45" i="37"/>
  <c r="AL45" i="37"/>
  <c r="AR41" i="37"/>
  <c r="AR49" i="37"/>
  <c r="AR53" i="37"/>
  <c r="AR61" i="37"/>
  <c r="AR69" i="37"/>
  <c r="AR37" i="37"/>
  <c r="AM29" i="37"/>
  <c r="AR11" i="37"/>
  <c r="AR14" i="37"/>
  <c r="AR17" i="37"/>
  <c r="AR20" i="37"/>
  <c r="AR23" i="37"/>
  <c r="AR26" i="37"/>
  <c r="AR29" i="37"/>
  <c r="AR32" i="37"/>
  <c r="AR35" i="37"/>
  <c r="AR38" i="37"/>
  <c r="AR42" i="37"/>
  <c r="AR46" i="37"/>
  <c r="AR50" i="37"/>
  <c r="AR54" i="37"/>
  <c r="AR58" i="37"/>
  <c r="AR62" i="37"/>
  <c r="AR66" i="37"/>
  <c r="AR70" i="37"/>
  <c r="AS46" i="37"/>
  <c r="AL46" i="37"/>
  <c r="AS51" i="37"/>
  <c r="AL51" i="37"/>
  <c r="AS40" i="37"/>
  <c r="AL40" i="37"/>
  <c r="AS48" i="37"/>
  <c r="AL48" i="37"/>
  <c r="AM33" i="37" l="1"/>
  <c r="AM12" i="37"/>
  <c r="AM31" i="37"/>
  <c r="AM25" i="37"/>
  <c r="AS35" i="37"/>
  <c r="AT35" i="37" s="1"/>
  <c r="AM27" i="37"/>
  <c r="AM35" i="37"/>
  <c r="AM11" i="37"/>
  <c r="AM37" i="37"/>
  <c r="AT52" i="37"/>
  <c r="AM38" i="37"/>
  <c r="AL38" i="37"/>
  <c r="AT38" i="37"/>
  <c r="AM16" i="37"/>
  <c r="AM26" i="37"/>
  <c r="AT62" i="37"/>
  <c r="AM20" i="37"/>
  <c r="AL24" i="37"/>
  <c r="AT67" i="37"/>
  <c r="AT45" i="37"/>
  <c r="AT64" i="37"/>
  <c r="AT49" i="37"/>
  <c r="AM30" i="37"/>
  <c r="AT59" i="37"/>
  <c r="AT50" i="37"/>
  <c r="AT10" i="37"/>
  <c r="AT44" i="37"/>
  <c r="AM32" i="37"/>
  <c r="AM24" i="37"/>
  <c r="AT18" i="37"/>
  <c r="AT69" i="37"/>
  <c r="AT42" i="37"/>
  <c r="AT46" i="37"/>
  <c r="AT55" i="37"/>
  <c r="AT72" i="37"/>
  <c r="AT19" i="37"/>
  <c r="AT24" i="37"/>
  <c r="AT51" i="37"/>
  <c r="AT53" i="37"/>
  <c r="AM36" i="37"/>
  <c r="AM15" i="37"/>
  <c r="AM34" i="37"/>
  <c r="AT57" i="37"/>
  <c r="AS25" i="37"/>
  <c r="AT25" i="37" s="1"/>
  <c r="AL25" i="37"/>
  <c r="AS12" i="37"/>
  <c r="AT12" i="37" s="1"/>
  <c r="AL12" i="37"/>
  <c r="AS21" i="37"/>
  <c r="AT21" i="37" s="1"/>
  <c r="AL21" i="37"/>
  <c r="AS31" i="37"/>
  <c r="AT31" i="37" s="1"/>
  <c r="AL31" i="37"/>
  <c r="AL14" i="37"/>
  <c r="AL19" i="37"/>
  <c r="AS27" i="37"/>
  <c r="AT27" i="37" s="1"/>
  <c r="AL27" i="37"/>
  <c r="AT68" i="37"/>
  <c r="AT63" i="37"/>
  <c r="AS11" i="37"/>
  <c r="AT11" i="37" s="1"/>
  <c r="AL11" i="37"/>
  <c r="AS23" i="37"/>
  <c r="AT23" i="37" s="1"/>
  <c r="AL23" i="37"/>
  <c r="AT58" i="37"/>
  <c r="AT65" i="37"/>
  <c r="AS22" i="37"/>
  <c r="AT22" i="37" s="1"/>
  <c r="AL22" i="37"/>
  <c r="AS34" i="37"/>
  <c r="AT34" i="37" s="1"/>
  <c r="AL34" i="37"/>
  <c r="AM21" i="37"/>
  <c r="AS20" i="37"/>
  <c r="AT20" i="37" s="1"/>
  <c r="AL20" i="37"/>
  <c r="AS16" i="37"/>
  <c r="AT16" i="37" s="1"/>
  <c r="AL16" i="37"/>
  <c r="AT70" i="37"/>
  <c r="AT71" i="37"/>
  <c r="AS30" i="37"/>
  <c r="AT30" i="37" s="1"/>
  <c r="AL30" i="37"/>
  <c r="AL10" i="37"/>
  <c r="AS29" i="37"/>
  <c r="AT29" i="37" s="1"/>
  <c r="AL29" i="37"/>
  <c r="AT47" i="37"/>
  <c r="AS26" i="37"/>
  <c r="AT26" i="37" s="1"/>
  <c r="AL26" i="37"/>
  <c r="AT66" i="37"/>
  <c r="AT54" i="37"/>
  <c r="AM18" i="37"/>
  <c r="AT61" i="37"/>
  <c r="AT41" i="37"/>
  <c r="AT43" i="37"/>
  <c r="AL33" i="37"/>
  <c r="AS32" i="37"/>
  <c r="AT32" i="37" s="1"/>
  <c r="AL32" i="37"/>
  <c r="AS28" i="37"/>
  <c r="AT28" i="37" s="1"/>
  <c r="AL28" i="37"/>
  <c r="AM19" i="37"/>
  <c r="AT60" i="37"/>
  <c r="AS17" i="37"/>
  <c r="AT17" i="37" s="1"/>
  <c r="AL17" i="37"/>
  <c r="AM14" i="37"/>
  <c r="AS15" i="37"/>
  <c r="AT15" i="37" s="1"/>
  <c r="AL15" i="37"/>
  <c r="AS37" i="37"/>
  <c r="AT37" i="37" s="1"/>
  <c r="AL37" i="37"/>
  <c r="AT14" i="37"/>
  <c r="AM10" i="37"/>
  <c r="AT48" i="37"/>
  <c r="AT56" i="37"/>
  <c r="AS13" i="37"/>
  <c r="AT13" i="37" s="1"/>
  <c r="AL13" i="37"/>
  <c r="AT40" i="37"/>
  <c r="AT39" i="37"/>
  <c r="AL18" i="37"/>
  <c r="AS36" i="37"/>
  <c r="AT36" i="37" s="1"/>
  <c r="AL36" i="37"/>
  <c r="AM23" i="37"/>
  <c r="AT33" i="37"/>
  <c r="Y72" i="37"/>
  <c r="W72" i="37"/>
  <c r="U72" i="37"/>
  <c r="Y71" i="37"/>
  <c r="W71" i="37"/>
  <c r="U71" i="37"/>
  <c r="Y70" i="37"/>
  <c r="W70" i="37"/>
  <c r="U70" i="37"/>
  <c r="Y69" i="37"/>
  <c r="W69" i="37"/>
  <c r="U69" i="37"/>
  <c r="Y68" i="37"/>
  <c r="W68" i="37"/>
  <c r="U68" i="37"/>
  <c r="Y67" i="37"/>
  <c r="W67" i="37"/>
  <c r="U67" i="37"/>
  <c r="Y66" i="37"/>
  <c r="W66" i="37"/>
  <c r="U66" i="37"/>
  <c r="Y65" i="37"/>
  <c r="W65" i="37"/>
  <c r="U65" i="37"/>
  <c r="Y64" i="37"/>
  <c r="W64" i="37"/>
  <c r="U64" i="37"/>
  <c r="Y63" i="37"/>
  <c r="W63" i="37"/>
  <c r="U63" i="37"/>
  <c r="Y62" i="37"/>
  <c r="W62" i="37"/>
  <c r="U62" i="37"/>
  <c r="Y61" i="37"/>
  <c r="W61" i="37"/>
  <c r="U61" i="37"/>
  <c r="Y60" i="37"/>
  <c r="W60" i="37"/>
  <c r="U60" i="37"/>
  <c r="Y59" i="37"/>
  <c r="W59" i="37"/>
  <c r="U59" i="37"/>
  <c r="Y58" i="37"/>
  <c r="W58" i="37"/>
  <c r="U58" i="37"/>
  <c r="Y57" i="37"/>
  <c r="W57" i="37"/>
  <c r="U57" i="37"/>
  <c r="Y56" i="37"/>
  <c r="W56" i="37"/>
  <c r="U56" i="37"/>
  <c r="Y55" i="37"/>
  <c r="W55" i="37"/>
  <c r="U55" i="37"/>
  <c r="Y54" i="37"/>
  <c r="W54" i="37"/>
  <c r="U54" i="37"/>
  <c r="Y53" i="37"/>
  <c r="W53" i="37"/>
  <c r="U53" i="37"/>
  <c r="Y52" i="37"/>
  <c r="W52" i="37"/>
  <c r="U52" i="37"/>
  <c r="Y51" i="37"/>
  <c r="W51" i="37"/>
  <c r="U51" i="37"/>
  <c r="Y50" i="37"/>
  <c r="W50" i="37"/>
  <c r="U50" i="37"/>
  <c r="Y49" i="37"/>
  <c r="W49" i="37"/>
  <c r="U49" i="37"/>
  <c r="Y48" i="37"/>
  <c r="W48" i="37"/>
  <c r="U48" i="37"/>
  <c r="Y47" i="37"/>
  <c r="W47" i="37"/>
  <c r="U47" i="37"/>
  <c r="Y46" i="37"/>
  <c r="W46" i="37"/>
  <c r="U46" i="37"/>
  <c r="Y45" i="37"/>
  <c r="W45" i="37"/>
  <c r="U45" i="37"/>
  <c r="Y44" i="37"/>
  <c r="W44" i="37"/>
  <c r="U44" i="37"/>
  <c r="Y43" i="37"/>
  <c r="W43" i="37"/>
  <c r="U43" i="37"/>
  <c r="Y42" i="37"/>
  <c r="W42" i="37"/>
  <c r="U42" i="37"/>
  <c r="Y41" i="37"/>
  <c r="W41" i="37"/>
  <c r="U41" i="37"/>
  <c r="Y40" i="37"/>
  <c r="W40" i="37"/>
  <c r="U40" i="37"/>
  <c r="Y39" i="37"/>
  <c r="W39" i="37"/>
  <c r="U39" i="37"/>
  <c r="Y38" i="37"/>
  <c r="W38" i="37"/>
  <c r="U38" i="37"/>
  <c r="Y37" i="37"/>
  <c r="W37" i="37"/>
  <c r="U37" i="37"/>
  <c r="Y36" i="37" l="1"/>
  <c r="W36" i="37"/>
  <c r="U36" i="37"/>
  <c r="Y35" i="37"/>
  <c r="W35" i="37"/>
  <c r="U35" i="37"/>
  <c r="Y34" i="37"/>
  <c r="W34" i="37"/>
  <c r="U34" i="37"/>
  <c r="Y33" i="37"/>
  <c r="W33" i="37"/>
  <c r="U33" i="37"/>
  <c r="Y32" i="37"/>
  <c r="W32" i="37"/>
  <c r="U32" i="37"/>
  <c r="Y31" i="37"/>
  <c r="W31" i="37"/>
  <c r="U31" i="37"/>
  <c r="Y30" i="37"/>
  <c r="W30" i="37"/>
  <c r="U30" i="37"/>
  <c r="Y29" i="37"/>
  <c r="W29" i="37"/>
  <c r="U29" i="37"/>
  <c r="Y28" i="37"/>
  <c r="W28" i="37"/>
  <c r="U28" i="37"/>
  <c r="Y27" i="37"/>
  <c r="W27" i="37"/>
  <c r="U27" i="37"/>
  <c r="Y26" i="37"/>
  <c r="W26" i="37"/>
  <c r="U26" i="37"/>
  <c r="Y25" i="37"/>
  <c r="W25" i="37"/>
  <c r="U25" i="37"/>
  <c r="Y24" i="37"/>
  <c r="W24" i="37"/>
  <c r="U24" i="37"/>
  <c r="Y23" i="37"/>
  <c r="W23" i="37"/>
  <c r="U23" i="37"/>
  <c r="Y22" i="37"/>
  <c r="W22" i="37"/>
  <c r="U22" i="37"/>
  <c r="Y21" i="37"/>
  <c r="W21" i="37"/>
  <c r="U21" i="37"/>
  <c r="Y20" i="37"/>
  <c r="W20" i="37"/>
  <c r="U20" i="37"/>
  <c r="Y19" i="37"/>
  <c r="W19" i="37"/>
  <c r="U19" i="37"/>
  <c r="Y18" i="37"/>
  <c r="W18" i="37"/>
  <c r="U18" i="37"/>
  <c r="Y17" i="37"/>
  <c r="W17" i="37"/>
  <c r="U17" i="37"/>
  <c r="Y16" i="37"/>
  <c r="W16" i="37"/>
  <c r="U16" i="37"/>
  <c r="Y15" i="37"/>
  <c r="W15" i="37"/>
  <c r="U15" i="37"/>
  <c r="Y14" i="37"/>
  <c r="W14" i="37"/>
  <c r="U14" i="37"/>
  <c r="Y13" i="37"/>
  <c r="W13" i="37"/>
  <c r="U13" i="37"/>
  <c r="Y12" i="37"/>
  <c r="W12" i="37"/>
  <c r="U12" i="37"/>
  <c r="Y11" i="37"/>
  <c r="W11" i="37"/>
  <c r="U11" i="37"/>
  <c r="Y10" i="37"/>
  <c r="W10" i="37"/>
  <c r="U10" i="37"/>
</calcChain>
</file>

<file path=xl/sharedStrings.xml><?xml version="1.0" encoding="utf-8"?>
<sst xmlns="http://schemas.openxmlformats.org/spreadsheetml/2006/main" count="570" uniqueCount="163">
  <si>
    <t>01. 상품정보</t>
    <phoneticPr fontId="3" type="noConversion"/>
  </si>
  <si>
    <t>구분</t>
    <phoneticPr fontId="3" type="noConversion"/>
  </si>
  <si>
    <t>내 용</t>
    <phoneticPr fontId="3" type="noConversion"/>
  </si>
  <si>
    <t>판매채널</t>
    <phoneticPr fontId="3" type="noConversion"/>
  </si>
  <si>
    <t>판매기간</t>
    <phoneticPr fontId="3" type="noConversion"/>
  </si>
  <si>
    <t>투숙기간</t>
    <phoneticPr fontId="3" type="noConversion"/>
  </si>
  <si>
    <t>상품구성</t>
    <phoneticPr fontId="3" type="noConversion"/>
  </si>
  <si>
    <t>구 분</t>
    <phoneticPr fontId="2" type="noConversion"/>
  </si>
  <si>
    <t>타 입</t>
    <phoneticPr fontId="2" type="noConversion"/>
  </si>
  <si>
    <t>시 즌</t>
    <phoneticPr fontId="2" type="noConversion"/>
  </si>
  <si>
    <t>정상가</t>
    <phoneticPr fontId="2" type="noConversion"/>
  </si>
  <si>
    <t>배분가</t>
    <phoneticPr fontId="2" type="noConversion"/>
  </si>
  <si>
    <t>객실</t>
    <phoneticPr fontId="2" type="noConversion"/>
  </si>
  <si>
    <t>FIT</t>
    <phoneticPr fontId="2" type="noConversion"/>
  </si>
  <si>
    <t>기 명</t>
    <phoneticPr fontId="2" type="noConversion"/>
  </si>
  <si>
    <t>무기명</t>
    <phoneticPr fontId="2" type="noConversion"/>
  </si>
  <si>
    <t>할인율</t>
    <phoneticPr fontId="2" type="noConversion"/>
  </si>
  <si>
    <t>패밀리</t>
    <phoneticPr fontId="2" type="noConversion"/>
  </si>
  <si>
    <t>스탠다드</t>
    <phoneticPr fontId="2" type="noConversion"/>
  </si>
  <si>
    <t>금요일</t>
    <phoneticPr fontId="2" type="noConversion"/>
  </si>
  <si>
    <t>토요일</t>
    <phoneticPr fontId="2" type="noConversion"/>
  </si>
  <si>
    <t>스위트</t>
    <phoneticPr fontId="2" type="noConversion"/>
  </si>
  <si>
    <t>골드</t>
    <phoneticPr fontId="2" type="noConversion"/>
  </si>
  <si>
    <t>주중</t>
    <phoneticPr fontId="2" type="noConversion"/>
  </si>
  <si>
    <t xml:space="preserve"> </t>
    <phoneticPr fontId="2" type="noConversion"/>
  </si>
  <si>
    <t>오션뷰</t>
    <phoneticPr fontId="2" type="noConversion"/>
  </si>
  <si>
    <t>기명</t>
    <phoneticPr fontId="2" type="noConversion"/>
  </si>
  <si>
    <t>슈페리어</t>
    <phoneticPr fontId="2" type="noConversion"/>
  </si>
  <si>
    <t>디럭스</t>
    <phoneticPr fontId="2" type="noConversion"/>
  </si>
  <si>
    <t>리조트</t>
    <phoneticPr fontId="2" type="noConversion"/>
  </si>
  <si>
    <t>호텔</t>
    <phoneticPr fontId="2" type="noConversion"/>
  </si>
  <si>
    <t>[단위: 원]</t>
    <phoneticPr fontId="2" type="noConversion"/>
  </si>
  <si>
    <t>비 고</t>
    <phoneticPr fontId="2" type="noConversion"/>
  </si>
  <si>
    <t>정상가</t>
    <phoneticPr fontId="3" type="noConversion"/>
  </si>
  <si>
    <t>주중</t>
    <phoneticPr fontId="3" type="noConversion"/>
  </si>
  <si>
    <t>대인</t>
    <phoneticPr fontId="3" type="noConversion"/>
  </si>
  <si>
    <t>소인</t>
    <phoneticPr fontId="3" type="noConversion"/>
  </si>
  <si>
    <t>월력 기준</t>
    <phoneticPr fontId="3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</si>
  <si>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</si>
  <si>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</si>
  <si>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</si>
  <si>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</si>
  <si>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</si>
  <si>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</si>
  <si>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</si>
  <si>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스마트요금</t>
    <phoneticPr fontId="2" type="noConversion"/>
  </si>
  <si>
    <t>FIT
판매가</t>
    <phoneticPr fontId="2" type="noConversion"/>
  </si>
  <si>
    <t>02. 부대시설 요금 가이드</t>
    <phoneticPr fontId="3" type="noConversion"/>
  </si>
  <si>
    <t>03. 월 력</t>
    <phoneticPr fontId="3" type="noConversion"/>
  </si>
  <si>
    <t>■ 쏠비치 양양 프로모션 운영(안)</t>
    <phoneticPr fontId="3" type="noConversion"/>
  </si>
  <si>
    <t>조식</t>
    <phoneticPr fontId="2" type="noConversion"/>
  </si>
  <si>
    <t>오션</t>
    <phoneticPr fontId="2" type="noConversion"/>
  </si>
  <si>
    <t>입금가</t>
  </si>
  <si>
    <t>부대2인</t>
    <phoneticPr fontId="2" type="noConversion"/>
  </si>
  <si>
    <t>주말(금,토)</t>
    <phoneticPr fontId="3" type="noConversion"/>
  </si>
  <si>
    <t>이그제큐티브</t>
    <phoneticPr fontId="2" type="noConversion"/>
  </si>
  <si>
    <t>3인</t>
    <phoneticPr fontId="2" type="noConversion"/>
  </si>
  <si>
    <t>주 중</t>
  </si>
  <si>
    <t>금</t>
  </si>
  <si>
    <t>토</t>
  </si>
  <si>
    <t>6월</t>
    <phoneticPr fontId="2" type="noConversion"/>
  </si>
  <si>
    <t>조식3</t>
    <phoneticPr fontId="2" type="noConversion"/>
  </si>
  <si>
    <t>오션3</t>
    <phoneticPr fontId="2" type="noConversion"/>
  </si>
  <si>
    <t>7월</t>
    <phoneticPr fontId="2" type="noConversion"/>
  </si>
  <si>
    <t>7/16(골드)</t>
  </si>
  <si>
    <t>7/16(골드)</t>
    <phoneticPr fontId="2" type="noConversion"/>
  </si>
  <si>
    <t>음료</t>
    <phoneticPr fontId="2" type="noConversion"/>
  </si>
  <si>
    <t>음료3</t>
    <phoneticPr fontId="2" type="noConversion"/>
  </si>
  <si>
    <t>3인(성인2, 소인1)</t>
    <phoneticPr fontId="2" type="noConversion"/>
  </si>
  <si>
    <t>6/11~28</t>
    <phoneticPr fontId="2" type="noConversion"/>
  </si>
  <si>
    <t>6/11~8/31</t>
    <phoneticPr fontId="3" type="noConversion"/>
  </si>
  <si>
    <t xml:space="preserve">6/11~28 : 회원(기명, 무기명_예약센터 전용) </t>
    <phoneticPr fontId="3" type="noConversion"/>
  </si>
  <si>
    <t>6/15~21 : 카카오톡예약하기(대행 : 타이드 스퀘어)</t>
    <phoneticPr fontId="2" type="noConversion"/>
  </si>
  <si>
    <t>6/25~30 : 맘맘</t>
    <phoneticPr fontId="2" type="noConversion"/>
  </si>
  <si>
    <t xml:space="preserve">6/11~14 : 마이리얼트립 (6/11~14) </t>
    <phoneticPr fontId="2" type="noConversion"/>
  </si>
  <si>
    <t>객실+조식+오션플레이3인(대인2. 소인1)</t>
    <phoneticPr fontId="2" type="noConversion"/>
  </si>
  <si>
    <t>할인권(1매4인) : 셰프스 조식 15%, 오션플레이50%, 베이커리&amp;카페 10%, 엘빠띠오 10%</t>
    <phoneticPr fontId="2" type="noConversion"/>
  </si>
  <si>
    <t>할인권(1매4인) : 셰프스 조식 15%, 오션플레이50%, 베이커리&amp;카페 10%, 엘빠띠오 10%</t>
    <phoneticPr fontId="2" type="noConversion"/>
  </si>
  <si>
    <t>2)카카오,맘맘</t>
    <phoneticPr fontId="2" type="noConversion"/>
  </si>
  <si>
    <t>스탠다드</t>
    <phoneticPr fontId="2" type="noConversion"/>
  </si>
  <si>
    <t>조식3</t>
    <phoneticPr fontId="2" type="noConversion"/>
  </si>
  <si>
    <t>조식3</t>
    <phoneticPr fontId="2" type="noConversion"/>
  </si>
  <si>
    <t>음료3</t>
    <phoneticPr fontId="2" type="noConversion"/>
  </si>
  <si>
    <t>수수료
(11%)</t>
    <phoneticPr fontId="2" type="noConversion"/>
  </si>
  <si>
    <t>부대3인(성인2,소인1)</t>
    <phoneticPr fontId="2" type="noConversion"/>
  </si>
  <si>
    <t>수수료
(11%)</t>
    <phoneticPr fontId="2" type="noConversion"/>
  </si>
  <si>
    <t>7/1~16
8/23~31</t>
    <phoneticPr fontId="2" type="noConversion"/>
  </si>
  <si>
    <t>7/17~8/22</t>
    <phoneticPr fontId="2" type="noConversion"/>
  </si>
  <si>
    <t>1)마이리얼트립</t>
    <phoneticPr fontId="2" type="noConversion"/>
  </si>
  <si>
    <t>객실+조식+음료3 (대.소인 구분없음 )</t>
    <phoneticPr fontId="2" type="noConversion"/>
  </si>
  <si>
    <t>음료 : 베이커리&amp;카페 아메리카노 or 아이스티 중 선택</t>
    <phoneticPr fontId="2" type="noConversion"/>
  </si>
  <si>
    <t>6/11
~
6/30</t>
    <phoneticPr fontId="2" type="noConversion"/>
  </si>
  <si>
    <t>스페셜
7/24~8/1</t>
  </si>
  <si>
    <t>골드</t>
    <phoneticPr fontId="2" type="noConversion"/>
  </si>
  <si>
    <t>하이1</t>
    <phoneticPr fontId="2" type="noConversion"/>
  </si>
  <si>
    <t>하이2</t>
    <phoneticPr fontId="2" type="noConversion"/>
  </si>
  <si>
    <t>골드(금)</t>
    <phoneticPr fontId="2" type="noConversion"/>
  </si>
  <si>
    <t>골드(토)</t>
    <phoneticPr fontId="2" type="noConversion"/>
  </si>
  <si>
    <t>스페셜</t>
    <phoneticPr fontId="2" type="noConversion"/>
  </si>
  <si>
    <t>7/19~23 , 8/17~20</t>
    <phoneticPr fontId="2" type="noConversion"/>
  </si>
  <si>
    <t xml:space="preserve">8/2~6 , 8/9~13 </t>
    <phoneticPr fontId="2" type="noConversion"/>
  </si>
  <si>
    <t>하이2
(8/2~6 , 8/9~13)</t>
  </si>
  <si>
    <t>하이2
(8/2~6 , 8/9~13)</t>
    <phoneticPr fontId="2" type="noConversion"/>
  </si>
  <si>
    <t>하이1
(7/19~23 , 8/17~20)</t>
  </si>
  <si>
    <t>하이1
(7/19~23 , 8/17~20)</t>
    <phoneticPr fontId="2" type="noConversion"/>
  </si>
  <si>
    <t>골드(금)
7/17 , 8/7 , 8/21</t>
  </si>
  <si>
    <t>골드(금)
7/17 , 8/7 , 8/21</t>
    <phoneticPr fontId="2" type="noConversion"/>
  </si>
  <si>
    <t>스페셜
7/24~8/1</t>
    <phoneticPr fontId="2" type="noConversion"/>
  </si>
  <si>
    <t>골드(금)
7/17 , 8/7 , 8/21 , 8/22</t>
  </si>
  <si>
    <t>골드(금)
7/17 , 8/7 , 8/21 , 8/22</t>
    <phoneticPr fontId="2" type="noConversion"/>
  </si>
  <si>
    <t>7/17 , 8/7 , 8/21 , 8/22(호텔만 적용)</t>
    <phoneticPr fontId="2" type="noConversion"/>
  </si>
  <si>
    <t>7/24~8/1</t>
    <phoneticPr fontId="2" type="noConversion"/>
  </si>
  <si>
    <t>골드(토)
7/18 , 8/8 , 8/14~16 , 8/22</t>
  </si>
  <si>
    <t>골드(토)
7/18 , 8/8 , 8/14~16 , 8/22</t>
    <phoneticPr fontId="2" type="noConversion"/>
  </si>
  <si>
    <t>골드(토)
7/18 , 8/8 , 8/14~16</t>
  </si>
  <si>
    <t>골드(토)
7/18 , 8/8 , 8/14~16</t>
    <phoneticPr fontId="2" type="noConversion"/>
  </si>
  <si>
    <t>7/18 , 8/8 , 8/14~16 , 8/22(리조트만적용)</t>
    <phoneticPr fontId="2" type="noConversion"/>
  </si>
  <si>
    <t>8월</t>
    <phoneticPr fontId="2" type="noConversion"/>
  </si>
  <si>
    <t>골드(토)</t>
    <phoneticPr fontId="2" type="noConversion"/>
  </si>
  <si>
    <t>골드(토)</t>
    <phoneticPr fontId="2" type="noConversion"/>
  </si>
  <si>
    <t>하이 1</t>
    <phoneticPr fontId="2" type="noConversion"/>
  </si>
  <si>
    <t>골드(금)</t>
    <phoneticPr fontId="2" type="noConversion"/>
  </si>
  <si>
    <t>스페셜</t>
    <phoneticPr fontId="2" type="noConversion"/>
  </si>
  <si>
    <t>스페셜</t>
    <phoneticPr fontId="2" type="noConversion"/>
  </si>
  <si>
    <t>하이 1</t>
    <phoneticPr fontId="2" type="noConversion"/>
  </si>
  <si>
    <t>하이 1</t>
    <phoneticPr fontId="2" type="noConversion"/>
  </si>
  <si>
    <t>하이 2</t>
    <phoneticPr fontId="2" type="noConversion"/>
  </si>
  <si>
    <t>하이 2</t>
    <phoneticPr fontId="2" type="noConversion"/>
  </si>
  <si>
    <t>하이 2</t>
    <phoneticPr fontId="2" type="noConversion"/>
  </si>
  <si>
    <t>하이 2</t>
    <phoneticPr fontId="2" type="noConversion"/>
  </si>
  <si>
    <t>골드(금)</t>
    <phoneticPr fontId="2" type="noConversion"/>
  </si>
  <si>
    <t>골드(금)_호텔
골드(토)_리조트</t>
    <phoneticPr fontId="2" type="noConversion"/>
  </si>
  <si>
    <t>주중</t>
    <phoneticPr fontId="2" type="noConversion"/>
  </si>
  <si>
    <t>주중</t>
    <phoneticPr fontId="2" type="noConversion"/>
  </si>
  <si>
    <t>주중</t>
    <phoneticPr fontId="2" type="noConversion"/>
  </si>
  <si>
    <t>금</t>
    <phoneticPr fontId="2" type="noConversion"/>
  </si>
  <si>
    <t>토</t>
    <phoneticPr fontId="2" type="noConversion"/>
  </si>
  <si>
    <t>부대3인(대.소인 구분없음)</t>
    <phoneticPr fontId="2" type="noConversion"/>
  </si>
  <si>
    <t>6/15
~
6/30</t>
    <phoneticPr fontId="2" type="noConversion"/>
  </si>
  <si>
    <t>스위트</t>
    <phoneticPr fontId="2" type="noConversion"/>
  </si>
  <si>
    <t>하이1
(7/19~23 , 8/17~20)</t>
    <phoneticPr fontId="2" type="noConversion"/>
  </si>
  <si>
    <t>하이2
(8/2~6 , 8/9~13)</t>
    <phoneticPr fontId="2" type="noConversion"/>
  </si>
  <si>
    <t>골드(금)
7/17 , 8/7 , 8/21</t>
    <phoneticPr fontId="2" type="noConversion"/>
  </si>
  <si>
    <t>스페셜
7/24~8/1</t>
    <phoneticPr fontId="2" type="noConversion"/>
  </si>
  <si>
    <t>하이1
(7/19~23 , 8/17~20)</t>
    <phoneticPr fontId="2" type="noConversion"/>
  </si>
  <si>
    <t>하이2
(8/2~6 , 8/9~13)</t>
    <phoneticPr fontId="2" type="noConversion"/>
  </si>
  <si>
    <t>하이2
(8/2~6 , 8/9~13)</t>
    <phoneticPr fontId="2" type="noConversion"/>
  </si>
  <si>
    <t>골드(금)
7/17 , 8/7 , 8/21</t>
    <phoneticPr fontId="2" type="noConversion"/>
  </si>
  <si>
    <t>하이1
(7/19~23 , 8/17~20)</t>
    <phoneticPr fontId="2" type="noConversion"/>
  </si>
  <si>
    <t>하이2
(8/2~6 , 8/9~13)</t>
    <phoneticPr fontId="2" type="noConversion"/>
  </si>
  <si>
    <t>골드(금)
7/17 , 8/7 , 8/21 , 8/22</t>
    <phoneticPr fontId="2" type="noConversion"/>
  </si>
  <si>
    <t>하이2
(8/2~6 , 8/9~13)</t>
    <phoneticPr fontId="2" type="noConversion"/>
  </si>
  <si>
    <t>골드(금)
7/17 , 8/7 , 8/21 , 8/22</t>
    <phoneticPr fontId="2" type="noConversion"/>
  </si>
  <si>
    <t>스페셜
7/24~8/1</t>
    <phoneticPr fontId="2" type="noConversion"/>
  </si>
  <si>
    <t>하이1
(7/19~23 , 8/17~20)</t>
    <phoneticPr fontId="2" type="noConversion"/>
  </si>
  <si>
    <t>골드(금)
7/17 , 8/7 , 8/21 , 8/22</t>
    <phoneticPr fontId="2" type="noConversion"/>
  </si>
  <si>
    <t>하이2
(8/2~6 , 8/9~13)</t>
    <phoneticPr fontId="2" type="noConversion"/>
  </si>
  <si>
    <t>하이1
(7/19~23 , 8/17~20)</t>
    <phoneticPr fontId="2" type="noConversion"/>
  </si>
  <si>
    <t>골드(금)
7/17 , 8/7 , 8/21 , 8/22</t>
    <phoneticPr fontId="2" type="noConversion"/>
  </si>
  <si>
    <r>
      <t xml:space="preserve">추가혜택 : 주중 이용시 소인 1인 조식 comp제공 ( 입실일 기준, 주중 일~목 1박 투숙시 적용 / </t>
    </r>
    <r>
      <rPr>
        <sz val="10"/>
        <color rgb="FFFF0000"/>
        <rFont val="대명체 보통"/>
        <family val="3"/>
        <charset val="129"/>
      </rPr>
      <t>제외 : 7/24~8/1</t>
    </r>
    <r>
      <rPr>
        <sz val="10"/>
        <color theme="1" tint="0.249977111117893"/>
        <rFont val="대명체 보통"/>
        <family val="3"/>
        <charset val="129"/>
      </rPr>
      <t xml:space="preserve"> )</t>
    </r>
    <phoneticPr fontId="2" type="noConversion"/>
  </si>
  <si>
    <r>
      <t xml:space="preserve">추가혜택 : 주중 이용시 소인 1인 조식+오션 comp제공 ( 입실일 기준, 일~목 1박 투숙시 적용 / </t>
    </r>
    <r>
      <rPr>
        <sz val="10"/>
        <color rgb="FFFF0000"/>
        <rFont val="대명체 보통"/>
        <family val="3"/>
        <charset val="129"/>
      </rPr>
      <t>제외 : 7/24~8/1</t>
    </r>
    <r>
      <rPr>
        <sz val="10"/>
        <color theme="1" tint="0.249977111117893"/>
        <rFont val="대명체 보통"/>
        <family val="3"/>
        <charset val="129"/>
      </rPr>
      <t xml:space="preserve"> )</t>
    </r>
    <phoneticPr fontId="2" type="noConversion"/>
  </si>
  <si>
    <t>7/17~8/22</t>
    <phoneticPr fontId="2" type="noConversion"/>
  </si>
  <si>
    <t>7/1~16
8/23~31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</si>
</sst>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&quot;/&quot;d;@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나눔스퀘어"/>
      <family val="2"/>
      <charset val="129"/>
    </font>
    <font>
      <sz val="10"/>
      <color theme="1"/>
      <name val="나눔스퀘어"/>
      <family val="2"/>
      <charset val="129"/>
    </font>
    <font>
      <sz val="11"/>
      <color theme="1"/>
      <name val="대명체 보통"/>
      <family val="3"/>
      <charset val="129"/>
    </font>
    <font>
      <sz val="9"/>
      <color theme="1" tint="0.249977111117893"/>
      <name val="대명체 보통"/>
      <family val="3"/>
      <charset val="129"/>
    </font>
    <font>
      <sz val="16"/>
      <color theme="1" tint="0.249977111117893"/>
      <name val="대명체 보통"/>
      <family val="3"/>
      <charset val="129"/>
    </font>
    <font>
      <sz val="10"/>
      <color theme="1" tint="0.249977111117893"/>
      <name val="대명체 보통"/>
      <family val="3"/>
      <charset val="129"/>
    </font>
    <font>
      <b/>
      <sz val="10"/>
      <color theme="1" tint="0.249977111117893"/>
      <name val="대명체 보통"/>
      <family val="3"/>
      <charset val="129"/>
    </font>
    <font>
      <sz val="10"/>
      <color rgb="FFFF0000"/>
      <name val="대명체 보통"/>
      <family val="3"/>
      <charset val="129"/>
    </font>
    <font>
      <sz val="8"/>
      <color theme="1" tint="0.249977111117893"/>
      <name val="대명체 보통"/>
      <family val="3"/>
      <charset val="129"/>
    </font>
    <font>
      <sz val="10"/>
      <color theme="1"/>
      <name val="대명체 보통"/>
      <family val="3"/>
      <charset val="129"/>
    </font>
    <font>
      <sz val="10"/>
      <color rgb="FFC00000"/>
      <name val="대명체 보통"/>
      <family val="3"/>
      <charset val="129"/>
    </font>
    <font>
      <sz val="9"/>
      <color rgb="FFC00000"/>
      <name val="대명체 보통"/>
      <family val="3"/>
      <charset val="129"/>
    </font>
    <font>
      <sz val="9"/>
      <color theme="1"/>
      <name val="대명체 보통"/>
      <family val="3"/>
      <charset val="129"/>
    </font>
    <font>
      <sz val="9"/>
      <color rgb="FFFF0000"/>
      <name val="대명체 보통"/>
      <family val="3"/>
      <charset val="129"/>
    </font>
    <font>
      <sz val="9"/>
      <color rgb="FF0000FF"/>
      <name val="대명체 보통"/>
      <family val="3"/>
      <charset val="129"/>
    </font>
    <font>
      <sz val="9"/>
      <color rgb="FF0000CC"/>
      <name val="대명체 보통"/>
      <family val="3"/>
      <charset val="129"/>
    </font>
    <font>
      <sz val="10"/>
      <color theme="1" tint="0.249977111117893"/>
      <name val="대명체 굵게"/>
      <family val="3"/>
      <charset val="129"/>
    </font>
    <font>
      <sz val="11"/>
      <color theme="1" tint="0.249977111117893"/>
      <name val="대명체 보통"/>
      <family val="3"/>
      <charset val="129"/>
    </font>
    <font>
      <sz val="9"/>
      <color theme="2" tint="-0.249977111117893"/>
      <name val="대명체 보통"/>
      <family val="3"/>
      <charset val="129"/>
    </font>
    <font>
      <sz val="9"/>
      <color rgb="FF00B0F0"/>
      <name val="대명체 보통"/>
      <family val="3"/>
      <charset val="129"/>
    </font>
    <font>
      <sz val="9"/>
      <color theme="9" tint="-0.499984740745262"/>
      <name val="대명체 보통"/>
      <family val="3"/>
      <charset val="129"/>
    </font>
    <font>
      <sz val="9"/>
      <color rgb="FF7030A0"/>
      <name val="대명체 보통"/>
      <family val="3"/>
      <charset val="129"/>
    </font>
    <font>
      <sz val="9"/>
      <color theme="1" tint="4.9989318521683403E-2"/>
      <name val="대명체 보통"/>
      <family val="3"/>
      <charset val="129"/>
    </font>
    <font>
      <b/>
      <sz val="11"/>
      <color theme="1"/>
      <name val="대명체 보통"/>
      <family val="3"/>
      <charset val="129"/>
    </font>
    <font>
      <b/>
      <sz val="9"/>
      <color theme="1"/>
      <name val="대명체 보통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thin">
        <color theme="0" tint="-0.24994659260841701"/>
      </top>
      <bottom/>
      <diagonal/>
    </border>
    <border>
      <left style="hair">
        <color theme="0" tint="-0.24994659260841701"/>
      </left>
      <right/>
      <top style="thin">
        <color theme="0" tint="-0.24994659260841701"/>
      </top>
      <bottom/>
      <diagonal/>
    </border>
    <border>
      <left style="hair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ck">
        <color theme="0" tint="-0.24994659260841701"/>
      </right>
      <top style="hair">
        <color theme="0" tint="-0.24994659260841701"/>
      </top>
      <bottom/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C00000"/>
      </left>
      <right style="medium">
        <color rgb="FFC00000"/>
      </right>
      <top style="hair">
        <color theme="0" tint="-0.24994659260841701"/>
      </top>
      <bottom/>
      <diagonal/>
    </border>
    <border>
      <left style="medium">
        <color rgb="FFC00000"/>
      </left>
      <right style="medium">
        <color rgb="FFC00000"/>
      </right>
      <top style="hair">
        <color theme="0" tint="-0.24994659260841701"/>
      </top>
      <bottom style="medium">
        <color rgb="FFC00000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hair">
        <color theme="0" tint="-0.24994659260841701"/>
      </left>
      <right style="thick">
        <color theme="0" tint="-0.24994659260841701"/>
      </right>
      <top/>
      <bottom/>
      <diagonal/>
    </border>
    <border>
      <left style="hair">
        <color theme="0" tint="-0.24994659260841701"/>
      </left>
      <right style="thick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hair">
        <color theme="0" tint="-0.24994659260841701"/>
      </right>
      <top style="medium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hair">
        <color theme="0" tint="-0.24994659260841701"/>
      </right>
      <top/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medium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/>
      <right/>
      <top style="medium">
        <color theme="0" tint="-0.24994659260841701"/>
      </top>
      <bottom style="hair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thick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/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medium">
        <color rgb="FFC00000"/>
      </left>
      <right style="medium">
        <color rgb="FFC00000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/>
      <bottom style="thin">
        <color theme="0" tint="-0.24994659260841701"/>
      </bottom>
      <diagonal/>
    </border>
    <border>
      <left/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/>
      <top/>
      <bottom style="hair">
        <color theme="0" tint="-0.24994659260841701"/>
      </bottom>
      <diagonal/>
    </border>
    <border>
      <left style="medium">
        <color rgb="FFC00000"/>
      </left>
      <right style="medium">
        <color rgb="FFC00000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thin">
        <color theme="0" tint="-0.24994659260841701"/>
      </bottom>
      <diagonal/>
    </border>
    <border>
      <left style="medium">
        <color rgb="FFC00000"/>
      </left>
      <right style="medium">
        <color rgb="FFC00000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ck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 style="hair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C00000"/>
      </right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rgb="FFC00000"/>
      </left>
      <right style="hair">
        <color theme="0" tint="-0.24994659260841701"/>
      </right>
      <top style="hair">
        <color theme="0" tint="-0.24994659260841701"/>
      </top>
      <bottom style="medium">
        <color theme="1" tint="0.499984740745262"/>
      </bottom>
      <diagonal/>
    </border>
    <border>
      <left style="hair">
        <color theme="0" tint="-0.24994659260841701"/>
      </left>
      <right style="thick">
        <color theme="0" tint="-0.24994659260841701"/>
      </right>
      <top style="hair">
        <color theme="0" tint="-0.24994659260841701"/>
      </top>
      <bottom style="medium">
        <color theme="1" tint="0.499984740745262"/>
      </bottom>
      <diagonal/>
    </border>
    <border>
      <left style="thick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ck">
        <color theme="0" tint="-0.24994659260841701"/>
      </bottom>
      <diagonal/>
    </border>
    <border>
      <left style="thin">
        <color theme="0" tint="-0.24994659260841701"/>
      </left>
      <right style="medium">
        <color rgb="FFC00000"/>
      </right>
      <top style="hair">
        <color theme="0" tint="-0.24994659260841701"/>
      </top>
      <bottom style="thick">
        <color theme="0" tint="-0.24994659260841701"/>
      </bottom>
      <diagonal/>
    </border>
    <border>
      <left style="hair">
        <color theme="0" tint="-0.24994659260841701"/>
      </left>
      <right/>
      <top style="medium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rgb="FFC00000"/>
      </left>
      <right style="medium">
        <color rgb="FFC00000"/>
      </right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rgb="FFC00000"/>
      </left>
      <right style="medium">
        <color rgb="FFC00000"/>
      </right>
      <top style="hair">
        <color theme="0" tint="-0.499984740745262"/>
      </top>
      <bottom style="medium">
        <color rgb="FFC00000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4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8" fillId="0" borderId="6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1" fontId="6" fillId="0" borderId="3" xfId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1" fontId="6" fillId="0" borderId="0" xfId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41" fontId="6" fillId="0" borderId="6" xfId="1" applyFont="1" applyBorder="1" applyAlignment="1">
      <alignment horizontal="left" vertical="center"/>
    </xf>
    <xf numFmtId="0" fontId="8" fillId="0" borderId="3" xfId="0" applyFont="1" applyBorder="1">
      <alignment vertical="center"/>
    </xf>
    <xf numFmtId="176" fontId="8" fillId="0" borderId="3" xfId="0" applyNumberFormat="1" applyFont="1" applyBorder="1" applyAlignment="1">
      <alignment horizontal="left" vertical="center"/>
    </xf>
    <xf numFmtId="176" fontId="8" fillId="0" borderId="3" xfId="0" applyNumberFormat="1" applyFont="1" applyBorder="1">
      <alignment vertical="center"/>
    </xf>
    <xf numFmtId="176" fontId="8" fillId="0" borderId="0" xfId="0" applyNumberFormat="1" applyFont="1" applyAlignment="1">
      <alignment horizontal="left" vertical="center"/>
    </xf>
    <xf numFmtId="176" fontId="8" fillId="0" borderId="0" xfId="0" applyNumberFormat="1" applyFont="1">
      <alignment vertical="center"/>
    </xf>
    <xf numFmtId="176" fontId="8" fillId="0" borderId="6" xfId="0" applyNumberFormat="1" applyFont="1" applyBorder="1" applyAlignment="1">
      <alignment horizontal="left" vertical="center"/>
    </xf>
    <xf numFmtId="176" fontId="8" fillId="0" borderId="6" xfId="0" applyNumberFormat="1" applyFont="1" applyBorder="1">
      <alignment vertical="center"/>
    </xf>
    <xf numFmtId="0" fontId="12" fillId="0" borderId="0" xfId="0" applyFont="1">
      <alignment vertical="center"/>
    </xf>
    <xf numFmtId="0" fontId="19" fillId="5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41" fontId="6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41" fontId="12" fillId="0" borderId="0" xfId="0" applyNumberFormat="1" applyFont="1">
      <alignment vertical="center"/>
    </xf>
    <xf numFmtId="0" fontId="21" fillId="0" borderId="0" xfId="0" applyFont="1">
      <alignment vertical="center"/>
    </xf>
    <xf numFmtId="41" fontId="21" fillId="0" borderId="0" xfId="0" applyNumberFormat="1" applyFont="1">
      <alignment vertical="center"/>
    </xf>
    <xf numFmtId="9" fontId="12" fillId="0" borderId="0" xfId="2" applyFont="1" applyBorder="1">
      <alignment vertical="center"/>
    </xf>
    <xf numFmtId="41" fontId="15" fillId="0" borderId="0" xfId="0" applyNumberFormat="1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50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1" fontId="15" fillId="5" borderId="24" xfId="1" applyFont="1" applyFill="1" applyBorder="1" applyAlignment="1">
      <alignment horizontal="right" vertical="center"/>
    </xf>
    <xf numFmtId="41" fontId="15" fillId="5" borderId="25" xfId="1" applyFont="1" applyFill="1" applyBorder="1" applyAlignment="1">
      <alignment horizontal="right" vertical="center"/>
    </xf>
    <xf numFmtId="41" fontId="15" fillId="5" borderId="120" xfId="1" applyFont="1" applyFill="1" applyBorder="1" applyAlignment="1">
      <alignment horizontal="right" vertical="center"/>
    </xf>
    <xf numFmtId="41" fontId="15" fillId="5" borderId="26" xfId="1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9" fontId="15" fillId="5" borderId="23" xfId="2" applyFont="1" applyFill="1" applyBorder="1" applyAlignment="1">
      <alignment vertical="center"/>
    </xf>
    <xf numFmtId="41" fontId="15" fillId="5" borderId="37" xfId="1" applyFont="1" applyFill="1" applyBorder="1" applyAlignment="1">
      <alignment horizontal="right" vertical="center"/>
    </xf>
    <xf numFmtId="9" fontId="15" fillId="5" borderId="25" xfId="2" applyFont="1" applyFill="1" applyBorder="1" applyAlignment="1">
      <alignment vertical="center"/>
    </xf>
    <xf numFmtId="41" fontId="15" fillId="5" borderId="27" xfId="1" applyFont="1" applyFill="1" applyBorder="1" applyAlignment="1">
      <alignment horizontal="right" vertical="center"/>
    </xf>
    <xf numFmtId="9" fontId="15" fillId="5" borderId="51" xfId="2" applyFont="1" applyFill="1" applyBorder="1" applyAlignment="1">
      <alignment vertical="center"/>
    </xf>
    <xf numFmtId="9" fontId="15" fillId="5" borderId="25" xfId="2" applyFont="1" applyFill="1" applyBorder="1" applyAlignment="1">
      <alignment horizontal="right" vertical="center"/>
    </xf>
    <xf numFmtId="9" fontId="15" fillId="5" borderId="26" xfId="2" applyFont="1" applyFill="1" applyBorder="1" applyAlignment="1">
      <alignment horizontal="right" vertical="center"/>
    </xf>
    <xf numFmtId="41" fontId="15" fillId="5" borderId="76" xfId="1" applyFont="1" applyFill="1" applyBorder="1">
      <alignment vertical="center"/>
    </xf>
    <xf numFmtId="41" fontId="15" fillId="5" borderId="40" xfId="1" applyFont="1" applyFill="1" applyBorder="1">
      <alignment vertical="center"/>
    </xf>
    <xf numFmtId="41" fontId="15" fillId="5" borderId="101" xfId="1" applyFont="1" applyFill="1" applyBorder="1" applyAlignment="1">
      <alignment horizontal="right" vertical="center"/>
    </xf>
    <xf numFmtId="41" fontId="15" fillId="5" borderId="27" xfId="1" applyFont="1" applyFill="1" applyBorder="1">
      <alignment vertical="center"/>
    </xf>
    <xf numFmtId="41" fontId="15" fillId="5" borderId="28" xfId="1" applyFont="1" applyFill="1" applyBorder="1">
      <alignment vertical="center"/>
    </xf>
    <xf numFmtId="41" fontId="15" fillId="0" borderId="0" xfId="1" applyFont="1" applyFill="1" applyBorder="1">
      <alignment vertical="center"/>
    </xf>
    <xf numFmtId="0" fontId="15" fillId="0" borderId="14" xfId="0" applyFont="1" applyBorder="1" applyAlignment="1">
      <alignment horizontal="center" vertical="center"/>
    </xf>
    <xf numFmtId="41" fontId="15" fillId="0" borderId="15" xfId="1" applyFont="1" applyFill="1" applyBorder="1" applyAlignment="1">
      <alignment horizontal="right" vertical="center"/>
    </xf>
    <xf numFmtId="41" fontId="15" fillId="0" borderId="13" xfId="1" applyFont="1" applyFill="1" applyBorder="1" applyAlignment="1">
      <alignment horizontal="right" vertical="center"/>
    </xf>
    <xf numFmtId="41" fontId="15" fillId="0" borderId="49" xfId="1" applyFont="1" applyFill="1" applyBorder="1" applyAlignment="1">
      <alignment horizontal="right" vertical="center"/>
    </xf>
    <xf numFmtId="41" fontId="15" fillId="0" borderId="16" xfId="1" applyFont="1" applyFill="1" applyBorder="1" applyAlignment="1">
      <alignment horizontal="right" vertical="center"/>
    </xf>
    <xf numFmtId="9" fontId="15" fillId="0" borderId="14" xfId="2" applyFont="1" applyFill="1" applyBorder="1" applyAlignment="1">
      <alignment vertical="center"/>
    </xf>
    <xf numFmtId="41" fontId="15" fillId="0" borderId="38" xfId="1" applyFont="1" applyFill="1" applyBorder="1" applyAlignment="1">
      <alignment horizontal="right" vertical="center"/>
    </xf>
    <xf numFmtId="9" fontId="15" fillId="0" borderId="13" xfId="2" applyFont="1" applyFill="1" applyBorder="1" applyAlignment="1">
      <alignment vertical="center"/>
    </xf>
    <xf numFmtId="41" fontId="15" fillId="0" borderId="30" xfId="1" applyFont="1" applyFill="1" applyBorder="1" applyAlignment="1">
      <alignment horizontal="right" vertical="center"/>
    </xf>
    <xf numFmtId="9" fontId="15" fillId="0" borderId="52" xfId="2" applyFont="1" applyFill="1" applyBorder="1" applyAlignment="1">
      <alignment vertical="center"/>
    </xf>
    <xf numFmtId="9" fontId="15" fillId="0" borderId="13" xfId="2" applyFont="1" applyFill="1" applyBorder="1" applyAlignment="1">
      <alignment horizontal="right" vertical="center"/>
    </xf>
    <xf numFmtId="9" fontId="15" fillId="0" borderId="16" xfId="2" applyFont="1" applyFill="1" applyBorder="1" applyAlignment="1">
      <alignment horizontal="right" vertical="center"/>
    </xf>
    <xf numFmtId="41" fontId="15" fillId="0" borderId="77" xfId="1" applyFont="1" applyBorder="1">
      <alignment vertical="center"/>
    </xf>
    <xf numFmtId="41" fontId="15" fillId="0" borderId="41" xfId="1" applyFont="1" applyBorder="1">
      <alignment vertical="center"/>
    </xf>
    <xf numFmtId="41" fontId="15" fillId="0" borderId="43" xfId="1" applyFont="1" applyFill="1" applyBorder="1" applyAlignment="1">
      <alignment horizontal="right" vertical="center"/>
    </xf>
    <xf numFmtId="41" fontId="15" fillId="0" borderId="30" xfId="1" applyFont="1" applyBorder="1">
      <alignment vertical="center"/>
    </xf>
    <xf numFmtId="41" fontId="15" fillId="0" borderId="31" xfId="1" applyFont="1" applyBorder="1">
      <alignment vertical="center"/>
    </xf>
    <xf numFmtId="41" fontId="15" fillId="5" borderId="15" xfId="1" applyFont="1" applyFill="1" applyBorder="1" applyAlignment="1">
      <alignment horizontal="right" vertical="center"/>
    </xf>
    <xf numFmtId="41" fontId="15" fillId="5" borderId="13" xfId="1" applyFont="1" applyFill="1" applyBorder="1" applyAlignment="1">
      <alignment horizontal="right" vertical="center"/>
    </xf>
    <xf numFmtId="41" fontId="15" fillId="5" borderId="49" xfId="1" applyFont="1" applyFill="1" applyBorder="1" applyAlignment="1">
      <alignment horizontal="right" vertical="center"/>
    </xf>
    <xf numFmtId="41" fontId="15" fillId="5" borderId="16" xfId="1" applyFont="1" applyFill="1" applyBorder="1" applyAlignment="1">
      <alignment horizontal="right" vertical="center"/>
    </xf>
    <xf numFmtId="9" fontId="15" fillId="5" borderId="14" xfId="2" applyFont="1" applyFill="1" applyBorder="1" applyAlignment="1">
      <alignment vertical="center"/>
    </xf>
    <xf numFmtId="41" fontId="15" fillId="5" borderId="38" xfId="1" applyFont="1" applyFill="1" applyBorder="1" applyAlignment="1">
      <alignment horizontal="right" vertical="center"/>
    </xf>
    <xf numFmtId="9" fontId="15" fillId="5" borderId="13" xfId="2" applyFont="1" applyFill="1" applyBorder="1" applyAlignment="1">
      <alignment vertical="center"/>
    </xf>
    <xf numFmtId="41" fontId="15" fillId="5" borderId="30" xfId="1" applyFont="1" applyFill="1" applyBorder="1" applyAlignment="1">
      <alignment horizontal="right" vertical="center"/>
    </xf>
    <xf numFmtId="9" fontId="15" fillId="5" borderId="52" xfId="2" applyFont="1" applyFill="1" applyBorder="1" applyAlignment="1">
      <alignment vertical="center"/>
    </xf>
    <xf numFmtId="9" fontId="15" fillId="5" borderId="13" xfId="2" applyFont="1" applyFill="1" applyBorder="1" applyAlignment="1">
      <alignment horizontal="right" vertical="center"/>
    </xf>
    <xf numFmtId="9" fontId="15" fillId="5" borderId="16" xfId="2" applyFont="1" applyFill="1" applyBorder="1" applyAlignment="1">
      <alignment horizontal="right" vertical="center"/>
    </xf>
    <xf numFmtId="41" fontId="15" fillId="5" borderId="77" xfId="1" applyFont="1" applyFill="1" applyBorder="1">
      <alignment vertical="center"/>
    </xf>
    <xf numFmtId="41" fontId="15" fillId="5" borderId="41" xfId="1" applyFont="1" applyFill="1" applyBorder="1">
      <alignment vertical="center"/>
    </xf>
    <xf numFmtId="41" fontId="15" fillId="5" borderId="43" xfId="1" applyFont="1" applyFill="1" applyBorder="1" applyAlignment="1">
      <alignment horizontal="right" vertical="center"/>
    </xf>
    <xf numFmtId="41" fontId="15" fillId="5" borderId="30" xfId="1" applyFont="1" applyFill="1" applyBorder="1">
      <alignment vertical="center"/>
    </xf>
    <xf numFmtId="41" fontId="15" fillId="5" borderId="31" xfId="1" applyFont="1" applyFill="1" applyBorder="1">
      <alignment vertical="center"/>
    </xf>
    <xf numFmtId="0" fontId="15" fillId="0" borderId="18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1" fontId="15" fillId="5" borderId="82" xfId="1" applyFont="1" applyFill="1" applyBorder="1" applyAlignment="1">
      <alignment horizontal="right" vertical="center"/>
    </xf>
    <xf numFmtId="41" fontId="15" fillId="5" borderId="83" xfId="1" applyFont="1" applyFill="1" applyBorder="1" applyAlignment="1">
      <alignment horizontal="right" vertical="center"/>
    </xf>
    <xf numFmtId="41" fontId="15" fillId="5" borderId="123" xfId="1" applyFont="1" applyFill="1" applyBorder="1" applyAlignment="1">
      <alignment horizontal="right" vertical="center"/>
    </xf>
    <xf numFmtId="41" fontId="15" fillId="5" borderId="56" xfId="1" applyFont="1" applyFill="1" applyBorder="1" applyAlignment="1">
      <alignment horizontal="right" vertical="center"/>
    </xf>
    <xf numFmtId="9" fontId="15" fillId="5" borderId="81" xfId="2" applyFont="1" applyFill="1" applyBorder="1" applyAlignment="1">
      <alignment vertical="center"/>
    </xf>
    <xf numFmtId="41" fontId="15" fillId="5" borderId="84" xfId="1" applyFont="1" applyFill="1" applyBorder="1" applyAlignment="1">
      <alignment horizontal="right" vertical="center"/>
    </xf>
    <xf numFmtId="9" fontId="15" fillId="5" borderId="83" xfId="2" applyFont="1" applyFill="1" applyBorder="1" applyAlignment="1">
      <alignment vertical="center"/>
    </xf>
    <xf numFmtId="41" fontId="15" fillId="5" borderId="85" xfId="1" applyFont="1" applyFill="1" applyBorder="1" applyAlignment="1">
      <alignment horizontal="right" vertical="center"/>
    </xf>
    <xf numFmtId="9" fontId="15" fillId="5" borderId="86" xfId="2" applyFont="1" applyFill="1" applyBorder="1" applyAlignment="1">
      <alignment vertical="center"/>
    </xf>
    <xf numFmtId="9" fontId="15" fillId="5" borderId="83" xfId="2" applyFont="1" applyFill="1" applyBorder="1" applyAlignment="1">
      <alignment horizontal="right" vertical="center"/>
    </xf>
    <xf numFmtId="9" fontId="15" fillId="5" borderId="56" xfId="2" applyFont="1" applyFill="1" applyBorder="1" applyAlignment="1">
      <alignment horizontal="right" vertical="center"/>
    </xf>
    <xf numFmtId="41" fontId="15" fillId="5" borderId="111" xfId="1" applyFont="1" applyFill="1" applyBorder="1">
      <alignment vertical="center"/>
    </xf>
    <xf numFmtId="41" fontId="15" fillId="5" borderId="112" xfId="1" applyFont="1" applyFill="1" applyBorder="1">
      <alignment vertical="center"/>
    </xf>
    <xf numFmtId="41" fontId="15" fillId="5" borderId="113" xfId="1" applyFont="1" applyFill="1" applyBorder="1" applyAlignment="1">
      <alignment horizontal="right" vertical="center"/>
    </xf>
    <xf numFmtId="41" fontId="15" fillId="5" borderId="85" xfId="1" applyFont="1" applyFill="1" applyBorder="1">
      <alignment vertical="center"/>
    </xf>
    <xf numFmtId="41" fontId="15" fillId="5" borderId="55" xfId="1" applyFont="1" applyFill="1" applyBorder="1">
      <alignment vertical="center"/>
    </xf>
    <xf numFmtId="41" fontId="15" fillId="0" borderId="39" xfId="1" applyFont="1" applyBorder="1">
      <alignment vertical="center"/>
    </xf>
    <xf numFmtId="41" fontId="15" fillId="5" borderId="39" xfId="1" applyFont="1" applyFill="1" applyBorder="1">
      <alignment vertical="center"/>
    </xf>
    <xf numFmtId="0" fontId="15" fillId="0" borderId="20" xfId="0" applyFont="1" applyBorder="1" applyAlignment="1">
      <alignment horizontal="center" vertical="center"/>
    </xf>
    <xf numFmtId="41" fontId="15" fillId="0" borderId="19" xfId="1" applyFont="1" applyFill="1" applyBorder="1" applyAlignment="1">
      <alignment horizontal="right" vertical="center"/>
    </xf>
    <xf numFmtId="41" fontId="15" fillId="0" borderId="17" xfId="1" applyFont="1" applyFill="1" applyBorder="1" applyAlignment="1">
      <alignment horizontal="right" vertical="center"/>
    </xf>
    <xf numFmtId="41" fontId="15" fillId="0" borderId="119" xfId="1" applyFont="1" applyFill="1" applyBorder="1" applyAlignment="1">
      <alignment horizontal="right" vertical="center"/>
    </xf>
    <xf numFmtId="41" fontId="15" fillId="0" borderId="20" xfId="1" applyFont="1" applyFill="1" applyBorder="1" applyAlignment="1">
      <alignment horizontal="right" vertical="center"/>
    </xf>
    <xf numFmtId="9" fontId="15" fillId="0" borderId="18" xfId="2" applyFont="1" applyFill="1" applyBorder="1" applyAlignment="1">
      <alignment vertical="center"/>
    </xf>
    <xf numFmtId="41" fontId="15" fillId="0" borderId="36" xfId="1" applyFont="1" applyFill="1" applyBorder="1" applyAlignment="1">
      <alignment horizontal="right" vertical="center"/>
    </xf>
    <xf numFmtId="9" fontId="15" fillId="0" borderId="17" xfId="2" applyFont="1" applyFill="1" applyBorder="1" applyAlignment="1">
      <alignment vertical="center"/>
    </xf>
    <xf numFmtId="41" fontId="15" fillId="0" borderId="32" xfId="1" applyFont="1" applyFill="1" applyBorder="1" applyAlignment="1">
      <alignment horizontal="right" vertical="center"/>
    </xf>
    <xf numFmtId="9" fontId="15" fillId="0" borderId="50" xfId="2" applyFont="1" applyFill="1" applyBorder="1" applyAlignment="1">
      <alignment vertical="center"/>
    </xf>
    <xf numFmtId="9" fontId="15" fillId="0" borderId="17" xfId="2" applyFont="1" applyFill="1" applyBorder="1" applyAlignment="1">
      <alignment horizontal="right" vertical="center"/>
    </xf>
    <xf numFmtId="9" fontId="15" fillId="0" borderId="20" xfId="2" applyFont="1" applyFill="1" applyBorder="1" applyAlignment="1">
      <alignment horizontal="right" vertical="center"/>
    </xf>
    <xf numFmtId="41" fontId="15" fillId="0" borderId="87" xfId="1" applyFont="1" applyBorder="1">
      <alignment vertical="center"/>
    </xf>
    <xf numFmtId="41" fontId="15" fillId="0" borderId="88" xfId="1" applyFont="1" applyBorder="1">
      <alignment vertical="center"/>
    </xf>
    <xf numFmtId="41" fontId="15" fillId="0" borderId="44" xfId="1" applyFont="1" applyFill="1" applyBorder="1" applyAlignment="1">
      <alignment horizontal="right" vertical="center"/>
    </xf>
    <xf numFmtId="41" fontId="15" fillId="0" borderId="32" xfId="1" applyFont="1" applyBorder="1">
      <alignment vertical="center"/>
    </xf>
    <xf numFmtId="41" fontId="15" fillId="0" borderId="33" xfId="1" applyFont="1" applyBorder="1">
      <alignment vertical="center"/>
    </xf>
    <xf numFmtId="0" fontId="15" fillId="0" borderId="48" xfId="0" applyFont="1" applyBorder="1" applyAlignment="1">
      <alignment horizontal="center" vertical="center"/>
    </xf>
    <xf numFmtId="41" fontId="15" fillId="0" borderId="46" xfId="1" applyFont="1" applyFill="1" applyBorder="1" applyAlignment="1">
      <alignment horizontal="right" vertical="center"/>
    </xf>
    <xf numFmtId="41" fontId="15" fillId="0" borderId="47" xfId="1" applyFont="1" applyFill="1" applyBorder="1" applyAlignment="1">
      <alignment horizontal="right" vertical="center"/>
    </xf>
    <xf numFmtId="41" fontId="15" fillId="0" borderId="121" xfId="1" applyFont="1" applyFill="1" applyBorder="1" applyAlignment="1">
      <alignment horizontal="right" vertical="center"/>
    </xf>
    <xf numFmtId="41" fontId="15" fillId="0" borderId="48" xfId="1" applyFont="1" applyFill="1" applyBorder="1" applyAlignment="1">
      <alignment horizontal="right" vertical="center"/>
    </xf>
    <xf numFmtId="9" fontId="15" fillId="0" borderId="67" xfId="2" applyFont="1" applyFill="1" applyBorder="1" applyAlignment="1">
      <alignment vertical="center"/>
    </xf>
    <xf numFmtId="41" fontId="15" fillId="0" borderId="72" xfId="1" applyFont="1" applyFill="1" applyBorder="1" applyAlignment="1">
      <alignment horizontal="right" vertical="center"/>
    </xf>
    <xf numFmtId="9" fontId="15" fillId="0" borderId="47" xfId="2" applyFont="1" applyFill="1" applyBorder="1" applyAlignment="1">
      <alignment vertical="center"/>
    </xf>
    <xf numFmtId="41" fontId="15" fillId="0" borderId="73" xfId="1" applyFont="1" applyFill="1" applyBorder="1" applyAlignment="1">
      <alignment horizontal="right" vertical="center"/>
    </xf>
    <xf numFmtId="9" fontId="15" fillId="0" borderId="74" xfId="2" applyFont="1" applyFill="1" applyBorder="1" applyAlignment="1">
      <alignment vertical="center"/>
    </xf>
    <xf numFmtId="9" fontId="15" fillId="0" borderId="47" xfId="2" applyFont="1" applyFill="1" applyBorder="1" applyAlignment="1">
      <alignment horizontal="right" vertical="center"/>
    </xf>
    <xf numFmtId="9" fontId="15" fillId="0" borderId="48" xfId="2" applyFont="1" applyFill="1" applyBorder="1" applyAlignment="1">
      <alignment horizontal="right" vertical="center"/>
    </xf>
    <xf numFmtId="41" fontId="15" fillId="0" borderId="118" xfId="1" applyFont="1" applyBorder="1">
      <alignment vertical="center"/>
    </xf>
    <xf numFmtId="41" fontId="15" fillId="0" borderId="125" xfId="1" applyFont="1" applyBorder="1">
      <alignment vertical="center"/>
    </xf>
    <xf numFmtId="41" fontId="15" fillId="0" borderId="45" xfId="1" applyFont="1" applyFill="1" applyBorder="1" applyAlignment="1">
      <alignment horizontal="right" vertical="center"/>
    </xf>
    <xf numFmtId="41" fontId="15" fillId="0" borderId="126" xfId="1" applyFont="1" applyBorder="1">
      <alignment vertical="center"/>
    </xf>
    <xf numFmtId="41" fontId="15" fillId="0" borderId="127" xfId="1" applyFont="1" applyBorder="1">
      <alignment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05" xfId="0" applyFont="1" applyBorder="1" applyAlignment="1">
      <alignment horizontal="center" vertical="center" wrapText="1"/>
    </xf>
    <xf numFmtId="41" fontId="15" fillId="0" borderId="106" xfId="1" applyFont="1" applyFill="1" applyBorder="1" applyAlignment="1">
      <alignment horizontal="right" vertical="center"/>
    </xf>
    <xf numFmtId="41" fontId="15" fillId="0" borderId="107" xfId="1" applyFont="1" applyFill="1" applyBorder="1" applyAlignment="1">
      <alignment horizontal="right" vertical="center"/>
    </xf>
    <xf numFmtId="41" fontId="15" fillId="0" borderId="124" xfId="1" applyFont="1" applyFill="1" applyBorder="1" applyAlignment="1">
      <alignment horizontal="right" vertical="center"/>
    </xf>
    <xf numFmtId="41" fontId="15" fillId="0" borderId="102" xfId="1" applyFont="1" applyFill="1" applyBorder="1" applyAlignment="1">
      <alignment horizontal="right" vertical="center"/>
    </xf>
    <xf numFmtId="9" fontId="15" fillId="0" borderId="105" xfId="2" applyFont="1" applyFill="1" applyBorder="1" applyAlignment="1">
      <alignment vertical="center"/>
    </xf>
    <xf numFmtId="41" fontId="15" fillId="0" borderId="108" xfId="1" applyFont="1" applyFill="1" applyBorder="1" applyAlignment="1">
      <alignment horizontal="right" vertical="center"/>
    </xf>
    <xf numFmtId="9" fontId="15" fillId="0" borderId="107" xfId="2" applyFont="1" applyFill="1" applyBorder="1" applyAlignment="1">
      <alignment vertical="center"/>
    </xf>
    <xf numFmtId="41" fontId="15" fillId="0" borderId="109" xfId="1" applyFont="1" applyFill="1" applyBorder="1" applyAlignment="1">
      <alignment horizontal="right" vertical="center"/>
    </xf>
    <xf numFmtId="9" fontId="15" fillId="0" borderId="110" xfId="2" applyFont="1" applyFill="1" applyBorder="1" applyAlignment="1">
      <alignment vertical="center"/>
    </xf>
    <xf numFmtId="9" fontId="15" fillId="0" borderId="107" xfId="2" applyFont="1" applyFill="1" applyBorder="1" applyAlignment="1">
      <alignment horizontal="right" vertical="center"/>
    </xf>
    <xf numFmtId="9" fontId="15" fillId="0" borderId="102" xfId="2" applyFont="1" applyFill="1" applyBorder="1" applyAlignment="1">
      <alignment horizontal="right" vertical="center"/>
    </xf>
    <xf numFmtId="41" fontId="15" fillId="0" borderId="114" xfId="1" applyFont="1" applyBorder="1">
      <alignment vertical="center"/>
    </xf>
    <xf numFmtId="41" fontId="15" fillId="0" borderId="115" xfId="1" applyFont="1" applyBorder="1">
      <alignment vertical="center"/>
    </xf>
    <xf numFmtId="41" fontId="15" fillId="0" borderId="116" xfId="1" applyFont="1" applyFill="1" applyBorder="1" applyAlignment="1">
      <alignment horizontal="right" vertical="center"/>
    </xf>
    <xf numFmtId="41" fontId="15" fillId="0" borderId="109" xfId="1" applyFont="1" applyBorder="1">
      <alignment vertical="center"/>
    </xf>
    <xf numFmtId="41" fontId="15" fillId="0" borderId="117" xfId="1" applyFont="1" applyBorder="1">
      <alignment vertical="center"/>
    </xf>
    <xf numFmtId="0" fontId="15" fillId="0" borderId="81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41" fontId="15" fillId="0" borderId="78" xfId="1" applyFont="1" applyBorder="1">
      <alignment vertical="center"/>
    </xf>
    <xf numFmtId="41" fontId="15" fillId="0" borderId="73" xfId="1" applyFont="1" applyBorder="1">
      <alignment vertical="center"/>
    </xf>
    <xf numFmtId="41" fontId="15" fillId="0" borderId="79" xfId="1" applyFont="1" applyBorder="1">
      <alignment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41" fontId="15" fillId="0" borderId="128" xfId="1" applyFont="1" applyBorder="1">
      <alignment vertical="center"/>
    </xf>
    <xf numFmtId="41" fontId="15" fillId="0" borderId="129" xfId="1" applyFont="1" applyBorder="1">
      <alignment vertical="center"/>
    </xf>
    <xf numFmtId="41" fontId="15" fillId="0" borderId="134" xfId="1" applyFont="1" applyBorder="1">
      <alignment vertical="center"/>
    </xf>
    <xf numFmtId="0" fontId="15" fillId="2" borderId="29" xfId="0" applyFont="1" applyFill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41" fontId="15" fillId="0" borderId="133" xfId="1" applyFont="1" applyFill="1" applyBorder="1" applyAlignment="1">
      <alignment horizontal="right" vertical="center"/>
    </xf>
    <xf numFmtId="41" fontId="15" fillId="0" borderId="132" xfId="1" applyFont="1" applyFill="1" applyBorder="1" applyAlignment="1">
      <alignment horizontal="right" vertical="center"/>
    </xf>
    <xf numFmtId="41" fontId="15" fillId="0" borderId="135" xfId="1" applyFont="1" applyBorder="1">
      <alignment vertical="center"/>
    </xf>
    <xf numFmtId="41" fontId="15" fillId="0" borderId="136" xfId="1" applyFont="1" applyFill="1" applyBorder="1" applyAlignment="1">
      <alignment horizontal="right" vertical="center"/>
    </xf>
    <xf numFmtId="41" fontId="15" fillId="0" borderId="47" xfId="1" applyFont="1" applyBorder="1" applyAlignment="1">
      <alignment vertical="center" wrapText="1"/>
    </xf>
    <xf numFmtId="41" fontId="15" fillId="0" borderId="48" xfId="1" applyFont="1" applyBorder="1" applyAlignment="1">
      <alignment vertical="center" wrapText="1"/>
    </xf>
    <xf numFmtId="0" fontId="25" fillId="0" borderId="48" xfId="0" applyFont="1" applyBorder="1" applyAlignment="1">
      <alignment horizontal="center" vertical="center" wrapText="1"/>
    </xf>
    <xf numFmtId="41" fontId="25" fillId="0" borderId="47" xfId="1" applyFont="1" applyBorder="1" applyAlignment="1">
      <alignment vertical="center" wrapText="1"/>
    </xf>
    <xf numFmtId="41" fontId="25" fillId="0" borderId="48" xfId="1" applyFont="1" applyBorder="1" applyAlignment="1">
      <alignment vertical="center" wrapText="1"/>
    </xf>
    <xf numFmtId="41" fontId="15" fillId="0" borderId="46" xfId="1" applyFont="1" applyBorder="1">
      <alignment vertical="center"/>
    </xf>
    <xf numFmtId="41" fontId="15" fillId="0" borderId="47" xfId="1" applyFont="1" applyBorder="1">
      <alignment vertical="center"/>
    </xf>
    <xf numFmtId="41" fontId="15" fillId="0" borderId="48" xfId="1" applyFont="1" applyBorder="1">
      <alignment vertical="center"/>
    </xf>
    <xf numFmtId="41" fontId="15" fillId="0" borderId="46" xfId="1" applyFont="1" applyBorder="1" applyAlignment="1">
      <alignment vertical="center" wrapText="1"/>
    </xf>
    <xf numFmtId="9" fontId="15" fillId="0" borderId="47" xfId="2" applyFont="1" applyBorder="1" applyAlignment="1">
      <alignment vertical="center" wrapText="1"/>
    </xf>
    <xf numFmtId="41" fontId="25" fillId="0" borderId="137" xfId="1" applyFont="1" applyBorder="1" applyAlignment="1">
      <alignment vertical="center" wrapText="1"/>
    </xf>
    <xf numFmtId="41" fontId="25" fillId="0" borderId="140" xfId="1" applyFont="1" applyBorder="1" applyAlignment="1">
      <alignment vertical="center" wrapText="1"/>
    </xf>
    <xf numFmtId="41" fontId="25" fillId="0" borderId="139" xfId="1" applyFont="1" applyBorder="1" applyAlignment="1">
      <alignment vertical="center" wrapText="1"/>
    </xf>
    <xf numFmtId="41" fontId="25" fillId="0" borderId="141" xfId="1" applyFont="1" applyBorder="1" applyAlignment="1">
      <alignment vertical="center" wrapText="1"/>
    </xf>
    <xf numFmtId="41" fontId="25" fillId="0" borderId="138" xfId="1" applyFont="1" applyBorder="1" applyAlignment="1">
      <alignment vertical="center" wrapText="1"/>
    </xf>
    <xf numFmtId="41" fontId="15" fillId="0" borderId="142" xfId="1" applyFont="1" applyFill="1" applyBorder="1" applyAlignment="1">
      <alignment horizontal="right" vertical="center"/>
    </xf>
    <xf numFmtId="41" fontId="25" fillId="0" borderId="46" xfId="1" applyFont="1" applyBorder="1" applyAlignment="1">
      <alignment vertical="center" wrapText="1"/>
    </xf>
    <xf numFmtId="0" fontId="8" fillId="2" borderId="2" xfId="0" applyFont="1" applyFill="1" applyBorder="1" applyAlignment="1">
      <alignment horizontal="left" vertical="center"/>
    </xf>
    <xf numFmtId="41" fontId="6" fillId="0" borderId="0" xfId="1" applyFont="1" applyBorder="1" applyAlignment="1">
      <alignment horizontal="center" vertical="center"/>
    </xf>
    <xf numFmtId="41" fontId="6" fillId="0" borderId="6" xfId="1" applyFont="1" applyBorder="1" applyAlignment="1">
      <alignment horizontal="center" vertical="center"/>
    </xf>
    <xf numFmtId="41" fontId="6" fillId="0" borderId="3" xfId="1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94" xfId="0" applyFont="1" applyFill="1" applyBorder="1" applyAlignment="1">
      <alignment horizontal="center" vertical="center"/>
    </xf>
    <xf numFmtId="0" fontId="12" fillId="2" borderId="9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right" vertical="center"/>
    </xf>
    <xf numFmtId="0" fontId="8" fillId="0" borderId="96" xfId="0" applyFont="1" applyBorder="1" applyAlignment="1">
      <alignment horizontal="right" vertical="center"/>
    </xf>
    <xf numFmtId="0" fontId="8" fillId="6" borderId="7" xfId="0" applyFont="1" applyFill="1" applyBorder="1" applyAlignment="1">
      <alignment horizontal="right" vertical="center"/>
    </xf>
    <xf numFmtId="0" fontId="8" fillId="6" borderId="96" xfId="0" applyFont="1" applyFill="1" applyBorder="1" applyAlignment="1">
      <alignment horizontal="right" vertical="center"/>
    </xf>
    <xf numFmtId="0" fontId="13" fillId="6" borderId="7" xfId="0" applyFont="1" applyFill="1" applyBorder="1" applyAlignment="1">
      <alignment horizontal="right" vertical="center"/>
    </xf>
    <xf numFmtId="0" fontId="13" fillId="6" borderId="3" xfId="0" applyFont="1" applyFill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3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right" vertical="center"/>
    </xf>
    <xf numFmtId="0" fontId="8" fillId="6" borderId="98" xfId="0" applyFont="1" applyFill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98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99" xfId="0" applyFont="1" applyBorder="1" applyAlignment="1">
      <alignment horizontal="right" vertical="center"/>
    </xf>
    <xf numFmtId="0" fontId="17" fillId="0" borderId="9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8" fillId="0" borderId="99" xfId="0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6" fillId="0" borderId="10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3" fillId="0" borderId="98" xfId="0" applyFont="1" applyBorder="1" applyAlignment="1">
      <alignment horizontal="right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65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6" fillId="2" borderId="63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6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64" xfId="0" applyFont="1" applyFill="1" applyBorder="1" applyAlignment="1">
      <alignment horizontal="center" vertical="center" wrapText="1"/>
    </xf>
    <xf numFmtId="0" fontId="16" fillId="2" borderId="65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103" xfId="0" applyFont="1" applyFill="1" applyBorder="1" applyAlignment="1">
      <alignment horizontal="center" vertical="center" wrapText="1"/>
    </xf>
    <xf numFmtId="0" fontId="15" fillId="2" borderId="104" xfId="0" applyFont="1" applyFill="1" applyBorder="1" applyAlignment="1">
      <alignment horizontal="center" vertical="center" wrapText="1"/>
    </xf>
    <xf numFmtId="0" fontId="15" fillId="2" borderId="6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8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9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27" fillId="4" borderId="42" xfId="0" applyFont="1" applyFill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/>
    </xf>
    <xf numFmtId="0" fontId="27" fillId="4" borderId="5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71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5" fillId="4" borderId="75" xfId="0" applyFont="1" applyFill="1" applyBorder="1" applyAlignment="1">
      <alignment horizontal="center" vertical="center"/>
    </xf>
    <xf numFmtId="0" fontId="15" fillId="2" borderId="68" xfId="0" applyFont="1" applyFill="1" applyBorder="1" applyAlignment="1">
      <alignment horizontal="center" vertical="center"/>
    </xf>
    <xf numFmtId="0" fontId="15" fillId="2" borderId="69" xfId="0" applyFont="1" applyFill="1" applyBorder="1" applyAlignment="1">
      <alignment horizontal="center" vertical="center"/>
    </xf>
    <xf numFmtId="0" fontId="15" fillId="2" borderId="70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7" fillId="4" borderId="91" xfId="0" applyFont="1" applyFill="1" applyBorder="1" applyAlignment="1">
      <alignment horizontal="center" vertical="center"/>
    </xf>
    <xf numFmtId="0" fontId="27" fillId="4" borderId="92" xfId="0" applyFont="1" applyFill="1" applyBorder="1" applyAlignment="1">
      <alignment horizontal="center" vertical="center"/>
    </xf>
    <xf numFmtId="0" fontId="27" fillId="4" borderId="90" xfId="0" applyFont="1" applyFill="1" applyBorder="1" applyAlignment="1">
      <alignment horizontal="center" vertical="center"/>
    </xf>
    <xf numFmtId="0" fontId="27" fillId="4" borderId="93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 wrapText="1"/>
    </xf>
    <xf numFmtId="0" fontId="15" fillId="2" borderId="58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62" xfId="0" applyFont="1" applyFill="1" applyBorder="1" applyAlignment="1">
      <alignment horizontal="center" vertical="center" wrapText="1"/>
    </xf>
    <xf numFmtId="0" fontId="15" fillId="2" borderId="57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/>
    </xf>
    <xf numFmtId="0" fontId="15" fillId="2" borderId="12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  <xf numFmtId="0" fontId="15" fillId="2" borderId="60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31" xfId="0" applyFont="1" applyFill="1" applyBorder="1" applyAlignment="1">
      <alignment horizontal="center" vertical="center" wrapText="1"/>
    </xf>
    <xf numFmtId="0" fontId="15" fillId="2" borderId="83" xfId="0" applyFont="1" applyFill="1" applyBorder="1" applyAlignment="1">
      <alignment horizontal="center" vertical="center" wrapText="1"/>
    </xf>
    <xf numFmtId="0" fontId="15" fillId="2" borderId="132" xfId="0" applyFont="1" applyFill="1" applyBorder="1" applyAlignment="1">
      <alignment horizontal="center" vertical="center" wrapText="1"/>
    </xf>
    <xf numFmtId="0" fontId="16" fillId="2" borderId="57" xfId="0" applyFont="1" applyFill="1" applyBorder="1" applyAlignment="1">
      <alignment horizontal="center" vertical="center" wrapText="1"/>
    </xf>
    <xf numFmtId="0" fontId="16" fillId="2" borderId="59" xfId="0" applyFont="1" applyFill="1" applyBorder="1" applyAlignment="1">
      <alignment horizontal="center" vertical="center" wrapText="1"/>
    </xf>
    <xf numFmtId="0" fontId="15" fillId="2" borderId="130" xfId="0" applyFont="1" applyFill="1" applyBorder="1" applyAlignment="1">
      <alignment horizontal="center" vertical="center" wrapText="1"/>
    </xf>
    <xf numFmtId="0" fontId="15" fillId="2" borderId="81" xfId="0" applyFont="1" applyFill="1" applyBorder="1" applyAlignment="1">
      <alignment horizontal="center" vertical="center" wrapText="1"/>
    </xf>
    <xf numFmtId="0" fontId="15" fillId="2" borderId="85" xfId="0" applyFont="1" applyFill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0000FF"/>
      <color rgb="FF0000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showGridLines="0" tabSelected="1" zoomScaleNormal="100" workbookViewId="0">
      <selection activeCell="B2" sqref="B2:R3"/>
    </sheetView>
  </sheetViews>
  <sheetFormatPr defaultColWidth="8.69921875" defaultRowHeight="13.8"/>
  <cols>
    <col min="1" max="1" width="1.09765625" style="1" customWidth="1"/>
    <col min="2" max="2" width="8.3984375" style="1" customWidth="1"/>
    <col min="3" max="3" width="8.5" style="1" customWidth="1"/>
    <col min="4" max="71" width="6.09765625" style="1" customWidth="1"/>
    <col min="72" max="16384" width="8.69921875" style="1"/>
  </cols>
  <sheetData>
    <row r="1" spans="1:18" ht="10.5" customHeight="1">
      <c r="A1" s="1" t="s">
        <v>24</v>
      </c>
    </row>
    <row r="2" spans="1:18" s="2" customFormat="1" ht="15" customHeight="1">
      <c r="B2" s="215" t="s">
        <v>49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 spans="1:18" s="2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4" spans="1:18" s="2" customFormat="1" ht="15" customHeight="1">
      <c r="R4" s="3"/>
    </row>
    <row r="5" spans="1:18" s="2" customFormat="1" ht="18" customHeight="1">
      <c r="B5" s="4" t="s">
        <v>0</v>
      </c>
      <c r="M5" s="4"/>
    </row>
    <row r="6" spans="1:18" s="2" customFormat="1" ht="18" customHeight="1">
      <c r="B6" s="210" t="s">
        <v>1</v>
      </c>
      <c r="C6" s="210"/>
      <c r="D6" s="210" t="s">
        <v>2</v>
      </c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</row>
    <row r="7" spans="1:18" s="2" customFormat="1" ht="18" customHeight="1">
      <c r="B7" s="214" t="s">
        <v>4</v>
      </c>
      <c r="C7" s="214"/>
      <c r="D7" s="5" t="s">
        <v>69</v>
      </c>
      <c r="E7" s="5"/>
      <c r="F7" s="5"/>
      <c r="G7" s="5"/>
      <c r="H7" s="5"/>
      <c r="I7" s="5"/>
      <c r="J7" s="5"/>
      <c r="K7" s="5"/>
      <c r="L7" s="5"/>
      <c r="M7" s="4"/>
    </row>
    <row r="8" spans="1:18" s="2" customFormat="1" ht="18" customHeight="1">
      <c r="B8" s="214" t="s">
        <v>5</v>
      </c>
      <c r="C8" s="214"/>
      <c r="D8" s="5" t="s">
        <v>70</v>
      </c>
      <c r="E8" s="5"/>
      <c r="F8" s="5"/>
      <c r="G8" s="5"/>
      <c r="H8" s="5"/>
      <c r="I8" s="5"/>
      <c r="J8" s="5"/>
      <c r="K8" s="5"/>
      <c r="L8" s="5"/>
      <c r="M8" s="4"/>
    </row>
    <row r="9" spans="1:18" s="2" customFormat="1" ht="18" customHeight="1">
      <c r="B9" s="214" t="s">
        <v>3</v>
      </c>
      <c r="C9" s="214"/>
      <c r="D9" s="5" t="s">
        <v>71</v>
      </c>
      <c r="E9" s="5"/>
      <c r="F9" s="5"/>
      <c r="G9" s="5"/>
      <c r="H9" s="5"/>
      <c r="I9" s="5"/>
      <c r="J9" s="5"/>
      <c r="K9" s="5"/>
      <c r="L9" s="5"/>
      <c r="M9" s="4"/>
    </row>
    <row r="10" spans="1:18" s="2" customFormat="1" ht="18" customHeight="1">
      <c r="B10" s="6"/>
      <c r="C10" s="6"/>
      <c r="D10" s="5" t="s">
        <v>74</v>
      </c>
      <c r="E10" s="5"/>
      <c r="F10" s="5"/>
      <c r="G10" s="5"/>
      <c r="H10" s="5"/>
      <c r="I10" s="5"/>
      <c r="J10" s="5"/>
      <c r="K10" s="5"/>
      <c r="L10" s="5"/>
      <c r="M10" s="4"/>
    </row>
    <row r="11" spans="1:18" s="2" customFormat="1" ht="18" customHeight="1">
      <c r="B11" s="6"/>
      <c r="C11" s="6"/>
      <c r="D11" s="5" t="s">
        <v>72</v>
      </c>
      <c r="E11" s="5"/>
      <c r="F11" s="5"/>
      <c r="G11" s="5"/>
      <c r="H11" s="5"/>
      <c r="I11" s="5"/>
      <c r="J11" s="5"/>
      <c r="K11" s="5"/>
      <c r="L11" s="5"/>
      <c r="M11" s="4"/>
    </row>
    <row r="12" spans="1:18" s="2" customFormat="1" ht="18" customHeight="1">
      <c r="B12" s="6"/>
      <c r="C12" s="6"/>
      <c r="D12" s="5" t="s">
        <v>73</v>
      </c>
      <c r="E12" s="5"/>
      <c r="F12" s="5"/>
      <c r="G12" s="5"/>
      <c r="H12" s="5"/>
      <c r="I12" s="5"/>
      <c r="J12" s="5"/>
      <c r="K12" s="5"/>
      <c r="L12" s="5"/>
      <c r="M12" s="4"/>
    </row>
    <row r="13" spans="1:18" s="2" customFormat="1" ht="18" customHeight="1">
      <c r="B13" s="214" t="s">
        <v>6</v>
      </c>
      <c r="C13" s="214"/>
      <c r="D13" s="5"/>
      <c r="E13" s="5"/>
      <c r="F13" s="5"/>
      <c r="G13" s="5"/>
      <c r="H13" s="5"/>
      <c r="I13" s="5"/>
      <c r="J13" s="5"/>
      <c r="K13" s="5"/>
      <c r="L13" s="5"/>
      <c r="M13" s="4"/>
    </row>
    <row r="14" spans="1:18" s="2" customFormat="1" ht="18" customHeight="1">
      <c r="B14" s="26" t="s">
        <v>88</v>
      </c>
      <c r="C14" s="7"/>
      <c r="D14" s="26" t="s">
        <v>89</v>
      </c>
      <c r="E14" s="7"/>
      <c r="F14" s="7"/>
      <c r="G14" s="7"/>
      <c r="H14" s="7"/>
      <c r="I14" s="7"/>
      <c r="J14" s="5"/>
      <c r="K14" s="5"/>
      <c r="L14" s="5"/>
      <c r="M14" s="4"/>
    </row>
    <row r="15" spans="1:18" s="2" customFormat="1" ht="18" customHeight="1">
      <c r="B15" s="5"/>
      <c r="C15" s="5"/>
      <c r="D15" s="5" t="s">
        <v>159</v>
      </c>
      <c r="E15" s="6"/>
      <c r="F15" s="5"/>
      <c r="G15" s="5"/>
      <c r="H15" s="5"/>
      <c r="I15" s="5"/>
      <c r="J15" s="5"/>
      <c r="K15" s="5"/>
      <c r="L15" s="5"/>
      <c r="M15" s="4"/>
    </row>
    <row r="16" spans="1:18" s="2" customFormat="1" ht="18" customHeight="1">
      <c r="B16" s="5"/>
      <c r="C16" s="5"/>
      <c r="D16" s="5" t="s">
        <v>76</v>
      </c>
      <c r="E16" s="6"/>
      <c r="F16" s="5"/>
      <c r="G16" s="5"/>
      <c r="H16" s="5"/>
      <c r="I16" s="5"/>
      <c r="J16" s="5"/>
      <c r="K16" s="5"/>
      <c r="L16" s="5"/>
      <c r="M16" s="4"/>
    </row>
    <row r="17" spans="2:18" s="2" customFormat="1" ht="18" customHeight="1">
      <c r="B17" s="5"/>
      <c r="C17" s="5"/>
      <c r="D17" s="5" t="s">
        <v>90</v>
      </c>
      <c r="E17" s="6"/>
      <c r="F17" s="5"/>
      <c r="G17" s="5"/>
      <c r="H17" s="5"/>
      <c r="I17" s="5"/>
      <c r="J17" s="5"/>
      <c r="K17" s="5"/>
      <c r="L17" s="5"/>
      <c r="M17" s="4"/>
    </row>
    <row r="18" spans="2:18" s="2" customFormat="1" ht="18" customHeight="1">
      <c r="B18" s="26" t="s">
        <v>78</v>
      </c>
      <c r="C18" s="26"/>
      <c r="D18" s="26" t="s">
        <v>75</v>
      </c>
      <c r="E18" s="26"/>
      <c r="F18" s="26"/>
      <c r="G18" s="26"/>
      <c r="H18" s="26"/>
      <c r="I18" s="26"/>
      <c r="J18" s="5"/>
      <c r="K18" s="5"/>
      <c r="L18" s="5"/>
      <c r="M18" s="4"/>
    </row>
    <row r="19" spans="2:18" s="2" customFormat="1" ht="18" customHeight="1">
      <c r="B19" s="5"/>
      <c r="C19" s="5"/>
      <c r="D19" s="5" t="s">
        <v>160</v>
      </c>
      <c r="E19" s="6"/>
      <c r="F19" s="6"/>
      <c r="G19" s="6"/>
      <c r="H19" s="6"/>
      <c r="I19" s="5"/>
      <c r="J19" s="5"/>
      <c r="K19" s="5"/>
      <c r="L19" s="5"/>
      <c r="M19" s="4"/>
    </row>
    <row r="20" spans="2:18" s="2" customFormat="1" ht="18" customHeight="1">
      <c r="B20" s="5"/>
      <c r="C20" s="5"/>
      <c r="D20" s="5" t="s">
        <v>77</v>
      </c>
      <c r="E20" s="6"/>
      <c r="F20" s="5"/>
      <c r="G20" s="5"/>
      <c r="H20" s="5"/>
      <c r="I20" s="5"/>
      <c r="J20" s="5"/>
      <c r="K20" s="5"/>
      <c r="L20" s="5"/>
      <c r="M20" s="4"/>
    </row>
    <row r="21" spans="2:18" s="2" customFormat="1" ht="18" customHeight="1">
      <c r="B21" s="8"/>
      <c r="C21" s="8"/>
      <c r="D21" s="9"/>
      <c r="E21" s="8"/>
      <c r="F21" s="8"/>
      <c r="G21" s="8"/>
      <c r="H21" s="8"/>
      <c r="I21" s="8"/>
      <c r="J21" s="8"/>
      <c r="K21" s="8"/>
      <c r="L21" s="8"/>
      <c r="M21" s="10"/>
      <c r="N21" s="11"/>
      <c r="O21" s="11"/>
      <c r="P21" s="11"/>
      <c r="Q21" s="11"/>
      <c r="R21" s="11"/>
    </row>
    <row r="23" spans="2:18">
      <c r="B23" s="4" t="s">
        <v>47</v>
      </c>
      <c r="C23" s="2"/>
      <c r="D23" s="2"/>
      <c r="E23" s="2"/>
      <c r="F23" s="2"/>
      <c r="G23" s="2"/>
      <c r="H23" s="2"/>
      <c r="I23" s="2"/>
      <c r="J23" s="2"/>
      <c r="K23" s="2"/>
      <c r="Q23" s="217" t="s">
        <v>31</v>
      </c>
      <c r="R23" s="217"/>
    </row>
    <row r="24" spans="2:18">
      <c r="B24" s="218" t="s">
        <v>1</v>
      </c>
      <c r="C24" s="218"/>
      <c r="D24" s="218"/>
      <c r="E24" s="218" t="s">
        <v>50</v>
      </c>
      <c r="F24" s="218"/>
      <c r="G24" s="218" t="s">
        <v>51</v>
      </c>
      <c r="H24" s="218"/>
      <c r="I24" s="218" t="s">
        <v>66</v>
      </c>
      <c r="J24" s="218"/>
      <c r="K24" s="218"/>
      <c r="L24" s="218"/>
      <c r="M24" s="218"/>
      <c r="N24" s="218"/>
      <c r="O24" s="218"/>
      <c r="P24" s="218"/>
      <c r="Q24" s="218" t="s">
        <v>32</v>
      </c>
      <c r="R24" s="218"/>
    </row>
    <row r="25" spans="2:18">
      <c r="B25" s="12" t="s">
        <v>33</v>
      </c>
      <c r="C25" s="12" t="s">
        <v>34</v>
      </c>
      <c r="D25" s="13" t="s">
        <v>35</v>
      </c>
      <c r="E25" s="213">
        <v>43000</v>
      </c>
      <c r="F25" s="213"/>
      <c r="G25" s="213">
        <v>50000</v>
      </c>
      <c r="H25" s="213"/>
      <c r="I25" s="213">
        <v>6000</v>
      </c>
      <c r="J25" s="213"/>
      <c r="K25" s="213"/>
      <c r="L25" s="213"/>
      <c r="M25" s="213"/>
      <c r="N25" s="213"/>
      <c r="O25" s="213"/>
      <c r="P25" s="213"/>
      <c r="Q25" s="213"/>
      <c r="R25" s="213"/>
    </row>
    <row r="26" spans="2:18">
      <c r="B26" s="14"/>
      <c r="C26" s="14"/>
      <c r="D26" s="15" t="s">
        <v>36</v>
      </c>
      <c r="E26" s="211">
        <v>26000</v>
      </c>
      <c r="F26" s="211"/>
      <c r="G26" s="211">
        <v>40000</v>
      </c>
      <c r="H26" s="211"/>
      <c r="I26" s="211">
        <v>6000</v>
      </c>
      <c r="J26" s="211"/>
      <c r="K26" s="211"/>
      <c r="L26" s="211"/>
      <c r="M26" s="211"/>
      <c r="N26" s="211"/>
      <c r="O26" s="211"/>
      <c r="P26" s="211"/>
      <c r="Q26" s="211"/>
      <c r="R26" s="211"/>
    </row>
    <row r="27" spans="2:18">
      <c r="B27" s="14"/>
      <c r="C27" s="14" t="s">
        <v>54</v>
      </c>
      <c r="D27" s="15" t="s">
        <v>35</v>
      </c>
      <c r="E27" s="211">
        <v>43000</v>
      </c>
      <c r="F27" s="211"/>
      <c r="G27" s="211">
        <v>55000</v>
      </c>
      <c r="H27" s="211"/>
      <c r="I27" s="211">
        <v>6000</v>
      </c>
      <c r="J27" s="211"/>
      <c r="K27" s="211"/>
      <c r="L27" s="211"/>
      <c r="M27" s="211"/>
      <c r="N27" s="211"/>
      <c r="O27" s="211"/>
      <c r="P27" s="211"/>
      <c r="Q27" s="211"/>
      <c r="R27" s="211"/>
    </row>
    <row r="28" spans="2:18">
      <c r="B28" s="16"/>
      <c r="C28" s="16"/>
      <c r="D28" s="17" t="s">
        <v>36</v>
      </c>
      <c r="E28" s="212">
        <v>26000</v>
      </c>
      <c r="F28" s="212"/>
      <c r="G28" s="212">
        <v>45000</v>
      </c>
      <c r="H28" s="212"/>
      <c r="I28" s="212">
        <v>6000</v>
      </c>
      <c r="J28" s="212"/>
      <c r="K28" s="212"/>
      <c r="L28" s="212"/>
      <c r="M28" s="212"/>
      <c r="N28" s="212"/>
      <c r="O28" s="212"/>
      <c r="P28" s="212"/>
      <c r="Q28" s="212"/>
      <c r="R28" s="212"/>
    </row>
    <row r="30" spans="2:18">
      <c r="B30" s="4" t="s">
        <v>48</v>
      </c>
    </row>
    <row r="31" spans="2:18">
      <c r="B31" s="210" t="s">
        <v>1</v>
      </c>
      <c r="C31" s="210"/>
      <c r="D31" s="210" t="s">
        <v>37</v>
      </c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</row>
    <row r="32" spans="2:18">
      <c r="B32" s="18" t="s">
        <v>13</v>
      </c>
      <c r="C32" s="18"/>
      <c r="D32" s="18" t="s">
        <v>23</v>
      </c>
      <c r="E32" s="18"/>
      <c r="F32" s="19" t="s">
        <v>23</v>
      </c>
      <c r="G32" s="2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2:19">
      <c r="B33" s="4"/>
      <c r="C33" s="4"/>
      <c r="D33" s="4" t="s">
        <v>19</v>
      </c>
      <c r="E33" s="4"/>
      <c r="F33" s="21" t="s">
        <v>19</v>
      </c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2:19">
      <c r="B34" s="4"/>
      <c r="C34" s="4"/>
      <c r="D34" s="4" t="s">
        <v>20</v>
      </c>
      <c r="E34" s="21"/>
      <c r="F34" s="21" t="s">
        <v>20</v>
      </c>
      <c r="G34" s="2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2:19">
      <c r="B35" s="4"/>
      <c r="C35" s="4"/>
      <c r="D35" s="4" t="s">
        <v>93</v>
      </c>
      <c r="E35" s="21"/>
      <c r="F35" s="21">
        <v>46219</v>
      </c>
      <c r="G35" s="2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2:19">
      <c r="B36" s="4"/>
      <c r="C36" s="4"/>
      <c r="D36" s="4" t="s">
        <v>94</v>
      </c>
      <c r="E36" s="21"/>
      <c r="F36" s="21" t="s">
        <v>99</v>
      </c>
      <c r="G36" s="2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9">
      <c r="B37" s="4"/>
      <c r="C37" s="4"/>
      <c r="D37" s="4" t="s">
        <v>95</v>
      </c>
      <c r="E37" s="21"/>
      <c r="F37" s="21" t="s">
        <v>100</v>
      </c>
      <c r="G37" s="2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2:19">
      <c r="B38" s="4"/>
      <c r="C38" s="4"/>
      <c r="D38" s="4" t="s">
        <v>96</v>
      </c>
      <c r="E38" s="21"/>
      <c r="F38" s="21" t="s">
        <v>110</v>
      </c>
      <c r="G38" s="2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2:19" s="27" customFormat="1">
      <c r="D39" s="28" t="s">
        <v>97</v>
      </c>
      <c r="E39" s="28"/>
      <c r="F39" s="28" t="s">
        <v>116</v>
      </c>
    </row>
    <row r="40" spans="2:19">
      <c r="B40" s="10"/>
      <c r="C40" s="10"/>
      <c r="D40" s="10" t="s">
        <v>98</v>
      </c>
      <c r="E40" s="23"/>
      <c r="F40" s="23" t="s">
        <v>111</v>
      </c>
      <c r="G40" s="24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2:19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3" spans="2:19">
      <c r="B43" s="219" t="s">
        <v>7</v>
      </c>
      <c r="C43" s="219"/>
      <c r="D43" s="220"/>
      <c r="E43" s="221" t="s">
        <v>38</v>
      </c>
      <c r="F43" s="220"/>
      <c r="G43" s="221" t="s">
        <v>39</v>
      </c>
      <c r="H43" s="220"/>
      <c r="I43" s="221" t="s">
        <v>40</v>
      </c>
      <c r="J43" s="220"/>
      <c r="K43" s="221" t="s">
        <v>41</v>
      </c>
      <c r="L43" s="220"/>
      <c r="M43" s="221" t="s">
        <v>42</v>
      </c>
      <c r="N43" s="220"/>
      <c r="O43" s="221" t="s">
        <v>43</v>
      </c>
      <c r="P43" s="220"/>
      <c r="Q43" s="221" t="s">
        <v>44</v>
      </c>
      <c r="R43" s="219"/>
      <c r="S43" s="25"/>
    </row>
    <row r="44" spans="2:19">
      <c r="B44" s="222" t="s">
        <v>60</v>
      </c>
      <c r="C44" s="222"/>
      <c r="D44" s="223"/>
      <c r="E44" s="228"/>
      <c r="F44" s="229"/>
      <c r="G44" s="230">
        <v>1</v>
      </c>
      <c r="H44" s="231"/>
      <c r="I44" s="230">
        <v>2</v>
      </c>
      <c r="J44" s="231"/>
      <c r="K44" s="230">
        <v>3</v>
      </c>
      <c r="L44" s="231"/>
      <c r="M44" s="230">
        <v>4</v>
      </c>
      <c r="N44" s="231"/>
      <c r="O44" s="230">
        <v>5</v>
      </c>
      <c r="P44" s="231"/>
      <c r="Q44" s="232">
        <v>6</v>
      </c>
      <c r="R44" s="233"/>
      <c r="S44" s="25"/>
    </row>
    <row r="45" spans="2:19">
      <c r="B45" s="224"/>
      <c r="C45" s="224"/>
      <c r="D45" s="225"/>
      <c r="E45" s="234"/>
      <c r="F45" s="235"/>
      <c r="G45" s="236" t="s">
        <v>23</v>
      </c>
      <c r="H45" s="237"/>
      <c r="I45" s="238" t="s">
        <v>23</v>
      </c>
      <c r="J45" s="239"/>
      <c r="K45" s="238" t="s">
        <v>23</v>
      </c>
      <c r="L45" s="239"/>
      <c r="M45" s="238" t="s">
        <v>23</v>
      </c>
      <c r="N45" s="239"/>
      <c r="O45" s="240" t="s">
        <v>22</v>
      </c>
      <c r="P45" s="241"/>
      <c r="Q45" s="240" t="s">
        <v>22</v>
      </c>
      <c r="R45" s="242"/>
      <c r="S45" s="25"/>
    </row>
    <row r="46" spans="2:19">
      <c r="B46" s="224"/>
      <c r="C46" s="224"/>
      <c r="D46" s="225"/>
      <c r="E46" s="243">
        <v>7</v>
      </c>
      <c r="F46" s="244"/>
      <c r="G46" s="243">
        <v>8</v>
      </c>
      <c r="H46" s="244"/>
      <c r="I46" s="243">
        <v>9</v>
      </c>
      <c r="J46" s="244"/>
      <c r="K46" s="243">
        <v>10</v>
      </c>
      <c r="L46" s="244"/>
      <c r="M46" s="245">
        <v>11</v>
      </c>
      <c r="N46" s="246"/>
      <c r="O46" s="245">
        <v>12</v>
      </c>
      <c r="P46" s="246"/>
      <c r="Q46" s="247">
        <v>13</v>
      </c>
      <c r="R46" s="248"/>
      <c r="S46" s="25"/>
    </row>
    <row r="47" spans="2:19">
      <c r="B47" s="224"/>
      <c r="C47" s="224"/>
      <c r="D47" s="225"/>
      <c r="E47" s="238" t="s">
        <v>23</v>
      </c>
      <c r="F47" s="239"/>
      <c r="G47" s="238" t="s">
        <v>23</v>
      </c>
      <c r="H47" s="239"/>
      <c r="I47" s="238" t="s">
        <v>23</v>
      </c>
      <c r="J47" s="239"/>
      <c r="K47" s="238" t="s">
        <v>23</v>
      </c>
      <c r="L47" s="239"/>
      <c r="M47" s="234" t="s">
        <v>23</v>
      </c>
      <c r="N47" s="235"/>
      <c r="O47" s="249" t="s">
        <v>43</v>
      </c>
      <c r="P47" s="250"/>
      <c r="Q47" s="251" t="s">
        <v>44</v>
      </c>
      <c r="R47" s="252"/>
      <c r="S47" s="25"/>
    </row>
    <row r="48" spans="2:19">
      <c r="B48" s="224"/>
      <c r="C48" s="224"/>
      <c r="D48" s="225"/>
      <c r="E48" s="245">
        <v>14</v>
      </c>
      <c r="F48" s="246"/>
      <c r="G48" s="245">
        <v>15</v>
      </c>
      <c r="H48" s="246"/>
      <c r="I48" s="245">
        <v>16</v>
      </c>
      <c r="J48" s="246"/>
      <c r="K48" s="245">
        <v>17</v>
      </c>
      <c r="L48" s="246"/>
      <c r="M48" s="245">
        <v>18</v>
      </c>
      <c r="N48" s="246"/>
      <c r="O48" s="245">
        <v>19</v>
      </c>
      <c r="P48" s="246"/>
      <c r="Q48" s="247">
        <v>20</v>
      </c>
      <c r="R48" s="248"/>
      <c r="S48" s="25"/>
    </row>
    <row r="49" spans="2:19">
      <c r="B49" s="224"/>
      <c r="C49" s="224"/>
      <c r="D49" s="225"/>
      <c r="E49" s="234" t="s">
        <v>23</v>
      </c>
      <c r="F49" s="235"/>
      <c r="G49" s="234" t="s">
        <v>23</v>
      </c>
      <c r="H49" s="235"/>
      <c r="I49" s="234" t="s">
        <v>23</v>
      </c>
      <c r="J49" s="235"/>
      <c r="K49" s="234" t="s">
        <v>23</v>
      </c>
      <c r="L49" s="235"/>
      <c r="M49" s="234" t="s">
        <v>23</v>
      </c>
      <c r="N49" s="235"/>
      <c r="O49" s="249" t="s">
        <v>43</v>
      </c>
      <c r="P49" s="250"/>
      <c r="Q49" s="251" t="s">
        <v>44</v>
      </c>
      <c r="R49" s="252"/>
      <c r="S49" s="25"/>
    </row>
    <row r="50" spans="2:19">
      <c r="B50" s="224"/>
      <c r="C50" s="224"/>
      <c r="D50" s="225"/>
      <c r="E50" s="245">
        <v>21</v>
      </c>
      <c r="F50" s="246"/>
      <c r="G50" s="245">
        <v>22</v>
      </c>
      <c r="H50" s="246"/>
      <c r="I50" s="245">
        <v>23</v>
      </c>
      <c r="J50" s="246"/>
      <c r="K50" s="245">
        <v>24</v>
      </c>
      <c r="L50" s="246"/>
      <c r="M50" s="245">
        <v>25</v>
      </c>
      <c r="N50" s="246"/>
      <c r="O50" s="245">
        <v>26</v>
      </c>
      <c r="P50" s="246"/>
      <c r="Q50" s="247">
        <v>27</v>
      </c>
      <c r="R50" s="248"/>
      <c r="S50" s="25"/>
    </row>
    <row r="51" spans="2:19">
      <c r="B51" s="224"/>
      <c r="C51" s="224"/>
      <c r="D51" s="225"/>
      <c r="E51" s="234" t="s">
        <v>23</v>
      </c>
      <c r="F51" s="235"/>
      <c r="G51" s="234" t="s">
        <v>23</v>
      </c>
      <c r="H51" s="235"/>
      <c r="I51" s="234" t="s">
        <v>23</v>
      </c>
      <c r="J51" s="235"/>
      <c r="K51" s="234" t="s">
        <v>23</v>
      </c>
      <c r="L51" s="235"/>
      <c r="M51" s="234" t="s">
        <v>23</v>
      </c>
      <c r="N51" s="235"/>
      <c r="O51" s="253" t="s">
        <v>43</v>
      </c>
      <c r="P51" s="254"/>
      <c r="Q51" s="251" t="s">
        <v>44</v>
      </c>
      <c r="R51" s="252"/>
      <c r="S51" s="25"/>
    </row>
    <row r="52" spans="2:19">
      <c r="B52" s="224"/>
      <c r="C52" s="224"/>
      <c r="D52" s="225"/>
      <c r="E52" s="245">
        <v>28</v>
      </c>
      <c r="F52" s="246"/>
      <c r="G52" s="245">
        <v>29</v>
      </c>
      <c r="H52" s="246"/>
      <c r="I52" s="245">
        <v>30</v>
      </c>
      <c r="J52" s="246"/>
      <c r="K52" s="245"/>
      <c r="L52" s="246"/>
      <c r="M52" s="245"/>
      <c r="N52" s="246"/>
      <c r="O52" s="245"/>
      <c r="P52" s="246"/>
      <c r="Q52" s="245"/>
      <c r="R52" s="255"/>
      <c r="S52" s="25"/>
    </row>
    <row r="53" spans="2:19">
      <c r="B53" s="226"/>
      <c r="C53" s="226"/>
      <c r="D53" s="227"/>
      <c r="E53" s="256" t="s">
        <v>23</v>
      </c>
      <c r="F53" s="257"/>
      <c r="G53" s="256" t="s">
        <v>23</v>
      </c>
      <c r="H53" s="257"/>
      <c r="I53" s="256" t="s">
        <v>23</v>
      </c>
      <c r="J53" s="257"/>
      <c r="K53" s="256"/>
      <c r="L53" s="257"/>
      <c r="M53" s="256"/>
      <c r="N53" s="257"/>
      <c r="O53" s="258"/>
      <c r="P53" s="259"/>
      <c r="Q53" s="258"/>
      <c r="R53" s="260"/>
      <c r="S53" s="25"/>
    </row>
    <row r="55" spans="2:19">
      <c r="B55" s="219" t="s">
        <v>7</v>
      </c>
      <c r="C55" s="219"/>
      <c r="D55" s="220"/>
      <c r="E55" s="221" t="s">
        <v>38</v>
      </c>
      <c r="F55" s="220"/>
      <c r="G55" s="221" t="s">
        <v>39</v>
      </c>
      <c r="H55" s="220"/>
      <c r="I55" s="221" t="s">
        <v>40</v>
      </c>
      <c r="J55" s="220"/>
      <c r="K55" s="221" t="s">
        <v>41</v>
      </c>
      <c r="L55" s="220"/>
      <c r="M55" s="221" t="s">
        <v>42</v>
      </c>
      <c r="N55" s="220"/>
      <c r="O55" s="221" t="s">
        <v>43</v>
      </c>
      <c r="P55" s="220"/>
      <c r="Q55" s="221" t="s">
        <v>44</v>
      </c>
      <c r="R55" s="219"/>
      <c r="S55" s="25"/>
    </row>
    <row r="56" spans="2:19">
      <c r="B56" s="222" t="s">
        <v>63</v>
      </c>
      <c r="C56" s="222"/>
      <c r="D56" s="223"/>
      <c r="E56" s="228"/>
      <c r="F56" s="229"/>
      <c r="G56" s="228"/>
      <c r="H56" s="229"/>
      <c r="I56" s="228"/>
      <c r="J56" s="229"/>
      <c r="K56" s="228">
        <v>1</v>
      </c>
      <c r="L56" s="229"/>
      <c r="M56" s="228">
        <v>2</v>
      </c>
      <c r="N56" s="229"/>
      <c r="O56" s="228">
        <v>3</v>
      </c>
      <c r="P56" s="229"/>
      <c r="Q56" s="261">
        <v>4</v>
      </c>
      <c r="R56" s="262"/>
      <c r="S56" s="25"/>
    </row>
    <row r="57" spans="2:19">
      <c r="B57" s="224"/>
      <c r="C57" s="224"/>
      <c r="D57" s="225"/>
      <c r="E57" s="234"/>
      <c r="F57" s="235"/>
      <c r="G57" s="263"/>
      <c r="H57" s="264"/>
      <c r="I57" s="234"/>
      <c r="J57" s="235"/>
      <c r="K57" s="234" t="s">
        <v>23</v>
      </c>
      <c r="L57" s="235"/>
      <c r="M57" s="234" t="s">
        <v>23</v>
      </c>
      <c r="N57" s="235"/>
      <c r="O57" s="249" t="s">
        <v>43</v>
      </c>
      <c r="P57" s="250"/>
      <c r="Q57" s="251" t="s">
        <v>44</v>
      </c>
      <c r="R57" s="252"/>
      <c r="S57" s="25"/>
    </row>
    <row r="58" spans="2:19">
      <c r="B58" s="224"/>
      <c r="C58" s="224"/>
      <c r="D58" s="225"/>
      <c r="E58" s="245">
        <v>5</v>
      </c>
      <c r="F58" s="246"/>
      <c r="G58" s="245">
        <v>6</v>
      </c>
      <c r="H58" s="246"/>
      <c r="I58" s="245">
        <v>7</v>
      </c>
      <c r="J58" s="246"/>
      <c r="K58" s="245">
        <v>8</v>
      </c>
      <c r="L58" s="246"/>
      <c r="M58" s="245">
        <v>9</v>
      </c>
      <c r="N58" s="246"/>
      <c r="O58" s="245">
        <v>10</v>
      </c>
      <c r="P58" s="246"/>
      <c r="Q58" s="247">
        <v>11</v>
      </c>
      <c r="R58" s="248"/>
      <c r="S58" s="25"/>
    </row>
    <row r="59" spans="2:19">
      <c r="B59" s="224"/>
      <c r="C59" s="224"/>
      <c r="D59" s="225"/>
      <c r="E59" s="234" t="s">
        <v>23</v>
      </c>
      <c r="F59" s="235"/>
      <c r="G59" s="234" t="s">
        <v>23</v>
      </c>
      <c r="H59" s="235"/>
      <c r="I59" s="234" t="s">
        <v>23</v>
      </c>
      <c r="J59" s="235"/>
      <c r="K59" s="234" t="s">
        <v>23</v>
      </c>
      <c r="L59" s="235"/>
      <c r="M59" s="234" t="s">
        <v>23</v>
      </c>
      <c r="N59" s="235"/>
      <c r="O59" s="249" t="s">
        <v>43</v>
      </c>
      <c r="P59" s="250"/>
      <c r="Q59" s="251" t="s">
        <v>44</v>
      </c>
      <c r="R59" s="252"/>
      <c r="S59" s="25"/>
    </row>
    <row r="60" spans="2:19">
      <c r="B60" s="224"/>
      <c r="C60" s="224"/>
      <c r="D60" s="225"/>
      <c r="E60" s="245">
        <v>12</v>
      </c>
      <c r="F60" s="246"/>
      <c r="G60" s="245">
        <v>13</v>
      </c>
      <c r="H60" s="246"/>
      <c r="I60" s="245">
        <v>14</v>
      </c>
      <c r="J60" s="246"/>
      <c r="K60" s="245">
        <v>15</v>
      </c>
      <c r="L60" s="246"/>
      <c r="M60" s="247">
        <v>16</v>
      </c>
      <c r="N60" s="265"/>
      <c r="O60" s="245">
        <v>17</v>
      </c>
      <c r="P60" s="246"/>
      <c r="Q60" s="247">
        <v>18</v>
      </c>
      <c r="R60" s="248"/>
      <c r="S60" s="25"/>
    </row>
    <row r="61" spans="2:19">
      <c r="B61" s="224"/>
      <c r="C61" s="224"/>
      <c r="D61" s="225"/>
      <c r="E61" s="234" t="s">
        <v>23</v>
      </c>
      <c r="F61" s="235"/>
      <c r="G61" s="234" t="s">
        <v>23</v>
      </c>
      <c r="H61" s="235"/>
      <c r="I61" s="234" t="s">
        <v>23</v>
      </c>
      <c r="J61" s="235"/>
      <c r="K61" s="234" t="s">
        <v>23</v>
      </c>
      <c r="L61" s="235"/>
      <c r="M61" s="266" t="s">
        <v>22</v>
      </c>
      <c r="N61" s="267"/>
      <c r="O61" s="249" t="s">
        <v>121</v>
      </c>
      <c r="P61" s="250"/>
      <c r="Q61" s="251" t="s">
        <v>118</v>
      </c>
      <c r="R61" s="252"/>
      <c r="S61" s="25"/>
    </row>
    <row r="62" spans="2:19">
      <c r="B62" s="224"/>
      <c r="C62" s="224"/>
      <c r="D62" s="225"/>
      <c r="E62" s="245">
        <v>19</v>
      </c>
      <c r="F62" s="246"/>
      <c r="G62" s="245">
        <v>20</v>
      </c>
      <c r="H62" s="246"/>
      <c r="I62" s="245">
        <v>21</v>
      </c>
      <c r="J62" s="246"/>
      <c r="K62" s="245">
        <v>22</v>
      </c>
      <c r="L62" s="246"/>
      <c r="M62" s="245">
        <v>23</v>
      </c>
      <c r="N62" s="246"/>
      <c r="O62" s="245">
        <v>24</v>
      </c>
      <c r="P62" s="246"/>
      <c r="Q62" s="247">
        <v>25</v>
      </c>
      <c r="R62" s="248"/>
      <c r="S62" s="25"/>
    </row>
    <row r="63" spans="2:19">
      <c r="B63" s="224"/>
      <c r="C63" s="224"/>
      <c r="D63" s="225"/>
      <c r="E63" s="268" t="s">
        <v>120</v>
      </c>
      <c r="F63" s="269"/>
      <c r="G63" s="268" t="s">
        <v>120</v>
      </c>
      <c r="H63" s="269"/>
      <c r="I63" s="268" t="s">
        <v>120</v>
      </c>
      <c r="J63" s="269"/>
      <c r="K63" s="268" t="s">
        <v>120</v>
      </c>
      <c r="L63" s="269"/>
      <c r="M63" s="268" t="s">
        <v>120</v>
      </c>
      <c r="N63" s="269"/>
      <c r="O63" s="270" t="s">
        <v>122</v>
      </c>
      <c r="P63" s="271"/>
      <c r="Q63" s="270" t="s">
        <v>122</v>
      </c>
      <c r="R63" s="272"/>
      <c r="S63" s="25"/>
    </row>
    <row r="64" spans="2:19">
      <c r="B64" s="224"/>
      <c r="C64" s="224"/>
      <c r="D64" s="225"/>
      <c r="E64" s="245">
        <v>26</v>
      </c>
      <c r="F64" s="246"/>
      <c r="G64" s="245">
        <v>27</v>
      </c>
      <c r="H64" s="246"/>
      <c r="I64" s="245">
        <v>28</v>
      </c>
      <c r="J64" s="246"/>
      <c r="K64" s="245">
        <v>29</v>
      </c>
      <c r="L64" s="246"/>
      <c r="M64" s="245">
        <v>30</v>
      </c>
      <c r="N64" s="246"/>
      <c r="O64" s="245">
        <v>31</v>
      </c>
      <c r="P64" s="246"/>
      <c r="Q64" s="245"/>
      <c r="R64" s="255"/>
      <c r="S64" s="25"/>
    </row>
    <row r="65" spans="2:19">
      <c r="B65" s="226"/>
      <c r="C65" s="226"/>
      <c r="D65" s="227"/>
      <c r="E65" s="273" t="s">
        <v>122</v>
      </c>
      <c r="F65" s="274"/>
      <c r="G65" s="273" t="s">
        <v>122</v>
      </c>
      <c r="H65" s="274"/>
      <c r="I65" s="273" t="s">
        <v>123</v>
      </c>
      <c r="J65" s="274"/>
      <c r="K65" s="273" t="s">
        <v>122</v>
      </c>
      <c r="L65" s="274"/>
      <c r="M65" s="273" t="s">
        <v>123</v>
      </c>
      <c r="N65" s="274"/>
      <c r="O65" s="273" t="s">
        <v>123</v>
      </c>
      <c r="P65" s="274"/>
      <c r="Q65" s="258"/>
      <c r="R65" s="260"/>
      <c r="S65" s="25"/>
    </row>
    <row r="67" spans="2:19">
      <c r="B67" s="219" t="s">
        <v>7</v>
      </c>
      <c r="C67" s="219"/>
      <c r="D67" s="220"/>
      <c r="E67" s="221" t="s">
        <v>38</v>
      </c>
      <c r="F67" s="220"/>
      <c r="G67" s="221" t="s">
        <v>39</v>
      </c>
      <c r="H67" s="220"/>
      <c r="I67" s="221" t="s">
        <v>40</v>
      </c>
      <c r="J67" s="220"/>
      <c r="K67" s="221" t="s">
        <v>41</v>
      </c>
      <c r="L67" s="220"/>
      <c r="M67" s="221" t="s">
        <v>42</v>
      </c>
      <c r="N67" s="220"/>
      <c r="O67" s="221" t="s">
        <v>43</v>
      </c>
      <c r="P67" s="220"/>
      <c r="Q67" s="221" t="s">
        <v>44</v>
      </c>
      <c r="R67" s="219"/>
      <c r="S67" s="25"/>
    </row>
    <row r="68" spans="2:19">
      <c r="B68" s="222" t="s">
        <v>117</v>
      </c>
      <c r="C68" s="222"/>
      <c r="D68" s="223"/>
      <c r="E68" s="228"/>
      <c r="F68" s="229"/>
      <c r="G68" s="228"/>
      <c r="H68" s="229"/>
      <c r="I68" s="228"/>
      <c r="J68" s="229"/>
      <c r="K68" s="228"/>
      <c r="L68" s="229"/>
      <c r="M68" s="228"/>
      <c r="N68" s="229"/>
      <c r="O68" s="228"/>
      <c r="P68" s="229"/>
      <c r="Q68" s="261">
        <v>1</v>
      </c>
      <c r="R68" s="262"/>
      <c r="S68" s="25"/>
    </row>
    <row r="69" spans="2:19">
      <c r="B69" s="224"/>
      <c r="C69" s="224"/>
      <c r="D69" s="225"/>
      <c r="E69" s="234"/>
      <c r="F69" s="235"/>
      <c r="G69" s="263"/>
      <c r="H69" s="264"/>
      <c r="I69" s="234"/>
      <c r="J69" s="235"/>
      <c r="K69" s="234"/>
      <c r="L69" s="235"/>
      <c r="M69" s="234"/>
      <c r="N69" s="235"/>
      <c r="O69" s="249"/>
      <c r="P69" s="250"/>
      <c r="Q69" s="270" t="s">
        <v>123</v>
      </c>
      <c r="R69" s="272"/>
      <c r="S69" s="25"/>
    </row>
    <row r="70" spans="2:19">
      <c r="B70" s="224"/>
      <c r="C70" s="224"/>
      <c r="D70" s="225"/>
      <c r="E70" s="245">
        <v>2</v>
      </c>
      <c r="F70" s="246"/>
      <c r="G70" s="245">
        <v>3</v>
      </c>
      <c r="H70" s="246"/>
      <c r="I70" s="245">
        <v>4</v>
      </c>
      <c r="J70" s="246"/>
      <c r="K70" s="245">
        <v>5</v>
      </c>
      <c r="L70" s="246"/>
      <c r="M70" s="245">
        <v>6</v>
      </c>
      <c r="N70" s="246"/>
      <c r="O70" s="245">
        <v>7</v>
      </c>
      <c r="P70" s="246"/>
      <c r="Q70" s="247">
        <v>8</v>
      </c>
      <c r="R70" s="248"/>
      <c r="S70" s="25"/>
    </row>
    <row r="71" spans="2:19">
      <c r="B71" s="224"/>
      <c r="C71" s="224"/>
      <c r="D71" s="225"/>
      <c r="E71" s="275" t="s">
        <v>126</v>
      </c>
      <c r="F71" s="276"/>
      <c r="G71" s="275" t="s">
        <v>127</v>
      </c>
      <c r="H71" s="276"/>
      <c r="I71" s="275" t="s">
        <v>127</v>
      </c>
      <c r="J71" s="276"/>
      <c r="K71" s="275" t="s">
        <v>128</v>
      </c>
      <c r="L71" s="276"/>
      <c r="M71" s="275" t="s">
        <v>126</v>
      </c>
      <c r="N71" s="276"/>
      <c r="O71" s="249" t="s">
        <v>121</v>
      </c>
      <c r="P71" s="250"/>
      <c r="Q71" s="266" t="s">
        <v>97</v>
      </c>
      <c r="R71" s="277"/>
      <c r="S71" s="25"/>
    </row>
    <row r="72" spans="2:19">
      <c r="B72" s="224"/>
      <c r="C72" s="224"/>
      <c r="D72" s="225"/>
      <c r="E72" s="245">
        <v>9</v>
      </c>
      <c r="F72" s="246"/>
      <c r="G72" s="245">
        <v>10</v>
      </c>
      <c r="H72" s="246"/>
      <c r="I72" s="245">
        <v>11</v>
      </c>
      <c r="J72" s="246"/>
      <c r="K72" s="245">
        <v>12</v>
      </c>
      <c r="L72" s="246"/>
      <c r="M72" s="245">
        <v>13</v>
      </c>
      <c r="N72" s="246"/>
      <c r="O72" s="247">
        <v>14</v>
      </c>
      <c r="P72" s="265"/>
      <c r="Q72" s="247">
        <v>15</v>
      </c>
      <c r="R72" s="248"/>
      <c r="S72" s="25"/>
    </row>
    <row r="73" spans="2:19">
      <c r="B73" s="224"/>
      <c r="C73" s="224"/>
      <c r="D73" s="225"/>
      <c r="E73" s="275" t="s">
        <v>127</v>
      </c>
      <c r="F73" s="276"/>
      <c r="G73" s="275" t="s">
        <v>128</v>
      </c>
      <c r="H73" s="276"/>
      <c r="I73" s="275" t="s">
        <v>127</v>
      </c>
      <c r="J73" s="276"/>
      <c r="K73" s="275" t="s">
        <v>129</v>
      </c>
      <c r="L73" s="276"/>
      <c r="M73" s="275" t="s">
        <v>128</v>
      </c>
      <c r="N73" s="276"/>
      <c r="O73" s="266" t="s">
        <v>97</v>
      </c>
      <c r="P73" s="267"/>
      <c r="Q73" s="266" t="s">
        <v>118</v>
      </c>
      <c r="R73" s="277"/>
      <c r="S73" s="25"/>
    </row>
    <row r="74" spans="2:19">
      <c r="B74" s="224"/>
      <c r="C74" s="224"/>
      <c r="D74" s="225"/>
      <c r="E74" s="247">
        <v>16</v>
      </c>
      <c r="F74" s="265"/>
      <c r="G74" s="245">
        <v>17</v>
      </c>
      <c r="H74" s="246"/>
      <c r="I74" s="245">
        <v>18</v>
      </c>
      <c r="J74" s="246"/>
      <c r="K74" s="245">
        <v>19</v>
      </c>
      <c r="L74" s="246"/>
      <c r="M74" s="245">
        <v>20</v>
      </c>
      <c r="N74" s="246"/>
      <c r="O74" s="245">
        <v>21</v>
      </c>
      <c r="P74" s="246"/>
      <c r="Q74" s="247">
        <v>22</v>
      </c>
      <c r="R74" s="248"/>
      <c r="S74" s="25"/>
    </row>
    <row r="75" spans="2:19" ht="24.6" customHeight="1">
      <c r="B75" s="224"/>
      <c r="C75" s="224"/>
      <c r="D75" s="225"/>
      <c r="E75" s="266" t="s">
        <v>119</v>
      </c>
      <c r="F75" s="267"/>
      <c r="G75" s="268" t="s">
        <v>120</v>
      </c>
      <c r="H75" s="269"/>
      <c r="I75" s="268" t="s">
        <v>124</v>
      </c>
      <c r="J75" s="269"/>
      <c r="K75" s="268" t="s">
        <v>124</v>
      </c>
      <c r="L75" s="269"/>
      <c r="M75" s="268" t="s">
        <v>125</v>
      </c>
      <c r="N75" s="269"/>
      <c r="O75" s="253" t="s">
        <v>130</v>
      </c>
      <c r="P75" s="254"/>
      <c r="Q75" s="278" t="s">
        <v>131</v>
      </c>
      <c r="R75" s="277"/>
      <c r="S75" s="25"/>
    </row>
    <row r="76" spans="2:19">
      <c r="B76" s="224"/>
      <c r="C76" s="224"/>
      <c r="D76" s="225"/>
      <c r="E76" s="245">
        <v>23</v>
      </c>
      <c r="F76" s="246"/>
      <c r="G76" s="245">
        <v>24</v>
      </c>
      <c r="H76" s="246"/>
      <c r="I76" s="245">
        <v>25</v>
      </c>
      <c r="J76" s="246"/>
      <c r="K76" s="245">
        <v>26</v>
      </c>
      <c r="L76" s="246"/>
      <c r="M76" s="245">
        <v>27</v>
      </c>
      <c r="N76" s="246"/>
      <c r="O76" s="245">
        <v>28</v>
      </c>
      <c r="P76" s="246"/>
      <c r="Q76" s="247">
        <v>29</v>
      </c>
      <c r="R76" s="248"/>
      <c r="S76" s="25"/>
    </row>
    <row r="77" spans="2:19">
      <c r="B77" s="224"/>
      <c r="C77" s="224"/>
      <c r="D77" s="225"/>
      <c r="E77" s="234" t="s">
        <v>132</v>
      </c>
      <c r="F77" s="235"/>
      <c r="G77" s="234" t="s">
        <v>133</v>
      </c>
      <c r="H77" s="235"/>
      <c r="I77" s="234" t="s">
        <v>134</v>
      </c>
      <c r="J77" s="235"/>
      <c r="K77" s="234" t="s">
        <v>133</v>
      </c>
      <c r="L77" s="235"/>
      <c r="M77" s="234" t="s">
        <v>134</v>
      </c>
      <c r="N77" s="235"/>
      <c r="O77" s="253" t="s">
        <v>135</v>
      </c>
      <c r="P77" s="254"/>
      <c r="Q77" s="251" t="s">
        <v>136</v>
      </c>
      <c r="R77" s="252"/>
      <c r="S77" s="25"/>
    </row>
    <row r="78" spans="2:19">
      <c r="B78" s="224"/>
      <c r="C78" s="224"/>
      <c r="D78" s="225"/>
      <c r="E78" s="245">
        <v>30</v>
      </c>
      <c r="F78" s="246"/>
      <c r="G78" s="245">
        <v>31</v>
      </c>
      <c r="H78" s="246"/>
      <c r="I78" s="245"/>
      <c r="J78" s="246"/>
      <c r="K78" s="245"/>
      <c r="L78" s="246"/>
      <c r="M78" s="245"/>
      <c r="N78" s="246"/>
      <c r="O78" s="245"/>
      <c r="P78" s="246"/>
      <c r="Q78" s="245"/>
      <c r="R78" s="255"/>
      <c r="S78" s="25"/>
    </row>
    <row r="79" spans="2:19">
      <c r="B79" s="226"/>
      <c r="C79" s="226"/>
      <c r="D79" s="227"/>
      <c r="E79" s="256" t="s">
        <v>134</v>
      </c>
      <c r="F79" s="257"/>
      <c r="G79" s="256" t="s">
        <v>133</v>
      </c>
      <c r="H79" s="257"/>
      <c r="I79" s="256"/>
      <c r="J79" s="257"/>
      <c r="K79" s="256"/>
      <c r="L79" s="257"/>
      <c r="M79" s="256"/>
      <c r="N79" s="257"/>
      <c r="O79" s="258"/>
      <c r="P79" s="259"/>
      <c r="Q79" s="258"/>
      <c r="R79" s="260"/>
      <c r="S79" s="25"/>
    </row>
  </sheetData>
  <mergeCells count="298">
    <mergeCell ref="E79:F79"/>
    <mergeCell ref="G79:H79"/>
    <mergeCell ref="I79:J79"/>
    <mergeCell ref="K79:L79"/>
    <mergeCell ref="M79:N79"/>
    <mergeCell ref="O79:P79"/>
    <mergeCell ref="Q79:R79"/>
    <mergeCell ref="E74:F74"/>
    <mergeCell ref="G74:H74"/>
    <mergeCell ref="I74:J74"/>
    <mergeCell ref="K74:L74"/>
    <mergeCell ref="M74:N74"/>
    <mergeCell ref="O74:P74"/>
    <mergeCell ref="Q74:R74"/>
    <mergeCell ref="E75:F75"/>
    <mergeCell ref="G75:H75"/>
    <mergeCell ref="I75:J75"/>
    <mergeCell ref="K75:L75"/>
    <mergeCell ref="M75:N75"/>
    <mergeCell ref="O75:P75"/>
    <mergeCell ref="Q75:R75"/>
    <mergeCell ref="E77:F77"/>
    <mergeCell ref="G77:H77"/>
    <mergeCell ref="I77:J77"/>
    <mergeCell ref="K77:L77"/>
    <mergeCell ref="M77:N77"/>
    <mergeCell ref="O77:P77"/>
    <mergeCell ref="Q77:R77"/>
    <mergeCell ref="E78:F78"/>
    <mergeCell ref="G78:H78"/>
    <mergeCell ref="I78:J78"/>
    <mergeCell ref="K78:L78"/>
    <mergeCell ref="M78:N78"/>
    <mergeCell ref="O78:P78"/>
    <mergeCell ref="Q78:R78"/>
    <mergeCell ref="E73:F73"/>
    <mergeCell ref="G73:H73"/>
    <mergeCell ref="I73:J73"/>
    <mergeCell ref="K73:L73"/>
    <mergeCell ref="M73:N73"/>
    <mergeCell ref="O73:P73"/>
    <mergeCell ref="Q73:R73"/>
    <mergeCell ref="E76:F76"/>
    <mergeCell ref="G76:H76"/>
    <mergeCell ref="I76:J76"/>
    <mergeCell ref="K76:L76"/>
    <mergeCell ref="M76:N76"/>
    <mergeCell ref="O76:P76"/>
    <mergeCell ref="Q76:R76"/>
    <mergeCell ref="I71:J71"/>
    <mergeCell ref="K71:L71"/>
    <mergeCell ref="M71:N71"/>
    <mergeCell ref="O71:P71"/>
    <mergeCell ref="Q71:R71"/>
    <mergeCell ref="E72:F72"/>
    <mergeCell ref="G72:H72"/>
    <mergeCell ref="I72:J72"/>
    <mergeCell ref="K72:L72"/>
    <mergeCell ref="M72:N72"/>
    <mergeCell ref="O72:P72"/>
    <mergeCell ref="Q72:R72"/>
    <mergeCell ref="B68:D79"/>
    <mergeCell ref="E68:F68"/>
    <mergeCell ref="G68:H68"/>
    <mergeCell ref="I68:J68"/>
    <mergeCell ref="K68:L68"/>
    <mergeCell ref="M68:N68"/>
    <mergeCell ref="O68:P68"/>
    <mergeCell ref="Q68:R68"/>
    <mergeCell ref="E69:F69"/>
    <mergeCell ref="G69:H69"/>
    <mergeCell ref="I69:J69"/>
    <mergeCell ref="K69:L69"/>
    <mergeCell ref="M69:N69"/>
    <mergeCell ref="O69:P69"/>
    <mergeCell ref="Q69:R69"/>
    <mergeCell ref="E70:F70"/>
    <mergeCell ref="G70:H70"/>
    <mergeCell ref="I70:J70"/>
    <mergeCell ref="K70:L70"/>
    <mergeCell ref="M70:N70"/>
    <mergeCell ref="O70:P70"/>
    <mergeCell ref="Q70:R70"/>
    <mergeCell ref="E71:F71"/>
    <mergeCell ref="G71:H71"/>
    <mergeCell ref="B67:D67"/>
    <mergeCell ref="E67:F67"/>
    <mergeCell ref="G67:H67"/>
    <mergeCell ref="I67:J67"/>
    <mergeCell ref="K67:L67"/>
    <mergeCell ref="M67:N67"/>
    <mergeCell ref="O67:P67"/>
    <mergeCell ref="Q67:R67"/>
    <mergeCell ref="E64:F64"/>
    <mergeCell ref="G64:H64"/>
    <mergeCell ref="I64:J64"/>
    <mergeCell ref="K64:L64"/>
    <mergeCell ref="M64:N64"/>
    <mergeCell ref="O64:P64"/>
    <mergeCell ref="Q64:R64"/>
    <mergeCell ref="E65:F65"/>
    <mergeCell ref="G65:H65"/>
    <mergeCell ref="I65:J65"/>
    <mergeCell ref="K65:L65"/>
    <mergeCell ref="M65:N65"/>
    <mergeCell ref="O65:P65"/>
    <mergeCell ref="Q65:R65"/>
    <mergeCell ref="E62:F62"/>
    <mergeCell ref="G62:H62"/>
    <mergeCell ref="I62:J62"/>
    <mergeCell ref="K62:L62"/>
    <mergeCell ref="M62:N62"/>
    <mergeCell ref="O62:P62"/>
    <mergeCell ref="Q62:R62"/>
    <mergeCell ref="E63:F63"/>
    <mergeCell ref="G63:H63"/>
    <mergeCell ref="I63:J63"/>
    <mergeCell ref="K63:L63"/>
    <mergeCell ref="M63:N63"/>
    <mergeCell ref="O63:P63"/>
    <mergeCell ref="Q63:R63"/>
    <mergeCell ref="E60:F60"/>
    <mergeCell ref="G60:H60"/>
    <mergeCell ref="I60:J60"/>
    <mergeCell ref="K60:L60"/>
    <mergeCell ref="M60:N60"/>
    <mergeCell ref="O60:P60"/>
    <mergeCell ref="Q60:R60"/>
    <mergeCell ref="E61:F61"/>
    <mergeCell ref="G61:H61"/>
    <mergeCell ref="I61:J61"/>
    <mergeCell ref="K61:L61"/>
    <mergeCell ref="M61:N61"/>
    <mergeCell ref="O61:P61"/>
    <mergeCell ref="Q61:R61"/>
    <mergeCell ref="G58:H58"/>
    <mergeCell ref="I58:J58"/>
    <mergeCell ref="K58:L58"/>
    <mergeCell ref="M58:N58"/>
    <mergeCell ref="O58:P58"/>
    <mergeCell ref="Q58:R58"/>
    <mergeCell ref="E59:F59"/>
    <mergeCell ref="G59:H59"/>
    <mergeCell ref="I59:J59"/>
    <mergeCell ref="K59:L59"/>
    <mergeCell ref="M59:N59"/>
    <mergeCell ref="O59:P59"/>
    <mergeCell ref="Q59:R59"/>
    <mergeCell ref="B55:D55"/>
    <mergeCell ref="E55:F55"/>
    <mergeCell ref="G55:H55"/>
    <mergeCell ref="I55:J55"/>
    <mergeCell ref="K55:L55"/>
    <mergeCell ref="M55:N55"/>
    <mergeCell ref="O55:P55"/>
    <mergeCell ref="Q55:R55"/>
    <mergeCell ref="B56:D65"/>
    <mergeCell ref="E56:F56"/>
    <mergeCell ref="G56:H56"/>
    <mergeCell ref="I56:J56"/>
    <mergeCell ref="K56:L56"/>
    <mergeCell ref="M56:N56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E58:F58"/>
    <mergeCell ref="E52:F52"/>
    <mergeCell ref="G52:H52"/>
    <mergeCell ref="I52:J52"/>
    <mergeCell ref="K52:L52"/>
    <mergeCell ref="M52:N52"/>
    <mergeCell ref="O52:P52"/>
    <mergeCell ref="Q52:R52"/>
    <mergeCell ref="E53:F53"/>
    <mergeCell ref="G53:H53"/>
    <mergeCell ref="I53:J53"/>
    <mergeCell ref="K53:L53"/>
    <mergeCell ref="M53:N53"/>
    <mergeCell ref="O53:P53"/>
    <mergeCell ref="Q53:R53"/>
    <mergeCell ref="E50:F50"/>
    <mergeCell ref="G50:H50"/>
    <mergeCell ref="I50:J50"/>
    <mergeCell ref="K50:L50"/>
    <mergeCell ref="M50:N50"/>
    <mergeCell ref="O50:P50"/>
    <mergeCell ref="Q50:R50"/>
    <mergeCell ref="E51:F51"/>
    <mergeCell ref="G51:H51"/>
    <mergeCell ref="I51:J51"/>
    <mergeCell ref="K51:L51"/>
    <mergeCell ref="M51:N51"/>
    <mergeCell ref="O51:P51"/>
    <mergeCell ref="Q51:R51"/>
    <mergeCell ref="E48:F48"/>
    <mergeCell ref="G48:H48"/>
    <mergeCell ref="I48:J48"/>
    <mergeCell ref="K48:L48"/>
    <mergeCell ref="M48:N48"/>
    <mergeCell ref="O48:P48"/>
    <mergeCell ref="Q48:R48"/>
    <mergeCell ref="E49:F49"/>
    <mergeCell ref="G49:H49"/>
    <mergeCell ref="I49:J49"/>
    <mergeCell ref="K49:L49"/>
    <mergeCell ref="M49:N49"/>
    <mergeCell ref="O49:P49"/>
    <mergeCell ref="Q49:R49"/>
    <mergeCell ref="G46:H46"/>
    <mergeCell ref="I46:J46"/>
    <mergeCell ref="K46:L46"/>
    <mergeCell ref="M46:N46"/>
    <mergeCell ref="O46:P46"/>
    <mergeCell ref="Q46:R46"/>
    <mergeCell ref="E47:F47"/>
    <mergeCell ref="G47:H47"/>
    <mergeCell ref="I47:J47"/>
    <mergeCell ref="K47:L47"/>
    <mergeCell ref="M47:N47"/>
    <mergeCell ref="O47:P47"/>
    <mergeCell ref="Q47:R47"/>
    <mergeCell ref="B43:D43"/>
    <mergeCell ref="E43:F43"/>
    <mergeCell ref="G43:H43"/>
    <mergeCell ref="I43:J43"/>
    <mergeCell ref="K43:L43"/>
    <mergeCell ref="M43:N43"/>
    <mergeCell ref="O43:P43"/>
    <mergeCell ref="Q43:R43"/>
    <mergeCell ref="B44:D53"/>
    <mergeCell ref="E44:F44"/>
    <mergeCell ref="G44:H44"/>
    <mergeCell ref="I44:J44"/>
    <mergeCell ref="K44:L44"/>
    <mergeCell ref="M44:N44"/>
    <mergeCell ref="O44:P44"/>
    <mergeCell ref="Q44:R44"/>
    <mergeCell ref="E45:F45"/>
    <mergeCell ref="G45:H45"/>
    <mergeCell ref="I45:J45"/>
    <mergeCell ref="K45:L45"/>
    <mergeCell ref="M45:N45"/>
    <mergeCell ref="O45:P45"/>
    <mergeCell ref="Q45:R45"/>
    <mergeCell ref="E46:F46"/>
    <mergeCell ref="B13:C13"/>
    <mergeCell ref="B2:R3"/>
    <mergeCell ref="B6:C6"/>
    <mergeCell ref="D6:R6"/>
    <mergeCell ref="B9:C9"/>
    <mergeCell ref="Q23:R23"/>
    <mergeCell ref="B7:C7"/>
    <mergeCell ref="B8:C8"/>
    <mergeCell ref="B24:D24"/>
    <mergeCell ref="E24:F24"/>
    <mergeCell ref="G24:H24"/>
    <mergeCell ref="I24:J24"/>
    <mergeCell ref="K24:L24"/>
    <mergeCell ref="M24:N24"/>
    <mergeCell ref="O24:P24"/>
    <mergeCell ref="Q24:R24"/>
    <mergeCell ref="O25:P25"/>
    <mergeCell ref="Q25:R25"/>
    <mergeCell ref="E26:F26"/>
    <mergeCell ref="G26:H26"/>
    <mergeCell ref="I26:J26"/>
    <mergeCell ref="K26:L26"/>
    <mergeCell ref="M26:N26"/>
    <mergeCell ref="O26:P26"/>
    <mergeCell ref="Q26:R26"/>
    <mergeCell ref="E25:F25"/>
    <mergeCell ref="G25:H25"/>
    <mergeCell ref="I25:J25"/>
    <mergeCell ref="K25:L25"/>
    <mergeCell ref="M25:N25"/>
    <mergeCell ref="B31:C31"/>
    <mergeCell ref="D31:E31"/>
    <mergeCell ref="F31:R31"/>
    <mergeCell ref="O27:P27"/>
    <mergeCell ref="Q27:R27"/>
    <mergeCell ref="E28:F28"/>
    <mergeCell ref="G28:H28"/>
    <mergeCell ref="I28:J28"/>
    <mergeCell ref="K28:L28"/>
    <mergeCell ref="M28:N28"/>
    <mergeCell ref="O28:P28"/>
    <mergeCell ref="Q28:R28"/>
    <mergeCell ref="E27:F27"/>
    <mergeCell ref="G27:H27"/>
    <mergeCell ref="I27:J27"/>
    <mergeCell ref="K27:L27"/>
    <mergeCell ref="M27:N2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T117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B2" sqref="B2:M3"/>
    </sheetView>
  </sheetViews>
  <sheetFormatPr defaultColWidth="8.69921875" defaultRowHeight="13.8"/>
  <cols>
    <col min="1" max="1" width="1.09765625" style="1" customWidth="1"/>
    <col min="2" max="3" width="4.19921875" style="1" customWidth="1"/>
    <col min="4" max="5" width="3.69921875" style="1" customWidth="1"/>
    <col min="6" max="7" width="5.69921875" style="1" customWidth="1"/>
    <col min="8" max="8" width="8.69921875" style="1" customWidth="1"/>
    <col min="9" max="9" width="19.69921875" style="1" customWidth="1"/>
    <col min="10" max="14" width="7.69921875" style="1" customWidth="1"/>
    <col min="15" max="15" width="1.69921875" style="1" customWidth="1"/>
    <col min="16" max="18" width="7.69921875" style="1" customWidth="1"/>
    <col min="19" max="19" width="1.69921875" style="1" customWidth="1"/>
    <col min="20" max="20" width="7.69921875" style="1" customWidth="1"/>
    <col min="21" max="21" width="5.69921875" style="1" customWidth="1"/>
    <col min="22" max="22" width="7.69921875" style="1" customWidth="1"/>
    <col min="23" max="23" width="5.69921875" style="1" customWidth="1"/>
    <col min="24" max="24" width="7.69921875" style="1" customWidth="1"/>
    <col min="25" max="25" width="5.69921875" style="1" customWidth="1"/>
    <col min="26" max="26" width="7.69921875" style="1" customWidth="1"/>
    <col min="27" max="27" width="5.69921875" style="1" customWidth="1"/>
    <col min="28" max="28" width="7.69921875" style="1" customWidth="1"/>
    <col min="29" max="29" width="5.69921875" style="1" customWidth="1"/>
    <col min="30" max="30" width="1.69921875" style="1" customWidth="1"/>
    <col min="31" max="35" width="8.69921875" style="1" customWidth="1"/>
    <col min="36" max="36" width="1.69921875" style="1" customWidth="1"/>
    <col min="37" max="37" width="8.69921875" style="1"/>
    <col min="38" max="46" width="8.69921875" style="1" hidden="1" customWidth="1"/>
    <col min="47" max="48" width="8.69921875" style="1" customWidth="1"/>
    <col min="49" max="16384" width="8.69921875" style="1"/>
  </cols>
  <sheetData>
    <row r="1" spans="1:46" ht="10.5" customHeight="1">
      <c r="A1" s="1" t="s">
        <v>24</v>
      </c>
    </row>
    <row r="2" spans="1:46" s="2" customFormat="1" ht="15" customHeight="1">
      <c r="B2" s="215" t="s">
        <v>49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9"/>
      <c r="O2" s="30"/>
      <c r="P2" s="30"/>
      <c r="Q2" s="30"/>
      <c r="R2" s="30"/>
      <c r="S2" s="30"/>
      <c r="T2" s="31"/>
      <c r="U2" s="318"/>
      <c r="V2" s="318"/>
      <c r="W2" s="318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</row>
    <row r="3" spans="1:46" s="2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9"/>
      <c r="O3" s="30"/>
      <c r="P3" s="30"/>
      <c r="Q3" s="30"/>
      <c r="R3" s="30"/>
      <c r="S3" s="30"/>
      <c r="T3" s="31"/>
      <c r="U3" s="318"/>
      <c r="V3" s="318"/>
      <c r="W3" s="318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46" s="2" customFormat="1" ht="15" customHeight="1">
      <c r="AG4" s="32"/>
    </row>
    <row r="5" spans="1:46" s="25" customFormat="1" ht="15" customHeight="1">
      <c r="B5" s="33"/>
      <c r="C5" s="33"/>
      <c r="D5" s="33"/>
      <c r="E5" s="33"/>
      <c r="F5" s="33"/>
      <c r="I5" s="34"/>
      <c r="J5" s="34"/>
      <c r="M5" s="35"/>
      <c r="N5" s="36"/>
      <c r="O5" s="37"/>
      <c r="P5" s="34"/>
      <c r="Q5" s="37"/>
      <c r="R5" s="34"/>
      <c r="S5" s="34"/>
      <c r="T5" s="34"/>
      <c r="U5" s="37"/>
      <c r="V5" s="34"/>
      <c r="W5" s="37"/>
      <c r="X5" s="34"/>
      <c r="Y5" s="37"/>
      <c r="Z5" s="34"/>
      <c r="AA5" s="37"/>
    </row>
    <row r="6" spans="1:46" ht="14.4" thickBot="1">
      <c r="AR6" s="38"/>
      <c r="AS6" s="38"/>
      <c r="AT6" s="39"/>
    </row>
    <row r="7" spans="1:46" s="39" customFormat="1" ht="15" customHeight="1" thickBot="1">
      <c r="B7" s="323" t="s">
        <v>7</v>
      </c>
      <c r="C7" s="324"/>
      <c r="D7" s="324"/>
      <c r="E7" s="325"/>
      <c r="F7" s="332" t="s">
        <v>8</v>
      </c>
      <c r="G7" s="332"/>
      <c r="H7" s="332"/>
      <c r="I7" s="334" t="s">
        <v>9</v>
      </c>
      <c r="J7" s="327" t="s">
        <v>10</v>
      </c>
      <c r="K7" s="328"/>
      <c r="L7" s="328"/>
      <c r="M7" s="328"/>
      <c r="N7" s="329"/>
      <c r="P7" s="315" t="s">
        <v>45</v>
      </c>
      <c r="Q7" s="316"/>
      <c r="R7" s="317"/>
      <c r="S7" s="40"/>
      <c r="T7" s="315" t="s">
        <v>11</v>
      </c>
      <c r="U7" s="316"/>
      <c r="V7" s="316"/>
      <c r="W7" s="316"/>
      <c r="X7" s="316"/>
      <c r="Y7" s="316"/>
      <c r="Z7" s="316"/>
      <c r="AA7" s="316"/>
      <c r="AB7" s="316"/>
      <c r="AC7" s="317"/>
      <c r="AE7" s="319" t="s">
        <v>56</v>
      </c>
      <c r="AF7" s="320"/>
      <c r="AG7" s="321"/>
      <c r="AH7" s="320"/>
      <c r="AI7" s="322"/>
      <c r="AJ7" s="40"/>
      <c r="AR7" s="38"/>
      <c r="AS7" s="38"/>
    </row>
    <row r="8" spans="1:46" s="39" customFormat="1" ht="15" customHeight="1">
      <c r="B8" s="326"/>
      <c r="C8" s="295"/>
      <c r="D8" s="295"/>
      <c r="E8" s="280"/>
      <c r="F8" s="306"/>
      <c r="G8" s="306"/>
      <c r="H8" s="306"/>
      <c r="I8" s="330"/>
      <c r="J8" s="305" t="s">
        <v>12</v>
      </c>
      <c r="K8" s="306"/>
      <c r="L8" s="306"/>
      <c r="M8" s="330" t="s">
        <v>53</v>
      </c>
      <c r="N8" s="331"/>
      <c r="P8" s="305" t="s">
        <v>12</v>
      </c>
      <c r="Q8" s="306"/>
      <c r="R8" s="307"/>
      <c r="S8" s="40"/>
      <c r="T8" s="308" t="s">
        <v>12</v>
      </c>
      <c r="U8" s="309"/>
      <c r="V8" s="309"/>
      <c r="W8" s="309"/>
      <c r="X8" s="309"/>
      <c r="Y8" s="310"/>
      <c r="Z8" s="311" t="s">
        <v>137</v>
      </c>
      <c r="AA8" s="312"/>
      <c r="AB8" s="312"/>
      <c r="AC8" s="313"/>
      <c r="AE8" s="314" t="s">
        <v>26</v>
      </c>
      <c r="AF8" s="299" t="s">
        <v>15</v>
      </c>
      <c r="AG8" s="300" t="s">
        <v>46</v>
      </c>
      <c r="AH8" s="302" t="s">
        <v>83</v>
      </c>
      <c r="AI8" s="304" t="s">
        <v>52</v>
      </c>
      <c r="AJ8" s="41"/>
      <c r="AR8" s="38"/>
      <c r="AS8" s="38"/>
    </row>
    <row r="9" spans="1:46" s="39" customFormat="1" ht="15" customHeight="1">
      <c r="B9" s="326"/>
      <c r="C9" s="295"/>
      <c r="D9" s="295"/>
      <c r="E9" s="280"/>
      <c r="F9" s="333"/>
      <c r="G9" s="333"/>
      <c r="H9" s="333"/>
      <c r="I9" s="335"/>
      <c r="J9" s="42" t="s">
        <v>14</v>
      </c>
      <c r="K9" s="43" t="s">
        <v>15</v>
      </c>
      <c r="L9" s="43" t="s">
        <v>13</v>
      </c>
      <c r="M9" s="43" t="s">
        <v>80</v>
      </c>
      <c r="N9" s="44" t="s">
        <v>67</v>
      </c>
      <c r="P9" s="42" t="s">
        <v>26</v>
      </c>
      <c r="Q9" s="43" t="s">
        <v>15</v>
      </c>
      <c r="R9" s="45" t="s">
        <v>13</v>
      </c>
      <c r="S9" s="40"/>
      <c r="T9" s="42" t="s">
        <v>26</v>
      </c>
      <c r="U9" s="46" t="s">
        <v>16</v>
      </c>
      <c r="V9" s="47" t="s">
        <v>15</v>
      </c>
      <c r="W9" s="43" t="s">
        <v>16</v>
      </c>
      <c r="X9" s="48" t="s">
        <v>13</v>
      </c>
      <c r="Y9" s="49" t="s">
        <v>16</v>
      </c>
      <c r="Z9" s="47" t="s">
        <v>81</v>
      </c>
      <c r="AA9" s="43" t="s">
        <v>16</v>
      </c>
      <c r="AB9" s="48" t="s">
        <v>82</v>
      </c>
      <c r="AC9" s="45" t="s">
        <v>16</v>
      </c>
      <c r="AE9" s="314"/>
      <c r="AF9" s="299"/>
      <c r="AG9" s="301"/>
      <c r="AH9" s="303"/>
      <c r="AI9" s="304"/>
      <c r="AJ9" s="41"/>
      <c r="AR9" s="38"/>
      <c r="AS9" s="38"/>
    </row>
    <row r="10" spans="1:46" s="39" customFormat="1" ht="15" customHeight="1">
      <c r="B10" s="284" t="s">
        <v>91</v>
      </c>
      <c r="C10" s="285"/>
      <c r="D10" s="290" t="s">
        <v>29</v>
      </c>
      <c r="E10" s="291"/>
      <c r="F10" s="290" t="s">
        <v>17</v>
      </c>
      <c r="G10" s="291"/>
      <c r="H10" s="290" t="s">
        <v>18</v>
      </c>
      <c r="I10" s="50" t="s">
        <v>57</v>
      </c>
      <c r="J10" s="51">
        <v>129000</v>
      </c>
      <c r="K10" s="52">
        <v>139000</v>
      </c>
      <c r="L10" s="52">
        <v>178000</v>
      </c>
      <c r="M10" s="52">
        <f>43000*3</f>
        <v>129000</v>
      </c>
      <c r="N10" s="53">
        <f t="shared" ref="N10:N36" si="0">6000*3</f>
        <v>18000</v>
      </c>
      <c r="P10" s="51">
        <v>129000</v>
      </c>
      <c r="Q10" s="52">
        <v>139000</v>
      </c>
      <c r="R10" s="54">
        <v>178000</v>
      </c>
      <c r="S10" s="55"/>
      <c r="T10" s="51">
        <f>P10-20000</f>
        <v>109000</v>
      </c>
      <c r="U10" s="56">
        <f t="shared" ref="U10:U36" si="1">1-(T10/J10)</f>
        <v>0.15503875968992253</v>
      </c>
      <c r="V10" s="57">
        <f>Q10-20000</f>
        <v>119000</v>
      </c>
      <c r="W10" s="58">
        <f t="shared" ref="W10:W36" si="2">1-(V10/K10)</f>
        <v>0.14388489208633093</v>
      </c>
      <c r="X10" s="59">
        <f>V10+30000</f>
        <v>149000</v>
      </c>
      <c r="Y10" s="60">
        <f t="shared" ref="Y10:Y36" si="3">1-(X10/L10)</f>
        <v>0.1629213483146067</v>
      </c>
      <c r="Z10" s="57">
        <f>22000*3</f>
        <v>66000</v>
      </c>
      <c r="AA10" s="61">
        <f>1-(Z10/M10)</f>
        <v>0.48837209302325579</v>
      </c>
      <c r="AB10" s="59">
        <f>1000*3</f>
        <v>3000</v>
      </c>
      <c r="AC10" s="62">
        <f>1-(AB10/N10)</f>
        <v>0.83333333333333337</v>
      </c>
      <c r="AE10" s="63">
        <f>T10+Z10+AB10</f>
        <v>178000</v>
      </c>
      <c r="AF10" s="64">
        <f>V10+Z10+AB10</f>
        <v>188000</v>
      </c>
      <c r="AG10" s="65">
        <f>X10+Z10+AB10</f>
        <v>218000</v>
      </c>
      <c r="AH10" s="66">
        <f>AG10*11%</f>
        <v>23980</v>
      </c>
      <c r="AI10" s="67">
        <f t="shared" ref="AI10" si="4">AG10-AH10</f>
        <v>194020</v>
      </c>
      <c r="AJ10" s="68"/>
      <c r="AL10" s="39">
        <f t="shared" ref="AL10:AL36" si="5">AE10-AG10</f>
        <v>-40000</v>
      </c>
      <c r="AM10" s="39">
        <f t="shared" ref="AM10:AM36" si="6">AF10-AG10</f>
        <v>-30000</v>
      </c>
      <c r="AR10" s="38" t="e">
        <f>J10+M10+#REF!+N10</f>
        <v>#REF!</v>
      </c>
      <c r="AS10" s="38">
        <f t="shared" ref="AS10:AS36" si="7">AE10</f>
        <v>178000</v>
      </c>
      <c r="AT10" s="39" t="e">
        <f t="shared" ref="AT10:AT35" si="8">1-(AS10/AR10)</f>
        <v>#REF!</v>
      </c>
    </row>
    <row r="11" spans="1:46" s="39" customFormat="1" ht="15" customHeight="1">
      <c r="B11" s="286"/>
      <c r="C11" s="287"/>
      <c r="D11" s="283"/>
      <c r="E11" s="280"/>
      <c r="F11" s="283"/>
      <c r="G11" s="280"/>
      <c r="H11" s="283"/>
      <c r="I11" s="69" t="s">
        <v>58</v>
      </c>
      <c r="J11" s="70">
        <v>147000</v>
      </c>
      <c r="K11" s="71">
        <v>159000</v>
      </c>
      <c r="L11" s="71">
        <v>234000</v>
      </c>
      <c r="M11" s="71">
        <f t="shared" ref="M11:M36" si="9">43000*3</f>
        <v>129000</v>
      </c>
      <c r="N11" s="72">
        <f t="shared" si="0"/>
        <v>18000</v>
      </c>
      <c r="P11" s="70">
        <v>147000</v>
      </c>
      <c r="Q11" s="71">
        <v>159000</v>
      </c>
      <c r="R11" s="73">
        <v>234000</v>
      </c>
      <c r="S11" s="55"/>
      <c r="T11" s="70">
        <f>P11</f>
        <v>147000</v>
      </c>
      <c r="U11" s="74">
        <f t="shared" si="1"/>
        <v>0</v>
      </c>
      <c r="V11" s="75">
        <f>Q11</f>
        <v>159000</v>
      </c>
      <c r="W11" s="76">
        <f t="shared" si="2"/>
        <v>0</v>
      </c>
      <c r="X11" s="77">
        <v>209000</v>
      </c>
      <c r="Y11" s="78">
        <f t="shared" si="3"/>
        <v>0.10683760683760679</v>
      </c>
      <c r="Z11" s="75">
        <f t="shared" ref="Z11:Z36" si="10">22000*3</f>
        <v>66000</v>
      </c>
      <c r="AA11" s="79">
        <f t="shared" ref="AA11:AA36" si="11">1-(Z11/M11)</f>
        <v>0.48837209302325579</v>
      </c>
      <c r="AB11" s="77">
        <f t="shared" ref="AB11:AB36" si="12">1000*3</f>
        <v>3000</v>
      </c>
      <c r="AC11" s="80">
        <f t="shared" ref="AC11:AC36" si="13">1-(AB11/N11)</f>
        <v>0.83333333333333337</v>
      </c>
      <c r="AE11" s="81">
        <f t="shared" ref="AE11:AE74" si="14">T11+Z11+AB11</f>
        <v>216000</v>
      </c>
      <c r="AF11" s="82">
        <f t="shared" ref="AF11:AF74" si="15">V11+Z11+AB11</f>
        <v>228000</v>
      </c>
      <c r="AG11" s="83">
        <f t="shared" ref="AG11:AG74" si="16">X11+Z11+AB11</f>
        <v>278000</v>
      </c>
      <c r="AH11" s="84">
        <f t="shared" ref="AH11:AH74" si="17">AG11*11%</f>
        <v>30580</v>
      </c>
      <c r="AI11" s="85">
        <f t="shared" ref="AI11:AI74" si="18">AG11-AH11</f>
        <v>247420</v>
      </c>
      <c r="AJ11" s="68"/>
      <c r="AL11" s="39">
        <f t="shared" si="5"/>
        <v>-62000</v>
      </c>
      <c r="AM11" s="39">
        <f t="shared" si="6"/>
        <v>-50000</v>
      </c>
      <c r="AR11" s="38" t="e">
        <f>J11+M11+#REF!+N11</f>
        <v>#REF!</v>
      </c>
      <c r="AS11" s="38">
        <f t="shared" si="7"/>
        <v>216000</v>
      </c>
      <c r="AT11" s="39" t="e">
        <f t="shared" si="8"/>
        <v>#REF!</v>
      </c>
    </row>
    <row r="12" spans="1:46" s="39" customFormat="1" ht="15" customHeight="1">
      <c r="B12" s="286"/>
      <c r="C12" s="287"/>
      <c r="D12" s="283"/>
      <c r="E12" s="280"/>
      <c r="F12" s="283"/>
      <c r="G12" s="280"/>
      <c r="H12" s="283"/>
      <c r="I12" s="69" t="s">
        <v>59</v>
      </c>
      <c r="J12" s="70">
        <v>178000</v>
      </c>
      <c r="K12" s="71">
        <v>190000</v>
      </c>
      <c r="L12" s="71">
        <v>306000</v>
      </c>
      <c r="M12" s="71">
        <f t="shared" si="9"/>
        <v>129000</v>
      </c>
      <c r="N12" s="72">
        <f t="shared" si="0"/>
        <v>18000</v>
      </c>
      <c r="P12" s="70">
        <v>178000</v>
      </c>
      <c r="Q12" s="71">
        <v>190000</v>
      </c>
      <c r="R12" s="73">
        <v>306000</v>
      </c>
      <c r="S12" s="55"/>
      <c r="T12" s="70">
        <f>P12</f>
        <v>178000</v>
      </c>
      <c r="U12" s="74">
        <f t="shared" si="1"/>
        <v>0</v>
      </c>
      <c r="V12" s="75">
        <f>Q12</f>
        <v>190000</v>
      </c>
      <c r="W12" s="76">
        <f t="shared" si="2"/>
        <v>0</v>
      </c>
      <c r="X12" s="77">
        <v>306000</v>
      </c>
      <c r="Y12" s="78">
        <f t="shared" si="3"/>
        <v>0</v>
      </c>
      <c r="Z12" s="75">
        <f t="shared" si="10"/>
        <v>66000</v>
      </c>
      <c r="AA12" s="79">
        <f t="shared" si="11"/>
        <v>0.48837209302325579</v>
      </c>
      <c r="AB12" s="77">
        <f t="shared" si="12"/>
        <v>3000</v>
      </c>
      <c r="AC12" s="80">
        <f t="shared" si="13"/>
        <v>0.83333333333333337</v>
      </c>
      <c r="AE12" s="81">
        <f t="shared" si="14"/>
        <v>247000</v>
      </c>
      <c r="AF12" s="82">
        <f t="shared" si="15"/>
        <v>259000</v>
      </c>
      <c r="AG12" s="83">
        <f t="shared" si="16"/>
        <v>375000</v>
      </c>
      <c r="AH12" s="84">
        <f t="shared" si="17"/>
        <v>41250</v>
      </c>
      <c r="AI12" s="85">
        <f t="shared" si="18"/>
        <v>333750</v>
      </c>
      <c r="AJ12" s="68"/>
      <c r="AL12" s="39">
        <f t="shared" si="5"/>
        <v>-128000</v>
      </c>
      <c r="AM12" s="39">
        <f t="shared" si="6"/>
        <v>-116000</v>
      </c>
      <c r="AR12" s="38" t="e">
        <f>J12+M12+#REF!+N12</f>
        <v>#REF!</v>
      </c>
      <c r="AS12" s="38">
        <f t="shared" si="7"/>
        <v>247000</v>
      </c>
      <c r="AT12" s="39" t="e">
        <f t="shared" si="8"/>
        <v>#REF!</v>
      </c>
    </row>
    <row r="13" spans="1:46" s="39" customFormat="1" ht="15" customHeight="1">
      <c r="B13" s="286"/>
      <c r="C13" s="287"/>
      <c r="D13" s="283"/>
      <c r="E13" s="280"/>
      <c r="F13" s="282" t="s">
        <v>21</v>
      </c>
      <c r="G13" s="279"/>
      <c r="H13" s="282" t="s">
        <v>18</v>
      </c>
      <c r="I13" s="69" t="s">
        <v>57</v>
      </c>
      <c r="J13" s="86">
        <v>154000</v>
      </c>
      <c r="K13" s="87">
        <v>169000</v>
      </c>
      <c r="L13" s="87">
        <v>216000</v>
      </c>
      <c r="M13" s="87">
        <f t="shared" si="9"/>
        <v>129000</v>
      </c>
      <c r="N13" s="88">
        <f t="shared" si="0"/>
        <v>18000</v>
      </c>
      <c r="P13" s="86">
        <v>154000</v>
      </c>
      <c r="Q13" s="87">
        <v>169000</v>
      </c>
      <c r="R13" s="89">
        <v>216000</v>
      </c>
      <c r="S13" s="55"/>
      <c r="T13" s="86">
        <f t="shared" ref="T13" si="19">P13-20000</f>
        <v>134000</v>
      </c>
      <c r="U13" s="90">
        <f t="shared" si="1"/>
        <v>0.12987012987012991</v>
      </c>
      <c r="V13" s="91">
        <f t="shared" ref="V13" si="20">Q13-20000</f>
        <v>149000</v>
      </c>
      <c r="W13" s="92">
        <f t="shared" si="2"/>
        <v>0.11834319526627224</v>
      </c>
      <c r="X13" s="93">
        <v>179000</v>
      </c>
      <c r="Y13" s="94">
        <f t="shared" si="3"/>
        <v>0.17129629629629628</v>
      </c>
      <c r="Z13" s="91">
        <f t="shared" si="10"/>
        <v>66000</v>
      </c>
      <c r="AA13" s="95">
        <f t="shared" si="11"/>
        <v>0.48837209302325579</v>
      </c>
      <c r="AB13" s="93">
        <f t="shared" si="12"/>
        <v>3000</v>
      </c>
      <c r="AC13" s="96">
        <f t="shared" si="13"/>
        <v>0.83333333333333337</v>
      </c>
      <c r="AE13" s="97">
        <f t="shared" si="14"/>
        <v>203000</v>
      </c>
      <c r="AF13" s="98">
        <f t="shared" si="15"/>
        <v>218000</v>
      </c>
      <c r="AG13" s="99">
        <f t="shared" si="16"/>
        <v>248000</v>
      </c>
      <c r="AH13" s="100">
        <f t="shared" si="17"/>
        <v>27280</v>
      </c>
      <c r="AI13" s="101">
        <f t="shared" si="18"/>
        <v>220720</v>
      </c>
      <c r="AJ13" s="68"/>
      <c r="AL13" s="39">
        <f t="shared" si="5"/>
        <v>-45000</v>
      </c>
      <c r="AM13" s="39">
        <f t="shared" si="6"/>
        <v>-30000</v>
      </c>
      <c r="AR13" s="38" t="e">
        <f>J13+M13+#REF!+N13</f>
        <v>#REF!</v>
      </c>
      <c r="AS13" s="38">
        <f t="shared" si="7"/>
        <v>203000</v>
      </c>
      <c r="AT13" s="39" t="e">
        <f t="shared" si="8"/>
        <v>#REF!</v>
      </c>
    </row>
    <row r="14" spans="1:46" s="39" customFormat="1" ht="15" customHeight="1">
      <c r="B14" s="286"/>
      <c r="C14" s="287"/>
      <c r="D14" s="283"/>
      <c r="E14" s="280"/>
      <c r="F14" s="283"/>
      <c r="G14" s="280"/>
      <c r="H14" s="283"/>
      <c r="I14" s="69" t="s">
        <v>58</v>
      </c>
      <c r="J14" s="70">
        <v>178000</v>
      </c>
      <c r="K14" s="71">
        <v>193000</v>
      </c>
      <c r="L14" s="71">
        <v>266000</v>
      </c>
      <c r="M14" s="71">
        <f t="shared" si="9"/>
        <v>129000</v>
      </c>
      <c r="N14" s="72">
        <f t="shared" si="0"/>
        <v>18000</v>
      </c>
      <c r="P14" s="70">
        <v>178000</v>
      </c>
      <c r="Q14" s="71">
        <v>193000</v>
      </c>
      <c r="R14" s="73">
        <v>266000</v>
      </c>
      <c r="S14" s="55"/>
      <c r="T14" s="70">
        <f t="shared" ref="T14:T15" si="21">P14</f>
        <v>178000</v>
      </c>
      <c r="U14" s="74">
        <f t="shared" si="1"/>
        <v>0</v>
      </c>
      <c r="V14" s="75">
        <f t="shared" ref="V14:V15" si="22">Q14</f>
        <v>193000</v>
      </c>
      <c r="W14" s="76">
        <f t="shared" si="2"/>
        <v>0</v>
      </c>
      <c r="X14" s="77">
        <v>243000</v>
      </c>
      <c r="Y14" s="78">
        <f t="shared" si="3"/>
        <v>8.6466165413533802E-2</v>
      </c>
      <c r="Z14" s="75">
        <f t="shared" si="10"/>
        <v>66000</v>
      </c>
      <c r="AA14" s="79">
        <f t="shared" si="11"/>
        <v>0.48837209302325579</v>
      </c>
      <c r="AB14" s="77">
        <f t="shared" si="12"/>
        <v>3000</v>
      </c>
      <c r="AC14" s="80">
        <f t="shared" si="13"/>
        <v>0.83333333333333337</v>
      </c>
      <c r="AE14" s="81">
        <f t="shared" si="14"/>
        <v>247000</v>
      </c>
      <c r="AF14" s="82">
        <f t="shared" si="15"/>
        <v>262000</v>
      </c>
      <c r="AG14" s="83">
        <f t="shared" si="16"/>
        <v>312000</v>
      </c>
      <c r="AH14" s="84">
        <f t="shared" si="17"/>
        <v>34320</v>
      </c>
      <c r="AI14" s="85">
        <f t="shared" si="18"/>
        <v>277680</v>
      </c>
      <c r="AJ14" s="68"/>
      <c r="AL14" s="39">
        <f t="shared" si="5"/>
        <v>-65000</v>
      </c>
      <c r="AM14" s="39">
        <f t="shared" si="6"/>
        <v>-50000</v>
      </c>
      <c r="AR14" s="38" t="e">
        <f>J14+M14+#REF!+N14</f>
        <v>#REF!</v>
      </c>
      <c r="AS14" s="38">
        <f t="shared" si="7"/>
        <v>247000</v>
      </c>
      <c r="AT14" s="39" t="e">
        <f t="shared" si="8"/>
        <v>#REF!</v>
      </c>
    </row>
    <row r="15" spans="1:46" s="39" customFormat="1" ht="15" customHeight="1">
      <c r="B15" s="286"/>
      <c r="C15" s="287"/>
      <c r="D15" s="283"/>
      <c r="E15" s="280"/>
      <c r="F15" s="283"/>
      <c r="G15" s="280"/>
      <c r="H15" s="283"/>
      <c r="I15" s="69" t="s">
        <v>59</v>
      </c>
      <c r="J15" s="70">
        <v>209000</v>
      </c>
      <c r="K15" s="71">
        <v>223000</v>
      </c>
      <c r="L15" s="71">
        <v>353000</v>
      </c>
      <c r="M15" s="71">
        <f t="shared" si="9"/>
        <v>129000</v>
      </c>
      <c r="N15" s="72">
        <f t="shared" si="0"/>
        <v>18000</v>
      </c>
      <c r="P15" s="70">
        <v>209000</v>
      </c>
      <c r="Q15" s="71">
        <v>223000</v>
      </c>
      <c r="R15" s="73">
        <v>353000</v>
      </c>
      <c r="S15" s="55"/>
      <c r="T15" s="70">
        <f t="shared" si="21"/>
        <v>209000</v>
      </c>
      <c r="U15" s="74">
        <f t="shared" si="1"/>
        <v>0</v>
      </c>
      <c r="V15" s="75">
        <f t="shared" si="22"/>
        <v>223000</v>
      </c>
      <c r="W15" s="76">
        <f t="shared" si="2"/>
        <v>0</v>
      </c>
      <c r="X15" s="77">
        <v>353000</v>
      </c>
      <c r="Y15" s="78">
        <f t="shared" si="3"/>
        <v>0</v>
      </c>
      <c r="Z15" s="75">
        <f t="shared" si="10"/>
        <v>66000</v>
      </c>
      <c r="AA15" s="79">
        <f t="shared" si="11"/>
        <v>0.48837209302325579</v>
      </c>
      <c r="AB15" s="77">
        <f t="shared" si="12"/>
        <v>3000</v>
      </c>
      <c r="AC15" s="80">
        <f t="shared" si="13"/>
        <v>0.83333333333333337</v>
      </c>
      <c r="AE15" s="81">
        <f t="shared" si="14"/>
        <v>278000</v>
      </c>
      <c r="AF15" s="82">
        <f t="shared" si="15"/>
        <v>292000</v>
      </c>
      <c r="AG15" s="83">
        <f t="shared" si="16"/>
        <v>422000</v>
      </c>
      <c r="AH15" s="84">
        <f t="shared" si="17"/>
        <v>46420</v>
      </c>
      <c r="AI15" s="85">
        <f t="shared" si="18"/>
        <v>375580</v>
      </c>
      <c r="AJ15" s="68"/>
      <c r="AL15" s="39">
        <f t="shared" si="5"/>
        <v>-144000</v>
      </c>
      <c r="AM15" s="39">
        <f t="shared" si="6"/>
        <v>-130000</v>
      </c>
      <c r="AR15" s="38" t="e">
        <f>J15+M15+#REF!+N15</f>
        <v>#REF!</v>
      </c>
      <c r="AS15" s="38">
        <f t="shared" si="7"/>
        <v>278000</v>
      </c>
      <c r="AT15" s="39" t="e">
        <f t="shared" si="8"/>
        <v>#REF!</v>
      </c>
    </row>
    <row r="16" spans="1:46" s="39" customFormat="1" ht="15" customHeight="1">
      <c r="B16" s="286"/>
      <c r="C16" s="287"/>
      <c r="D16" s="283"/>
      <c r="E16" s="280"/>
      <c r="F16" s="283"/>
      <c r="G16" s="280"/>
      <c r="H16" s="282" t="s">
        <v>25</v>
      </c>
      <c r="I16" s="69" t="s">
        <v>57</v>
      </c>
      <c r="J16" s="86">
        <v>198000</v>
      </c>
      <c r="K16" s="87">
        <v>213000</v>
      </c>
      <c r="L16" s="87">
        <v>263000</v>
      </c>
      <c r="M16" s="87">
        <f t="shared" si="9"/>
        <v>129000</v>
      </c>
      <c r="N16" s="88">
        <f t="shared" si="0"/>
        <v>18000</v>
      </c>
      <c r="P16" s="86">
        <v>198000</v>
      </c>
      <c r="Q16" s="87">
        <v>213000</v>
      </c>
      <c r="R16" s="89">
        <v>263000</v>
      </c>
      <c r="S16" s="55"/>
      <c r="T16" s="86">
        <f t="shared" ref="T16" si="23">P16-20000</f>
        <v>178000</v>
      </c>
      <c r="U16" s="90">
        <f t="shared" si="1"/>
        <v>0.10101010101010099</v>
      </c>
      <c r="V16" s="91">
        <f t="shared" ref="V16" si="24">Q16-20000</f>
        <v>193000</v>
      </c>
      <c r="W16" s="92">
        <f t="shared" si="2"/>
        <v>9.3896713615023497E-2</v>
      </c>
      <c r="X16" s="93">
        <v>223000</v>
      </c>
      <c r="Y16" s="94">
        <f t="shared" si="3"/>
        <v>0.15209125475285168</v>
      </c>
      <c r="Z16" s="91">
        <f t="shared" si="10"/>
        <v>66000</v>
      </c>
      <c r="AA16" s="95">
        <f t="shared" si="11"/>
        <v>0.48837209302325579</v>
      </c>
      <c r="AB16" s="93">
        <f t="shared" si="12"/>
        <v>3000</v>
      </c>
      <c r="AC16" s="96">
        <f t="shared" si="13"/>
        <v>0.83333333333333337</v>
      </c>
      <c r="AE16" s="97">
        <f t="shared" si="14"/>
        <v>247000</v>
      </c>
      <c r="AF16" s="98">
        <f t="shared" si="15"/>
        <v>262000</v>
      </c>
      <c r="AG16" s="99">
        <f t="shared" si="16"/>
        <v>292000</v>
      </c>
      <c r="AH16" s="100">
        <f t="shared" si="17"/>
        <v>32120</v>
      </c>
      <c r="AI16" s="101">
        <f t="shared" si="18"/>
        <v>259880</v>
      </c>
      <c r="AJ16" s="68"/>
      <c r="AL16" s="39">
        <f t="shared" si="5"/>
        <v>-45000</v>
      </c>
      <c r="AM16" s="39">
        <f t="shared" si="6"/>
        <v>-30000</v>
      </c>
      <c r="AR16" s="38" t="e">
        <f>J16+M16+#REF!+N16</f>
        <v>#REF!</v>
      </c>
      <c r="AS16" s="38">
        <f t="shared" si="7"/>
        <v>247000</v>
      </c>
      <c r="AT16" s="39" t="e">
        <f t="shared" si="8"/>
        <v>#REF!</v>
      </c>
    </row>
    <row r="17" spans="2:46" s="39" customFormat="1" ht="15" customHeight="1">
      <c r="B17" s="286"/>
      <c r="C17" s="287"/>
      <c r="D17" s="283"/>
      <c r="E17" s="280"/>
      <c r="F17" s="283"/>
      <c r="G17" s="280"/>
      <c r="H17" s="283"/>
      <c r="I17" s="69" t="s">
        <v>58</v>
      </c>
      <c r="J17" s="70">
        <v>222000</v>
      </c>
      <c r="K17" s="71">
        <v>237000</v>
      </c>
      <c r="L17" s="71">
        <v>313000</v>
      </c>
      <c r="M17" s="71">
        <f t="shared" si="9"/>
        <v>129000</v>
      </c>
      <c r="N17" s="72">
        <f t="shared" si="0"/>
        <v>18000</v>
      </c>
      <c r="P17" s="70">
        <v>222000</v>
      </c>
      <c r="Q17" s="71">
        <v>237000</v>
      </c>
      <c r="R17" s="73">
        <v>313000</v>
      </c>
      <c r="S17" s="55"/>
      <c r="T17" s="70">
        <f t="shared" ref="T17:T18" si="25">P17</f>
        <v>222000</v>
      </c>
      <c r="U17" s="74">
        <f t="shared" si="1"/>
        <v>0</v>
      </c>
      <c r="V17" s="75">
        <f t="shared" ref="V17:V18" si="26">Q17</f>
        <v>237000</v>
      </c>
      <c r="W17" s="76">
        <f t="shared" si="2"/>
        <v>0</v>
      </c>
      <c r="X17" s="77">
        <v>287000</v>
      </c>
      <c r="Y17" s="78">
        <f t="shared" si="3"/>
        <v>8.3067092651757157E-2</v>
      </c>
      <c r="Z17" s="75">
        <f t="shared" si="10"/>
        <v>66000</v>
      </c>
      <c r="AA17" s="79">
        <f t="shared" si="11"/>
        <v>0.48837209302325579</v>
      </c>
      <c r="AB17" s="77">
        <f t="shared" si="12"/>
        <v>3000</v>
      </c>
      <c r="AC17" s="80">
        <f t="shared" si="13"/>
        <v>0.83333333333333337</v>
      </c>
      <c r="AE17" s="81">
        <f t="shared" si="14"/>
        <v>291000</v>
      </c>
      <c r="AF17" s="82">
        <f t="shared" si="15"/>
        <v>306000</v>
      </c>
      <c r="AG17" s="83">
        <f t="shared" si="16"/>
        <v>356000</v>
      </c>
      <c r="AH17" s="84">
        <f t="shared" si="17"/>
        <v>39160</v>
      </c>
      <c r="AI17" s="85">
        <f t="shared" si="18"/>
        <v>316840</v>
      </c>
      <c r="AJ17" s="68"/>
      <c r="AL17" s="39">
        <f t="shared" si="5"/>
        <v>-65000</v>
      </c>
      <c r="AM17" s="39">
        <f t="shared" si="6"/>
        <v>-50000</v>
      </c>
      <c r="AR17" s="38" t="e">
        <f>J17+M17+#REF!+N17</f>
        <v>#REF!</v>
      </c>
      <c r="AS17" s="38">
        <f t="shared" si="7"/>
        <v>291000</v>
      </c>
      <c r="AT17" s="39" t="e">
        <f t="shared" si="8"/>
        <v>#REF!</v>
      </c>
    </row>
    <row r="18" spans="2:46" s="39" customFormat="1" ht="15" customHeight="1">
      <c r="B18" s="286"/>
      <c r="C18" s="287"/>
      <c r="D18" s="283"/>
      <c r="E18" s="280"/>
      <c r="F18" s="283"/>
      <c r="G18" s="280"/>
      <c r="H18" s="283"/>
      <c r="I18" s="102" t="s">
        <v>59</v>
      </c>
      <c r="J18" s="70">
        <v>275000</v>
      </c>
      <c r="K18" s="71">
        <v>289000</v>
      </c>
      <c r="L18" s="71">
        <v>424000</v>
      </c>
      <c r="M18" s="71">
        <f t="shared" si="9"/>
        <v>129000</v>
      </c>
      <c r="N18" s="72">
        <f t="shared" si="0"/>
        <v>18000</v>
      </c>
      <c r="P18" s="70">
        <v>275000</v>
      </c>
      <c r="Q18" s="71">
        <v>289000</v>
      </c>
      <c r="R18" s="73">
        <v>424000</v>
      </c>
      <c r="S18" s="55"/>
      <c r="T18" s="70">
        <f t="shared" si="25"/>
        <v>275000</v>
      </c>
      <c r="U18" s="74">
        <f t="shared" si="1"/>
        <v>0</v>
      </c>
      <c r="V18" s="75">
        <f t="shared" si="26"/>
        <v>289000</v>
      </c>
      <c r="W18" s="76">
        <f t="shared" si="2"/>
        <v>0</v>
      </c>
      <c r="X18" s="77">
        <v>424000</v>
      </c>
      <c r="Y18" s="78">
        <f t="shared" si="3"/>
        <v>0</v>
      </c>
      <c r="Z18" s="75">
        <f t="shared" si="10"/>
        <v>66000</v>
      </c>
      <c r="AA18" s="79">
        <f t="shared" si="11"/>
        <v>0.48837209302325579</v>
      </c>
      <c r="AB18" s="77">
        <f t="shared" si="12"/>
        <v>3000</v>
      </c>
      <c r="AC18" s="80">
        <f t="shared" si="13"/>
        <v>0.83333333333333337</v>
      </c>
      <c r="AE18" s="81">
        <f t="shared" si="14"/>
        <v>344000</v>
      </c>
      <c r="AF18" s="82">
        <f t="shared" si="15"/>
        <v>358000</v>
      </c>
      <c r="AG18" s="83">
        <f t="shared" si="16"/>
        <v>493000</v>
      </c>
      <c r="AH18" s="84">
        <f t="shared" si="17"/>
        <v>54230</v>
      </c>
      <c r="AI18" s="85">
        <f t="shared" si="18"/>
        <v>438770</v>
      </c>
      <c r="AJ18" s="68"/>
      <c r="AL18" s="39">
        <f t="shared" si="5"/>
        <v>-149000</v>
      </c>
      <c r="AM18" s="39">
        <f t="shared" si="6"/>
        <v>-135000</v>
      </c>
      <c r="AR18" s="38" t="e">
        <f>J18+M18+#REF!+N18</f>
        <v>#REF!</v>
      </c>
      <c r="AS18" s="38">
        <f t="shared" si="7"/>
        <v>344000</v>
      </c>
      <c r="AT18" s="39" t="e">
        <f t="shared" si="8"/>
        <v>#REF!</v>
      </c>
    </row>
    <row r="19" spans="2:46" s="39" customFormat="1" ht="15" customHeight="1">
      <c r="B19" s="286"/>
      <c r="C19" s="287"/>
      <c r="D19" s="282" t="s">
        <v>30</v>
      </c>
      <c r="E19" s="279"/>
      <c r="F19" s="298" t="s">
        <v>27</v>
      </c>
      <c r="G19" s="279"/>
      <c r="H19" s="297" t="s">
        <v>79</v>
      </c>
      <c r="I19" s="103" t="s">
        <v>57</v>
      </c>
      <c r="J19" s="104">
        <v>114000</v>
      </c>
      <c r="K19" s="105">
        <v>126000</v>
      </c>
      <c r="L19" s="105">
        <v>160000</v>
      </c>
      <c r="M19" s="105">
        <f t="shared" si="9"/>
        <v>129000</v>
      </c>
      <c r="N19" s="106">
        <f t="shared" si="0"/>
        <v>18000</v>
      </c>
      <c r="P19" s="104">
        <v>114000</v>
      </c>
      <c r="Q19" s="105">
        <v>126000</v>
      </c>
      <c r="R19" s="107">
        <v>160000</v>
      </c>
      <c r="S19" s="55"/>
      <c r="T19" s="104">
        <f t="shared" ref="T19" si="27">P19-20000</f>
        <v>94000</v>
      </c>
      <c r="U19" s="108">
        <f t="shared" si="1"/>
        <v>0.17543859649122806</v>
      </c>
      <c r="V19" s="109">
        <f t="shared" ref="V19" si="28">Q19-20000</f>
        <v>106000</v>
      </c>
      <c r="W19" s="110">
        <f t="shared" si="2"/>
        <v>0.15873015873015872</v>
      </c>
      <c r="X19" s="111">
        <f>V19+30000</f>
        <v>136000</v>
      </c>
      <c r="Y19" s="112">
        <f t="shared" si="3"/>
        <v>0.15000000000000002</v>
      </c>
      <c r="Z19" s="109">
        <f t="shared" si="10"/>
        <v>66000</v>
      </c>
      <c r="AA19" s="113">
        <f t="shared" si="11"/>
        <v>0.48837209302325579</v>
      </c>
      <c r="AB19" s="111">
        <f t="shared" si="12"/>
        <v>3000</v>
      </c>
      <c r="AC19" s="114">
        <f t="shared" si="13"/>
        <v>0.83333333333333337</v>
      </c>
      <c r="AD19" s="55"/>
      <c r="AE19" s="115">
        <f t="shared" si="14"/>
        <v>163000</v>
      </c>
      <c r="AF19" s="116">
        <f t="shared" si="15"/>
        <v>175000</v>
      </c>
      <c r="AG19" s="117">
        <f t="shared" si="16"/>
        <v>205000</v>
      </c>
      <c r="AH19" s="118">
        <f t="shared" si="17"/>
        <v>22550</v>
      </c>
      <c r="AI19" s="119">
        <f t="shared" si="18"/>
        <v>182450</v>
      </c>
      <c r="AJ19" s="68"/>
      <c r="AL19" s="39">
        <f t="shared" si="5"/>
        <v>-42000</v>
      </c>
      <c r="AM19" s="39">
        <f t="shared" si="6"/>
        <v>-30000</v>
      </c>
      <c r="AR19" s="38" t="e">
        <f>J19+M19+#REF!+N19</f>
        <v>#REF!</v>
      </c>
      <c r="AS19" s="38">
        <f t="shared" si="7"/>
        <v>163000</v>
      </c>
      <c r="AT19" s="39" t="e">
        <f t="shared" si="8"/>
        <v>#REF!</v>
      </c>
    </row>
    <row r="20" spans="2:46" s="39" customFormat="1" ht="15" customHeight="1">
      <c r="B20" s="286"/>
      <c r="C20" s="287"/>
      <c r="D20" s="283"/>
      <c r="E20" s="280"/>
      <c r="F20" s="295"/>
      <c r="G20" s="280"/>
      <c r="H20" s="296"/>
      <c r="I20" s="103" t="s">
        <v>58</v>
      </c>
      <c r="J20" s="70">
        <v>130000</v>
      </c>
      <c r="K20" s="71">
        <v>142000</v>
      </c>
      <c r="L20" s="71">
        <v>210000</v>
      </c>
      <c r="M20" s="71">
        <f t="shared" si="9"/>
        <v>129000</v>
      </c>
      <c r="N20" s="72">
        <f t="shared" si="0"/>
        <v>18000</v>
      </c>
      <c r="P20" s="70">
        <v>130000</v>
      </c>
      <c r="Q20" s="71">
        <v>142000</v>
      </c>
      <c r="R20" s="73">
        <v>210000</v>
      </c>
      <c r="S20" s="55"/>
      <c r="T20" s="70">
        <f t="shared" ref="T20:T21" si="29">P20</f>
        <v>130000</v>
      </c>
      <c r="U20" s="74">
        <f t="shared" si="1"/>
        <v>0</v>
      </c>
      <c r="V20" s="75">
        <f t="shared" ref="V20:V21" si="30">Q20</f>
        <v>142000</v>
      </c>
      <c r="W20" s="76">
        <f t="shared" si="2"/>
        <v>0</v>
      </c>
      <c r="X20" s="77">
        <f>V20+40000</f>
        <v>182000</v>
      </c>
      <c r="Y20" s="78">
        <f t="shared" si="3"/>
        <v>0.1333333333333333</v>
      </c>
      <c r="Z20" s="75">
        <f t="shared" si="10"/>
        <v>66000</v>
      </c>
      <c r="AA20" s="79">
        <f t="shared" si="11"/>
        <v>0.48837209302325579</v>
      </c>
      <c r="AB20" s="77">
        <f t="shared" si="12"/>
        <v>3000</v>
      </c>
      <c r="AC20" s="80">
        <f t="shared" si="13"/>
        <v>0.83333333333333337</v>
      </c>
      <c r="AD20" s="55"/>
      <c r="AE20" s="120">
        <f t="shared" si="14"/>
        <v>199000</v>
      </c>
      <c r="AF20" s="82">
        <f t="shared" si="15"/>
        <v>211000</v>
      </c>
      <c r="AG20" s="83">
        <f t="shared" si="16"/>
        <v>251000</v>
      </c>
      <c r="AH20" s="84">
        <f t="shared" si="17"/>
        <v>27610</v>
      </c>
      <c r="AI20" s="85">
        <f t="shared" si="18"/>
        <v>223390</v>
      </c>
      <c r="AJ20" s="68"/>
      <c r="AL20" s="39">
        <f t="shared" si="5"/>
        <v>-52000</v>
      </c>
      <c r="AM20" s="39">
        <f t="shared" si="6"/>
        <v>-40000</v>
      </c>
      <c r="AR20" s="38" t="e">
        <f>J20+M20+#REF!+N20</f>
        <v>#REF!</v>
      </c>
      <c r="AS20" s="38">
        <f t="shared" si="7"/>
        <v>199000</v>
      </c>
      <c r="AT20" s="39" t="e">
        <f t="shared" si="8"/>
        <v>#REF!</v>
      </c>
    </row>
    <row r="21" spans="2:46" s="39" customFormat="1" ht="15" customHeight="1">
      <c r="B21" s="286"/>
      <c r="C21" s="287"/>
      <c r="D21" s="283"/>
      <c r="E21" s="280"/>
      <c r="F21" s="295"/>
      <c r="G21" s="280"/>
      <c r="H21" s="296"/>
      <c r="I21" s="103" t="s">
        <v>59</v>
      </c>
      <c r="J21" s="70">
        <v>164000</v>
      </c>
      <c r="K21" s="71">
        <v>174000</v>
      </c>
      <c r="L21" s="71">
        <v>290000</v>
      </c>
      <c r="M21" s="71">
        <f t="shared" si="9"/>
        <v>129000</v>
      </c>
      <c r="N21" s="72">
        <f t="shared" si="0"/>
        <v>18000</v>
      </c>
      <c r="P21" s="70">
        <v>164000</v>
      </c>
      <c r="Q21" s="71">
        <v>174000</v>
      </c>
      <c r="R21" s="73">
        <v>290000</v>
      </c>
      <c r="S21" s="55"/>
      <c r="T21" s="70">
        <f t="shared" si="29"/>
        <v>164000</v>
      </c>
      <c r="U21" s="74">
        <f t="shared" si="1"/>
        <v>0</v>
      </c>
      <c r="V21" s="75">
        <f t="shared" si="30"/>
        <v>174000</v>
      </c>
      <c r="W21" s="76">
        <f t="shared" si="2"/>
        <v>0</v>
      </c>
      <c r="X21" s="77">
        <f>L21</f>
        <v>290000</v>
      </c>
      <c r="Y21" s="78">
        <f t="shared" si="3"/>
        <v>0</v>
      </c>
      <c r="Z21" s="75">
        <f t="shared" si="10"/>
        <v>66000</v>
      </c>
      <c r="AA21" s="79">
        <f t="shared" si="11"/>
        <v>0.48837209302325579</v>
      </c>
      <c r="AB21" s="77">
        <f t="shared" si="12"/>
        <v>3000</v>
      </c>
      <c r="AC21" s="80">
        <f t="shared" si="13"/>
        <v>0.83333333333333337</v>
      </c>
      <c r="AD21" s="55"/>
      <c r="AE21" s="120">
        <f t="shared" si="14"/>
        <v>233000</v>
      </c>
      <c r="AF21" s="82">
        <f t="shared" si="15"/>
        <v>243000</v>
      </c>
      <c r="AG21" s="83">
        <f t="shared" si="16"/>
        <v>359000</v>
      </c>
      <c r="AH21" s="84">
        <f t="shared" si="17"/>
        <v>39490</v>
      </c>
      <c r="AI21" s="85">
        <f t="shared" si="18"/>
        <v>319510</v>
      </c>
      <c r="AJ21" s="68"/>
      <c r="AL21" s="39">
        <f t="shared" si="5"/>
        <v>-126000</v>
      </c>
      <c r="AM21" s="39">
        <f t="shared" si="6"/>
        <v>-116000</v>
      </c>
      <c r="AR21" s="38" t="e">
        <f>J21+M21+#REF!+N21</f>
        <v>#REF!</v>
      </c>
      <c r="AS21" s="38">
        <f t="shared" si="7"/>
        <v>233000</v>
      </c>
      <c r="AT21" s="39" t="e">
        <f t="shared" si="8"/>
        <v>#REF!</v>
      </c>
    </row>
    <row r="22" spans="2:46" s="39" customFormat="1" ht="15" customHeight="1">
      <c r="B22" s="286"/>
      <c r="C22" s="287"/>
      <c r="D22" s="283"/>
      <c r="E22" s="280"/>
      <c r="F22" s="295"/>
      <c r="G22" s="280"/>
      <c r="H22" s="297" t="s">
        <v>25</v>
      </c>
      <c r="I22" s="103" t="s">
        <v>57</v>
      </c>
      <c r="J22" s="86">
        <v>147000</v>
      </c>
      <c r="K22" s="87">
        <v>159000</v>
      </c>
      <c r="L22" s="87">
        <v>193000</v>
      </c>
      <c r="M22" s="87">
        <f t="shared" si="9"/>
        <v>129000</v>
      </c>
      <c r="N22" s="88">
        <f t="shared" si="0"/>
        <v>18000</v>
      </c>
      <c r="P22" s="86">
        <v>147000</v>
      </c>
      <c r="Q22" s="87">
        <v>159000</v>
      </c>
      <c r="R22" s="89">
        <v>193000</v>
      </c>
      <c r="S22" s="55"/>
      <c r="T22" s="86">
        <f t="shared" ref="T22" si="31">P22-20000</f>
        <v>127000</v>
      </c>
      <c r="U22" s="90">
        <f t="shared" si="1"/>
        <v>0.13605442176870752</v>
      </c>
      <c r="V22" s="91">
        <f t="shared" ref="V22" si="32">Q22-20000</f>
        <v>139000</v>
      </c>
      <c r="W22" s="92">
        <f t="shared" si="2"/>
        <v>0.12578616352201255</v>
      </c>
      <c r="X22" s="93">
        <f t="shared" ref="X22" si="33">V22+30000</f>
        <v>169000</v>
      </c>
      <c r="Y22" s="94">
        <f t="shared" si="3"/>
        <v>0.12435233160621761</v>
      </c>
      <c r="Z22" s="91">
        <f t="shared" si="10"/>
        <v>66000</v>
      </c>
      <c r="AA22" s="95">
        <f t="shared" si="11"/>
        <v>0.48837209302325579</v>
      </c>
      <c r="AB22" s="93">
        <f t="shared" si="12"/>
        <v>3000</v>
      </c>
      <c r="AC22" s="96">
        <f t="shared" si="13"/>
        <v>0.83333333333333337</v>
      </c>
      <c r="AD22" s="55"/>
      <c r="AE22" s="121">
        <f t="shared" si="14"/>
        <v>196000</v>
      </c>
      <c r="AF22" s="98">
        <f t="shared" si="15"/>
        <v>208000</v>
      </c>
      <c r="AG22" s="99">
        <f t="shared" si="16"/>
        <v>238000</v>
      </c>
      <c r="AH22" s="100">
        <f t="shared" si="17"/>
        <v>26180</v>
      </c>
      <c r="AI22" s="101">
        <f t="shared" si="18"/>
        <v>211820</v>
      </c>
      <c r="AJ22" s="68"/>
      <c r="AL22" s="39">
        <f t="shared" si="5"/>
        <v>-42000</v>
      </c>
      <c r="AM22" s="39">
        <f t="shared" si="6"/>
        <v>-30000</v>
      </c>
      <c r="AR22" s="38" t="e">
        <f>J22+M22+#REF!+N22</f>
        <v>#REF!</v>
      </c>
      <c r="AS22" s="38">
        <f t="shared" si="7"/>
        <v>196000</v>
      </c>
      <c r="AT22" s="39" t="e">
        <f t="shared" si="8"/>
        <v>#REF!</v>
      </c>
    </row>
    <row r="23" spans="2:46" s="39" customFormat="1" ht="15" customHeight="1">
      <c r="B23" s="286"/>
      <c r="C23" s="287"/>
      <c r="D23" s="283"/>
      <c r="E23" s="280"/>
      <c r="F23" s="295"/>
      <c r="G23" s="280"/>
      <c r="H23" s="296"/>
      <c r="I23" s="103" t="s">
        <v>58</v>
      </c>
      <c r="J23" s="70">
        <v>163000</v>
      </c>
      <c r="K23" s="71">
        <v>175000</v>
      </c>
      <c r="L23" s="71">
        <v>243000</v>
      </c>
      <c r="M23" s="71">
        <f t="shared" si="9"/>
        <v>129000</v>
      </c>
      <c r="N23" s="72">
        <f t="shared" si="0"/>
        <v>18000</v>
      </c>
      <c r="P23" s="70">
        <v>163000</v>
      </c>
      <c r="Q23" s="71">
        <v>175000</v>
      </c>
      <c r="R23" s="73">
        <v>243000</v>
      </c>
      <c r="S23" s="55"/>
      <c r="T23" s="70">
        <f t="shared" ref="T23:T24" si="34">P23</f>
        <v>163000</v>
      </c>
      <c r="U23" s="74">
        <f t="shared" si="1"/>
        <v>0</v>
      </c>
      <c r="V23" s="75">
        <f t="shared" ref="V23:V24" si="35">Q23</f>
        <v>175000</v>
      </c>
      <c r="W23" s="76">
        <f t="shared" si="2"/>
        <v>0</v>
      </c>
      <c r="X23" s="77">
        <f t="shared" ref="X23" si="36">V23+40000</f>
        <v>215000</v>
      </c>
      <c r="Y23" s="78">
        <f t="shared" si="3"/>
        <v>0.1152263374485597</v>
      </c>
      <c r="Z23" s="75">
        <f t="shared" si="10"/>
        <v>66000</v>
      </c>
      <c r="AA23" s="79">
        <f t="shared" si="11"/>
        <v>0.48837209302325579</v>
      </c>
      <c r="AB23" s="77">
        <f t="shared" si="12"/>
        <v>3000</v>
      </c>
      <c r="AC23" s="80">
        <f t="shared" si="13"/>
        <v>0.83333333333333337</v>
      </c>
      <c r="AD23" s="55"/>
      <c r="AE23" s="120">
        <f t="shared" si="14"/>
        <v>232000</v>
      </c>
      <c r="AF23" s="82">
        <f t="shared" si="15"/>
        <v>244000</v>
      </c>
      <c r="AG23" s="83">
        <f t="shared" si="16"/>
        <v>284000</v>
      </c>
      <c r="AH23" s="84">
        <f t="shared" si="17"/>
        <v>31240</v>
      </c>
      <c r="AI23" s="85">
        <f t="shared" si="18"/>
        <v>252760</v>
      </c>
      <c r="AJ23" s="68"/>
      <c r="AL23" s="39">
        <f t="shared" si="5"/>
        <v>-52000</v>
      </c>
      <c r="AM23" s="39">
        <f t="shared" si="6"/>
        <v>-40000</v>
      </c>
      <c r="AR23" s="38" t="e">
        <f>J23+M23+#REF!+N23</f>
        <v>#REF!</v>
      </c>
      <c r="AS23" s="38">
        <f t="shared" si="7"/>
        <v>232000</v>
      </c>
      <c r="AT23" s="39" t="e">
        <f t="shared" si="8"/>
        <v>#REF!</v>
      </c>
    </row>
    <row r="24" spans="2:46" s="39" customFormat="1" ht="15" customHeight="1">
      <c r="B24" s="286"/>
      <c r="C24" s="287"/>
      <c r="D24" s="283"/>
      <c r="E24" s="280"/>
      <c r="F24" s="295"/>
      <c r="G24" s="280"/>
      <c r="H24" s="296"/>
      <c r="I24" s="103" t="s">
        <v>59</v>
      </c>
      <c r="J24" s="70">
        <v>219000</v>
      </c>
      <c r="K24" s="71">
        <v>229000</v>
      </c>
      <c r="L24" s="71">
        <v>345000</v>
      </c>
      <c r="M24" s="71">
        <f t="shared" si="9"/>
        <v>129000</v>
      </c>
      <c r="N24" s="72">
        <f t="shared" si="0"/>
        <v>18000</v>
      </c>
      <c r="P24" s="70">
        <v>219000</v>
      </c>
      <c r="Q24" s="71">
        <v>229000</v>
      </c>
      <c r="R24" s="73">
        <v>345000</v>
      </c>
      <c r="S24" s="55"/>
      <c r="T24" s="70">
        <f t="shared" si="34"/>
        <v>219000</v>
      </c>
      <c r="U24" s="74">
        <f t="shared" si="1"/>
        <v>0</v>
      </c>
      <c r="V24" s="75">
        <f t="shared" si="35"/>
        <v>229000</v>
      </c>
      <c r="W24" s="76">
        <f t="shared" si="2"/>
        <v>0</v>
      </c>
      <c r="X24" s="77">
        <f t="shared" ref="X24" si="37">L24</f>
        <v>345000</v>
      </c>
      <c r="Y24" s="78">
        <f t="shared" si="3"/>
        <v>0</v>
      </c>
      <c r="Z24" s="75">
        <f t="shared" si="10"/>
        <v>66000</v>
      </c>
      <c r="AA24" s="79">
        <f t="shared" si="11"/>
        <v>0.48837209302325579</v>
      </c>
      <c r="AB24" s="77">
        <f t="shared" si="12"/>
        <v>3000</v>
      </c>
      <c r="AC24" s="80">
        <f t="shared" si="13"/>
        <v>0.83333333333333337</v>
      </c>
      <c r="AD24" s="55"/>
      <c r="AE24" s="120">
        <f t="shared" si="14"/>
        <v>288000</v>
      </c>
      <c r="AF24" s="82">
        <f t="shared" si="15"/>
        <v>298000</v>
      </c>
      <c r="AG24" s="83">
        <f t="shared" si="16"/>
        <v>414000</v>
      </c>
      <c r="AH24" s="84">
        <f t="shared" si="17"/>
        <v>45540</v>
      </c>
      <c r="AI24" s="85">
        <f t="shared" si="18"/>
        <v>368460</v>
      </c>
      <c r="AJ24" s="68"/>
      <c r="AL24" s="39">
        <f t="shared" si="5"/>
        <v>-126000</v>
      </c>
      <c r="AM24" s="39">
        <f t="shared" si="6"/>
        <v>-116000</v>
      </c>
      <c r="AR24" s="38" t="e">
        <f>J24+M24+#REF!+N24</f>
        <v>#REF!</v>
      </c>
      <c r="AS24" s="38">
        <f t="shared" si="7"/>
        <v>288000</v>
      </c>
      <c r="AT24" s="39" t="e">
        <f t="shared" si="8"/>
        <v>#REF!</v>
      </c>
    </row>
    <row r="25" spans="2:46" s="39" customFormat="1" ht="15" customHeight="1">
      <c r="B25" s="286"/>
      <c r="C25" s="287"/>
      <c r="D25" s="283"/>
      <c r="E25" s="280"/>
      <c r="F25" s="298" t="s">
        <v>28</v>
      </c>
      <c r="G25" s="279"/>
      <c r="H25" s="297" t="s">
        <v>18</v>
      </c>
      <c r="I25" s="103" t="s">
        <v>57</v>
      </c>
      <c r="J25" s="86">
        <v>148000</v>
      </c>
      <c r="K25" s="87">
        <v>165000</v>
      </c>
      <c r="L25" s="87">
        <v>235000</v>
      </c>
      <c r="M25" s="87">
        <f t="shared" si="9"/>
        <v>129000</v>
      </c>
      <c r="N25" s="88">
        <f t="shared" si="0"/>
        <v>18000</v>
      </c>
      <c r="P25" s="86">
        <v>148000</v>
      </c>
      <c r="Q25" s="87">
        <v>165000</v>
      </c>
      <c r="R25" s="89">
        <v>235000</v>
      </c>
      <c r="S25" s="1"/>
      <c r="T25" s="86">
        <f t="shared" ref="T25" si="38">P25-20000</f>
        <v>128000</v>
      </c>
      <c r="U25" s="90">
        <f t="shared" si="1"/>
        <v>0.13513513513513509</v>
      </c>
      <c r="V25" s="91">
        <f t="shared" ref="V25" si="39">Q25-20000</f>
        <v>145000</v>
      </c>
      <c r="W25" s="92">
        <f t="shared" si="2"/>
        <v>0.12121212121212122</v>
      </c>
      <c r="X25" s="93">
        <f t="shared" ref="X25" si="40">V25+30000</f>
        <v>175000</v>
      </c>
      <c r="Y25" s="94">
        <f t="shared" si="3"/>
        <v>0.25531914893617025</v>
      </c>
      <c r="Z25" s="91">
        <f t="shared" si="10"/>
        <v>66000</v>
      </c>
      <c r="AA25" s="95">
        <f t="shared" si="11"/>
        <v>0.48837209302325579</v>
      </c>
      <c r="AB25" s="93">
        <f t="shared" si="12"/>
        <v>3000</v>
      </c>
      <c r="AC25" s="96">
        <f t="shared" si="13"/>
        <v>0.83333333333333337</v>
      </c>
      <c r="AD25" s="55"/>
      <c r="AE25" s="121">
        <f t="shared" si="14"/>
        <v>197000</v>
      </c>
      <c r="AF25" s="98">
        <f t="shared" si="15"/>
        <v>214000</v>
      </c>
      <c r="AG25" s="99">
        <f t="shared" si="16"/>
        <v>244000</v>
      </c>
      <c r="AH25" s="100">
        <f t="shared" si="17"/>
        <v>26840</v>
      </c>
      <c r="AI25" s="101">
        <f t="shared" si="18"/>
        <v>217160</v>
      </c>
      <c r="AJ25" s="68"/>
      <c r="AL25" s="39">
        <f t="shared" si="5"/>
        <v>-47000</v>
      </c>
      <c r="AM25" s="39">
        <f t="shared" si="6"/>
        <v>-30000</v>
      </c>
      <c r="AR25" s="38" t="e">
        <f>J25+M25+#REF!+N25</f>
        <v>#REF!</v>
      </c>
      <c r="AS25" s="38">
        <f t="shared" si="7"/>
        <v>197000</v>
      </c>
      <c r="AT25" s="39" t="e">
        <f t="shared" si="8"/>
        <v>#REF!</v>
      </c>
    </row>
    <row r="26" spans="2:46" s="39" customFormat="1" ht="15" customHeight="1">
      <c r="B26" s="286"/>
      <c r="C26" s="287"/>
      <c r="D26" s="283"/>
      <c r="E26" s="280"/>
      <c r="F26" s="295"/>
      <c r="G26" s="280"/>
      <c r="H26" s="296"/>
      <c r="I26" s="103" t="s">
        <v>58</v>
      </c>
      <c r="J26" s="70">
        <v>179000</v>
      </c>
      <c r="K26" s="71">
        <v>194000</v>
      </c>
      <c r="L26" s="71">
        <v>285000</v>
      </c>
      <c r="M26" s="71">
        <f t="shared" si="9"/>
        <v>129000</v>
      </c>
      <c r="N26" s="72">
        <f t="shared" si="0"/>
        <v>18000</v>
      </c>
      <c r="P26" s="70">
        <v>179000</v>
      </c>
      <c r="Q26" s="71">
        <v>194000</v>
      </c>
      <c r="R26" s="73">
        <v>285000</v>
      </c>
      <c r="S26" s="1"/>
      <c r="T26" s="70">
        <f t="shared" ref="T26:T27" si="41">P26</f>
        <v>179000</v>
      </c>
      <c r="U26" s="74">
        <f t="shared" si="1"/>
        <v>0</v>
      </c>
      <c r="V26" s="75">
        <f t="shared" ref="V26:V27" si="42">Q26</f>
        <v>194000</v>
      </c>
      <c r="W26" s="76">
        <f t="shared" si="2"/>
        <v>0</v>
      </c>
      <c r="X26" s="77">
        <f t="shared" ref="X26" si="43">V26+40000</f>
        <v>234000</v>
      </c>
      <c r="Y26" s="78">
        <f t="shared" si="3"/>
        <v>0.17894736842105263</v>
      </c>
      <c r="Z26" s="75">
        <f t="shared" si="10"/>
        <v>66000</v>
      </c>
      <c r="AA26" s="79">
        <f t="shared" si="11"/>
        <v>0.48837209302325579</v>
      </c>
      <c r="AB26" s="77">
        <f t="shared" si="12"/>
        <v>3000</v>
      </c>
      <c r="AC26" s="80">
        <f t="shared" si="13"/>
        <v>0.83333333333333337</v>
      </c>
      <c r="AD26" s="55"/>
      <c r="AE26" s="120">
        <f t="shared" si="14"/>
        <v>248000</v>
      </c>
      <c r="AF26" s="82">
        <f t="shared" si="15"/>
        <v>263000</v>
      </c>
      <c r="AG26" s="83">
        <f t="shared" si="16"/>
        <v>303000</v>
      </c>
      <c r="AH26" s="84">
        <f t="shared" si="17"/>
        <v>33330</v>
      </c>
      <c r="AI26" s="85">
        <f t="shared" si="18"/>
        <v>269670</v>
      </c>
      <c r="AJ26" s="68"/>
      <c r="AL26" s="39">
        <f t="shared" si="5"/>
        <v>-55000</v>
      </c>
      <c r="AM26" s="39">
        <f t="shared" si="6"/>
        <v>-40000</v>
      </c>
      <c r="AR26" s="38" t="e">
        <f>J26+M26+#REF!+N26</f>
        <v>#REF!</v>
      </c>
      <c r="AS26" s="38">
        <f t="shared" si="7"/>
        <v>248000</v>
      </c>
      <c r="AT26" s="39" t="e">
        <f t="shared" si="8"/>
        <v>#REF!</v>
      </c>
    </row>
    <row r="27" spans="2:46" s="39" customFormat="1" ht="15" customHeight="1">
      <c r="B27" s="286"/>
      <c r="C27" s="287"/>
      <c r="D27" s="283"/>
      <c r="E27" s="280"/>
      <c r="F27" s="295"/>
      <c r="G27" s="280"/>
      <c r="H27" s="296"/>
      <c r="I27" s="103" t="s">
        <v>59</v>
      </c>
      <c r="J27" s="70">
        <v>218000</v>
      </c>
      <c r="K27" s="71">
        <v>233000</v>
      </c>
      <c r="L27" s="71">
        <v>370000</v>
      </c>
      <c r="M27" s="71">
        <f t="shared" si="9"/>
        <v>129000</v>
      </c>
      <c r="N27" s="72">
        <f t="shared" si="0"/>
        <v>18000</v>
      </c>
      <c r="P27" s="70">
        <v>218000</v>
      </c>
      <c r="Q27" s="71">
        <v>233000</v>
      </c>
      <c r="R27" s="73">
        <v>370000</v>
      </c>
      <c r="S27" s="1"/>
      <c r="T27" s="70">
        <f t="shared" si="41"/>
        <v>218000</v>
      </c>
      <c r="U27" s="74">
        <f t="shared" si="1"/>
        <v>0</v>
      </c>
      <c r="V27" s="75">
        <f t="shared" si="42"/>
        <v>233000</v>
      </c>
      <c r="W27" s="76">
        <f t="shared" si="2"/>
        <v>0</v>
      </c>
      <c r="X27" s="77">
        <f t="shared" ref="X27" si="44">L27</f>
        <v>370000</v>
      </c>
      <c r="Y27" s="78">
        <f t="shared" si="3"/>
        <v>0</v>
      </c>
      <c r="Z27" s="75">
        <f t="shared" si="10"/>
        <v>66000</v>
      </c>
      <c r="AA27" s="79">
        <f t="shared" si="11"/>
        <v>0.48837209302325579</v>
      </c>
      <c r="AB27" s="77">
        <f t="shared" si="12"/>
        <v>3000</v>
      </c>
      <c r="AC27" s="80">
        <f t="shared" si="13"/>
        <v>0.83333333333333337</v>
      </c>
      <c r="AD27" s="55"/>
      <c r="AE27" s="120">
        <f t="shared" si="14"/>
        <v>287000</v>
      </c>
      <c r="AF27" s="82">
        <f t="shared" si="15"/>
        <v>302000</v>
      </c>
      <c r="AG27" s="83">
        <f t="shared" si="16"/>
        <v>439000</v>
      </c>
      <c r="AH27" s="84">
        <f t="shared" si="17"/>
        <v>48290</v>
      </c>
      <c r="AI27" s="85">
        <f t="shared" si="18"/>
        <v>390710</v>
      </c>
      <c r="AJ27" s="68"/>
      <c r="AL27" s="39">
        <f t="shared" si="5"/>
        <v>-152000</v>
      </c>
      <c r="AM27" s="39">
        <f t="shared" si="6"/>
        <v>-137000</v>
      </c>
      <c r="AR27" s="38" t="e">
        <f>J27+M27+#REF!+N27</f>
        <v>#REF!</v>
      </c>
      <c r="AS27" s="38">
        <f t="shared" si="7"/>
        <v>287000</v>
      </c>
      <c r="AT27" s="39" t="e">
        <f t="shared" si="8"/>
        <v>#REF!</v>
      </c>
    </row>
    <row r="28" spans="2:46" s="39" customFormat="1" ht="15" customHeight="1">
      <c r="B28" s="286"/>
      <c r="C28" s="287"/>
      <c r="D28" s="283"/>
      <c r="E28" s="280"/>
      <c r="F28" s="295"/>
      <c r="G28" s="280"/>
      <c r="H28" s="297" t="s">
        <v>25</v>
      </c>
      <c r="I28" s="103" t="s">
        <v>57</v>
      </c>
      <c r="J28" s="86">
        <v>181000</v>
      </c>
      <c r="K28" s="87">
        <v>198000</v>
      </c>
      <c r="L28" s="87">
        <v>268000</v>
      </c>
      <c r="M28" s="87">
        <f t="shared" si="9"/>
        <v>129000</v>
      </c>
      <c r="N28" s="88">
        <f t="shared" si="0"/>
        <v>18000</v>
      </c>
      <c r="P28" s="86">
        <v>181000</v>
      </c>
      <c r="Q28" s="87">
        <v>198000</v>
      </c>
      <c r="R28" s="89">
        <v>268000</v>
      </c>
      <c r="S28" s="1"/>
      <c r="T28" s="86">
        <f t="shared" ref="T28" si="45">P28-20000</f>
        <v>161000</v>
      </c>
      <c r="U28" s="90">
        <f t="shared" si="1"/>
        <v>0.11049723756906082</v>
      </c>
      <c r="V28" s="91">
        <f t="shared" ref="V28" si="46">Q28-20000</f>
        <v>178000</v>
      </c>
      <c r="W28" s="92">
        <f t="shared" si="2"/>
        <v>0.10101010101010099</v>
      </c>
      <c r="X28" s="93">
        <f t="shared" ref="X28" si="47">V28+30000</f>
        <v>208000</v>
      </c>
      <c r="Y28" s="94">
        <f t="shared" si="3"/>
        <v>0.22388059701492535</v>
      </c>
      <c r="Z28" s="91">
        <f t="shared" si="10"/>
        <v>66000</v>
      </c>
      <c r="AA28" s="95">
        <f t="shared" si="11"/>
        <v>0.48837209302325579</v>
      </c>
      <c r="AB28" s="93">
        <f t="shared" si="12"/>
        <v>3000</v>
      </c>
      <c r="AC28" s="96">
        <f t="shared" si="13"/>
        <v>0.83333333333333337</v>
      </c>
      <c r="AD28" s="55"/>
      <c r="AE28" s="121">
        <f t="shared" si="14"/>
        <v>230000</v>
      </c>
      <c r="AF28" s="98">
        <f t="shared" si="15"/>
        <v>247000</v>
      </c>
      <c r="AG28" s="99">
        <f t="shared" si="16"/>
        <v>277000</v>
      </c>
      <c r="AH28" s="100">
        <f t="shared" si="17"/>
        <v>30470</v>
      </c>
      <c r="AI28" s="101">
        <f t="shared" si="18"/>
        <v>246530</v>
      </c>
      <c r="AJ28" s="68"/>
      <c r="AL28" s="39">
        <f t="shared" si="5"/>
        <v>-47000</v>
      </c>
      <c r="AM28" s="39">
        <f t="shared" si="6"/>
        <v>-30000</v>
      </c>
      <c r="AR28" s="38" t="e">
        <f>J28+M28+#REF!+N28</f>
        <v>#REF!</v>
      </c>
      <c r="AS28" s="38">
        <f t="shared" si="7"/>
        <v>230000</v>
      </c>
      <c r="AT28" s="39" t="e">
        <f t="shared" si="8"/>
        <v>#REF!</v>
      </c>
    </row>
    <row r="29" spans="2:46" s="39" customFormat="1" ht="15" customHeight="1">
      <c r="B29" s="286"/>
      <c r="C29" s="287"/>
      <c r="D29" s="283"/>
      <c r="E29" s="280"/>
      <c r="F29" s="295"/>
      <c r="G29" s="280"/>
      <c r="H29" s="296"/>
      <c r="I29" s="103" t="s">
        <v>58</v>
      </c>
      <c r="J29" s="70">
        <v>212000</v>
      </c>
      <c r="K29" s="71">
        <v>227000</v>
      </c>
      <c r="L29" s="71">
        <v>318000</v>
      </c>
      <c r="M29" s="71">
        <f t="shared" si="9"/>
        <v>129000</v>
      </c>
      <c r="N29" s="72">
        <f t="shared" si="0"/>
        <v>18000</v>
      </c>
      <c r="P29" s="70">
        <v>212000</v>
      </c>
      <c r="Q29" s="71">
        <v>227000</v>
      </c>
      <c r="R29" s="73">
        <v>318000</v>
      </c>
      <c r="S29" s="1"/>
      <c r="T29" s="70">
        <f t="shared" ref="T29:T30" si="48">P29</f>
        <v>212000</v>
      </c>
      <c r="U29" s="74">
        <f t="shared" si="1"/>
        <v>0</v>
      </c>
      <c r="V29" s="75">
        <f t="shared" ref="V29:V30" si="49">Q29</f>
        <v>227000</v>
      </c>
      <c r="W29" s="76">
        <f t="shared" si="2"/>
        <v>0</v>
      </c>
      <c r="X29" s="77">
        <f t="shared" ref="X29" si="50">V29+40000</f>
        <v>267000</v>
      </c>
      <c r="Y29" s="78">
        <f t="shared" si="3"/>
        <v>0.160377358490566</v>
      </c>
      <c r="Z29" s="75">
        <f t="shared" si="10"/>
        <v>66000</v>
      </c>
      <c r="AA29" s="79">
        <f t="shared" si="11"/>
        <v>0.48837209302325579</v>
      </c>
      <c r="AB29" s="77">
        <f t="shared" si="12"/>
        <v>3000</v>
      </c>
      <c r="AC29" s="80">
        <f t="shared" si="13"/>
        <v>0.83333333333333337</v>
      </c>
      <c r="AD29" s="55"/>
      <c r="AE29" s="120">
        <f t="shared" si="14"/>
        <v>281000</v>
      </c>
      <c r="AF29" s="82">
        <f t="shared" si="15"/>
        <v>296000</v>
      </c>
      <c r="AG29" s="83">
        <f t="shared" si="16"/>
        <v>336000</v>
      </c>
      <c r="AH29" s="84">
        <f t="shared" si="17"/>
        <v>36960</v>
      </c>
      <c r="AI29" s="85">
        <f t="shared" si="18"/>
        <v>299040</v>
      </c>
      <c r="AJ29" s="68"/>
      <c r="AL29" s="39">
        <f t="shared" si="5"/>
        <v>-55000</v>
      </c>
      <c r="AM29" s="39">
        <f t="shared" si="6"/>
        <v>-40000</v>
      </c>
      <c r="AR29" s="38" t="e">
        <f>J29+M29+#REF!+N29</f>
        <v>#REF!</v>
      </c>
      <c r="AS29" s="38">
        <f t="shared" si="7"/>
        <v>281000</v>
      </c>
      <c r="AT29" s="39" t="e">
        <f t="shared" si="8"/>
        <v>#REF!</v>
      </c>
    </row>
    <row r="30" spans="2:46" s="39" customFormat="1" ht="15" customHeight="1">
      <c r="B30" s="286"/>
      <c r="C30" s="287"/>
      <c r="D30" s="283"/>
      <c r="E30" s="280"/>
      <c r="F30" s="295"/>
      <c r="G30" s="280"/>
      <c r="H30" s="296"/>
      <c r="I30" s="122" t="s">
        <v>59</v>
      </c>
      <c r="J30" s="123">
        <v>273000</v>
      </c>
      <c r="K30" s="124">
        <v>288000</v>
      </c>
      <c r="L30" s="124">
        <v>425000</v>
      </c>
      <c r="M30" s="124">
        <f t="shared" si="9"/>
        <v>129000</v>
      </c>
      <c r="N30" s="125">
        <f t="shared" si="0"/>
        <v>18000</v>
      </c>
      <c r="P30" s="123">
        <v>273000</v>
      </c>
      <c r="Q30" s="124">
        <v>288000</v>
      </c>
      <c r="R30" s="126">
        <v>425000</v>
      </c>
      <c r="S30" s="1"/>
      <c r="T30" s="123">
        <f t="shared" si="48"/>
        <v>273000</v>
      </c>
      <c r="U30" s="127">
        <f t="shared" si="1"/>
        <v>0</v>
      </c>
      <c r="V30" s="128">
        <f t="shared" si="49"/>
        <v>288000</v>
      </c>
      <c r="W30" s="129">
        <f t="shared" si="2"/>
        <v>0</v>
      </c>
      <c r="X30" s="130">
        <f t="shared" ref="X30" si="51">L30</f>
        <v>425000</v>
      </c>
      <c r="Y30" s="131">
        <f t="shared" si="3"/>
        <v>0</v>
      </c>
      <c r="Z30" s="128">
        <f t="shared" si="10"/>
        <v>66000</v>
      </c>
      <c r="AA30" s="132">
        <f t="shared" si="11"/>
        <v>0.48837209302325579</v>
      </c>
      <c r="AB30" s="130">
        <f t="shared" si="12"/>
        <v>3000</v>
      </c>
      <c r="AC30" s="133">
        <f t="shared" si="13"/>
        <v>0.83333333333333337</v>
      </c>
      <c r="AD30" s="55"/>
      <c r="AE30" s="134">
        <f t="shared" si="14"/>
        <v>342000</v>
      </c>
      <c r="AF30" s="135">
        <f t="shared" si="15"/>
        <v>357000</v>
      </c>
      <c r="AG30" s="136">
        <f t="shared" si="16"/>
        <v>494000</v>
      </c>
      <c r="AH30" s="137">
        <f t="shared" si="17"/>
        <v>54340</v>
      </c>
      <c r="AI30" s="138">
        <f t="shared" si="18"/>
        <v>439660</v>
      </c>
      <c r="AJ30" s="68"/>
      <c r="AL30" s="39">
        <f t="shared" si="5"/>
        <v>-152000</v>
      </c>
      <c r="AM30" s="39">
        <f t="shared" si="6"/>
        <v>-137000</v>
      </c>
      <c r="AR30" s="38" t="e">
        <f>J30+M30+#REF!+N30</f>
        <v>#REF!</v>
      </c>
      <c r="AS30" s="38">
        <f t="shared" si="7"/>
        <v>342000</v>
      </c>
      <c r="AT30" s="39" t="e">
        <f t="shared" si="8"/>
        <v>#REF!</v>
      </c>
    </row>
    <row r="31" spans="2:46" s="39" customFormat="1" ht="15" customHeight="1">
      <c r="B31" s="286"/>
      <c r="C31" s="287"/>
      <c r="D31" s="283"/>
      <c r="E31" s="280"/>
      <c r="F31" s="282" t="s">
        <v>55</v>
      </c>
      <c r="G31" s="279"/>
      <c r="H31" s="279" t="s">
        <v>18</v>
      </c>
      <c r="I31" s="103" t="s">
        <v>57</v>
      </c>
      <c r="J31" s="86">
        <v>174000</v>
      </c>
      <c r="K31" s="87">
        <v>191000</v>
      </c>
      <c r="L31" s="87">
        <v>250000</v>
      </c>
      <c r="M31" s="87">
        <f t="shared" si="9"/>
        <v>129000</v>
      </c>
      <c r="N31" s="88">
        <f t="shared" si="0"/>
        <v>18000</v>
      </c>
      <c r="P31" s="86">
        <v>174000</v>
      </c>
      <c r="Q31" s="87">
        <v>191000</v>
      </c>
      <c r="R31" s="89">
        <v>250000</v>
      </c>
      <c r="S31" s="1"/>
      <c r="T31" s="86">
        <f t="shared" ref="T31" si="52">P31-20000</f>
        <v>154000</v>
      </c>
      <c r="U31" s="90">
        <f t="shared" si="1"/>
        <v>0.11494252873563215</v>
      </c>
      <c r="V31" s="91">
        <f t="shared" ref="V31" si="53">Q31-20000</f>
        <v>171000</v>
      </c>
      <c r="W31" s="92">
        <f t="shared" si="2"/>
        <v>0.10471204188481675</v>
      </c>
      <c r="X31" s="93">
        <f t="shared" ref="X31" si="54">V31+30000</f>
        <v>201000</v>
      </c>
      <c r="Y31" s="94">
        <f t="shared" si="3"/>
        <v>0.19599999999999995</v>
      </c>
      <c r="Z31" s="91">
        <f t="shared" si="10"/>
        <v>66000</v>
      </c>
      <c r="AA31" s="95">
        <f t="shared" si="11"/>
        <v>0.48837209302325579</v>
      </c>
      <c r="AB31" s="93">
        <f t="shared" si="12"/>
        <v>3000</v>
      </c>
      <c r="AC31" s="96">
        <f t="shared" si="13"/>
        <v>0.83333333333333337</v>
      </c>
      <c r="AD31" s="55"/>
      <c r="AE31" s="121">
        <f t="shared" si="14"/>
        <v>223000</v>
      </c>
      <c r="AF31" s="98">
        <f t="shared" si="15"/>
        <v>240000</v>
      </c>
      <c r="AG31" s="99">
        <f t="shared" si="16"/>
        <v>270000</v>
      </c>
      <c r="AH31" s="100">
        <f t="shared" si="17"/>
        <v>29700</v>
      </c>
      <c r="AI31" s="101">
        <f t="shared" si="18"/>
        <v>240300</v>
      </c>
      <c r="AJ31" s="68"/>
      <c r="AL31" s="39">
        <f t="shared" si="5"/>
        <v>-47000</v>
      </c>
      <c r="AM31" s="39">
        <f t="shared" si="6"/>
        <v>-30000</v>
      </c>
      <c r="AR31" s="38" t="e">
        <f>J31+M31+#REF!+N31</f>
        <v>#REF!</v>
      </c>
      <c r="AS31" s="38">
        <f t="shared" si="7"/>
        <v>223000</v>
      </c>
      <c r="AT31" s="39" t="e">
        <f t="shared" si="8"/>
        <v>#REF!</v>
      </c>
    </row>
    <row r="32" spans="2:46" s="39" customFormat="1" ht="15" customHeight="1">
      <c r="B32" s="286"/>
      <c r="C32" s="287"/>
      <c r="D32" s="283"/>
      <c r="E32" s="280"/>
      <c r="F32" s="283"/>
      <c r="G32" s="280"/>
      <c r="H32" s="280"/>
      <c r="I32" s="103" t="s">
        <v>58</v>
      </c>
      <c r="J32" s="70">
        <v>197000</v>
      </c>
      <c r="K32" s="71">
        <v>211000</v>
      </c>
      <c r="L32" s="71">
        <v>300000</v>
      </c>
      <c r="M32" s="71">
        <f t="shared" si="9"/>
        <v>129000</v>
      </c>
      <c r="N32" s="72">
        <f t="shared" si="0"/>
        <v>18000</v>
      </c>
      <c r="P32" s="70">
        <v>197000</v>
      </c>
      <c r="Q32" s="71">
        <v>211000</v>
      </c>
      <c r="R32" s="73">
        <v>300000</v>
      </c>
      <c r="S32" s="1"/>
      <c r="T32" s="70">
        <f t="shared" ref="T32:T33" si="55">P32</f>
        <v>197000</v>
      </c>
      <c r="U32" s="74">
        <f t="shared" si="1"/>
        <v>0</v>
      </c>
      <c r="V32" s="75">
        <f t="shared" ref="V32:V33" si="56">Q32</f>
        <v>211000</v>
      </c>
      <c r="W32" s="76">
        <f t="shared" si="2"/>
        <v>0</v>
      </c>
      <c r="X32" s="77">
        <f t="shared" ref="X32" si="57">V32+40000</f>
        <v>251000</v>
      </c>
      <c r="Y32" s="78">
        <f t="shared" si="3"/>
        <v>0.16333333333333333</v>
      </c>
      <c r="Z32" s="75">
        <f t="shared" si="10"/>
        <v>66000</v>
      </c>
      <c r="AA32" s="79">
        <f t="shared" si="11"/>
        <v>0.48837209302325579</v>
      </c>
      <c r="AB32" s="77">
        <f t="shared" si="12"/>
        <v>3000</v>
      </c>
      <c r="AC32" s="80">
        <f t="shared" si="13"/>
        <v>0.83333333333333337</v>
      </c>
      <c r="AD32" s="55"/>
      <c r="AE32" s="120">
        <f t="shared" si="14"/>
        <v>266000</v>
      </c>
      <c r="AF32" s="82">
        <f t="shared" si="15"/>
        <v>280000</v>
      </c>
      <c r="AG32" s="83">
        <f t="shared" si="16"/>
        <v>320000</v>
      </c>
      <c r="AH32" s="84">
        <f t="shared" si="17"/>
        <v>35200</v>
      </c>
      <c r="AI32" s="85">
        <f t="shared" si="18"/>
        <v>284800</v>
      </c>
      <c r="AJ32" s="68"/>
      <c r="AL32" s="39">
        <f t="shared" si="5"/>
        <v>-54000</v>
      </c>
      <c r="AM32" s="39">
        <f t="shared" si="6"/>
        <v>-40000</v>
      </c>
      <c r="AR32" s="38" t="e">
        <f>J32+M32+#REF!+N32</f>
        <v>#REF!</v>
      </c>
      <c r="AS32" s="38">
        <f t="shared" si="7"/>
        <v>266000</v>
      </c>
      <c r="AT32" s="39" t="e">
        <f t="shared" si="8"/>
        <v>#REF!</v>
      </c>
    </row>
    <row r="33" spans="2:46" s="39" customFormat="1" ht="15" customHeight="1">
      <c r="B33" s="286"/>
      <c r="C33" s="287"/>
      <c r="D33" s="283"/>
      <c r="E33" s="280"/>
      <c r="F33" s="283"/>
      <c r="G33" s="280"/>
      <c r="H33" s="280"/>
      <c r="I33" s="103" t="s">
        <v>59</v>
      </c>
      <c r="J33" s="70">
        <v>233000</v>
      </c>
      <c r="K33" s="71">
        <v>248000</v>
      </c>
      <c r="L33" s="71">
        <v>385000</v>
      </c>
      <c r="M33" s="71">
        <f t="shared" si="9"/>
        <v>129000</v>
      </c>
      <c r="N33" s="72">
        <f t="shared" si="0"/>
        <v>18000</v>
      </c>
      <c r="P33" s="70">
        <v>233000</v>
      </c>
      <c r="Q33" s="71">
        <v>248000</v>
      </c>
      <c r="R33" s="73">
        <v>385000</v>
      </c>
      <c r="S33" s="1"/>
      <c r="T33" s="70">
        <f t="shared" si="55"/>
        <v>233000</v>
      </c>
      <c r="U33" s="74">
        <f t="shared" si="1"/>
        <v>0</v>
      </c>
      <c r="V33" s="75">
        <f t="shared" si="56"/>
        <v>248000</v>
      </c>
      <c r="W33" s="76">
        <f t="shared" si="2"/>
        <v>0</v>
      </c>
      <c r="X33" s="77">
        <f t="shared" ref="X33" si="58">L33</f>
        <v>385000</v>
      </c>
      <c r="Y33" s="78">
        <f t="shared" si="3"/>
        <v>0</v>
      </c>
      <c r="Z33" s="75">
        <f t="shared" si="10"/>
        <v>66000</v>
      </c>
      <c r="AA33" s="79">
        <f t="shared" si="11"/>
        <v>0.48837209302325579</v>
      </c>
      <c r="AB33" s="77">
        <f t="shared" si="12"/>
        <v>3000</v>
      </c>
      <c r="AC33" s="80">
        <f t="shared" si="13"/>
        <v>0.83333333333333337</v>
      </c>
      <c r="AD33" s="55"/>
      <c r="AE33" s="120">
        <f t="shared" si="14"/>
        <v>302000</v>
      </c>
      <c r="AF33" s="82">
        <f t="shared" si="15"/>
        <v>317000</v>
      </c>
      <c r="AG33" s="83">
        <f t="shared" si="16"/>
        <v>454000</v>
      </c>
      <c r="AH33" s="84">
        <f t="shared" si="17"/>
        <v>49940</v>
      </c>
      <c r="AI33" s="85">
        <f t="shared" si="18"/>
        <v>404060</v>
      </c>
      <c r="AJ33" s="68"/>
      <c r="AL33" s="39">
        <f t="shared" si="5"/>
        <v>-152000</v>
      </c>
      <c r="AM33" s="39">
        <f t="shared" si="6"/>
        <v>-137000</v>
      </c>
      <c r="AR33" s="38" t="e">
        <f>J33+M33+#REF!+N33</f>
        <v>#REF!</v>
      </c>
      <c r="AS33" s="38">
        <f t="shared" si="7"/>
        <v>302000</v>
      </c>
      <c r="AT33" s="39" t="e">
        <f t="shared" si="8"/>
        <v>#REF!</v>
      </c>
    </row>
    <row r="34" spans="2:46" s="39" customFormat="1" ht="15" customHeight="1">
      <c r="B34" s="286"/>
      <c r="C34" s="287"/>
      <c r="D34" s="283"/>
      <c r="E34" s="280"/>
      <c r="F34" s="283"/>
      <c r="G34" s="280"/>
      <c r="H34" s="279" t="s">
        <v>25</v>
      </c>
      <c r="I34" s="103" t="s">
        <v>57</v>
      </c>
      <c r="J34" s="86">
        <v>207000</v>
      </c>
      <c r="K34" s="87">
        <v>224000</v>
      </c>
      <c r="L34" s="87">
        <v>283000</v>
      </c>
      <c r="M34" s="87">
        <f t="shared" si="9"/>
        <v>129000</v>
      </c>
      <c r="N34" s="88">
        <f t="shared" si="0"/>
        <v>18000</v>
      </c>
      <c r="P34" s="86">
        <v>207000</v>
      </c>
      <c r="Q34" s="87">
        <v>224000</v>
      </c>
      <c r="R34" s="89">
        <v>283000</v>
      </c>
      <c r="S34" s="1"/>
      <c r="T34" s="86">
        <f t="shared" ref="T34" si="59">P34-20000</f>
        <v>187000</v>
      </c>
      <c r="U34" s="90">
        <f t="shared" si="1"/>
        <v>9.661835748792269E-2</v>
      </c>
      <c r="V34" s="91">
        <f t="shared" ref="V34" si="60">Q34-20000</f>
        <v>204000</v>
      </c>
      <c r="W34" s="92">
        <f t="shared" si="2"/>
        <v>8.9285714285714302E-2</v>
      </c>
      <c r="X34" s="93">
        <f t="shared" ref="X34" si="61">V34+30000</f>
        <v>234000</v>
      </c>
      <c r="Y34" s="94">
        <f t="shared" si="3"/>
        <v>0.17314487632508835</v>
      </c>
      <c r="Z34" s="91">
        <f t="shared" si="10"/>
        <v>66000</v>
      </c>
      <c r="AA34" s="95">
        <f t="shared" si="11"/>
        <v>0.48837209302325579</v>
      </c>
      <c r="AB34" s="93">
        <f t="shared" si="12"/>
        <v>3000</v>
      </c>
      <c r="AC34" s="96">
        <f t="shared" si="13"/>
        <v>0.83333333333333337</v>
      </c>
      <c r="AD34" s="55"/>
      <c r="AE34" s="121">
        <f t="shared" si="14"/>
        <v>256000</v>
      </c>
      <c r="AF34" s="98">
        <f t="shared" si="15"/>
        <v>273000</v>
      </c>
      <c r="AG34" s="99">
        <f t="shared" si="16"/>
        <v>303000</v>
      </c>
      <c r="AH34" s="100">
        <f t="shared" si="17"/>
        <v>33330</v>
      </c>
      <c r="AI34" s="101">
        <f t="shared" si="18"/>
        <v>269670</v>
      </c>
      <c r="AJ34" s="68"/>
      <c r="AL34" s="39">
        <f t="shared" si="5"/>
        <v>-47000</v>
      </c>
      <c r="AM34" s="39">
        <f t="shared" si="6"/>
        <v>-30000</v>
      </c>
      <c r="AR34" s="38" t="e">
        <f>J34+M34+#REF!+N34</f>
        <v>#REF!</v>
      </c>
      <c r="AS34" s="38">
        <f t="shared" si="7"/>
        <v>256000</v>
      </c>
      <c r="AT34" s="39" t="e">
        <f t="shared" si="8"/>
        <v>#REF!</v>
      </c>
    </row>
    <row r="35" spans="2:46" s="39" customFormat="1" ht="15" customHeight="1">
      <c r="B35" s="286"/>
      <c r="C35" s="287"/>
      <c r="D35" s="283"/>
      <c r="E35" s="280"/>
      <c r="F35" s="283"/>
      <c r="G35" s="280"/>
      <c r="H35" s="280"/>
      <c r="I35" s="103" t="s">
        <v>58</v>
      </c>
      <c r="J35" s="70">
        <v>230000</v>
      </c>
      <c r="K35" s="71">
        <v>244000</v>
      </c>
      <c r="L35" s="71">
        <v>333000</v>
      </c>
      <c r="M35" s="71">
        <f t="shared" si="9"/>
        <v>129000</v>
      </c>
      <c r="N35" s="72">
        <f t="shared" si="0"/>
        <v>18000</v>
      </c>
      <c r="P35" s="70">
        <v>230000</v>
      </c>
      <c r="Q35" s="71">
        <v>244000</v>
      </c>
      <c r="R35" s="73">
        <v>333000</v>
      </c>
      <c r="S35" s="1"/>
      <c r="T35" s="70">
        <f t="shared" ref="T35:T36" si="62">P35</f>
        <v>230000</v>
      </c>
      <c r="U35" s="74">
        <f t="shared" si="1"/>
        <v>0</v>
      </c>
      <c r="V35" s="75">
        <f t="shared" ref="V35:V36" si="63">Q35</f>
        <v>244000</v>
      </c>
      <c r="W35" s="76">
        <f t="shared" si="2"/>
        <v>0</v>
      </c>
      <c r="X35" s="77">
        <f t="shared" ref="X35" si="64">V35+40000</f>
        <v>284000</v>
      </c>
      <c r="Y35" s="78">
        <f t="shared" si="3"/>
        <v>0.14714714714714716</v>
      </c>
      <c r="Z35" s="75">
        <f t="shared" si="10"/>
        <v>66000</v>
      </c>
      <c r="AA35" s="79">
        <f t="shared" si="11"/>
        <v>0.48837209302325579</v>
      </c>
      <c r="AB35" s="77">
        <f t="shared" si="12"/>
        <v>3000</v>
      </c>
      <c r="AC35" s="80">
        <f t="shared" si="13"/>
        <v>0.83333333333333337</v>
      </c>
      <c r="AD35" s="55"/>
      <c r="AE35" s="120">
        <f t="shared" si="14"/>
        <v>299000</v>
      </c>
      <c r="AF35" s="82">
        <f t="shared" si="15"/>
        <v>313000</v>
      </c>
      <c r="AG35" s="83">
        <f t="shared" si="16"/>
        <v>353000</v>
      </c>
      <c r="AH35" s="84">
        <f t="shared" si="17"/>
        <v>38830</v>
      </c>
      <c r="AI35" s="85">
        <f t="shared" si="18"/>
        <v>314170</v>
      </c>
      <c r="AJ35" s="68"/>
      <c r="AL35" s="39">
        <f t="shared" si="5"/>
        <v>-54000</v>
      </c>
      <c r="AM35" s="39">
        <f t="shared" si="6"/>
        <v>-40000</v>
      </c>
      <c r="AR35" s="38" t="e">
        <f>J35+M35+#REF!+N35</f>
        <v>#REF!</v>
      </c>
      <c r="AS35" s="38">
        <f t="shared" si="7"/>
        <v>299000</v>
      </c>
      <c r="AT35" s="39" t="e">
        <f t="shared" si="8"/>
        <v>#REF!</v>
      </c>
    </row>
    <row r="36" spans="2:46" s="39" customFormat="1" ht="15" customHeight="1" thickBot="1">
      <c r="B36" s="288"/>
      <c r="C36" s="289"/>
      <c r="D36" s="294"/>
      <c r="E36" s="281"/>
      <c r="F36" s="294"/>
      <c r="G36" s="281"/>
      <c r="H36" s="281"/>
      <c r="I36" s="139" t="s">
        <v>59</v>
      </c>
      <c r="J36" s="140">
        <v>288000</v>
      </c>
      <c r="K36" s="141">
        <v>303000</v>
      </c>
      <c r="L36" s="141">
        <v>440000</v>
      </c>
      <c r="M36" s="141">
        <f t="shared" si="9"/>
        <v>129000</v>
      </c>
      <c r="N36" s="142">
        <f t="shared" si="0"/>
        <v>18000</v>
      </c>
      <c r="P36" s="140">
        <v>288000</v>
      </c>
      <c r="Q36" s="141">
        <v>303000</v>
      </c>
      <c r="R36" s="143">
        <v>440000</v>
      </c>
      <c r="S36" s="1"/>
      <c r="T36" s="140">
        <f t="shared" si="62"/>
        <v>288000</v>
      </c>
      <c r="U36" s="144">
        <f t="shared" si="1"/>
        <v>0</v>
      </c>
      <c r="V36" s="145">
        <f t="shared" si="63"/>
        <v>303000</v>
      </c>
      <c r="W36" s="146">
        <f t="shared" si="2"/>
        <v>0</v>
      </c>
      <c r="X36" s="147">
        <f t="shared" ref="X36" si="65">L36</f>
        <v>440000</v>
      </c>
      <c r="Y36" s="148">
        <f t="shared" si="3"/>
        <v>0</v>
      </c>
      <c r="Z36" s="145">
        <f t="shared" si="10"/>
        <v>66000</v>
      </c>
      <c r="AA36" s="149">
        <f t="shared" si="11"/>
        <v>0.48837209302325579</v>
      </c>
      <c r="AB36" s="147">
        <f t="shared" si="12"/>
        <v>3000</v>
      </c>
      <c r="AC36" s="150">
        <f t="shared" si="13"/>
        <v>0.83333333333333337</v>
      </c>
      <c r="AD36" s="55"/>
      <c r="AE36" s="151">
        <f t="shared" si="14"/>
        <v>357000</v>
      </c>
      <c r="AF36" s="152">
        <f t="shared" si="15"/>
        <v>372000</v>
      </c>
      <c r="AG36" s="153">
        <f t="shared" si="16"/>
        <v>509000</v>
      </c>
      <c r="AH36" s="154">
        <f t="shared" si="17"/>
        <v>55990</v>
      </c>
      <c r="AI36" s="155">
        <f t="shared" si="18"/>
        <v>453010</v>
      </c>
      <c r="AJ36" s="68"/>
      <c r="AL36" s="39">
        <f t="shared" si="5"/>
        <v>-152000</v>
      </c>
      <c r="AM36" s="39">
        <f t="shared" si="6"/>
        <v>-137000</v>
      </c>
      <c r="AR36" s="38" t="e">
        <f>J36+M36+#REF!+N36</f>
        <v>#REF!</v>
      </c>
      <c r="AS36" s="38">
        <f t="shared" si="7"/>
        <v>357000</v>
      </c>
      <c r="AT36" s="39" t="e">
        <f t="shared" ref="AT36:AT72" si="66">1-(AS36/AR36)</f>
        <v>#REF!</v>
      </c>
    </row>
    <row r="37" spans="2:46" s="39" customFormat="1" ht="15" customHeight="1">
      <c r="B37" s="284" t="s">
        <v>86</v>
      </c>
      <c r="C37" s="285"/>
      <c r="D37" s="290" t="s">
        <v>29</v>
      </c>
      <c r="E37" s="291"/>
      <c r="F37" s="290" t="s">
        <v>17</v>
      </c>
      <c r="G37" s="291"/>
      <c r="H37" s="290" t="s">
        <v>18</v>
      </c>
      <c r="I37" s="50" t="s">
        <v>57</v>
      </c>
      <c r="J37" s="51">
        <v>129000</v>
      </c>
      <c r="K37" s="52">
        <v>139000</v>
      </c>
      <c r="L37" s="52">
        <v>178000</v>
      </c>
      <c r="M37" s="52">
        <f t="shared" ref="M37:M72" si="67">43000*3</f>
        <v>129000</v>
      </c>
      <c r="N37" s="53">
        <f t="shared" ref="N37:N72" si="68">6000*3</f>
        <v>18000</v>
      </c>
      <c r="P37" s="51">
        <v>129000</v>
      </c>
      <c r="Q37" s="52">
        <v>139000</v>
      </c>
      <c r="R37" s="54">
        <v>178000</v>
      </c>
      <c r="S37" s="55"/>
      <c r="T37" s="51">
        <v>109000</v>
      </c>
      <c r="U37" s="56">
        <f t="shared" ref="U37:U72" si="69">1-(T37/J37)</f>
        <v>0.15503875968992253</v>
      </c>
      <c r="V37" s="57">
        <v>119000</v>
      </c>
      <c r="W37" s="58">
        <f t="shared" ref="W37:W72" si="70">1-(V37/K37)</f>
        <v>0.14388489208633093</v>
      </c>
      <c r="X37" s="59">
        <v>149000</v>
      </c>
      <c r="Y37" s="60">
        <f t="shared" ref="Y37:Y72" si="71">1-(X37/L37)</f>
        <v>0.1629213483146067</v>
      </c>
      <c r="Z37" s="57">
        <f>25000*3</f>
        <v>75000</v>
      </c>
      <c r="AA37" s="61">
        <f t="shared" ref="AA37:AA72" si="72">1-(Z37/M37)</f>
        <v>0.41860465116279066</v>
      </c>
      <c r="AB37" s="59">
        <f t="shared" ref="AB37:AB72" si="73">1000*3</f>
        <v>3000</v>
      </c>
      <c r="AC37" s="62">
        <f t="shared" ref="AC37:AC72" si="74">1-(AB37/N37)</f>
        <v>0.83333333333333337</v>
      </c>
      <c r="AE37" s="63">
        <f t="shared" si="14"/>
        <v>187000</v>
      </c>
      <c r="AF37" s="64">
        <f t="shared" si="15"/>
        <v>197000</v>
      </c>
      <c r="AG37" s="65">
        <f t="shared" si="16"/>
        <v>227000</v>
      </c>
      <c r="AH37" s="66">
        <f t="shared" si="17"/>
        <v>24970</v>
      </c>
      <c r="AI37" s="67">
        <f t="shared" si="18"/>
        <v>202030</v>
      </c>
      <c r="AJ37" s="68"/>
      <c r="AL37" s="39">
        <f t="shared" ref="AL37:AL72" si="75">AE37-AG37</f>
        <v>-40000</v>
      </c>
      <c r="AM37" s="39">
        <f t="shared" ref="AM37:AM72" si="76">AF37-AG37</f>
        <v>-30000</v>
      </c>
      <c r="AR37" s="38" t="e">
        <f>J37+M37+#REF!+N37</f>
        <v>#REF!</v>
      </c>
      <c r="AS37" s="38">
        <f t="shared" ref="AS37:AS72" si="77">AE37</f>
        <v>187000</v>
      </c>
      <c r="AT37" s="39" t="e">
        <f t="shared" si="66"/>
        <v>#REF!</v>
      </c>
    </row>
    <row r="38" spans="2:46" s="39" customFormat="1" ht="15" customHeight="1">
      <c r="B38" s="286"/>
      <c r="C38" s="287"/>
      <c r="D38" s="283"/>
      <c r="E38" s="280"/>
      <c r="F38" s="283"/>
      <c r="G38" s="280"/>
      <c r="H38" s="283"/>
      <c r="I38" s="69" t="s">
        <v>58</v>
      </c>
      <c r="J38" s="70">
        <v>147000</v>
      </c>
      <c r="K38" s="71">
        <v>159000</v>
      </c>
      <c r="L38" s="71">
        <v>234000</v>
      </c>
      <c r="M38" s="71">
        <f t="shared" si="67"/>
        <v>129000</v>
      </c>
      <c r="N38" s="72">
        <f t="shared" si="68"/>
        <v>18000</v>
      </c>
      <c r="P38" s="70">
        <v>147000</v>
      </c>
      <c r="Q38" s="71">
        <v>159000</v>
      </c>
      <c r="R38" s="73">
        <v>234000</v>
      </c>
      <c r="S38" s="55"/>
      <c r="T38" s="70">
        <v>147000</v>
      </c>
      <c r="U38" s="74">
        <f t="shared" si="69"/>
        <v>0</v>
      </c>
      <c r="V38" s="75">
        <v>159000</v>
      </c>
      <c r="W38" s="76">
        <f t="shared" si="70"/>
        <v>0</v>
      </c>
      <c r="X38" s="77">
        <v>234000</v>
      </c>
      <c r="Y38" s="78">
        <f t="shared" si="71"/>
        <v>0</v>
      </c>
      <c r="Z38" s="75">
        <f t="shared" ref="Z38:Z101" si="78">25000*3</f>
        <v>75000</v>
      </c>
      <c r="AA38" s="79">
        <f t="shared" si="72"/>
        <v>0.41860465116279066</v>
      </c>
      <c r="AB38" s="77">
        <f t="shared" si="73"/>
        <v>3000</v>
      </c>
      <c r="AC38" s="80">
        <f t="shared" si="74"/>
        <v>0.83333333333333337</v>
      </c>
      <c r="AE38" s="81">
        <f t="shared" si="14"/>
        <v>225000</v>
      </c>
      <c r="AF38" s="82">
        <f t="shared" si="15"/>
        <v>237000</v>
      </c>
      <c r="AG38" s="83">
        <f t="shared" si="16"/>
        <v>312000</v>
      </c>
      <c r="AH38" s="84">
        <f t="shared" si="17"/>
        <v>34320</v>
      </c>
      <c r="AI38" s="85">
        <f t="shared" si="18"/>
        <v>277680</v>
      </c>
      <c r="AJ38" s="68"/>
      <c r="AL38" s="39">
        <f t="shared" si="75"/>
        <v>-87000</v>
      </c>
      <c r="AM38" s="39">
        <f t="shared" si="76"/>
        <v>-75000</v>
      </c>
      <c r="AR38" s="38" t="e">
        <f>J38+M38+#REF!+N38</f>
        <v>#REF!</v>
      </c>
      <c r="AS38" s="38">
        <f t="shared" si="77"/>
        <v>225000</v>
      </c>
      <c r="AT38" s="39" t="e">
        <f t="shared" si="66"/>
        <v>#REF!</v>
      </c>
    </row>
    <row r="39" spans="2:46" s="39" customFormat="1" ht="15" customHeight="1">
      <c r="B39" s="286"/>
      <c r="C39" s="287"/>
      <c r="D39" s="283"/>
      <c r="E39" s="280"/>
      <c r="F39" s="283"/>
      <c r="G39" s="280"/>
      <c r="H39" s="283"/>
      <c r="I39" s="69" t="s">
        <v>59</v>
      </c>
      <c r="J39" s="70">
        <v>178000</v>
      </c>
      <c r="K39" s="71">
        <v>190000</v>
      </c>
      <c r="L39" s="71">
        <v>306000</v>
      </c>
      <c r="M39" s="71">
        <f t="shared" si="67"/>
        <v>129000</v>
      </c>
      <c r="N39" s="72">
        <f t="shared" si="68"/>
        <v>18000</v>
      </c>
      <c r="P39" s="70">
        <v>178000</v>
      </c>
      <c r="Q39" s="71">
        <v>190000</v>
      </c>
      <c r="R39" s="73">
        <v>306000</v>
      </c>
      <c r="S39" s="55"/>
      <c r="T39" s="70">
        <v>178000</v>
      </c>
      <c r="U39" s="74">
        <f t="shared" si="69"/>
        <v>0</v>
      </c>
      <c r="V39" s="75">
        <v>190000</v>
      </c>
      <c r="W39" s="76">
        <f t="shared" si="70"/>
        <v>0</v>
      </c>
      <c r="X39" s="77">
        <v>306000</v>
      </c>
      <c r="Y39" s="78">
        <f t="shared" si="71"/>
        <v>0</v>
      </c>
      <c r="Z39" s="75">
        <f t="shared" si="78"/>
        <v>75000</v>
      </c>
      <c r="AA39" s="79">
        <f t="shared" si="72"/>
        <v>0.41860465116279066</v>
      </c>
      <c r="AB39" s="77">
        <f t="shared" si="73"/>
        <v>3000</v>
      </c>
      <c r="AC39" s="80">
        <f t="shared" si="74"/>
        <v>0.83333333333333337</v>
      </c>
      <c r="AE39" s="81">
        <f t="shared" si="14"/>
        <v>256000</v>
      </c>
      <c r="AF39" s="82">
        <f t="shared" si="15"/>
        <v>268000</v>
      </c>
      <c r="AG39" s="83">
        <f t="shared" si="16"/>
        <v>384000</v>
      </c>
      <c r="AH39" s="84">
        <f t="shared" si="17"/>
        <v>42240</v>
      </c>
      <c r="AI39" s="85">
        <f t="shared" si="18"/>
        <v>341760</v>
      </c>
      <c r="AJ39" s="68"/>
      <c r="AL39" s="39">
        <f t="shared" si="75"/>
        <v>-128000</v>
      </c>
      <c r="AM39" s="39">
        <f t="shared" si="76"/>
        <v>-116000</v>
      </c>
      <c r="AR39" s="38" t="e">
        <f>J39+M39+#REF!+N39</f>
        <v>#REF!</v>
      </c>
      <c r="AS39" s="38">
        <f t="shared" si="77"/>
        <v>256000</v>
      </c>
      <c r="AT39" s="39" t="e">
        <f t="shared" si="66"/>
        <v>#REF!</v>
      </c>
    </row>
    <row r="40" spans="2:46" s="39" customFormat="1" ht="11.4">
      <c r="B40" s="286"/>
      <c r="C40" s="287"/>
      <c r="D40" s="283"/>
      <c r="E40" s="280"/>
      <c r="F40" s="283"/>
      <c r="G40" s="280"/>
      <c r="H40" s="283"/>
      <c r="I40" s="156" t="s">
        <v>65</v>
      </c>
      <c r="J40" s="123">
        <v>211000</v>
      </c>
      <c r="K40" s="124">
        <v>222000</v>
      </c>
      <c r="L40" s="124">
        <v>356000</v>
      </c>
      <c r="M40" s="124">
        <f t="shared" si="67"/>
        <v>129000</v>
      </c>
      <c r="N40" s="125">
        <f t="shared" si="68"/>
        <v>18000</v>
      </c>
      <c r="P40" s="123">
        <v>211000</v>
      </c>
      <c r="Q40" s="124">
        <v>222000</v>
      </c>
      <c r="R40" s="126">
        <v>356000</v>
      </c>
      <c r="S40" s="55"/>
      <c r="T40" s="123">
        <v>211000</v>
      </c>
      <c r="U40" s="127">
        <f t="shared" si="69"/>
        <v>0</v>
      </c>
      <c r="V40" s="128">
        <v>222000</v>
      </c>
      <c r="W40" s="129">
        <f t="shared" si="70"/>
        <v>0</v>
      </c>
      <c r="X40" s="130">
        <v>322000</v>
      </c>
      <c r="Y40" s="131">
        <f t="shared" si="71"/>
        <v>9.5505617977528101E-2</v>
      </c>
      <c r="Z40" s="128">
        <f t="shared" si="78"/>
        <v>75000</v>
      </c>
      <c r="AA40" s="132">
        <f t="shared" si="72"/>
        <v>0.41860465116279066</v>
      </c>
      <c r="AB40" s="130">
        <f t="shared" si="73"/>
        <v>3000</v>
      </c>
      <c r="AC40" s="133">
        <f t="shared" si="74"/>
        <v>0.83333333333333337</v>
      </c>
      <c r="AE40" s="81">
        <f t="shared" si="14"/>
        <v>289000</v>
      </c>
      <c r="AF40" s="82">
        <f t="shared" si="15"/>
        <v>300000</v>
      </c>
      <c r="AG40" s="136">
        <f t="shared" si="16"/>
        <v>400000</v>
      </c>
      <c r="AH40" s="84">
        <f t="shared" si="17"/>
        <v>44000</v>
      </c>
      <c r="AI40" s="85">
        <f t="shared" si="18"/>
        <v>356000</v>
      </c>
      <c r="AJ40" s="68"/>
      <c r="AL40" s="39">
        <f t="shared" si="75"/>
        <v>-111000</v>
      </c>
      <c r="AM40" s="39">
        <f t="shared" si="76"/>
        <v>-100000</v>
      </c>
      <c r="AR40" s="38" t="e">
        <f>J40+M40+#REF!+N40</f>
        <v>#REF!</v>
      </c>
      <c r="AS40" s="38">
        <f t="shared" si="77"/>
        <v>289000</v>
      </c>
      <c r="AT40" s="39" t="e">
        <f t="shared" si="66"/>
        <v>#REF!</v>
      </c>
    </row>
    <row r="41" spans="2:46" s="39" customFormat="1" ht="15" customHeight="1">
      <c r="B41" s="286"/>
      <c r="C41" s="287"/>
      <c r="D41" s="283"/>
      <c r="E41" s="280"/>
      <c r="F41" s="282" t="s">
        <v>21</v>
      </c>
      <c r="G41" s="279"/>
      <c r="H41" s="282" t="s">
        <v>18</v>
      </c>
      <c r="I41" s="69" t="s">
        <v>57</v>
      </c>
      <c r="J41" s="86">
        <v>154000</v>
      </c>
      <c r="K41" s="87">
        <v>169000</v>
      </c>
      <c r="L41" s="87">
        <v>216000</v>
      </c>
      <c r="M41" s="87">
        <f t="shared" si="67"/>
        <v>129000</v>
      </c>
      <c r="N41" s="88">
        <f t="shared" si="68"/>
        <v>18000</v>
      </c>
      <c r="P41" s="86">
        <v>154000</v>
      </c>
      <c r="Q41" s="87">
        <v>169000</v>
      </c>
      <c r="R41" s="89">
        <v>216000</v>
      </c>
      <c r="S41" s="55"/>
      <c r="T41" s="86">
        <v>134000</v>
      </c>
      <c r="U41" s="90">
        <f t="shared" si="69"/>
        <v>0.12987012987012991</v>
      </c>
      <c r="V41" s="91">
        <v>149000</v>
      </c>
      <c r="W41" s="92">
        <f t="shared" si="70"/>
        <v>0.11834319526627224</v>
      </c>
      <c r="X41" s="93">
        <v>179000</v>
      </c>
      <c r="Y41" s="94">
        <f t="shared" si="71"/>
        <v>0.17129629629629628</v>
      </c>
      <c r="Z41" s="91">
        <f t="shared" si="78"/>
        <v>75000</v>
      </c>
      <c r="AA41" s="95">
        <f t="shared" si="72"/>
        <v>0.41860465116279066</v>
      </c>
      <c r="AB41" s="93">
        <f t="shared" si="73"/>
        <v>3000</v>
      </c>
      <c r="AC41" s="96">
        <f t="shared" si="74"/>
        <v>0.83333333333333337</v>
      </c>
      <c r="AE41" s="97">
        <f t="shared" si="14"/>
        <v>212000</v>
      </c>
      <c r="AF41" s="98">
        <f t="shared" si="15"/>
        <v>227000</v>
      </c>
      <c r="AG41" s="99">
        <f t="shared" si="16"/>
        <v>257000</v>
      </c>
      <c r="AH41" s="100">
        <f t="shared" si="17"/>
        <v>28270</v>
      </c>
      <c r="AI41" s="101">
        <f t="shared" si="18"/>
        <v>228730</v>
      </c>
      <c r="AJ41" s="68"/>
      <c r="AL41" s="39">
        <f t="shared" si="75"/>
        <v>-45000</v>
      </c>
      <c r="AM41" s="39">
        <f t="shared" si="76"/>
        <v>-30000</v>
      </c>
      <c r="AR41" s="38" t="e">
        <f>J41+M41+#REF!+N41</f>
        <v>#REF!</v>
      </c>
      <c r="AS41" s="38">
        <f t="shared" si="77"/>
        <v>212000</v>
      </c>
      <c r="AT41" s="39" t="e">
        <f t="shared" si="66"/>
        <v>#REF!</v>
      </c>
    </row>
    <row r="42" spans="2:46" s="39" customFormat="1" ht="15" customHeight="1">
      <c r="B42" s="286"/>
      <c r="C42" s="287"/>
      <c r="D42" s="283"/>
      <c r="E42" s="280"/>
      <c r="F42" s="283"/>
      <c r="G42" s="280"/>
      <c r="H42" s="283"/>
      <c r="I42" s="69" t="s">
        <v>58</v>
      </c>
      <c r="J42" s="70">
        <v>178000</v>
      </c>
      <c r="K42" s="71">
        <v>193000</v>
      </c>
      <c r="L42" s="71">
        <v>266000</v>
      </c>
      <c r="M42" s="71">
        <f t="shared" si="67"/>
        <v>129000</v>
      </c>
      <c r="N42" s="72">
        <f t="shared" si="68"/>
        <v>18000</v>
      </c>
      <c r="P42" s="70">
        <v>178000</v>
      </c>
      <c r="Q42" s="71">
        <v>193000</v>
      </c>
      <c r="R42" s="73">
        <v>266000</v>
      </c>
      <c r="S42" s="55"/>
      <c r="T42" s="70">
        <v>178000</v>
      </c>
      <c r="U42" s="74">
        <f t="shared" si="69"/>
        <v>0</v>
      </c>
      <c r="V42" s="75">
        <v>193000</v>
      </c>
      <c r="W42" s="76">
        <f t="shared" si="70"/>
        <v>0</v>
      </c>
      <c r="X42" s="77">
        <v>266000</v>
      </c>
      <c r="Y42" s="78">
        <f t="shared" si="71"/>
        <v>0</v>
      </c>
      <c r="Z42" s="75">
        <f t="shared" si="78"/>
        <v>75000</v>
      </c>
      <c r="AA42" s="79">
        <f t="shared" si="72"/>
        <v>0.41860465116279066</v>
      </c>
      <c r="AB42" s="77">
        <f t="shared" si="73"/>
        <v>3000</v>
      </c>
      <c r="AC42" s="80">
        <f t="shared" si="74"/>
        <v>0.83333333333333337</v>
      </c>
      <c r="AE42" s="81">
        <f t="shared" si="14"/>
        <v>256000</v>
      </c>
      <c r="AF42" s="82">
        <f t="shared" si="15"/>
        <v>271000</v>
      </c>
      <c r="AG42" s="83">
        <f t="shared" si="16"/>
        <v>344000</v>
      </c>
      <c r="AH42" s="84">
        <f t="shared" si="17"/>
        <v>37840</v>
      </c>
      <c r="AI42" s="85">
        <f t="shared" si="18"/>
        <v>306160</v>
      </c>
      <c r="AJ42" s="68"/>
      <c r="AL42" s="39">
        <f t="shared" si="75"/>
        <v>-88000</v>
      </c>
      <c r="AM42" s="39">
        <f t="shared" si="76"/>
        <v>-73000</v>
      </c>
      <c r="AR42" s="38" t="e">
        <f>J42+M42+#REF!+N42</f>
        <v>#REF!</v>
      </c>
      <c r="AS42" s="38">
        <f t="shared" si="77"/>
        <v>256000</v>
      </c>
      <c r="AT42" s="39" t="e">
        <f t="shared" si="66"/>
        <v>#REF!</v>
      </c>
    </row>
    <row r="43" spans="2:46" s="39" customFormat="1" ht="15" customHeight="1">
      <c r="B43" s="286"/>
      <c r="C43" s="287"/>
      <c r="D43" s="283"/>
      <c r="E43" s="280"/>
      <c r="F43" s="283"/>
      <c r="G43" s="280"/>
      <c r="H43" s="283"/>
      <c r="I43" s="69" t="s">
        <v>59</v>
      </c>
      <c r="J43" s="70">
        <v>209000</v>
      </c>
      <c r="K43" s="71">
        <v>223000</v>
      </c>
      <c r="L43" s="71">
        <v>353000</v>
      </c>
      <c r="M43" s="71">
        <f t="shared" si="67"/>
        <v>129000</v>
      </c>
      <c r="N43" s="72">
        <f t="shared" si="68"/>
        <v>18000</v>
      </c>
      <c r="P43" s="70">
        <v>209000</v>
      </c>
      <c r="Q43" s="71">
        <v>223000</v>
      </c>
      <c r="R43" s="73">
        <v>353000</v>
      </c>
      <c r="S43" s="55"/>
      <c r="T43" s="70">
        <v>209000</v>
      </c>
      <c r="U43" s="74">
        <f t="shared" si="69"/>
        <v>0</v>
      </c>
      <c r="V43" s="75">
        <v>223000</v>
      </c>
      <c r="W43" s="76">
        <f t="shared" si="70"/>
        <v>0</v>
      </c>
      <c r="X43" s="77">
        <v>353000</v>
      </c>
      <c r="Y43" s="78">
        <f t="shared" si="71"/>
        <v>0</v>
      </c>
      <c r="Z43" s="75">
        <f t="shared" si="78"/>
        <v>75000</v>
      </c>
      <c r="AA43" s="79">
        <f t="shared" si="72"/>
        <v>0.41860465116279066</v>
      </c>
      <c r="AB43" s="77">
        <f t="shared" si="73"/>
        <v>3000</v>
      </c>
      <c r="AC43" s="80">
        <f t="shared" si="74"/>
        <v>0.83333333333333337</v>
      </c>
      <c r="AE43" s="81">
        <f t="shared" si="14"/>
        <v>287000</v>
      </c>
      <c r="AF43" s="82">
        <f t="shared" si="15"/>
        <v>301000</v>
      </c>
      <c r="AG43" s="83">
        <f t="shared" si="16"/>
        <v>431000</v>
      </c>
      <c r="AH43" s="84">
        <f t="shared" si="17"/>
        <v>47410</v>
      </c>
      <c r="AI43" s="85">
        <f t="shared" si="18"/>
        <v>383590</v>
      </c>
      <c r="AJ43" s="68"/>
      <c r="AL43" s="39">
        <f t="shared" si="75"/>
        <v>-144000</v>
      </c>
      <c r="AM43" s="39">
        <f t="shared" si="76"/>
        <v>-130000</v>
      </c>
      <c r="AR43" s="38" t="e">
        <f>J43+M43+#REF!+N43</f>
        <v>#REF!</v>
      </c>
      <c r="AS43" s="38">
        <f t="shared" si="77"/>
        <v>287000</v>
      </c>
      <c r="AT43" s="39" t="e">
        <f t="shared" si="66"/>
        <v>#REF!</v>
      </c>
    </row>
    <row r="44" spans="2:46" s="39" customFormat="1" ht="11.4">
      <c r="B44" s="286"/>
      <c r="C44" s="287"/>
      <c r="D44" s="283"/>
      <c r="E44" s="280"/>
      <c r="F44" s="283"/>
      <c r="G44" s="280"/>
      <c r="H44" s="283"/>
      <c r="I44" s="156" t="s">
        <v>64</v>
      </c>
      <c r="J44" s="123">
        <v>244000</v>
      </c>
      <c r="K44" s="124">
        <v>258000</v>
      </c>
      <c r="L44" s="124">
        <v>399000</v>
      </c>
      <c r="M44" s="124">
        <f t="shared" si="67"/>
        <v>129000</v>
      </c>
      <c r="N44" s="125">
        <f t="shared" si="68"/>
        <v>18000</v>
      </c>
      <c r="P44" s="123">
        <v>244000</v>
      </c>
      <c r="Q44" s="124">
        <v>258000</v>
      </c>
      <c r="R44" s="126">
        <v>399000</v>
      </c>
      <c r="S44" s="55"/>
      <c r="T44" s="123">
        <v>244000</v>
      </c>
      <c r="U44" s="127">
        <f t="shared" si="69"/>
        <v>0</v>
      </c>
      <c r="V44" s="128">
        <v>258000</v>
      </c>
      <c r="W44" s="129">
        <f t="shared" si="70"/>
        <v>0</v>
      </c>
      <c r="X44" s="130">
        <v>358000</v>
      </c>
      <c r="Y44" s="131">
        <f t="shared" si="71"/>
        <v>0.10275689223057649</v>
      </c>
      <c r="Z44" s="128">
        <f t="shared" si="78"/>
        <v>75000</v>
      </c>
      <c r="AA44" s="132">
        <f t="shared" si="72"/>
        <v>0.41860465116279066</v>
      </c>
      <c r="AB44" s="130">
        <f t="shared" si="73"/>
        <v>3000</v>
      </c>
      <c r="AC44" s="133">
        <f t="shared" si="74"/>
        <v>0.83333333333333337</v>
      </c>
      <c r="AE44" s="81">
        <f t="shared" si="14"/>
        <v>322000</v>
      </c>
      <c r="AF44" s="82">
        <f t="shared" si="15"/>
        <v>336000</v>
      </c>
      <c r="AG44" s="136">
        <f t="shared" si="16"/>
        <v>436000</v>
      </c>
      <c r="AH44" s="84">
        <f t="shared" si="17"/>
        <v>47960</v>
      </c>
      <c r="AI44" s="85">
        <f t="shared" si="18"/>
        <v>388040</v>
      </c>
      <c r="AJ44" s="68"/>
      <c r="AL44" s="39">
        <f t="shared" si="75"/>
        <v>-114000</v>
      </c>
      <c r="AM44" s="39">
        <f t="shared" si="76"/>
        <v>-100000</v>
      </c>
      <c r="AR44" s="38" t="e">
        <f>J44+M44+#REF!+N44</f>
        <v>#REF!</v>
      </c>
      <c r="AS44" s="38">
        <f t="shared" si="77"/>
        <v>322000</v>
      </c>
      <c r="AT44" s="39" t="e">
        <f t="shared" si="66"/>
        <v>#REF!</v>
      </c>
    </row>
    <row r="45" spans="2:46" s="39" customFormat="1" ht="15" customHeight="1">
      <c r="B45" s="286"/>
      <c r="C45" s="287"/>
      <c r="D45" s="283"/>
      <c r="E45" s="280"/>
      <c r="F45" s="283"/>
      <c r="G45" s="280"/>
      <c r="H45" s="282" t="s">
        <v>25</v>
      </c>
      <c r="I45" s="69" t="s">
        <v>57</v>
      </c>
      <c r="J45" s="86">
        <v>198000</v>
      </c>
      <c r="K45" s="87">
        <v>213000</v>
      </c>
      <c r="L45" s="87">
        <v>263000</v>
      </c>
      <c r="M45" s="87">
        <f t="shared" si="67"/>
        <v>129000</v>
      </c>
      <c r="N45" s="88">
        <f t="shared" si="68"/>
        <v>18000</v>
      </c>
      <c r="P45" s="86">
        <v>198000</v>
      </c>
      <c r="Q45" s="87">
        <v>213000</v>
      </c>
      <c r="R45" s="89">
        <v>263000</v>
      </c>
      <c r="S45" s="55"/>
      <c r="T45" s="86">
        <v>178000</v>
      </c>
      <c r="U45" s="90">
        <f t="shared" si="69"/>
        <v>0.10101010101010099</v>
      </c>
      <c r="V45" s="91">
        <v>193000</v>
      </c>
      <c r="W45" s="92">
        <f t="shared" si="70"/>
        <v>9.3896713615023497E-2</v>
      </c>
      <c r="X45" s="93">
        <v>223000</v>
      </c>
      <c r="Y45" s="94">
        <f t="shared" si="71"/>
        <v>0.15209125475285168</v>
      </c>
      <c r="Z45" s="91">
        <f t="shared" si="78"/>
        <v>75000</v>
      </c>
      <c r="AA45" s="95">
        <f t="shared" si="72"/>
        <v>0.41860465116279066</v>
      </c>
      <c r="AB45" s="93">
        <f t="shared" si="73"/>
        <v>3000</v>
      </c>
      <c r="AC45" s="96">
        <f t="shared" si="74"/>
        <v>0.83333333333333337</v>
      </c>
      <c r="AE45" s="97">
        <f t="shared" si="14"/>
        <v>256000</v>
      </c>
      <c r="AF45" s="98">
        <f t="shared" si="15"/>
        <v>271000</v>
      </c>
      <c r="AG45" s="99">
        <f t="shared" si="16"/>
        <v>301000</v>
      </c>
      <c r="AH45" s="100">
        <f t="shared" si="17"/>
        <v>33110</v>
      </c>
      <c r="AI45" s="101">
        <f t="shared" si="18"/>
        <v>267890</v>
      </c>
      <c r="AJ45" s="68"/>
      <c r="AL45" s="39">
        <f t="shared" si="75"/>
        <v>-45000</v>
      </c>
      <c r="AM45" s="39">
        <f t="shared" si="76"/>
        <v>-30000</v>
      </c>
      <c r="AR45" s="38" t="e">
        <f>J45+M45+#REF!+N45</f>
        <v>#REF!</v>
      </c>
      <c r="AS45" s="38">
        <f t="shared" si="77"/>
        <v>256000</v>
      </c>
      <c r="AT45" s="39" t="e">
        <f t="shared" si="66"/>
        <v>#REF!</v>
      </c>
    </row>
    <row r="46" spans="2:46" s="39" customFormat="1" ht="15" customHeight="1">
      <c r="B46" s="286"/>
      <c r="C46" s="287"/>
      <c r="D46" s="283"/>
      <c r="E46" s="280"/>
      <c r="F46" s="283"/>
      <c r="G46" s="280"/>
      <c r="H46" s="283"/>
      <c r="I46" s="69" t="s">
        <v>58</v>
      </c>
      <c r="J46" s="70">
        <v>222000</v>
      </c>
      <c r="K46" s="71">
        <v>237000</v>
      </c>
      <c r="L46" s="71">
        <v>313000</v>
      </c>
      <c r="M46" s="71">
        <f t="shared" si="67"/>
        <v>129000</v>
      </c>
      <c r="N46" s="72">
        <f t="shared" si="68"/>
        <v>18000</v>
      </c>
      <c r="P46" s="70">
        <v>222000</v>
      </c>
      <c r="Q46" s="71">
        <v>237000</v>
      </c>
      <c r="R46" s="73">
        <v>313000</v>
      </c>
      <c r="S46" s="55"/>
      <c r="T46" s="70">
        <v>222000</v>
      </c>
      <c r="U46" s="74">
        <f t="shared" si="69"/>
        <v>0</v>
      </c>
      <c r="V46" s="75">
        <v>237000</v>
      </c>
      <c r="W46" s="76">
        <f t="shared" si="70"/>
        <v>0</v>
      </c>
      <c r="X46" s="77">
        <v>313000</v>
      </c>
      <c r="Y46" s="78">
        <f t="shared" si="71"/>
        <v>0</v>
      </c>
      <c r="Z46" s="75">
        <f t="shared" si="78"/>
        <v>75000</v>
      </c>
      <c r="AA46" s="79">
        <f t="shared" si="72"/>
        <v>0.41860465116279066</v>
      </c>
      <c r="AB46" s="77">
        <f t="shared" si="73"/>
        <v>3000</v>
      </c>
      <c r="AC46" s="80">
        <f t="shared" si="74"/>
        <v>0.83333333333333337</v>
      </c>
      <c r="AE46" s="81">
        <f t="shared" si="14"/>
        <v>300000</v>
      </c>
      <c r="AF46" s="82">
        <f t="shared" si="15"/>
        <v>315000</v>
      </c>
      <c r="AG46" s="83">
        <f t="shared" si="16"/>
        <v>391000</v>
      </c>
      <c r="AH46" s="84">
        <f t="shared" si="17"/>
        <v>43010</v>
      </c>
      <c r="AI46" s="85">
        <f t="shared" si="18"/>
        <v>347990</v>
      </c>
      <c r="AJ46" s="68"/>
      <c r="AL46" s="39">
        <f t="shared" si="75"/>
        <v>-91000</v>
      </c>
      <c r="AM46" s="39">
        <f t="shared" si="76"/>
        <v>-76000</v>
      </c>
      <c r="AR46" s="38" t="e">
        <f>J46+M46+#REF!+N46</f>
        <v>#REF!</v>
      </c>
      <c r="AS46" s="38">
        <f t="shared" si="77"/>
        <v>300000</v>
      </c>
      <c r="AT46" s="39" t="e">
        <f t="shared" si="66"/>
        <v>#REF!</v>
      </c>
    </row>
    <row r="47" spans="2:46" s="39" customFormat="1" ht="15" customHeight="1">
      <c r="B47" s="286"/>
      <c r="C47" s="287"/>
      <c r="D47" s="283"/>
      <c r="E47" s="280"/>
      <c r="F47" s="283"/>
      <c r="G47" s="280"/>
      <c r="H47" s="283"/>
      <c r="I47" s="69" t="s">
        <v>59</v>
      </c>
      <c r="J47" s="70">
        <v>275000</v>
      </c>
      <c r="K47" s="71">
        <v>289000</v>
      </c>
      <c r="L47" s="71">
        <v>424000</v>
      </c>
      <c r="M47" s="71">
        <f t="shared" si="67"/>
        <v>129000</v>
      </c>
      <c r="N47" s="72">
        <f t="shared" si="68"/>
        <v>18000</v>
      </c>
      <c r="P47" s="70">
        <v>275000</v>
      </c>
      <c r="Q47" s="71">
        <v>289000</v>
      </c>
      <c r="R47" s="73">
        <v>424000</v>
      </c>
      <c r="S47" s="55"/>
      <c r="T47" s="70">
        <v>275000</v>
      </c>
      <c r="U47" s="74">
        <f t="shared" si="69"/>
        <v>0</v>
      </c>
      <c r="V47" s="75">
        <v>289000</v>
      </c>
      <c r="W47" s="76">
        <f t="shared" si="70"/>
        <v>0</v>
      </c>
      <c r="X47" s="77">
        <v>424000</v>
      </c>
      <c r="Y47" s="78">
        <f t="shared" si="71"/>
        <v>0</v>
      </c>
      <c r="Z47" s="75">
        <f t="shared" si="78"/>
        <v>75000</v>
      </c>
      <c r="AA47" s="79">
        <f t="shared" si="72"/>
        <v>0.41860465116279066</v>
      </c>
      <c r="AB47" s="77">
        <f t="shared" si="73"/>
        <v>3000</v>
      </c>
      <c r="AC47" s="80">
        <f t="shared" si="74"/>
        <v>0.83333333333333337</v>
      </c>
      <c r="AE47" s="81">
        <f t="shared" si="14"/>
        <v>353000</v>
      </c>
      <c r="AF47" s="82">
        <f t="shared" si="15"/>
        <v>367000</v>
      </c>
      <c r="AG47" s="83">
        <f t="shared" si="16"/>
        <v>502000</v>
      </c>
      <c r="AH47" s="84">
        <f t="shared" si="17"/>
        <v>55220</v>
      </c>
      <c r="AI47" s="85">
        <f t="shared" si="18"/>
        <v>446780</v>
      </c>
      <c r="AJ47" s="68"/>
      <c r="AL47" s="39">
        <f t="shared" si="75"/>
        <v>-149000</v>
      </c>
      <c r="AM47" s="39">
        <f t="shared" si="76"/>
        <v>-135000</v>
      </c>
      <c r="AR47" s="38" t="e">
        <f>J47+M47+#REF!+N47</f>
        <v>#REF!</v>
      </c>
      <c r="AS47" s="38">
        <f t="shared" si="77"/>
        <v>353000</v>
      </c>
      <c r="AT47" s="39" t="e">
        <f t="shared" si="66"/>
        <v>#REF!</v>
      </c>
    </row>
    <row r="48" spans="2:46" s="39" customFormat="1" ht="11.4">
      <c r="B48" s="286"/>
      <c r="C48" s="287"/>
      <c r="D48" s="283"/>
      <c r="E48" s="280"/>
      <c r="F48" s="292"/>
      <c r="G48" s="293"/>
      <c r="H48" s="292"/>
      <c r="I48" s="157" t="s">
        <v>64</v>
      </c>
      <c r="J48" s="158">
        <v>310000</v>
      </c>
      <c r="K48" s="159">
        <v>324000</v>
      </c>
      <c r="L48" s="159">
        <v>471000</v>
      </c>
      <c r="M48" s="159">
        <f t="shared" si="67"/>
        <v>129000</v>
      </c>
      <c r="N48" s="160">
        <f t="shared" si="68"/>
        <v>18000</v>
      </c>
      <c r="P48" s="158">
        <v>310000</v>
      </c>
      <c r="Q48" s="159">
        <v>324000</v>
      </c>
      <c r="R48" s="161">
        <v>471000</v>
      </c>
      <c r="S48" s="55"/>
      <c r="T48" s="158">
        <v>310000</v>
      </c>
      <c r="U48" s="162">
        <f t="shared" si="69"/>
        <v>0</v>
      </c>
      <c r="V48" s="163">
        <v>324000</v>
      </c>
      <c r="W48" s="164">
        <f t="shared" si="70"/>
        <v>0</v>
      </c>
      <c r="X48" s="165">
        <v>424000</v>
      </c>
      <c r="Y48" s="166">
        <f t="shared" si="71"/>
        <v>9.9787685774946899E-2</v>
      </c>
      <c r="Z48" s="163">
        <f t="shared" si="78"/>
        <v>75000</v>
      </c>
      <c r="AA48" s="167">
        <f t="shared" si="72"/>
        <v>0.41860465116279066</v>
      </c>
      <c r="AB48" s="165">
        <f t="shared" si="73"/>
        <v>3000</v>
      </c>
      <c r="AC48" s="168">
        <f t="shared" si="74"/>
        <v>0.83333333333333337</v>
      </c>
      <c r="AE48" s="169">
        <f t="shared" si="14"/>
        <v>388000</v>
      </c>
      <c r="AF48" s="170">
        <f t="shared" si="15"/>
        <v>402000</v>
      </c>
      <c r="AG48" s="171">
        <f t="shared" si="16"/>
        <v>502000</v>
      </c>
      <c r="AH48" s="172">
        <f t="shared" si="17"/>
        <v>55220</v>
      </c>
      <c r="AI48" s="173">
        <f t="shared" si="18"/>
        <v>446780</v>
      </c>
      <c r="AJ48" s="68"/>
      <c r="AL48" s="39">
        <f t="shared" si="75"/>
        <v>-114000</v>
      </c>
      <c r="AM48" s="39">
        <f t="shared" si="76"/>
        <v>-100000</v>
      </c>
      <c r="AR48" s="38" t="e">
        <f>J48+M48+#REF!+N48</f>
        <v>#REF!</v>
      </c>
      <c r="AS48" s="38">
        <f t="shared" si="77"/>
        <v>388000</v>
      </c>
      <c r="AT48" s="39" t="e">
        <f t="shared" si="66"/>
        <v>#REF!</v>
      </c>
    </row>
    <row r="49" spans="2:46" s="39" customFormat="1" ht="15" customHeight="1">
      <c r="B49" s="286"/>
      <c r="C49" s="287"/>
      <c r="D49" s="283" t="s">
        <v>30</v>
      </c>
      <c r="E49" s="280"/>
      <c r="F49" s="295" t="s">
        <v>27</v>
      </c>
      <c r="G49" s="280"/>
      <c r="H49" s="296" t="s">
        <v>18</v>
      </c>
      <c r="I49" s="174" t="s">
        <v>57</v>
      </c>
      <c r="J49" s="104">
        <v>114000</v>
      </c>
      <c r="K49" s="105">
        <v>126000</v>
      </c>
      <c r="L49" s="105">
        <v>160000</v>
      </c>
      <c r="M49" s="105">
        <f t="shared" si="67"/>
        <v>129000</v>
      </c>
      <c r="N49" s="106">
        <f t="shared" si="68"/>
        <v>18000</v>
      </c>
      <c r="P49" s="104">
        <v>114000</v>
      </c>
      <c r="Q49" s="105">
        <v>126000</v>
      </c>
      <c r="R49" s="107">
        <v>160000</v>
      </c>
      <c r="S49" s="55"/>
      <c r="T49" s="104">
        <v>94000</v>
      </c>
      <c r="U49" s="108">
        <f t="shared" si="69"/>
        <v>0.17543859649122806</v>
      </c>
      <c r="V49" s="109">
        <v>106000</v>
      </c>
      <c r="W49" s="110">
        <f t="shared" si="70"/>
        <v>0.15873015873015872</v>
      </c>
      <c r="X49" s="111">
        <v>136000</v>
      </c>
      <c r="Y49" s="112">
        <f t="shared" si="71"/>
        <v>0.15000000000000002</v>
      </c>
      <c r="Z49" s="109">
        <f t="shared" si="78"/>
        <v>75000</v>
      </c>
      <c r="AA49" s="113">
        <f t="shared" si="72"/>
        <v>0.41860465116279066</v>
      </c>
      <c r="AB49" s="111">
        <f t="shared" si="73"/>
        <v>3000</v>
      </c>
      <c r="AC49" s="114">
        <f t="shared" si="74"/>
        <v>0.83333333333333337</v>
      </c>
      <c r="AD49" s="55"/>
      <c r="AE49" s="115">
        <f t="shared" si="14"/>
        <v>172000</v>
      </c>
      <c r="AF49" s="116">
        <f t="shared" si="15"/>
        <v>184000</v>
      </c>
      <c r="AG49" s="117">
        <f t="shared" si="16"/>
        <v>214000</v>
      </c>
      <c r="AH49" s="118">
        <f t="shared" si="17"/>
        <v>23540</v>
      </c>
      <c r="AI49" s="119">
        <f t="shared" si="18"/>
        <v>190460</v>
      </c>
      <c r="AJ49" s="68"/>
      <c r="AL49" s="39">
        <f t="shared" si="75"/>
        <v>-42000</v>
      </c>
      <c r="AM49" s="39">
        <f t="shared" si="76"/>
        <v>-30000</v>
      </c>
      <c r="AR49" s="38" t="e">
        <f>J49+M49+#REF!+N49</f>
        <v>#REF!</v>
      </c>
      <c r="AS49" s="38">
        <f t="shared" si="77"/>
        <v>172000</v>
      </c>
      <c r="AT49" s="39" t="e">
        <f t="shared" si="66"/>
        <v>#REF!</v>
      </c>
    </row>
    <row r="50" spans="2:46" s="39" customFormat="1" ht="15" customHeight="1">
      <c r="B50" s="286"/>
      <c r="C50" s="287"/>
      <c r="D50" s="283"/>
      <c r="E50" s="280"/>
      <c r="F50" s="295"/>
      <c r="G50" s="280"/>
      <c r="H50" s="296"/>
      <c r="I50" s="69" t="s">
        <v>58</v>
      </c>
      <c r="J50" s="70">
        <v>130000</v>
      </c>
      <c r="K50" s="71">
        <v>142000</v>
      </c>
      <c r="L50" s="71">
        <v>210000</v>
      </c>
      <c r="M50" s="71">
        <f t="shared" si="67"/>
        <v>129000</v>
      </c>
      <c r="N50" s="72">
        <f t="shared" si="68"/>
        <v>18000</v>
      </c>
      <c r="P50" s="70">
        <v>130000</v>
      </c>
      <c r="Q50" s="71">
        <v>142000</v>
      </c>
      <c r="R50" s="73">
        <v>210000</v>
      </c>
      <c r="S50" s="55"/>
      <c r="T50" s="70">
        <v>130000</v>
      </c>
      <c r="U50" s="74">
        <f t="shared" si="69"/>
        <v>0</v>
      </c>
      <c r="V50" s="75">
        <v>142000</v>
      </c>
      <c r="W50" s="76">
        <f t="shared" si="70"/>
        <v>0</v>
      </c>
      <c r="X50" s="77">
        <v>182000</v>
      </c>
      <c r="Y50" s="78">
        <f t="shared" si="71"/>
        <v>0.1333333333333333</v>
      </c>
      <c r="Z50" s="75">
        <f t="shared" si="78"/>
        <v>75000</v>
      </c>
      <c r="AA50" s="79">
        <f t="shared" si="72"/>
        <v>0.41860465116279066</v>
      </c>
      <c r="AB50" s="77">
        <f t="shared" si="73"/>
        <v>3000</v>
      </c>
      <c r="AC50" s="80">
        <f t="shared" si="74"/>
        <v>0.83333333333333337</v>
      </c>
      <c r="AD50" s="55"/>
      <c r="AE50" s="120">
        <f t="shared" si="14"/>
        <v>208000</v>
      </c>
      <c r="AF50" s="82">
        <f t="shared" si="15"/>
        <v>220000</v>
      </c>
      <c r="AG50" s="83">
        <f t="shared" si="16"/>
        <v>260000</v>
      </c>
      <c r="AH50" s="84">
        <f t="shared" si="17"/>
        <v>28600</v>
      </c>
      <c r="AI50" s="85">
        <f t="shared" si="18"/>
        <v>231400</v>
      </c>
      <c r="AJ50" s="68"/>
      <c r="AL50" s="39">
        <f t="shared" si="75"/>
        <v>-52000</v>
      </c>
      <c r="AM50" s="39">
        <f t="shared" si="76"/>
        <v>-40000</v>
      </c>
      <c r="AR50" s="38" t="e">
        <f>J50+M50+#REF!+N50</f>
        <v>#REF!</v>
      </c>
      <c r="AS50" s="38">
        <f t="shared" si="77"/>
        <v>208000</v>
      </c>
      <c r="AT50" s="39" t="e">
        <f t="shared" si="66"/>
        <v>#REF!</v>
      </c>
    </row>
    <row r="51" spans="2:46" s="39" customFormat="1" ht="15" customHeight="1">
      <c r="B51" s="286"/>
      <c r="C51" s="287"/>
      <c r="D51" s="283"/>
      <c r="E51" s="280"/>
      <c r="F51" s="295"/>
      <c r="G51" s="280"/>
      <c r="H51" s="296"/>
      <c r="I51" s="69" t="s">
        <v>59</v>
      </c>
      <c r="J51" s="70">
        <v>164000</v>
      </c>
      <c r="K51" s="71">
        <v>174000</v>
      </c>
      <c r="L51" s="71">
        <v>290000</v>
      </c>
      <c r="M51" s="71">
        <f t="shared" si="67"/>
        <v>129000</v>
      </c>
      <c r="N51" s="72">
        <f t="shared" si="68"/>
        <v>18000</v>
      </c>
      <c r="P51" s="70">
        <v>164000</v>
      </c>
      <c r="Q51" s="71">
        <v>174000</v>
      </c>
      <c r="R51" s="73">
        <v>290000</v>
      </c>
      <c r="S51" s="55"/>
      <c r="T51" s="70">
        <v>164000</v>
      </c>
      <c r="U51" s="74">
        <f t="shared" si="69"/>
        <v>0</v>
      </c>
      <c r="V51" s="75">
        <v>174000</v>
      </c>
      <c r="W51" s="76">
        <f t="shared" si="70"/>
        <v>0</v>
      </c>
      <c r="X51" s="77">
        <v>290000</v>
      </c>
      <c r="Y51" s="78">
        <f t="shared" si="71"/>
        <v>0</v>
      </c>
      <c r="Z51" s="75">
        <f t="shared" si="78"/>
        <v>75000</v>
      </c>
      <c r="AA51" s="79">
        <f t="shared" si="72"/>
        <v>0.41860465116279066</v>
      </c>
      <c r="AB51" s="77">
        <f t="shared" si="73"/>
        <v>3000</v>
      </c>
      <c r="AC51" s="80">
        <f t="shared" si="74"/>
        <v>0.83333333333333337</v>
      </c>
      <c r="AD51" s="55"/>
      <c r="AE51" s="120">
        <f t="shared" si="14"/>
        <v>242000</v>
      </c>
      <c r="AF51" s="82">
        <f t="shared" si="15"/>
        <v>252000</v>
      </c>
      <c r="AG51" s="83">
        <f t="shared" si="16"/>
        <v>368000</v>
      </c>
      <c r="AH51" s="84">
        <f t="shared" si="17"/>
        <v>40480</v>
      </c>
      <c r="AI51" s="85">
        <f t="shared" si="18"/>
        <v>327520</v>
      </c>
      <c r="AJ51" s="68"/>
      <c r="AL51" s="39">
        <f t="shared" si="75"/>
        <v>-126000</v>
      </c>
      <c r="AM51" s="39">
        <f t="shared" si="76"/>
        <v>-116000</v>
      </c>
      <c r="AR51" s="38" t="e">
        <f>J51+M51+#REF!+N51</f>
        <v>#REF!</v>
      </c>
      <c r="AS51" s="38">
        <f t="shared" si="77"/>
        <v>242000</v>
      </c>
      <c r="AT51" s="39" t="e">
        <f t="shared" si="66"/>
        <v>#REF!</v>
      </c>
    </row>
    <row r="52" spans="2:46" s="39" customFormat="1" ht="11.4">
      <c r="B52" s="286"/>
      <c r="C52" s="287"/>
      <c r="D52" s="283"/>
      <c r="E52" s="280"/>
      <c r="F52" s="295"/>
      <c r="G52" s="280"/>
      <c r="H52" s="296"/>
      <c r="I52" s="156" t="s">
        <v>64</v>
      </c>
      <c r="J52" s="123">
        <v>200000</v>
      </c>
      <c r="K52" s="124">
        <v>210000</v>
      </c>
      <c r="L52" s="124">
        <v>320000</v>
      </c>
      <c r="M52" s="124">
        <f t="shared" si="67"/>
        <v>129000</v>
      </c>
      <c r="N52" s="125">
        <f t="shared" si="68"/>
        <v>18000</v>
      </c>
      <c r="P52" s="123">
        <v>200000</v>
      </c>
      <c r="Q52" s="124">
        <v>210000</v>
      </c>
      <c r="R52" s="126">
        <v>320000</v>
      </c>
      <c r="S52" s="55"/>
      <c r="T52" s="123">
        <v>180000</v>
      </c>
      <c r="U52" s="127">
        <f t="shared" si="69"/>
        <v>9.9999999999999978E-2</v>
      </c>
      <c r="V52" s="128">
        <v>190000</v>
      </c>
      <c r="W52" s="129">
        <f t="shared" si="70"/>
        <v>9.5238095238095233E-2</v>
      </c>
      <c r="X52" s="130">
        <v>280000</v>
      </c>
      <c r="Y52" s="131">
        <f t="shared" si="71"/>
        <v>0.125</v>
      </c>
      <c r="Z52" s="128">
        <f t="shared" si="78"/>
        <v>75000</v>
      </c>
      <c r="AA52" s="132">
        <f t="shared" si="72"/>
        <v>0.41860465116279066</v>
      </c>
      <c r="AB52" s="130">
        <f t="shared" si="73"/>
        <v>3000</v>
      </c>
      <c r="AC52" s="133">
        <f t="shared" si="74"/>
        <v>0.83333333333333337</v>
      </c>
      <c r="AD52" s="55"/>
      <c r="AE52" s="120">
        <f t="shared" si="14"/>
        <v>258000</v>
      </c>
      <c r="AF52" s="82">
        <f t="shared" si="15"/>
        <v>268000</v>
      </c>
      <c r="AG52" s="136">
        <f t="shared" si="16"/>
        <v>358000</v>
      </c>
      <c r="AH52" s="84">
        <f t="shared" si="17"/>
        <v>39380</v>
      </c>
      <c r="AI52" s="85">
        <f t="shared" si="18"/>
        <v>318620</v>
      </c>
      <c r="AJ52" s="68"/>
      <c r="AL52" s="39">
        <f t="shared" si="75"/>
        <v>-100000</v>
      </c>
      <c r="AM52" s="39">
        <f t="shared" si="76"/>
        <v>-90000</v>
      </c>
      <c r="AR52" s="38" t="e">
        <f>J52+M52+#REF!+N52</f>
        <v>#REF!</v>
      </c>
      <c r="AS52" s="38">
        <f t="shared" si="77"/>
        <v>258000</v>
      </c>
      <c r="AT52" s="39" t="e">
        <f t="shared" si="66"/>
        <v>#REF!</v>
      </c>
    </row>
    <row r="53" spans="2:46" s="39" customFormat="1" ht="15" customHeight="1">
      <c r="B53" s="286"/>
      <c r="C53" s="287"/>
      <c r="D53" s="283"/>
      <c r="E53" s="280"/>
      <c r="F53" s="295"/>
      <c r="G53" s="280"/>
      <c r="H53" s="297" t="s">
        <v>25</v>
      </c>
      <c r="I53" s="69" t="s">
        <v>57</v>
      </c>
      <c r="J53" s="86">
        <v>147000</v>
      </c>
      <c r="K53" s="87">
        <v>159000</v>
      </c>
      <c r="L53" s="87">
        <v>193000</v>
      </c>
      <c r="M53" s="87">
        <f t="shared" si="67"/>
        <v>129000</v>
      </c>
      <c r="N53" s="88">
        <f t="shared" si="68"/>
        <v>18000</v>
      </c>
      <c r="P53" s="86">
        <v>147000</v>
      </c>
      <c r="Q53" s="87">
        <v>159000</v>
      </c>
      <c r="R53" s="89">
        <v>193000</v>
      </c>
      <c r="S53" s="55"/>
      <c r="T53" s="86">
        <v>127000</v>
      </c>
      <c r="U53" s="90">
        <f t="shared" si="69"/>
        <v>0.13605442176870752</v>
      </c>
      <c r="V53" s="91">
        <v>139000</v>
      </c>
      <c r="W53" s="92">
        <f t="shared" si="70"/>
        <v>0.12578616352201255</v>
      </c>
      <c r="X53" s="93">
        <v>169000</v>
      </c>
      <c r="Y53" s="94">
        <f t="shared" si="71"/>
        <v>0.12435233160621761</v>
      </c>
      <c r="Z53" s="91">
        <f t="shared" si="78"/>
        <v>75000</v>
      </c>
      <c r="AA53" s="95">
        <f t="shared" si="72"/>
        <v>0.41860465116279066</v>
      </c>
      <c r="AB53" s="93">
        <f t="shared" si="73"/>
        <v>3000</v>
      </c>
      <c r="AC53" s="96">
        <f t="shared" si="74"/>
        <v>0.83333333333333337</v>
      </c>
      <c r="AD53" s="55"/>
      <c r="AE53" s="121">
        <f t="shared" si="14"/>
        <v>205000</v>
      </c>
      <c r="AF53" s="98">
        <f t="shared" si="15"/>
        <v>217000</v>
      </c>
      <c r="AG53" s="99">
        <f t="shared" si="16"/>
        <v>247000</v>
      </c>
      <c r="AH53" s="100">
        <f t="shared" si="17"/>
        <v>27170</v>
      </c>
      <c r="AI53" s="101">
        <f t="shared" si="18"/>
        <v>219830</v>
      </c>
      <c r="AJ53" s="68"/>
      <c r="AL53" s="39">
        <f t="shared" si="75"/>
        <v>-42000</v>
      </c>
      <c r="AM53" s="39">
        <f t="shared" si="76"/>
        <v>-30000</v>
      </c>
      <c r="AR53" s="38" t="e">
        <f>J53+M53+#REF!+N53</f>
        <v>#REF!</v>
      </c>
      <c r="AS53" s="38">
        <f t="shared" si="77"/>
        <v>205000</v>
      </c>
      <c r="AT53" s="39" t="e">
        <f t="shared" si="66"/>
        <v>#REF!</v>
      </c>
    </row>
    <row r="54" spans="2:46" s="39" customFormat="1" ht="15" customHeight="1">
      <c r="B54" s="286"/>
      <c r="C54" s="287"/>
      <c r="D54" s="283"/>
      <c r="E54" s="280"/>
      <c r="F54" s="295"/>
      <c r="G54" s="280"/>
      <c r="H54" s="296"/>
      <c r="I54" s="69" t="s">
        <v>58</v>
      </c>
      <c r="J54" s="70">
        <v>163000</v>
      </c>
      <c r="K54" s="71">
        <v>175000</v>
      </c>
      <c r="L54" s="71">
        <v>243000</v>
      </c>
      <c r="M54" s="71">
        <f t="shared" si="67"/>
        <v>129000</v>
      </c>
      <c r="N54" s="72">
        <f t="shared" si="68"/>
        <v>18000</v>
      </c>
      <c r="P54" s="70">
        <v>163000</v>
      </c>
      <c r="Q54" s="71">
        <v>175000</v>
      </c>
      <c r="R54" s="73">
        <v>243000</v>
      </c>
      <c r="S54" s="55"/>
      <c r="T54" s="70">
        <v>163000</v>
      </c>
      <c r="U54" s="74">
        <f t="shared" si="69"/>
        <v>0</v>
      </c>
      <c r="V54" s="75">
        <v>175000</v>
      </c>
      <c r="W54" s="76">
        <f t="shared" si="70"/>
        <v>0</v>
      </c>
      <c r="X54" s="77">
        <v>215000</v>
      </c>
      <c r="Y54" s="78">
        <f t="shared" si="71"/>
        <v>0.1152263374485597</v>
      </c>
      <c r="Z54" s="75">
        <f t="shared" si="78"/>
        <v>75000</v>
      </c>
      <c r="AA54" s="79">
        <f t="shared" si="72"/>
        <v>0.41860465116279066</v>
      </c>
      <c r="AB54" s="77">
        <f t="shared" si="73"/>
        <v>3000</v>
      </c>
      <c r="AC54" s="80">
        <f t="shared" si="74"/>
        <v>0.83333333333333337</v>
      </c>
      <c r="AD54" s="55"/>
      <c r="AE54" s="120">
        <f t="shared" si="14"/>
        <v>241000</v>
      </c>
      <c r="AF54" s="82">
        <f t="shared" si="15"/>
        <v>253000</v>
      </c>
      <c r="AG54" s="83">
        <f t="shared" si="16"/>
        <v>293000</v>
      </c>
      <c r="AH54" s="84">
        <f t="shared" si="17"/>
        <v>32230</v>
      </c>
      <c r="AI54" s="85">
        <f t="shared" si="18"/>
        <v>260770</v>
      </c>
      <c r="AJ54" s="68"/>
      <c r="AL54" s="39">
        <f t="shared" si="75"/>
        <v>-52000</v>
      </c>
      <c r="AM54" s="39">
        <f t="shared" si="76"/>
        <v>-40000</v>
      </c>
      <c r="AR54" s="38" t="e">
        <f>J54+M54+#REF!+N54</f>
        <v>#REF!</v>
      </c>
      <c r="AS54" s="38">
        <f t="shared" si="77"/>
        <v>241000</v>
      </c>
      <c r="AT54" s="39" t="e">
        <f t="shared" si="66"/>
        <v>#REF!</v>
      </c>
    </row>
    <row r="55" spans="2:46" s="39" customFormat="1" ht="15" customHeight="1">
      <c r="B55" s="286"/>
      <c r="C55" s="287"/>
      <c r="D55" s="283"/>
      <c r="E55" s="280"/>
      <c r="F55" s="295"/>
      <c r="G55" s="280"/>
      <c r="H55" s="296"/>
      <c r="I55" s="69" t="s">
        <v>59</v>
      </c>
      <c r="J55" s="70">
        <v>219000</v>
      </c>
      <c r="K55" s="71">
        <v>229000</v>
      </c>
      <c r="L55" s="71">
        <v>345000</v>
      </c>
      <c r="M55" s="71">
        <f t="shared" si="67"/>
        <v>129000</v>
      </c>
      <c r="N55" s="72">
        <f t="shared" si="68"/>
        <v>18000</v>
      </c>
      <c r="P55" s="70">
        <v>219000</v>
      </c>
      <c r="Q55" s="71">
        <v>229000</v>
      </c>
      <c r="R55" s="73">
        <v>345000</v>
      </c>
      <c r="S55" s="55"/>
      <c r="T55" s="70">
        <v>219000</v>
      </c>
      <c r="U55" s="74">
        <f t="shared" si="69"/>
        <v>0</v>
      </c>
      <c r="V55" s="75">
        <v>229000</v>
      </c>
      <c r="W55" s="76">
        <f t="shared" si="70"/>
        <v>0</v>
      </c>
      <c r="X55" s="77">
        <v>345000</v>
      </c>
      <c r="Y55" s="78">
        <f t="shared" si="71"/>
        <v>0</v>
      </c>
      <c r="Z55" s="75">
        <f t="shared" si="78"/>
        <v>75000</v>
      </c>
      <c r="AA55" s="79">
        <f t="shared" si="72"/>
        <v>0.41860465116279066</v>
      </c>
      <c r="AB55" s="77">
        <f t="shared" si="73"/>
        <v>3000</v>
      </c>
      <c r="AC55" s="80">
        <f t="shared" si="74"/>
        <v>0.83333333333333337</v>
      </c>
      <c r="AD55" s="55"/>
      <c r="AE55" s="120">
        <f t="shared" si="14"/>
        <v>297000</v>
      </c>
      <c r="AF55" s="82">
        <f t="shared" si="15"/>
        <v>307000</v>
      </c>
      <c r="AG55" s="83">
        <f t="shared" si="16"/>
        <v>423000</v>
      </c>
      <c r="AH55" s="84">
        <f t="shared" si="17"/>
        <v>46530</v>
      </c>
      <c r="AI55" s="85">
        <f t="shared" si="18"/>
        <v>376470</v>
      </c>
      <c r="AJ55" s="68"/>
      <c r="AL55" s="39">
        <f t="shared" si="75"/>
        <v>-126000</v>
      </c>
      <c r="AM55" s="39">
        <f t="shared" si="76"/>
        <v>-116000</v>
      </c>
      <c r="AR55" s="38" t="e">
        <f>J55+M55+#REF!+N55</f>
        <v>#REF!</v>
      </c>
      <c r="AS55" s="38">
        <f t="shared" si="77"/>
        <v>297000</v>
      </c>
      <c r="AT55" s="39" t="e">
        <f t="shared" si="66"/>
        <v>#REF!</v>
      </c>
    </row>
    <row r="56" spans="2:46" s="39" customFormat="1" ht="11.4">
      <c r="B56" s="286"/>
      <c r="C56" s="287"/>
      <c r="D56" s="283"/>
      <c r="E56" s="280"/>
      <c r="F56" s="175"/>
      <c r="G56" s="176"/>
      <c r="H56" s="296"/>
      <c r="I56" s="156" t="s">
        <v>64</v>
      </c>
      <c r="J56" s="123">
        <v>255000</v>
      </c>
      <c r="K56" s="124">
        <v>265000</v>
      </c>
      <c r="L56" s="124">
        <v>375000</v>
      </c>
      <c r="M56" s="124">
        <f t="shared" si="67"/>
        <v>129000</v>
      </c>
      <c r="N56" s="125">
        <f t="shared" si="68"/>
        <v>18000</v>
      </c>
      <c r="P56" s="123">
        <v>255000</v>
      </c>
      <c r="Q56" s="124">
        <v>265000</v>
      </c>
      <c r="R56" s="126">
        <v>375000</v>
      </c>
      <c r="S56" s="55"/>
      <c r="T56" s="123">
        <v>235000</v>
      </c>
      <c r="U56" s="127">
        <f t="shared" si="69"/>
        <v>7.8431372549019662E-2</v>
      </c>
      <c r="V56" s="128">
        <v>245000</v>
      </c>
      <c r="W56" s="129">
        <f t="shared" si="70"/>
        <v>7.547169811320753E-2</v>
      </c>
      <c r="X56" s="130">
        <v>335000</v>
      </c>
      <c r="Y56" s="131">
        <f t="shared" si="71"/>
        <v>0.10666666666666669</v>
      </c>
      <c r="Z56" s="128">
        <f t="shared" si="78"/>
        <v>75000</v>
      </c>
      <c r="AA56" s="132">
        <f t="shared" si="72"/>
        <v>0.41860465116279066</v>
      </c>
      <c r="AB56" s="130">
        <f t="shared" si="73"/>
        <v>3000</v>
      </c>
      <c r="AC56" s="133">
        <f t="shared" si="74"/>
        <v>0.83333333333333337</v>
      </c>
      <c r="AD56" s="55"/>
      <c r="AE56" s="120">
        <f t="shared" si="14"/>
        <v>313000</v>
      </c>
      <c r="AF56" s="82">
        <f t="shared" si="15"/>
        <v>323000</v>
      </c>
      <c r="AG56" s="136">
        <f t="shared" si="16"/>
        <v>413000</v>
      </c>
      <c r="AH56" s="84">
        <f t="shared" si="17"/>
        <v>45430</v>
      </c>
      <c r="AI56" s="85">
        <f t="shared" si="18"/>
        <v>367570</v>
      </c>
      <c r="AJ56" s="68"/>
      <c r="AL56" s="39">
        <f t="shared" si="75"/>
        <v>-100000</v>
      </c>
      <c r="AM56" s="39">
        <f t="shared" si="76"/>
        <v>-90000</v>
      </c>
      <c r="AR56" s="38" t="e">
        <f>J56+M56+#REF!+N56</f>
        <v>#REF!</v>
      </c>
      <c r="AS56" s="38">
        <f t="shared" si="77"/>
        <v>313000</v>
      </c>
      <c r="AT56" s="39" t="e">
        <f t="shared" si="66"/>
        <v>#REF!</v>
      </c>
    </row>
    <row r="57" spans="2:46" s="39" customFormat="1" ht="15" customHeight="1">
      <c r="B57" s="286"/>
      <c r="C57" s="287"/>
      <c r="D57" s="283"/>
      <c r="E57" s="280"/>
      <c r="F57" s="298" t="s">
        <v>28</v>
      </c>
      <c r="G57" s="279"/>
      <c r="H57" s="297" t="s">
        <v>18</v>
      </c>
      <c r="I57" s="69" t="s">
        <v>57</v>
      </c>
      <c r="J57" s="86">
        <v>148000</v>
      </c>
      <c r="K57" s="87">
        <v>165000</v>
      </c>
      <c r="L57" s="87">
        <v>235000</v>
      </c>
      <c r="M57" s="87">
        <f t="shared" si="67"/>
        <v>129000</v>
      </c>
      <c r="N57" s="88">
        <f t="shared" si="68"/>
        <v>18000</v>
      </c>
      <c r="P57" s="86">
        <v>148000</v>
      </c>
      <c r="Q57" s="87">
        <v>165000</v>
      </c>
      <c r="R57" s="89">
        <v>235000</v>
      </c>
      <c r="S57" s="1"/>
      <c r="T57" s="86">
        <v>128000</v>
      </c>
      <c r="U57" s="90">
        <f t="shared" si="69"/>
        <v>0.13513513513513509</v>
      </c>
      <c r="V57" s="91">
        <v>145000</v>
      </c>
      <c r="W57" s="92">
        <f t="shared" si="70"/>
        <v>0.12121212121212122</v>
      </c>
      <c r="X57" s="93">
        <v>175000</v>
      </c>
      <c r="Y57" s="94">
        <f t="shared" si="71"/>
        <v>0.25531914893617025</v>
      </c>
      <c r="Z57" s="91">
        <f t="shared" si="78"/>
        <v>75000</v>
      </c>
      <c r="AA57" s="95">
        <f t="shared" si="72"/>
        <v>0.41860465116279066</v>
      </c>
      <c r="AB57" s="93">
        <f t="shared" si="73"/>
        <v>3000</v>
      </c>
      <c r="AC57" s="96">
        <f t="shared" si="74"/>
        <v>0.83333333333333337</v>
      </c>
      <c r="AD57" s="55"/>
      <c r="AE57" s="121">
        <f t="shared" si="14"/>
        <v>206000</v>
      </c>
      <c r="AF57" s="98">
        <f t="shared" si="15"/>
        <v>223000</v>
      </c>
      <c r="AG57" s="99">
        <f t="shared" si="16"/>
        <v>253000</v>
      </c>
      <c r="AH57" s="100">
        <f t="shared" si="17"/>
        <v>27830</v>
      </c>
      <c r="AI57" s="101">
        <f t="shared" si="18"/>
        <v>225170</v>
      </c>
      <c r="AJ57" s="68"/>
      <c r="AL57" s="39">
        <f t="shared" si="75"/>
        <v>-47000</v>
      </c>
      <c r="AM57" s="39">
        <f t="shared" si="76"/>
        <v>-30000</v>
      </c>
      <c r="AR57" s="38" t="e">
        <f>J57+M57+#REF!+N57</f>
        <v>#REF!</v>
      </c>
      <c r="AS57" s="38">
        <f t="shared" si="77"/>
        <v>206000</v>
      </c>
      <c r="AT57" s="39" t="e">
        <f t="shared" si="66"/>
        <v>#REF!</v>
      </c>
    </row>
    <row r="58" spans="2:46" s="39" customFormat="1" ht="15" customHeight="1">
      <c r="B58" s="286"/>
      <c r="C58" s="287"/>
      <c r="D58" s="283"/>
      <c r="E58" s="280"/>
      <c r="F58" s="295"/>
      <c r="G58" s="280"/>
      <c r="H58" s="296"/>
      <c r="I58" s="69" t="s">
        <v>58</v>
      </c>
      <c r="J58" s="70">
        <v>179000</v>
      </c>
      <c r="K58" s="71">
        <v>194000</v>
      </c>
      <c r="L58" s="71">
        <v>285000</v>
      </c>
      <c r="M58" s="71">
        <f t="shared" si="67"/>
        <v>129000</v>
      </c>
      <c r="N58" s="72">
        <f t="shared" si="68"/>
        <v>18000</v>
      </c>
      <c r="P58" s="70">
        <v>179000</v>
      </c>
      <c r="Q58" s="71">
        <v>194000</v>
      </c>
      <c r="R58" s="73">
        <v>285000</v>
      </c>
      <c r="S58" s="1"/>
      <c r="T58" s="70">
        <v>179000</v>
      </c>
      <c r="U58" s="74">
        <f t="shared" si="69"/>
        <v>0</v>
      </c>
      <c r="V58" s="75">
        <v>194000</v>
      </c>
      <c r="W58" s="76">
        <f t="shared" si="70"/>
        <v>0</v>
      </c>
      <c r="X58" s="77">
        <v>234000</v>
      </c>
      <c r="Y58" s="78">
        <f t="shared" si="71"/>
        <v>0.17894736842105263</v>
      </c>
      <c r="Z58" s="75">
        <f t="shared" si="78"/>
        <v>75000</v>
      </c>
      <c r="AA58" s="79">
        <f t="shared" si="72"/>
        <v>0.41860465116279066</v>
      </c>
      <c r="AB58" s="77">
        <f t="shared" si="73"/>
        <v>3000</v>
      </c>
      <c r="AC58" s="80">
        <f t="shared" si="74"/>
        <v>0.83333333333333337</v>
      </c>
      <c r="AD58" s="55"/>
      <c r="AE58" s="120">
        <f t="shared" si="14"/>
        <v>257000</v>
      </c>
      <c r="AF58" s="82">
        <f t="shared" si="15"/>
        <v>272000</v>
      </c>
      <c r="AG58" s="83">
        <f t="shared" si="16"/>
        <v>312000</v>
      </c>
      <c r="AH58" s="84">
        <f t="shared" si="17"/>
        <v>34320</v>
      </c>
      <c r="AI58" s="85">
        <f t="shared" si="18"/>
        <v>277680</v>
      </c>
      <c r="AJ58" s="68"/>
      <c r="AL58" s="39">
        <f t="shared" si="75"/>
        <v>-55000</v>
      </c>
      <c r="AM58" s="39">
        <f t="shared" si="76"/>
        <v>-40000</v>
      </c>
      <c r="AR58" s="38" t="e">
        <f>J58+M58+#REF!+N58</f>
        <v>#REF!</v>
      </c>
      <c r="AS58" s="38">
        <f t="shared" si="77"/>
        <v>257000</v>
      </c>
      <c r="AT58" s="39" t="e">
        <f t="shared" si="66"/>
        <v>#REF!</v>
      </c>
    </row>
    <row r="59" spans="2:46" s="39" customFormat="1" ht="15" customHeight="1">
      <c r="B59" s="286"/>
      <c r="C59" s="287"/>
      <c r="D59" s="283"/>
      <c r="E59" s="280"/>
      <c r="F59" s="295"/>
      <c r="G59" s="280"/>
      <c r="H59" s="296"/>
      <c r="I59" s="69" t="s">
        <v>59</v>
      </c>
      <c r="J59" s="70">
        <v>218000</v>
      </c>
      <c r="K59" s="71">
        <v>233000</v>
      </c>
      <c r="L59" s="71">
        <v>370000</v>
      </c>
      <c r="M59" s="71">
        <f t="shared" si="67"/>
        <v>129000</v>
      </c>
      <c r="N59" s="72">
        <f t="shared" si="68"/>
        <v>18000</v>
      </c>
      <c r="P59" s="70">
        <v>218000</v>
      </c>
      <c r="Q59" s="71">
        <v>233000</v>
      </c>
      <c r="R59" s="73">
        <v>370000</v>
      </c>
      <c r="S59" s="1"/>
      <c r="T59" s="70">
        <v>218000</v>
      </c>
      <c r="U59" s="74">
        <f t="shared" si="69"/>
        <v>0</v>
      </c>
      <c r="V59" s="75">
        <v>233000</v>
      </c>
      <c r="W59" s="76">
        <f t="shared" si="70"/>
        <v>0</v>
      </c>
      <c r="X59" s="77">
        <v>370000</v>
      </c>
      <c r="Y59" s="78">
        <f t="shared" si="71"/>
        <v>0</v>
      </c>
      <c r="Z59" s="75">
        <f t="shared" si="78"/>
        <v>75000</v>
      </c>
      <c r="AA59" s="79">
        <f t="shared" si="72"/>
        <v>0.41860465116279066</v>
      </c>
      <c r="AB59" s="77">
        <f t="shared" si="73"/>
        <v>3000</v>
      </c>
      <c r="AC59" s="80">
        <f t="shared" si="74"/>
        <v>0.83333333333333337</v>
      </c>
      <c r="AD59" s="55"/>
      <c r="AE59" s="120">
        <f t="shared" si="14"/>
        <v>296000</v>
      </c>
      <c r="AF59" s="82">
        <f t="shared" si="15"/>
        <v>311000</v>
      </c>
      <c r="AG59" s="83">
        <f t="shared" si="16"/>
        <v>448000</v>
      </c>
      <c r="AH59" s="84">
        <f t="shared" si="17"/>
        <v>49280</v>
      </c>
      <c r="AI59" s="85">
        <f t="shared" si="18"/>
        <v>398720</v>
      </c>
      <c r="AJ59" s="68"/>
      <c r="AL59" s="39">
        <f t="shared" si="75"/>
        <v>-152000</v>
      </c>
      <c r="AM59" s="39">
        <f t="shared" si="76"/>
        <v>-137000</v>
      </c>
      <c r="AR59" s="38" t="e">
        <f>J59+M59+#REF!+N59</f>
        <v>#REF!</v>
      </c>
      <c r="AS59" s="38">
        <f t="shared" si="77"/>
        <v>296000</v>
      </c>
      <c r="AT59" s="39" t="e">
        <f t="shared" si="66"/>
        <v>#REF!</v>
      </c>
    </row>
    <row r="60" spans="2:46" s="39" customFormat="1" ht="11.4">
      <c r="B60" s="286"/>
      <c r="C60" s="287"/>
      <c r="D60" s="283"/>
      <c r="E60" s="280"/>
      <c r="F60" s="295"/>
      <c r="G60" s="280"/>
      <c r="H60" s="296"/>
      <c r="I60" s="156" t="s">
        <v>64</v>
      </c>
      <c r="J60" s="123">
        <v>262000</v>
      </c>
      <c r="K60" s="124">
        <v>276000</v>
      </c>
      <c r="L60" s="124">
        <v>400000</v>
      </c>
      <c r="M60" s="124">
        <f t="shared" si="67"/>
        <v>129000</v>
      </c>
      <c r="N60" s="125">
        <f t="shared" si="68"/>
        <v>18000</v>
      </c>
      <c r="P60" s="123">
        <v>262000</v>
      </c>
      <c r="Q60" s="124">
        <v>276000</v>
      </c>
      <c r="R60" s="126">
        <v>400000</v>
      </c>
      <c r="S60" s="55"/>
      <c r="T60" s="123">
        <v>242000</v>
      </c>
      <c r="U60" s="127">
        <f t="shared" si="69"/>
        <v>7.6335877862595436E-2</v>
      </c>
      <c r="V60" s="128">
        <v>256000</v>
      </c>
      <c r="W60" s="129">
        <f t="shared" si="70"/>
        <v>7.2463768115942018E-2</v>
      </c>
      <c r="X60" s="130">
        <v>346000</v>
      </c>
      <c r="Y60" s="131">
        <f t="shared" si="71"/>
        <v>0.13500000000000001</v>
      </c>
      <c r="Z60" s="128">
        <f t="shared" si="78"/>
        <v>75000</v>
      </c>
      <c r="AA60" s="132">
        <f t="shared" si="72"/>
        <v>0.41860465116279066</v>
      </c>
      <c r="AB60" s="130">
        <f t="shared" si="73"/>
        <v>3000</v>
      </c>
      <c r="AC60" s="133">
        <f t="shared" si="74"/>
        <v>0.83333333333333337</v>
      </c>
      <c r="AD60" s="55"/>
      <c r="AE60" s="120">
        <f t="shared" si="14"/>
        <v>320000</v>
      </c>
      <c r="AF60" s="82">
        <f t="shared" si="15"/>
        <v>334000</v>
      </c>
      <c r="AG60" s="136">
        <f t="shared" si="16"/>
        <v>424000</v>
      </c>
      <c r="AH60" s="84">
        <f t="shared" si="17"/>
        <v>46640</v>
      </c>
      <c r="AI60" s="85">
        <f t="shared" si="18"/>
        <v>377360</v>
      </c>
      <c r="AJ60" s="68"/>
      <c r="AL60" s="39">
        <f t="shared" si="75"/>
        <v>-104000</v>
      </c>
      <c r="AM60" s="39">
        <f t="shared" si="76"/>
        <v>-90000</v>
      </c>
      <c r="AR60" s="38" t="e">
        <f>J60+M60+#REF!+N60</f>
        <v>#REF!</v>
      </c>
      <c r="AS60" s="38">
        <f t="shared" si="77"/>
        <v>320000</v>
      </c>
      <c r="AT60" s="39" t="e">
        <f t="shared" si="66"/>
        <v>#REF!</v>
      </c>
    </row>
    <row r="61" spans="2:46" s="39" customFormat="1" ht="15" customHeight="1">
      <c r="B61" s="286"/>
      <c r="C61" s="287"/>
      <c r="D61" s="283"/>
      <c r="E61" s="280"/>
      <c r="F61" s="295"/>
      <c r="G61" s="280"/>
      <c r="H61" s="297" t="s">
        <v>25</v>
      </c>
      <c r="I61" s="69" t="s">
        <v>57</v>
      </c>
      <c r="J61" s="86">
        <v>181000</v>
      </c>
      <c r="K61" s="87">
        <v>198000</v>
      </c>
      <c r="L61" s="87">
        <v>268000</v>
      </c>
      <c r="M61" s="87">
        <f t="shared" si="67"/>
        <v>129000</v>
      </c>
      <c r="N61" s="88">
        <f t="shared" si="68"/>
        <v>18000</v>
      </c>
      <c r="P61" s="86">
        <v>181000</v>
      </c>
      <c r="Q61" s="87">
        <v>198000</v>
      </c>
      <c r="R61" s="89">
        <v>268000</v>
      </c>
      <c r="S61" s="1"/>
      <c r="T61" s="86">
        <v>161000</v>
      </c>
      <c r="U61" s="90">
        <f t="shared" si="69"/>
        <v>0.11049723756906082</v>
      </c>
      <c r="V61" s="91">
        <v>178000</v>
      </c>
      <c r="W61" s="92">
        <f t="shared" si="70"/>
        <v>0.10101010101010099</v>
      </c>
      <c r="X61" s="93">
        <v>208000</v>
      </c>
      <c r="Y61" s="94">
        <f t="shared" si="71"/>
        <v>0.22388059701492535</v>
      </c>
      <c r="Z61" s="91">
        <f t="shared" si="78"/>
        <v>75000</v>
      </c>
      <c r="AA61" s="95">
        <f t="shared" si="72"/>
        <v>0.41860465116279066</v>
      </c>
      <c r="AB61" s="93">
        <f t="shared" si="73"/>
        <v>3000</v>
      </c>
      <c r="AC61" s="96">
        <f t="shared" si="74"/>
        <v>0.83333333333333337</v>
      </c>
      <c r="AD61" s="55"/>
      <c r="AE61" s="121">
        <f t="shared" si="14"/>
        <v>239000</v>
      </c>
      <c r="AF61" s="98">
        <f t="shared" si="15"/>
        <v>256000</v>
      </c>
      <c r="AG61" s="99">
        <f t="shared" si="16"/>
        <v>286000</v>
      </c>
      <c r="AH61" s="100">
        <f t="shared" si="17"/>
        <v>31460</v>
      </c>
      <c r="AI61" s="101">
        <f t="shared" si="18"/>
        <v>254540</v>
      </c>
      <c r="AJ61" s="68"/>
      <c r="AL61" s="39">
        <f t="shared" si="75"/>
        <v>-47000</v>
      </c>
      <c r="AM61" s="39">
        <f t="shared" si="76"/>
        <v>-30000</v>
      </c>
      <c r="AR61" s="38" t="e">
        <f>J61+M61+#REF!+N61</f>
        <v>#REF!</v>
      </c>
      <c r="AS61" s="38">
        <f t="shared" si="77"/>
        <v>239000</v>
      </c>
      <c r="AT61" s="39" t="e">
        <f t="shared" si="66"/>
        <v>#REF!</v>
      </c>
    </row>
    <row r="62" spans="2:46" s="39" customFormat="1" ht="15" customHeight="1">
      <c r="B62" s="286"/>
      <c r="C62" s="287"/>
      <c r="D62" s="283"/>
      <c r="E62" s="280"/>
      <c r="F62" s="295"/>
      <c r="G62" s="280"/>
      <c r="H62" s="296"/>
      <c r="I62" s="69" t="s">
        <v>58</v>
      </c>
      <c r="J62" s="70">
        <v>212000</v>
      </c>
      <c r="K62" s="71">
        <v>227000</v>
      </c>
      <c r="L62" s="71">
        <v>318000</v>
      </c>
      <c r="M62" s="71">
        <f t="shared" si="67"/>
        <v>129000</v>
      </c>
      <c r="N62" s="72">
        <f t="shared" si="68"/>
        <v>18000</v>
      </c>
      <c r="P62" s="70">
        <v>212000</v>
      </c>
      <c r="Q62" s="71">
        <v>227000</v>
      </c>
      <c r="R62" s="73">
        <v>318000</v>
      </c>
      <c r="S62" s="1"/>
      <c r="T62" s="70">
        <v>212000</v>
      </c>
      <c r="U62" s="74">
        <f t="shared" si="69"/>
        <v>0</v>
      </c>
      <c r="V62" s="75">
        <v>227000</v>
      </c>
      <c r="W62" s="76">
        <f t="shared" si="70"/>
        <v>0</v>
      </c>
      <c r="X62" s="77">
        <v>267000</v>
      </c>
      <c r="Y62" s="78">
        <f t="shared" si="71"/>
        <v>0.160377358490566</v>
      </c>
      <c r="Z62" s="75">
        <f t="shared" si="78"/>
        <v>75000</v>
      </c>
      <c r="AA62" s="79">
        <f t="shared" si="72"/>
        <v>0.41860465116279066</v>
      </c>
      <c r="AB62" s="77">
        <f t="shared" si="73"/>
        <v>3000</v>
      </c>
      <c r="AC62" s="80">
        <f t="shared" si="74"/>
        <v>0.83333333333333337</v>
      </c>
      <c r="AD62" s="55"/>
      <c r="AE62" s="120">
        <f t="shared" si="14"/>
        <v>290000</v>
      </c>
      <c r="AF62" s="82">
        <f t="shared" si="15"/>
        <v>305000</v>
      </c>
      <c r="AG62" s="83">
        <f t="shared" si="16"/>
        <v>345000</v>
      </c>
      <c r="AH62" s="84">
        <f t="shared" si="17"/>
        <v>37950</v>
      </c>
      <c r="AI62" s="85">
        <f t="shared" si="18"/>
        <v>307050</v>
      </c>
      <c r="AJ62" s="68"/>
      <c r="AL62" s="39">
        <f t="shared" si="75"/>
        <v>-55000</v>
      </c>
      <c r="AM62" s="39">
        <f t="shared" si="76"/>
        <v>-40000</v>
      </c>
      <c r="AR62" s="38" t="e">
        <f>J62+M62+#REF!+N62</f>
        <v>#REF!</v>
      </c>
      <c r="AS62" s="38">
        <f t="shared" si="77"/>
        <v>290000</v>
      </c>
      <c r="AT62" s="39" t="e">
        <f t="shared" si="66"/>
        <v>#REF!</v>
      </c>
    </row>
    <row r="63" spans="2:46" s="39" customFormat="1" ht="15" customHeight="1">
      <c r="B63" s="286"/>
      <c r="C63" s="287"/>
      <c r="D63" s="283"/>
      <c r="E63" s="280"/>
      <c r="F63" s="295"/>
      <c r="G63" s="280"/>
      <c r="H63" s="296"/>
      <c r="I63" s="102" t="s">
        <v>59</v>
      </c>
      <c r="J63" s="123">
        <v>273000</v>
      </c>
      <c r="K63" s="124">
        <v>288000</v>
      </c>
      <c r="L63" s="124">
        <v>425000</v>
      </c>
      <c r="M63" s="124">
        <f t="shared" si="67"/>
        <v>129000</v>
      </c>
      <c r="N63" s="125">
        <f t="shared" si="68"/>
        <v>18000</v>
      </c>
      <c r="P63" s="123">
        <v>273000</v>
      </c>
      <c r="Q63" s="124">
        <v>288000</v>
      </c>
      <c r="R63" s="126">
        <v>425000</v>
      </c>
      <c r="S63" s="1"/>
      <c r="T63" s="123">
        <v>273000</v>
      </c>
      <c r="U63" s="127">
        <f t="shared" si="69"/>
        <v>0</v>
      </c>
      <c r="V63" s="128">
        <v>288000</v>
      </c>
      <c r="W63" s="129">
        <f t="shared" si="70"/>
        <v>0</v>
      </c>
      <c r="X63" s="130">
        <v>425000</v>
      </c>
      <c r="Y63" s="131">
        <f t="shared" si="71"/>
        <v>0</v>
      </c>
      <c r="Z63" s="128">
        <f t="shared" si="78"/>
        <v>75000</v>
      </c>
      <c r="AA63" s="132">
        <f t="shared" si="72"/>
        <v>0.41860465116279066</v>
      </c>
      <c r="AB63" s="130">
        <f t="shared" si="73"/>
        <v>3000</v>
      </c>
      <c r="AC63" s="133">
        <f t="shared" si="74"/>
        <v>0.83333333333333337</v>
      </c>
      <c r="AD63" s="55"/>
      <c r="AE63" s="134">
        <f t="shared" si="14"/>
        <v>351000</v>
      </c>
      <c r="AF63" s="135">
        <f t="shared" si="15"/>
        <v>366000</v>
      </c>
      <c r="AG63" s="136">
        <f t="shared" si="16"/>
        <v>503000</v>
      </c>
      <c r="AH63" s="137">
        <f t="shared" si="17"/>
        <v>55330</v>
      </c>
      <c r="AI63" s="138">
        <f t="shared" si="18"/>
        <v>447670</v>
      </c>
      <c r="AJ63" s="68"/>
      <c r="AL63" s="39">
        <f t="shared" si="75"/>
        <v>-152000</v>
      </c>
      <c r="AM63" s="39">
        <f t="shared" si="76"/>
        <v>-137000</v>
      </c>
      <c r="AR63" s="38" t="e">
        <f>J63+M63+#REF!+N63</f>
        <v>#REF!</v>
      </c>
      <c r="AS63" s="38">
        <f t="shared" si="77"/>
        <v>351000</v>
      </c>
      <c r="AT63" s="39" t="e">
        <f t="shared" si="66"/>
        <v>#REF!</v>
      </c>
    </row>
    <row r="64" spans="2:46" s="39" customFormat="1" ht="11.4">
      <c r="B64" s="286"/>
      <c r="C64" s="287"/>
      <c r="D64" s="283"/>
      <c r="E64" s="280"/>
      <c r="F64" s="175"/>
      <c r="G64" s="176"/>
      <c r="H64" s="296"/>
      <c r="I64" s="156" t="s">
        <v>64</v>
      </c>
      <c r="J64" s="123">
        <v>317000</v>
      </c>
      <c r="K64" s="124">
        <v>331000</v>
      </c>
      <c r="L64" s="124">
        <v>455000</v>
      </c>
      <c r="M64" s="124">
        <f t="shared" si="67"/>
        <v>129000</v>
      </c>
      <c r="N64" s="125">
        <f t="shared" si="68"/>
        <v>18000</v>
      </c>
      <c r="P64" s="123">
        <v>317000</v>
      </c>
      <c r="Q64" s="124">
        <v>331000</v>
      </c>
      <c r="R64" s="126">
        <v>455000</v>
      </c>
      <c r="S64" s="55"/>
      <c r="T64" s="123">
        <v>297000</v>
      </c>
      <c r="U64" s="127">
        <f t="shared" si="69"/>
        <v>6.3091482649842323E-2</v>
      </c>
      <c r="V64" s="128">
        <v>311000</v>
      </c>
      <c r="W64" s="129">
        <f t="shared" si="70"/>
        <v>6.0422960725075581E-2</v>
      </c>
      <c r="X64" s="130">
        <v>401000</v>
      </c>
      <c r="Y64" s="131">
        <f t="shared" si="71"/>
        <v>0.1186813186813187</v>
      </c>
      <c r="Z64" s="128">
        <f t="shared" si="78"/>
        <v>75000</v>
      </c>
      <c r="AA64" s="132">
        <f t="shared" si="72"/>
        <v>0.41860465116279066</v>
      </c>
      <c r="AB64" s="130">
        <f t="shared" si="73"/>
        <v>3000</v>
      </c>
      <c r="AC64" s="133">
        <f t="shared" si="74"/>
        <v>0.83333333333333337</v>
      </c>
      <c r="AD64" s="55"/>
      <c r="AE64" s="120">
        <f t="shared" si="14"/>
        <v>375000</v>
      </c>
      <c r="AF64" s="82">
        <f t="shared" si="15"/>
        <v>389000</v>
      </c>
      <c r="AG64" s="136">
        <f t="shared" si="16"/>
        <v>479000</v>
      </c>
      <c r="AH64" s="84">
        <f t="shared" si="17"/>
        <v>52690</v>
      </c>
      <c r="AI64" s="85">
        <f t="shared" si="18"/>
        <v>426310</v>
      </c>
      <c r="AJ64" s="68"/>
      <c r="AL64" s="39">
        <f t="shared" si="75"/>
        <v>-104000</v>
      </c>
      <c r="AM64" s="39">
        <f t="shared" si="76"/>
        <v>-90000</v>
      </c>
      <c r="AR64" s="38" t="e">
        <f>J64+M64+#REF!+N64</f>
        <v>#REF!</v>
      </c>
      <c r="AS64" s="38">
        <f t="shared" si="77"/>
        <v>375000</v>
      </c>
      <c r="AT64" s="39" t="e">
        <f t="shared" si="66"/>
        <v>#REF!</v>
      </c>
    </row>
    <row r="65" spans="2:46" s="39" customFormat="1" ht="15" customHeight="1">
      <c r="B65" s="286"/>
      <c r="C65" s="287"/>
      <c r="D65" s="283"/>
      <c r="E65" s="280"/>
      <c r="F65" s="282" t="s">
        <v>55</v>
      </c>
      <c r="G65" s="279"/>
      <c r="H65" s="279" t="s">
        <v>18</v>
      </c>
      <c r="I65" s="69" t="s">
        <v>57</v>
      </c>
      <c r="J65" s="86">
        <v>174000</v>
      </c>
      <c r="K65" s="87">
        <v>191000</v>
      </c>
      <c r="L65" s="87">
        <v>250000</v>
      </c>
      <c r="M65" s="87">
        <f t="shared" si="67"/>
        <v>129000</v>
      </c>
      <c r="N65" s="88">
        <f t="shared" si="68"/>
        <v>18000</v>
      </c>
      <c r="P65" s="86">
        <v>174000</v>
      </c>
      <c r="Q65" s="87">
        <v>191000</v>
      </c>
      <c r="R65" s="89">
        <v>250000</v>
      </c>
      <c r="S65" s="1"/>
      <c r="T65" s="86">
        <v>154000</v>
      </c>
      <c r="U65" s="90">
        <f t="shared" si="69"/>
        <v>0.11494252873563215</v>
      </c>
      <c r="V65" s="91">
        <v>171000</v>
      </c>
      <c r="W65" s="92">
        <f t="shared" si="70"/>
        <v>0.10471204188481675</v>
      </c>
      <c r="X65" s="93">
        <v>201000</v>
      </c>
      <c r="Y65" s="94">
        <f t="shared" si="71"/>
        <v>0.19599999999999995</v>
      </c>
      <c r="Z65" s="91">
        <f t="shared" si="78"/>
        <v>75000</v>
      </c>
      <c r="AA65" s="95">
        <f t="shared" si="72"/>
        <v>0.41860465116279066</v>
      </c>
      <c r="AB65" s="93">
        <f t="shared" si="73"/>
        <v>3000</v>
      </c>
      <c r="AC65" s="96">
        <f t="shared" si="74"/>
        <v>0.83333333333333337</v>
      </c>
      <c r="AD65" s="55"/>
      <c r="AE65" s="121">
        <f t="shared" si="14"/>
        <v>232000</v>
      </c>
      <c r="AF65" s="98">
        <f t="shared" si="15"/>
        <v>249000</v>
      </c>
      <c r="AG65" s="99">
        <f t="shared" si="16"/>
        <v>279000</v>
      </c>
      <c r="AH65" s="100">
        <f t="shared" si="17"/>
        <v>30690</v>
      </c>
      <c r="AI65" s="101">
        <f t="shared" si="18"/>
        <v>248310</v>
      </c>
      <c r="AJ65" s="68"/>
      <c r="AL65" s="39">
        <f t="shared" si="75"/>
        <v>-47000</v>
      </c>
      <c r="AM65" s="39">
        <f t="shared" si="76"/>
        <v>-30000</v>
      </c>
      <c r="AR65" s="38" t="e">
        <f>J65+M65+#REF!+N65</f>
        <v>#REF!</v>
      </c>
      <c r="AS65" s="38">
        <f t="shared" si="77"/>
        <v>232000</v>
      </c>
      <c r="AT65" s="39" t="e">
        <f t="shared" si="66"/>
        <v>#REF!</v>
      </c>
    </row>
    <row r="66" spans="2:46" s="39" customFormat="1" ht="15" customHeight="1">
      <c r="B66" s="286"/>
      <c r="C66" s="287"/>
      <c r="D66" s="283"/>
      <c r="E66" s="280"/>
      <c r="F66" s="283"/>
      <c r="G66" s="280"/>
      <c r="H66" s="280"/>
      <c r="I66" s="69" t="s">
        <v>58</v>
      </c>
      <c r="J66" s="70">
        <v>197000</v>
      </c>
      <c r="K66" s="71">
        <v>211000</v>
      </c>
      <c r="L66" s="71">
        <v>300000</v>
      </c>
      <c r="M66" s="71">
        <f t="shared" si="67"/>
        <v>129000</v>
      </c>
      <c r="N66" s="72">
        <f t="shared" si="68"/>
        <v>18000</v>
      </c>
      <c r="P66" s="70">
        <v>197000</v>
      </c>
      <c r="Q66" s="71">
        <v>211000</v>
      </c>
      <c r="R66" s="73">
        <v>300000</v>
      </c>
      <c r="S66" s="1"/>
      <c r="T66" s="70">
        <v>197000</v>
      </c>
      <c r="U66" s="74">
        <f t="shared" si="69"/>
        <v>0</v>
      </c>
      <c r="V66" s="75">
        <v>211000</v>
      </c>
      <c r="W66" s="76">
        <f t="shared" si="70"/>
        <v>0</v>
      </c>
      <c r="X66" s="77">
        <v>251000</v>
      </c>
      <c r="Y66" s="78">
        <f t="shared" si="71"/>
        <v>0.16333333333333333</v>
      </c>
      <c r="Z66" s="75">
        <f t="shared" si="78"/>
        <v>75000</v>
      </c>
      <c r="AA66" s="79">
        <f t="shared" si="72"/>
        <v>0.41860465116279066</v>
      </c>
      <c r="AB66" s="77">
        <f t="shared" si="73"/>
        <v>3000</v>
      </c>
      <c r="AC66" s="80">
        <f t="shared" si="74"/>
        <v>0.83333333333333337</v>
      </c>
      <c r="AD66" s="55"/>
      <c r="AE66" s="120">
        <f t="shared" si="14"/>
        <v>275000</v>
      </c>
      <c r="AF66" s="82">
        <f t="shared" si="15"/>
        <v>289000</v>
      </c>
      <c r="AG66" s="83">
        <f t="shared" si="16"/>
        <v>329000</v>
      </c>
      <c r="AH66" s="84">
        <f t="shared" si="17"/>
        <v>36190</v>
      </c>
      <c r="AI66" s="85">
        <f t="shared" si="18"/>
        <v>292810</v>
      </c>
      <c r="AJ66" s="68"/>
      <c r="AL66" s="39">
        <f t="shared" si="75"/>
        <v>-54000</v>
      </c>
      <c r="AM66" s="39">
        <f t="shared" si="76"/>
        <v>-40000</v>
      </c>
      <c r="AR66" s="38" t="e">
        <f>J66+M66+#REF!+N66</f>
        <v>#REF!</v>
      </c>
      <c r="AS66" s="38">
        <f t="shared" si="77"/>
        <v>275000</v>
      </c>
      <c r="AT66" s="39" t="e">
        <f t="shared" si="66"/>
        <v>#REF!</v>
      </c>
    </row>
    <row r="67" spans="2:46" s="39" customFormat="1" ht="15" customHeight="1">
      <c r="B67" s="286"/>
      <c r="C67" s="287"/>
      <c r="D67" s="283"/>
      <c r="E67" s="280"/>
      <c r="F67" s="283"/>
      <c r="G67" s="280"/>
      <c r="H67" s="280"/>
      <c r="I67" s="69" t="s">
        <v>59</v>
      </c>
      <c r="J67" s="70">
        <v>233000</v>
      </c>
      <c r="K67" s="71">
        <v>248000</v>
      </c>
      <c r="L67" s="71">
        <v>385000</v>
      </c>
      <c r="M67" s="71">
        <f t="shared" si="67"/>
        <v>129000</v>
      </c>
      <c r="N67" s="72">
        <f t="shared" si="68"/>
        <v>18000</v>
      </c>
      <c r="P67" s="70">
        <v>233000</v>
      </c>
      <c r="Q67" s="71">
        <v>248000</v>
      </c>
      <c r="R67" s="73">
        <v>385000</v>
      </c>
      <c r="S67" s="1"/>
      <c r="T67" s="70">
        <v>233000</v>
      </c>
      <c r="U67" s="74">
        <f t="shared" si="69"/>
        <v>0</v>
      </c>
      <c r="V67" s="75">
        <v>248000</v>
      </c>
      <c r="W67" s="76">
        <f t="shared" si="70"/>
        <v>0</v>
      </c>
      <c r="X67" s="77">
        <v>385000</v>
      </c>
      <c r="Y67" s="78">
        <f t="shared" si="71"/>
        <v>0</v>
      </c>
      <c r="Z67" s="75">
        <f t="shared" si="78"/>
        <v>75000</v>
      </c>
      <c r="AA67" s="79">
        <f t="shared" si="72"/>
        <v>0.41860465116279066</v>
      </c>
      <c r="AB67" s="77">
        <f t="shared" si="73"/>
        <v>3000</v>
      </c>
      <c r="AC67" s="80">
        <f t="shared" si="74"/>
        <v>0.83333333333333337</v>
      </c>
      <c r="AD67" s="55"/>
      <c r="AE67" s="120">
        <f t="shared" si="14"/>
        <v>311000</v>
      </c>
      <c r="AF67" s="82">
        <f t="shared" si="15"/>
        <v>326000</v>
      </c>
      <c r="AG67" s="83">
        <f t="shared" si="16"/>
        <v>463000</v>
      </c>
      <c r="AH67" s="84">
        <f t="shared" si="17"/>
        <v>50930</v>
      </c>
      <c r="AI67" s="85">
        <f t="shared" si="18"/>
        <v>412070</v>
      </c>
      <c r="AJ67" s="68"/>
      <c r="AL67" s="39">
        <f t="shared" si="75"/>
        <v>-152000</v>
      </c>
      <c r="AM67" s="39">
        <f t="shared" si="76"/>
        <v>-137000</v>
      </c>
      <c r="AR67" s="38" t="e">
        <f>J67+M67+#REF!+N67</f>
        <v>#REF!</v>
      </c>
      <c r="AS67" s="38">
        <f t="shared" si="77"/>
        <v>311000</v>
      </c>
      <c r="AT67" s="39" t="e">
        <f t="shared" si="66"/>
        <v>#REF!</v>
      </c>
    </row>
    <row r="68" spans="2:46" s="39" customFormat="1" ht="11.4">
      <c r="B68" s="286"/>
      <c r="C68" s="287"/>
      <c r="D68" s="283"/>
      <c r="E68" s="280"/>
      <c r="F68" s="283"/>
      <c r="G68" s="280"/>
      <c r="H68" s="280"/>
      <c r="I68" s="156" t="s">
        <v>64</v>
      </c>
      <c r="J68" s="123">
        <v>277000</v>
      </c>
      <c r="K68" s="124">
        <v>291000</v>
      </c>
      <c r="L68" s="124">
        <v>425000</v>
      </c>
      <c r="M68" s="124">
        <f t="shared" si="67"/>
        <v>129000</v>
      </c>
      <c r="N68" s="125">
        <f t="shared" si="68"/>
        <v>18000</v>
      </c>
      <c r="P68" s="123">
        <v>277000</v>
      </c>
      <c r="Q68" s="124">
        <v>291000</v>
      </c>
      <c r="R68" s="126">
        <v>425000</v>
      </c>
      <c r="S68" s="55"/>
      <c r="T68" s="123">
        <v>257000</v>
      </c>
      <c r="U68" s="127">
        <f t="shared" si="69"/>
        <v>7.2202166064981976E-2</v>
      </c>
      <c r="V68" s="128">
        <v>271000</v>
      </c>
      <c r="W68" s="129">
        <f t="shared" si="70"/>
        <v>6.8728522336769737E-2</v>
      </c>
      <c r="X68" s="130">
        <v>371000</v>
      </c>
      <c r="Y68" s="131">
        <f t="shared" si="71"/>
        <v>0.12705882352941178</v>
      </c>
      <c r="Z68" s="128">
        <f t="shared" si="78"/>
        <v>75000</v>
      </c>
      <c r="AA68" s="132">
        <f t="shared" si="72"/>
        <v>0.41860465116279066</v>
      </c>
      <c r="AB68" s="130">
        <f t="shared" si="73"/>
        <v>3000</v>
      </c>
      <c r="AC68" s="133">
        <f t="shared" si="74"/>
        <v>0.83333333333333337</v>
      </c>
      <c r="AD68" s="55"/>
      <c r="AE68" s="120">
        <f t="shared" si="14"/>
        <v>335000</v>
      </c>
      <c r="AF68" s="82">
        <f t="shared" si="15"/>
        <v>349000</v>
      </c>
      <c r="AG68" s="136">
        <f t="shared" si="16"/>
        <v>449000</v>
      </c>
      <c r="AH68" s="84">
        <f t="shared" si="17"/>
        <v>49390</v>
      </c>
      <c r="AI68" s="85">
        <f t="shared" si="18"/>
        <v>399610</v>
      </c>
      <c r="AJ68" s="68"/>
      <c r="AL68" s="39">
        <f t="shared" si="75"/>
        <v>-114000</v>
      </c>
      <c r="AM68" s="39">
        <f t="shared" si="76"/>
        <v>-100000</v>
      </c>
      <c r="AR68" s="38" t="e">
        <f>J68+M68+#REF!+N68</f>
        <v>#REF!</v>
      </c>
      <c r="AS68" s="38">
        <f t="shared" si="77"/>
        <v>335000</v>
      </c>
      <c r="AT68" s="39" t="e">
        <f t="shared" si="66"/>
        <v>#REF!</v>
      </c>
    </row>
    <row r="69" spans="2:46" s="39" customFormat="1" ht="15" customHeight="1">
      <c r="B69" s="286"/>
      <c r="C69" s="287"/>
      <c r="D69" s="283"/>
      <c r="E69" s="280"/>
      <c r="F69" s="283"/>
      <c r="G69" s="280"/>
      <c r="H69" s="279" t="s">
        <v>25</v>
      </c>
      <c r="I69" s="69" t="s">
        <v>57</v>
      </c>
      <c r="J69" s="86">
        <v>207000</v>
      </c>
      <c r="K69" s="87">
        <v>224000</v>
      </c>
      <c r="L69" s="87">
        <v>283000</v>
      </c>
      <c r="M69" s="87">
        <f t="shared" si="67"/>
        <v>129000</v>
      </c>
      <c r="N69" s="88">
        <f t="shared" si="68"/>
        <v>18000</v>
      </c>
      <c r="P69" s="86">
        <v>207000</v>
      </c>
      <c r="Q69" s="87">
        <v>224000</v>
      </c>
      <c r="R69" s="89">
        <v>283000</v>
      </c>
      <c r="S69" s="1"/>
      <c r="T69" s="86">
        <v>187000</v>
      </c>
      <c r="U69" s="90">
        <f t="shared" si="69"/>
        <v>9.661835748792269E-2</v>
      </c>
      <c r="V69" s="91">
        <v>204000</v>
      </c>
      <c r="W69" s="92">
        <f t="shared" si="70"/>
        <v>8.9285714285714302E-2</v>
      </c>
      <c r="X69" s="93">
        <v>234000</v>
      </c>
      <c r="Y69" s="94">
        <f t="shared" si="71"/>
        <v>0.17314487632508835</v>
      </c>
      <c r="Z69" s="91">
        <f t="shared" si="78"/>
        <v>75000</v>
      </c>
      <c r="AA69" s="95">
        <f t="shared" si="72"/>
        <v>0.41860465116279066</v>
      </c>
      <c r="AB69" s="93">
        <f t="shared" si="73"/>
        <v>3000</v>
      </c>
      <c r="AC69" s="96">
        <f t="shared" si="74"/>
        <v>0.83333333333333337</v>
      </c>
      <c r="AD69" s="55"/>
      <c r="AE69" s="121">
        <f t="shared" si="14"/>
        <v>265000</v>
      </c>
      <c r="AF69" s="98">
        <f t="shared" si="15"/>
        <v>282000</v>
      </c>
      <c r="AG69" s="99">
        <f t="shared" si="16"/>
        <v>312000</v>
      </c>
      <c r="AH69" s="100">
        <f t="shared" si="17"/>
        <v>34320</v>
      </c>
      <c r="AI69" s="101">
        <f t="shared" si="18"/>
        <v>277680</v>
      </c>
      <c r="AJ69" s="68"/>
      <c r="AL69" s="39">
        <f t="shared" si="75"/>
        <v>-47000</v>
      </c>
      <c r="AM69" s="39">
        <f t="shared" si="76"/>
        <v>-30000</v>
      </c>
      <c r="AR69" s="38" t="e">
        <f>J69+M69+#REF!+N69</f>
        <v>#REF!</v>
      </c>
      <c r="AS69" s="38">
        <f t="shared" si="77"/>
        <v>265000</v>
      </c>
      <c r="AT69" s="39" t="e">
        <f t="shared" si="66"/>
        <v>#REF!</v>
      </c>
    </row>
    <row r="70" spans="2:46" s="39" customFormat="1" ht="15" customHeight="1">
      <c r="B70" s="286"/>
      <c r="C70" s="287"/>
      <c r="D70" s="283"/>
      <c r="E70" s="280"/>
      <c r="F70" s="283"/>
      <c r="G70" s="280"/>
      <c r="H70" s="280"/>
      <c r="I70" s="69" t="s">
        <v>58</v>
      </c>
      <c r="J70" s="70">
        <v>230000</v>
      </c>
      <c r="K70" s="71">
        <v>244000</v>
      </c>
      <c r="L70" s="71">
        <v>333000</v>
      </c>
      <c r="M70" s="71">
        <f t="shared" si="67"/>
        <v>129000</v>
      </c>
      <c r="N70" s="72">
        <f t="shared" si="68"/>
        <v>18000</v>
      </c>
      <c r="P70" s="70">
        <v>230000</v>
      </c>
      <c r="Q70" s="71">
        <v>244000</v>
      </c>
      <c r="R70" s="73">
        <v>333000</v>
      </c>
      <c r="S70" s="1"/>
      <c r="T70" s="70">
        <v>230000</v>
      </c>
      <c r="U70" s="74">
        <f t="shared" si="69"/>
        <v>0</v>
      </c>
      <c r="V70" s="75">
        <v>244000</v>
      </c>
      <c r="W70" s="76">
        <f t="shared" si="70"/>
        <v>0</v>
      </c>
      <c r="X70" s="77">
        <v>284000</v>
      </c>
      <c r="Y70" s="78">
        <f t="shared" si="71"/>
        <v>0.14714714714714716</v>
      </c>
      <c r="Z70" s="75">
        <f t="shared" si="78"/>
        <v>75000</v>
      </c>
      <c r="AA70" s="79">
        <f t="shared" si="72"/>
        <v>0.41860465116279066</v>
      </c>
      <c r="AB70" s="77">
        <f t="shared" si="73"/>
        <v>3000</v>
      </c>
      <c r="AC70" s="80">
        <f t="shared" si="74"/>
        <v>0.83333333333333337</v>
      </c>
      <c r="AD70" s="55"/>
      <c r="AE70" s="120">
        <f t="shared" si="14"/>
        <v>308000</v>
      </c>
      <c r="AF70" s="82">
        <f t="shared" si="15"/>
        <v>322000</v>
      </c>
      <c r="AG70" s="83">
        <f t="shared" si="16"/>
        <v>362000</v>
      </c>
      <c r="AH70" s="84">
        <f t="shared" si="17"/>
        <v>39820</v>
      </c>
      <c r="AI70" s="85">
        <f t="shared" si="18"/>
        <v>322180</v>
      </c>
      <c r="AJ70" s="68"/>
      <c r="AL70" s="39">
        <f t="shared" si="75"/>
        <v>-54000</v>
      </c>
      <c r="AM70" s="39">
        <f t="shared" si="76"/>
        <v>-40000</v>
      </c>
      <c r="AR70" s="38" t="e">
        <f>J70+M70+#REF!+N70</f>
        <v>#REF!</v>
      </c>
      <c r="AS70" s="38">
        <f t="shared" si="77"/>
        <v>308000</v>
      </c>
      <c r="AT70" s="39" t="e">
        <f t="shared" si="66"/>
        <v>#REF!</v>
      </c>
    </row>
    <row r="71" spans="2:46" s="39" customFormat="1" ht="15" customHeight="1">
      <c r="B71" s="286"/>
      <c r="C71" s="287"/>
      <c r="D71" s="283"/>
      <c r="E71" s="280"/>
      <c r="F71" s="283"/>
      <c r="G71" s="280"/>
      <c r="H71" s="280"/>
      <c r="I71" s="102" t="s">
        <v>59</v>
      </c>
      <c r="J71" s="123">
        <v>288000</v>
      </c>
      <c r="K71" s="124">
        <v>303000</v>
      </c>
      <c r="L71" s="124">
        <v>440000</v>
      </c>
      <c r="M71" s="124">
        <f t="shared" si="67"/>
        <v>129000</v>
      </c>
      <c r="N71" s="125">
        <f t="shared" si="68"/>
        <v>18000</v>
      </c>
      <c r="P71" s="123">
        <v>288000</v>
      </c>
      <c r="Q71" s="124">
        <v>303000</v>
      </c>
      <c r="R71" s="126">
        <v>440000</v>
      </c>
      <c r="S71" s="1"/>
      <c r="T71" s="123">
        <v>288000</v>
      </c>
      <c r="U71" s="127">
        <f t="shared" si="69"/>
        <v>0</v>
      </c>
      <c r="V71" s="128">
        <v>303000</v>
      </c>
      <c r="W71" s="129">
        <f t="shared" si="70"/>
        <v>0</v>
      </c>
      <c r="X71" s="130">
        <v>440000</v>
      </c>
      <c r="Y71" s="131">
        <f t="shared" si="71"/>
        <v>0</v>
      </c>
      <c r="Z71" s="128">
        <f t="shared" si="78"/>
        <v>75000</v>
      </c>
      <c r="AA71" s="132">
        <f t="shared" si="72"/>
        <v>0.41860465116279066</v>
      </c>
      <c r="AB71" s="130">
        <f t="shared" si="73"/>
        <v>3000</v>
      </c>
      <c r="AC71" s="133">
        <f t="shared" si="74"/>
        <v>0.83333333333333337</v>
      </c>
      <c r="AD71" s="55"/>
      <c r="AE71" s="134">
        <f t="shared" si="14"/>
        <v>366000</v>
      </c>
      <c r="AF71" s="135">
        <f t="shared" si="15"/>
        <v>381000</v>
      </c>
      <c r="AG71" s="136">
        <f t="shared" si="16"/>
        <v>518000</v>
      </c>
      <c r="AH71" s="137">
        <f t="shared" si="17"/>
        <v>56980</v>
      </c>
      <c r="AI71" s="138">
        <f t="shared" si="18"/>
        <v>461020</v>
      </c>
      <c r="AJ71" s="68"/>
      <c r="AL71" s="39">
        <f t="shared" si="75"/>
        <v>-152000</v>
      </c>
      <c r="AM71" s="39">
        <f t="shared" si="76"/>
        <v>-137000</v>
      </c>
      <c r="AR71" s="38" t="e">
        <f>J71+M71+#REF!+N71</f>
        <v>#REF!</v>
      </c>
      <c r="AS71" s="38">
        <f t="shared" si="77"/>
        <v>366000</v>
      </c>
      <c r="AT71" s="39" t="e">
        <f t="shared" si="66"/>
        <v>#REF!</v>
      </c>
    </row>
    <row r="72" spans="2:46" s="39" customFormat="1" ht="12" thickBot="1">
      <c r="B72" s="288"/>
      <c r="C72" s="289"/>
      <c r="D72" s="294"/>
      <c r="E72" s="281"/>
      <c r="F72" s="294"/>
      <c r="G72" s="281"/>
      <c r="H72" s="281"/>
      <c r="I72" s="177" t="s">
        <v>64</v>
      </c>
      <c r="J72" s="140">
        <v>332000</v>
      </c>
      <c r="K72" s="141">
        <v>346000</v>
      </c>
      <c r="L72" s="141">
        <v>480000</v>
      </c>
      <c r="M72" s="141">
        <f t="shared" si="67"/>
        <v>129000</v>
      </c>
      <c r="N72" s="142">
        <f t="shared" si="68"/>
        <v>18000</v>
      </c>
      <c r="P72" s="140">
        <v>332000</v>
      </c>
      <c r="Q72" s="141">
        <v>346000</v>
      </c>
      <c r="R72" s="143">
        <v>480000</v>
      </c>
      <c r="S72" s="55"/>
      <c r="T72" s="140">
        <v>312000</v>
      </c>
      <c r="U72" s="144">
        <f t="shared" si="69"/>
        <v>6.0240963855421659E-2</v>
      </c>
      <c r="V72" s="145">
        <v>326000</v>
      </c>
      <c r="W72" s="146">
        <f t="shared" si="70"/>
        <v>5.7803468208092457E-2</v>
      </c>
      <c r="X72" s="147">
        <v>426000</v>
      </c>
      <c r="Y72" s="148">
        <f t="shared" si="71"/>
        <v>0.11250000000000004</v>
      </c>
      <c r="Z72" s="145">
        <f t="shared" si="78"/>
        <v>75000</v>
      </c>
      <c r="AA72" s="149">
        <f t="shared" si="72"/>
        <v>0.41860465116279066</v>
      </c>
      <c r="AB72" s="147">
        <f t="shared" si="73"/>
        <v>3000</v>
      </c>
      <c r="AC72" s="150">
        <f t="shared" si="74"/>
        <v>0.83333333333333337</v>
      </c>
      <c r="AD72" s="55"/>
      <c r="AE72" s="151">
        <f t="shared" si="14"/>
        <v>390000</v>
      </c>
      <c r="AF72" s="178">
        <f t="shared" si="15"/>
        <v>404000</v>
      </c>
      <c r="AG72" s="153">
        <f t="shared" si="16"/>
        <v>504000</v>
      </c>
      <c r="AH72" s="179">
        <f t="shared" si="17"/>
        <v>55440</v>
      </c>
      <c r="AI72" s="180">
        <f t="shared" si="18"/>
        <v>448560</v>
      </c>
      <c r="AJ72" s="68"/>
      <c r="AL72" s="39">
        <f t="shared" si="75"/>
        <v>-114000</v>
      </c>
      <c r="AM72" s="39">
        <f t="shared" si="76"/>
        <v>-100000</v>
      </c>
      <c r="AR72" s="38" t="e">
        <f>J72+M72+#REF!+N72</f>
        <v>#REF!</v>
      </c>
      <c r="AS72" s="38">
        <f t="shared" si="77"/>
        <v>390000</v>
      </c>
      <c r="AT72" s="39" t="e">
        <f t="shared" si="66"/>
        <v>#REF!</v>
      </c>
    </row>
    <row r="73" spans="2:46" s="39" customFormat="1" ht="27" customHeight="1">
      <c r="B73" s="284" t="s">
        <v>87</v>
      </c>
      <c r="C73" s="285"/>
      <c r="D73" s="290" t="s">
        <v>29</v>
      </c>
      <c r="E73" s="291"/>
      <c r="F73" s="290" t="s">
        <v>17</v>
      </c>
      <c r="G73" s="291"/>
      <c r="H73" s="290" t="s">
        <v>18</v>
      </c>
      <c r="I73" s="181" t="s">
        <v>104</v>
      </c>
      <c r="J73" s="51">
        <v>210000</v>
      </c>
      <c r="K73" s="52">
        <v>218000</v>
      </c>
      <c r="L73" s="52">
        <v>321000</v>
      </c>
      <c r="M73" s="52">
        <f t="shared" ref="M73:M117" si="79">43000*2+26000</f>
        <v>112000</v>
      </c>
      <c r="N73" s="53">
        <f t="shared" ref="N73:N117" si="80">6000*3</f>
        <v>18000</v>
      </c>
      <c r="P73" s="51">
        <v>210000</v>
      </c>
      <c r="Q73" s="52">
        <v>218000</v>
      </c>
      <c r="R73" s="54">
        <v>321000</v>
      </c>
      <c r="S73" s="55"/>
      <c r="T73" s="51">
        <v>210000</v>
      </c>
      <c r="U73" s="56">
        <f t="shared" ref="U73:U117" si="81">1-(T73/J73)</f>
        <v>0</v>
      </c>
      <c r="V73" s="57">
        <v>218000</v>
      </c>
      <c r="W73" s="58">
        <f t="shared" ref="W73:W117" si="82">1-(V73/K73)</f>
        <v>0</v>
      </c>
      <c r="X73" s="59">
        <v>321000</v>
      </c>
      <c r="Y73" s="60">
        <f t="shared" ref="Y73:Y117" si="83">1-(X73/L73)</f>
        <v>0</v>
      </c>
      <c r="Z73" s="57">
        <f t="shared" si="78"/>
        <v>75000</v>
      </c>
      <c r="AA73" s="61">
        <f t="shared" ref="AA73:AA117" si="84">1-(Z73/M73)</f>
        <v>0.3303571428571429</v>
      </c>
      <c r="AB73" s="59">
        <f t="shared" ref="AB73:AB117" si="85">1000*3</f>
        <v>3000</v>
      </c>
      <c r="AC73" s="62">
        <f t="shared" ref="AC73:AC117" si="86">1-(AB73/N73)</f>
        <v>0.83333333333333337</v>
      </c>
      <c r="AE73" s="63">
        <f t="shared" si="14"/>
        <v>288000</v>
      </c>
      <c r="AF73" s="64">
        <f t="shared" si="15"/>
        <v>296000</v>
      </c>
      <c r="AG73" s="65">
        <f t="shared" si="16"/>
        <v>399000</v>
      </c>
      <c r="AH73" s="66">
        <f t="shared" si="17"/>
        <v>43890</v>
      </c>
      <c r="AI73" s="67">
        <f t="shared" si="18"/>
        <v>355110</v>
      </c>
      <c r="AJ73" s="68"/>
      <c r="AL73" s="39">
        <f t="shared" ref="AL73:AL117" si="87">AE73-AG73</f>
        <v>-111000</v>
      </c>
      <c r="AM73" s="39">
        <f t="shared" ref="AM73:AM117" si="88">AF73-AG73</f>
        <v>-103000</v>
      </c>
      <c r="AR73" s="38" t="e">
        <f>J73+M73+#REF!+N73</f>
        <v>#REF!</v>
      </c>
      <c r="AS73" s="38">
        <f t="shared" ref="AS73:AS117" si="89">AE73</f>
        <v>288000</v>
      </c>
      <c r="AT73" s="39" t="e">
        <f t="shared" ref="AT73:AT117" si="90">1-(AS73/AR73)</f>
        <v>#REF!</v>
      </c>
    </row>
    <row r="74" spans="2:46" s="39" customFormat="1" ht="27" customHeight="1">
      <c r="B74" s="286"/>
      <c r="C74" s="287"/>
      <c r="D74" s="283"/>
      <c r="E74" s="280"/>
      <c r="F74" s="283"/>
      <c r="G74" s="280"/>
      <c r="H74" s="283"/>
      <c r="I74" s="182" t="s">
        <v>102</v>
      </c>
      <c r="J74" s="70">
        <v>210000</v>
      </c>
      <c r="K74" s="71">
        <v>218000</v>
      </c>
      <c r="L74" s="71">
        <v>321000</v>
      </c>
      <c r="M74" s="71">
        <f t="shared" si="79"/>
        <v>112000</v>
      </c>
      <c r="N74" s="72">
        <f t="shared" si="80"/>
        <v>18000</v>
      </c>
      <c r="P74" s="70">
        <v>210000</v>
      </c>
      <c r="Q74" s="71">
        <v>218000</v>
      </c>
      <c r="R74" s="73">
        <v>321000</v>
      </c>
      <c r="S74" s="55"/>
      <c r="T74" s="70">
        <v>210000</v>
      </c>
      <c r="U74" s="74">
        <f t="shared" si="81"/>
        <v>0</v>
      </c>
      <c r="V74" s="75">
        <v>218000</v>
      </c>
      <c r="W74" s="76">
        <f t="shared" si="82"/>
        <v>0</v>
      </c>
      <c r="X74" s="77">
        <v>321000</v>
      </c>
      <c r="Y74" s="78">
        <f t="shared" si="83"/>
        <v>0</v>
      </c>
      <c r="Z74" s="75">
        <f t="shared" si="78"/>
        <v>75000</v>
      </c>
      <c r="AA74" s="79">
        <f t="shared" si="84"/>
        <v>0.3303571428571429</v>
      </c>
      <c r="AB74" s="77">
        <f t="shared" si="85"/>
        <v>3000</v>
      </c>
      <c r="AC74" s="80">
        <f t="shared" si="86"/>
        <v>0.83333333333333337</v>
      </c>
      <c r="AE74" s="81">
        <f t="shared" si="14"/>
        <v>288000</v>
      </c>
      <c r="AF74" s="82">
        <f t="shared" si="15"/>
        <v>296000</v>
      </c>
      <c r="AG74" s="83">
        <f t="shared" si="16"/>
        <v>399000</v>
      </c>
      <c r="AH74" s="84">
        <f t="shared" si="17"/>
        <v>43890</v>
      </c>
      <c r="AI74" s="85">
        <f t="shared" si="18"/>
        <v>355110</v>
      </c>
      <c r="AJ74" s="68"/>
      <c r="AL74" s="39">
        <f t="shared" si="87"/>
        <v>-111000</v>
      </c>
      <c r="AM74" s="39">
        <f t="shared" si="88"/>
        <v>-103000</v>
      </c>
      <c r="AR74" s="38" t="e">
        <f>J74+M74+#REF!+N74</f>
        <v>#REF!</v>
      </c>
      <c r="AS74" s="38">
        <f t="shared" si="89"/>
        <v>288000</v>
      </c>
      <c r="AT74" s="39" t="e">
        <f t="shared" si="90"/>
        <v>#REF!</v>
      </c>
    </row>
    <row r="75" spans="2:46" s="39" customFormat="1" ht="27" customHeight="1">
      <c r="B75" s="286"/>
      <c r="C75" s="287"/>
      <c r="D75" s="283"/>
      <c r="E75" s="280"/>
      <c r="F75" s="283"/>
      <c r="G75" s="280"/>
      <c r="H75" s="283"/>
      <c r="I75" s="182" t="s">
        <v>106</v>
      </c>
      <c r="J75" s="70">
        <v>235000</v>
      </c>
      <c r="K75" s="71">
        <v>243000</v>
      </c>
      <c r="L75" s="71">
        <v>377000</v>
      </c>
      <c r="M75" s="71">
        <f t="shared" si="79"/>
        <v>112000</v>
      </c>
      <c r="N75" s="72">
        <f t="shared" si="80"/>
        <v>18000</v>
      </c>
      <c r="P75" s="70">
        <v>235000</v>
      </c>
      <c r="Q75" s="71">
        <v>243000</v>
      </c>
      <c r="R75" s="73">
        <v>377000</v>
      </c>
      <c r="S75" s="55"/>
      <c r="T75" s="70">
        <v>235000</v>
      </c>
      <c r="U75" s="74">
        <f t="shared" si="81"/>
        <v>0</v>
      </c>
      <c r="V75" s="75">
        <v>243000</v>
      </c>
      <c r="W75" s="76">
        <f t="shared" si="82"/>
        <v>0</v>
      </c>
      <c r="X75" s="77">
        <v>377000</v>
      </c>
      <c r="Y75" s="78">
        <f t="shared" si="83"/>
        <v>0</v>
      </c>
      <c r="Z75" s="75">
        <f t="shared" si="78"/>
        <v>75000</v>
      </c>
      <c r="AA75" s="79">
        <f t="shared" si="84"/>
        <v>0.3303571428571429</v>
      </c>
      <c r="AB75" s="77">
        <f t="shared" si="85"/>
        <v>3000</v>
      </c>
      <c r="AC75" s="80">
        <f t="shared" si="86"/>
        <v>0.83333333333333337</v>
      </c>
      <c r="AE75" s="81">
        <f t="shared" ref="AE75:AE117" si="91">T75+Z75+AB75</f>
        <v>313000</v>
      </c>
      <c r="AF75" s="82">
        <f t="shared" ref="AF75:AF117" si="92">V75+Z75+AB75</f>
        <v>321000</v>
      </c>
      <c r="AG75" s="83">
        <f t="shared" ref="AG75:AG117" si="93">X75+Z75+AB75</f>
        <v>455000</v>
      </c>
      <c r="AH75" s="84">
        <f t="shared" ref="AH75:AH117" si="94">AG75*11%</f>
        <v>50050</v>
      </c>
      <c r="AI75" s="85">
        <f t="shared" ref="AI75:AI117" si="95">AG75-AH75</f>
        <v>404950</v>
      </c>
      <c r="AJ75" s="68"/>
      <c r="AL75" s="39">
        <f t="shared" si="87"/>
        <v>-142000</v>
      </c>
      <c r="AM75" s="39">
        <f t="shared" si="88"/>
        <v>-134000</v>
      </c>
      <c r="AR75" s="38" t="e">
        <f>J75+M75+#REF!+N75</f>
        <v>#REF!</v>
      </c>
      <c r="AS75" s="38">
        <f t="shared" si="89"/>
        <v>313000</v>
      </c>
      <c r="AT75" s="39" t="e">
        <f t="shared" si="90"/>
        <v>#REF!</v>
      </c>
    </row>
    <row r="76" spans="2:46" s="39" customFormat="1" ht="27" customHeight="1">
      <c r="B76" s="286"/>
      <c r="C76" s="287"/>
      <c r="D76" s="283"/>
      <c r="E76" s="280"/>
      <c r="F76" s="283"/>
      <c r="G76" s="280"/>
      <c r="H76" s="283"/>
      <c r="I76" s="156" t="s">
        <v>113</v>
      </c>
      <c r="J76" s="123">
        <v>235000</v>
      </c>
      <c r="K76" s="124">
        <v>243000</v>
      </c>
      <c r="L76" s="124">
        <v>377000</v>
      </c>
      <c r="M76" s="124">
        <f t="shared" si="79"/>
        <v>112000</v>
      </c>
      <c r="N76" s="125">
        <f t="shared" si="80"/>
        <v>18000</v>
      </c>
      <c r="P76" s="123">
        <v>235000</v>
      </c>
      <c r="Q76" s="124">
        <v>243000</v>
      </c>
      <c r="R76" s="126">
        <v>377000</v>
      </c>
      <c r="S76" s="55"/>
      <c r="T76" s="123">
        <v>235000</v>
      </c>
      <c r="U76" s="127">
        <f t="shared" ref="U76" si="96">1-(T76/J76)</f>
        <v>0</v>
      </c>
      <c r="V76" s="128">
        <v>243000</v>
      </c>
      <c r="W76" s="129">
        <f t="shared" ref="W76" si="97">1-(V76/K76)</f>
        <v>0</v>
      </c>
      <c r="X76" s="130">
        <v>377000</v>
      </c>
      <c r="Y76" s="131">
        <f t="shared" ref="Y76" si="98">1-(X76/L76)</f>
        <v>0</v>
      </c>
      <c r="Z76" s="128">
        <f t="shared" si="78"/>
        <v>75000</v>
      </c>
      <c r="AA76" s="132">
        <f t="shared" ref="AA76" si="99">1-(Z76/M76)</f>
        <v>0.3303571428571429</v>
      </c>
      <c r="AB76" s="130">
        <f t="shared" si="85"/>
        <v>3000</v>
      </c>
      <c r="AC76" s="133">
        <f t="shared" ref="AC76" si="100">1-(AB76/N76)</f>
        <v>0.83333333333333337</v>
      </c>
      <c r="AE76" s="81">
        <f t="shared" si="91"/>
        <v>313000</v>
      </c>
      <c r="AF76" s="82">
        <f t="shared" si="92"/>
        <v>321000</v>
      </c>
      <c r="AG76" s="136">
        <f t="shared" si="93"/>
        <v>455000</v>
      </c>
      <c r="AH76" s="84">
        <f t="shared" si="94"/>
        <v>50050</v>
      </c>
      <c r="AI76" s="85">
        <f t="shared" si="95"/>
        <v>404950</v>
      </c>
      <c r="AJ76" s="68"/>
      <c r="AL76" s="39">
        <f t="shared" ref="AL76" si="101">AE76-AG76</f>
        <v>-142000</v>
      </c>
      <c r="AM76" s="39">
        <f t="shared" ref="AM76" si="102">AF76-AG76</f>
        <v>-134000</v>
      </c>
      <c r="AR76" s="38" t="e">
        <f>J76+M76+#REF!+N76</f>
        <v>#REF!</v>
      </c>
      <c r="AS76" s="38">
        <f t="shared" ref="AS76" si="103">AE76</f>
        <v>313000</v>
      </c>
      <c r="AT76" s="39" t="e">
        <f t="shared" ref="AT76" si="104">1-(AS76/AR76)</f>
        <v>#REF!</v>
      </c>
    </row>
    <row r="77" spans="2:46" s="39" customFormat="1" ht="27" customHeight="1">
      <c r="B77" s="286"/>
      <c r="C77" s="287"/>
      <c r="D77" s="283"/>
      <c r="E77" s="280"/>
      <c r="F77" s="283"/>
      <c r="G77" s="280"/>
      <c r="H77" s="283"/>
      <c r="I77" s="156" t="s">
        <v>107</v>
      </c>
      <c r="J77" s="123">
        <v>256000</v>
      </c>
      <c r="K77" s="124">
        <v>265000</v>
      </c>
      <c r="L77" s="124">
        <v>408000</v>
      </c>
      <c r="M77" s="124">
        <f t="shared" si="79"/>
        <v>112000</v>
      </c>
      <c r="N77" s="125">
        <f t="shared" si="80"/>
        <v>18000</v>
      </c>
      <c r="P77" s="123">
        <v>256000</v>
      </c>
      <c r="Q77" s="124">
        <v>265000</v>
      </c>
      <c r="R77" s="126">
        <v>408000</v>
      </c>
      <c r="S77" s="55"/>
      <c r="T77" s="123">
        <v>256000</v>
      </c>
      <c r="U77" s="127">
        <f t="shared" si="81"/>
        <v>0</v>
      </c>
      <c r="V77" s="128">
        <v>265000</v>
      </c>
      <c r="W77" s="129">
        <f t="shared" si="82"/>
        <v>0</v>
      </c>
      <c r="X77" s="130">
        <v>408000</v>
      </c>
      <c r="Y77" s="131">
        <f t="shared" si="83"/>
        <v>0</v>
      </c>
      <c r="Z77" s="128">
        <f t="shared" si="78"/>
        <v>75000</v>
      </c>
      <c r="AA77" s="132">
        <f t="shared" si="84"/>
        <v>0.3303571428571429</v>
      </c>
      <c r="AB77" s="130">
        <f t="shared" si="85"/>
        <v>3000</v>
      </c>
      <c r="AC77" s="133">
        <f t="shared" si="86"/>
        <v>0.83333333333333337</v>
      </c>
      <c r="AE77" s="81">
        <f t="shared" si="91"/>
        <v>334000</v>
      </c>
      <c r="AF77" s="82">
        <f t="shared" si="92"/>
        <v>343000</v>
      </c>
      <c r="AG77" s="136">
        <f t="shared" si="93"/>
        <v>486000</v>
      </c>
      <c r="AH77" s="84">
        <f t="shared" si="94"/>
        <v>53460</v>
      </c>
      <c r="AI77" s="85">
        <f t="shared" si="95"/>
        <v>432540</v>
      </c>
      <c r="AJ77" s="68"/>
      <c r="AL77" s="39">
        <f t="shared" si="87"/>
        <v>-152000</v>
      </c>
      <c r="AM77" s="39">
        <f t="shared" si="88"/>
        <v>-143000</v>
      </c>
      <c r="AR77" s="38" t="e">
        <f>J77+M77+#REF!+N77</f>
        <v>#REF!</v>
      </c>
      <c r="AS77" s="38">
        <f t="shared" si="89"/>
        <v>334000</v>
      </c>
      <c r="AT77" s="39" t="e">
        <f t="shared" si="90"/>
        <v>#REF!</v>
      </c>
    </row>
    <row r="78" spans="2:46" s="39" customFormat="1" ht="27" customHeight="1">
      <c r="B78" s="286"/>
      <c r="C78" s="287"/>
      <c r="D78" s="283"/>
      <c r="E78" s="280"/>
      <c r="F78" s="282" t="s">
        <v>21</v>
      </c>
      <c r="G78" s="279"/>
      <c r="H78" s="282" t="s">
        <v>18</v>
      </c>
      <c r="I78" s="182" t="s">
        <v>103</v>
      </c>
      <c r="J78" s="86">
        <v>237000</v>
      </c>
      <c r="K78" s="87">
        <v>247000</v>
      </c>
      <c r="L78" s="87">
        <v>358000</v>
      </c>
      <c r="M78" s="87">
        <f t="shared" si="79"/>
        <v>112000</v>
      </c>
      <c r="N78" s="88">
        <f t="shared" si="80"/>
        <v>18000</v>
      </c>
      <c r="P78" s="86">
        <v>237000</v>
      </c>
      <c r="Q78" s="87">
        <v>247000</v>
      </c>
      <c r="R78" s="89">
        <v>358000</v>
      </c>
      <c r="S78" s="55"/>
      <c r="T78" s="86">
        <v>217000</v>
      </c>
      <c r="U78" s="90">
        <f t="shared" si="81"/>
        <v>8.4388185654008407E-2</v>
      </c>
      <c r="V78" s="91">
        <v>227000</v>
      </c>
      <c r="W78" s="92">
        <f t="shared" si="82"/>
        <v>8.0971659919028327E-2</v>
      </c>
      <c r="X78" s="93">
        <v>318000</v>
      </c>
      <c r="Y78" s="94">
        <f t="shared" si="83"/>
        <v>0.11173184357541899</v>
      </c>
      <c r="Z78" s="91">
        <f t="shared" si="78"/>
        <v>75000</v>
      </c>
      <c r="AA78" s="95">
        <f t="shared" si="84"/>
        <v>0.3303571428571429</v>
      </c>
      <c r="AB78" s="93">
        <f t="shared" si="85"/>
        <v>3000</v>
      </c>
      <c r="AC78" s="96">
        <f t="shared" si="86"/>
        <v>0.83333333333333337</v>
      </c>
      <c r="AE78" s="97">
        <f t="shared" si="91"/>
        <v>295000</v>
      </c>
      <c r="AF78" s="98">
        <f t="shared" si="92"/>
        <v>305000</v>
      </c>
      <c r="AG78" s="99">
        <f t="shared" si="93"/>
        <v>396000</v>
      </c>
      <c r="AH78" s="100">
        <f t="shared" si="94"/>
        <v>43560</v>
      </c>
      <c r="AI78" s="101">
        <f t="shared" si="95"/>
        <v>352440</v>
      </c>
      <c r="AJ78" s="68"/>
      <c r="AL78" s="39">
        <f t="shared" si="87"/>
        <v>-101000</v>
      </c>
      <c r="AM78" s="39">
        <f t="shared" si="88"/>
        <v>-91000</v>
      </c>
      <c r="AR78" s="38" t="e">
        <f>J78+M78+#REF!+N78</f>
        <v>#REF!</v>
      </c>
      <c r="AS78" s="38">
        <f t="shared" si="89"/>
        <v>295000</v>
      </c>
      <c r="AT78" s="39" t="e">
        <f t="shared" si="90"/>
        <v>#REF!</v>
      </c>
    </row>
    <row r="79" spans="2:46" s="39" customFormat="1" ht="27" customHeight="1">
      <c r="B79" s="286"/>
      <c r="C79" s="287"/>
      <c r="D79" s="283"/>
      <c r="E79" s="280"/>
      <c r="F79" s="283"/>
      <c r="G79" s="280"/>
      <c r="H79" s="283"/>
      <c r="I79" s="182" t="s">
        <v>101</v>
      </c>
      <c r="J79" s="70">
        <v>237000</v>
      </c>
      <c r="K79" s="71">
        <v>247000</v>
      </c>
      <c r="L79" s="71">
        <v>358000</v>
      </c>
      <c r="M79" s="71">
        <f t="shared" si="79"/>
        <v>112000</v>
      </c>
      <c r="N79" s="72">
        <f t="shared" si="80"/>
        <v>18000</v>
      </c>
      <c r="P79" s="70">
        <v>237000</v>
      </c>
      <c r="Q79" s="71">
        <v>247000</v>
      </c>
      <c r="R79" s="73">
        <v>358000</v>
      </c>
      <c r="S79" s="55"/>
      <c r="T79" s="70">
        <v>227000</v>
      </c>
      <c r="U79" s="74">
        <f t="shared" si="81"/>
        <v>4.2194092827004259E-2</v>
      </c>
      <c r="V79" s="75">
        <v>237000</v>
      </c>
      <c r="W79" s="76">
        <f t="shared" si="82"/>
        <v>4.0485829959514219E-2</v>
      </c>
      <c r="X79" s="77">
        <v>338000</v>
      </c>
      <c r="Y79" s="78">
        <f t="shared" si="83"/>
        <v>5.5865921787709549E-2</v>
      </c>
      <c r="Z79" s="75">
        <f t="shared" si="78"/>
        <v>75000</v>
      </c>
      <c r="AA79" s="79">
        <f t="shared" si="84"/>
        <v>0.3303571428571429</v>
      </c>
      <c r="AB79" s="77">
        <f t="shared" si="85"/>
        <v>3000</v>
      </c>
      <c r="AC79" s="80">
        <f t="shared" si="86"/>
        <v>0.83333333333333337</v>
      </c>
      <c r="AE79" s="81">
        <f t="shared" si="91"/>
        <v>305000</v>
      </c>
      <c r="AF79" s="82">
        <f t="shared" si="92"/>
        <v>315000</v>
      </c>
      <c r="AG79" s="83">
        <f t="shared" si="93"/>
        <v>416000</v>
      </c>
      <c r="AH79" s="84">
        <f t="shared" si="94"/>
        <v>45760</v>
      </c>
      <c r="AI79" s="85">
        <f t="shared" si="95"/>
        <v>370240</v>
      </c>
      <c r="AJ79" s="68"/>
      <c r="AL79" s="39">
        <f t="shared" si="87"/>
        <v>-111000</v>
      </c>
      <c r="AM79" s="39">
        <f t="shared" si="88"/>
        <v>-101000</v>
      </c>
      <c r="AR79" s="38" t="e">
        <f>J79+M79+#REF!+N79</f>
        <v>#REF!</v>
      </c>
      <c r="AS79" s="38">
        <f t="shared" si="89"/>
        <v>305000</v>
      </c>
      <c r="AT79" s="39" t="e">
        <f t="shared" si="90"/>
        <v>#REF!</v>
      </c>
    </row>
    <row r="80" spans="2:46" s="39" customFormat="1" ht="27" customHeight="1">
      <c r="B80" s="286"/>
      <c r="C80" s="287"/>
      <c r="D80" s="283"/>
      <c r="E80" s="280"/>
      <c r="F80" s="283"/>
      <c r="G80" s="280"/>
      <c r="H80" s="283"/>
      <c r="I80" s="182" t="s">
        <v>105</v>
      </c>
      <c r="J80" s="70">
        <v>271000</v>
      </c>
      <c r="K80" s="71">
        <v>279000</v>
      </c>
      <c r="L80" s="71">
        <v>420000</v>
      </c>
      <c r="M80" s="71">
        <f t="shared" si="79"/>
        <v>112000</v>
      </c>
      <c r="N80" s="72">
        <f t="shared" si="80"/>
        <v>18000</v>
      </c>
      <c r="P80" s="70">
        <v>271000</v>
      </c>
      <c r="Q80" s="71">
        <v>279000</v>
      </c>
      <c r="R80" s="73">
        <v>420000</v>
      </c>
      <c r="S80" s="55"/>
      <c r="T80" s="70">
        <v>271000</v>
      </c>
      <c r="U80" s="74">
        <f t="shared" si="81"/>
        <v>0</v>
      </c>
      <c r="V80" s="75">
        <v>279000</v>
      </c>
      <c r="W80" s="76">
        <f t="shared" si="82"/>
        <v>0</v>
      </c>
      <c r="X80" s="77">
        <v>420000</v>
      </c>
      <c r="Y80" s="78">
        <f t="shared" si="83"/>
        <v>0</v>
      </c>
      <c r="Z80" s="75">
        <f t="shared" si="78"/>
        <v>75000</v>
      </c>
      <c r="AA80" s="79">
        <f t="shared" si="84"/>
        <v>0.3303571428571429</v>
      </c>
      <c r="AB80" s="77">
        <f t="shared" si="85"/>
        <v>3000</v>
      </c>
      <c r="AC80" s="80">
        <f t="shared" si="86"/>
        <v>0.83333333333333337</v>
      </c>
      <c r="AE80" s="81">
        <f t="shared" si="91"/>
        <v>349000</v>
      </c>
      <c r="AF80" s="82">
        <f t="shared" si="92"/>
        <v>357000</v>
      </c>
      <c r="AG80" s="83">
        <f t="shared" si="93"/>
        <v>498000</v>
      </c>
      <c r="AH80" s="84">
        <f t="shared" si="94"/>
        <v>54780</v>
      </c>
      <c r="AI80" s="85">
        <f t="shared" si="95"/>
        <v>443220</v>
      </c>
      <c r="AJ80" s="68"/>
      <c r="AL80" s="39">
        <f t="shared" si="87"/>
        <v>-149000</v>
      </c>
      <c r="AM80" s="39">
        <f t="shared" si="88"/>
        <v>-141000</v>
      </c>
      <c r="AR80" s="38" t="e">
        <f>J80+M80+#REF!+N80</f>
        <v>#REF!</v>
      </c>
      <c r="AS80" s="38">
        <f t="shared" si="89"/>
        <v>349000</v>
      </c>
      <c r="AT80" s="39" t="e">
        <f t="shared" si="90"/>
        <v>#REF!</v>
      </c>
    </row>
    <row r="81" spans="2:46" s="39" customFormat="1" ht="27" customHeight="1">
      <c r="B81" s="286"/>
      <c r="C81" s="287"/>
      <c r="D81" s="283"/>
      <c r="E81" s="280"/>
      <c r="F81" s="283"/>
      <c r="G81" s="280"/>
      <c r="H81" s="283"/>
      <c r="I81" s="156" t="s">
        <v>113</v>
      </c>
      <c r="J81" s="123">
        <v>271000</v>
      </c>
      <c r="K81" s="124">
        <v>279000</v>
      </c>
      <c r="L81" s="124">
        <v>420000</v>
      </c>
      <c r="M81" s="124">
        <f t="shared" si="79"/>
        <v>112000</v>
      </c>
      <c r="N81" s="125">
        <f t="shared" si="80"/>
        <v>18000</v>
      </c>
      <c r="P81" s="123">
        <v>271000</v>
      </c>
      <c r="Q81" s="124">
        <v>279000</v>
      </c>
      <c r="R81" s="126">
        <v>420000</v>
      </c>
      <c r="S81" s="55"/>
      <c r="T81" s="123">
        <v>271000</v>
      </c>
      <c r="U81" s="127">
        <f t="shared" ref="U81" si="105">1-(T81/J81)</f>
        <v>0</v>
      </c>
      <c r="V81" s="128">
        <v>279000</v>
      </c>
      <c r="W81" s="129">
        <f t="shared" ref="W81" si="106">1-(V81/K81)</f>
        <v>0</v>
      </c>
      <c r="X81" s="130">
        <v>420000</v>
      </c>
      <c r="Y81" s="131">
        <f t="shared" ref="Y81" si="107">1-(X81/L81)</f>
        <v>0</v>
      </c>
      <c r="Z81" s="128">
        <f t="shared" si="78"/>
        <v>75000</v>
      </c>
      <c r="AA81" s="132">
        <f t="shared" ref="AA81" si="108">1-(Z81/M81)</f>
        <v>0.3303571428571429</v>
      </c>
      <c r="AB81" s="130">
        <f t="shared" si="85"/>
        <v>3000</v>
      </c>
      <c r="AC81" s="133">
        <f t="shared" ref="AC81" si="109">1-(AB81/N81)</f>
        <v>0.83333333333333337</v>
      </c>
      <c r="AE81" s="81">
        <f t="shared" si="91"/>
        <v>349000</v>
      </c>
      <c r="AF81" s="82">
        <f t="shared" si="92"/>
        <v>357000</v>
      </c>
      <c r="AG81" s="136">
        <f t="shared" si="93"/>
        <v>498000</v>
      </c>
      <c r="AH81" s="84">
        <f t="shared" si="94"/>
        <v>54780</v>
      </c>
      <c r="AI81" s="85">
        <f t="shared" si="95"/>
        <v>443220</v>
      </c>
      <c r="AJ81" s="68"/>
      <c r="AL81" s="39">
        <f t="shared" ref="AL81" si="110">AE81-AG81</f>
        <v>-149000</v>
      </c>
      <c r="AM81" s="39">
        <f t="shared" ref="AM81" si="111">AF81-AG81</f>
        <v>-141000</v>
      </c>
      <c r="AR81" s="38" t="e">
        <f>J81+M81+#REF!+N81</f>
        <v>#REF!</v>
      </c>
      <c r="AS81" s="38">
        <f t="shared" ref="AS81" si="112">AE81</f>
        <v>349000</v>
      </c>
      <c r="AT81" s="39" t="e">
        <f t="shared" ref="AT81" si="113">1-(AS81/AR81)</f>
        <v>#REF!</v>
      </c>
    </row>
    <row r="82" spans="2:46" s="39" customFormat="1" ht="27" customHeight="1">
      <c r="B82" s="286"/>
      <c r="C82" s="287"/>
      <c r="D82" s="283"/>
      <c r="E82" s="280"/>
      <c r="F82" s="283"/>
      <c r="G82" s="280"/>
      <c r="H82" s="283"/>
      <c r="I82" s="156" t="s">
        <v>92</v>
      </c>
      <c r="J82" s="123">
        <v>287000</v>
      </c>
      <c r="K82" s="124">
        <v>300000</v>
      </c>
      <c r="L82" s="124">
        <v>447000</v>
      </c>
      <c r="M82" s="124">
        <f t="shared" si="79"/>
        <v>112000</v>
      </c>
      <c r="N82" s="125">
        <f t="shared" si="80"/>
        <v>18000</v>
      </c>
      <c r="P82" s="123">
        <v>287000</v>
      </c>
      <c r="Q82" s="124">
        <v>300000</v>
      </c>
      <c r="R82" s="126">
        <v>447000</v>
      </c>
      <c r="S82" s="55"/>
      <c r="T82" s="123">
        <v>287000</v>
      </c>
      <c r="U82" s="127">
        <f t="shared" si="81"/>
        <v>0</v>
      </c>
      <c r="V82" s="128">
        <v>300000</v>
      </c>
      <c r="W82" s="129">
        <f t="shared" si="82"/>
        <v>0</v>
      </c>
      <c r="X82" s="130">
        <v>447000</v>
      </c>
      <c r="Y82" s="131">
        <f t="shared" si="83"/>
        <v>0</v>
      </c>
      <c r="Z82" s="128">
        <f t="shared" si="78"/>
        <v>75000</v>
      </c>
      <c r="AA82" s="132">
        <f t="shared" si="84"/>
        <v>0.3303571428571429</v>
      </c>
      <c r="AB82" s="130">
        <f t="shared" si="85"/>
        <v>3000</v>
      </c>
      <c r="AC82" s="133">
        <f t="shared" si="86"/>
        <v>0.83333333333333337</v>
      </c>
      <c r="AE82" s="81">
        <f t="shared" si="91"/>
        <v>365000</v>
      </c>
      <c r="AF82" s="82">
        <f t="shared" si="92"/>
        <v>378000</v>
      </c>
      <c r="AG82" s="136">
        <f t="shared" si="93"/>
        <v>525000</v>
      </c>
      <c r="AH82" s="84">
        <f t="shared" si="94"/>
        <v>57750</v>
      </c>
      <c r="AI82" s="85">
        <f t="shared" si="95"/>
        <v>467250</v>
      </c>
      <c r="AJ82" s="68"/>
      <c r="AL82" s="39">
        <f t="shared" si="87"/>
        <v>-160000</v>
      </c>
      <c r="AM82" s="39">
        <f t="shared" si="88"/>
        <v>-147000</v>
      </c>
      <c r="AR82" s="38" t="e">
        <f>J82+M82+#REF!+N82</f>
        <v>#REF!</v>
      </c>
      <c r="AS82" s="38">
        <f t="shared" si="89"/>
        <v>365000</v>
      </c>
      <c r="AT82" s="39" t="e">
        <f t="shared" si="90"/>
        <v>#REF!</v>
      </c>
    </row>
    <row r="83" spans="2:46" s="39" customFormat="1" ht="27" customHeight="1">
      <c r="B83" s="286"/>
      <c r="C83" s="287"/>
      <c r="D83" s="283"/>
      <c r="E83" s="280"/>
      <c r="F83" s="283"/>
      <c r="G83" s="280"/>
      <c r="H83" s="282" t="s">
        <v>25</v>
      </c>
      <c r="I83" s="182" t="s">
        <v>103</v>
      </c>
      <c r="J83" s="86">
        <v>302000</v>
      </c>
      <c r="K83" s="87">
        <v>312000</v>
      </c>
      <c r="L83" s="87">
        <v>421000</v>
      </c>
      <c r="M83" s="87">
        <f t="shared" si="79"/>
        <v>112000</v>
      </c>
      <c r="N83" s="88">
        <f t="shared" si="80"/>
        <v>18000</v>
      </c>
      <c r="P83" s="86">
        <v>302000</v>
      </c>
      <c r="Q83" s="87">
        <v>312000</v>
      </c>
      <c r="R83" s="89">
        <v>421000</v>
      </c>
      <c r="S83" s="55"/>
      <c r="T83" s="86">
        <v>302000</v>
      </c>
      <c r="U83" s="90">
        <f t="shared" si="81"/>
        <v>0</v>
      </c>
      <c r="V83" s="91">
        <v>312000</v>
      </c>
      <c r="W83" s="92">
        <f t="shared" si="82"/>
        <v>0</v>
      </c>
      <c r="X83" s="93">
        <v>421000</v>
      </c>
      <c r="Y83" s="94">
        <f t="shared" si="83"/>
        <v>0</v>
      </c>
      <c r="Z83" s="91">
        <f t="shared" si="78"/>
        <v>75000</v>
      </c>
      <c r="AA83" s="95">
        <f t="shared" si="84"/>
        <v>0.3303571428571429</v>
      </c>
      <c r="AB83" s="93">
        <f t="shared" si="85"/>
        <v>3000</v>
      </c>
      <c r="AC83" s="96">
        <f t="shared" si="86"/>
        <v>0.83333333333333337</v>
      </c>
      <c r="AE83" s="97">
        <f t="shared" si="91"/>
        <v>380000</v>
      </c>
      <c r="AF83" s="98">
        <f t="shared" si="92"/>
        <v>390000</v>
      </c>
      <c r="AG83" s="99">
        <f t="shared" si="93"/>
        <v>499000</v>
      </c>
      <c r="AH83" s="100">
        <f t="shared" si="94"/>
        <v>54890</v>
      </c>
      <c r="AI83" s="101">
        <f t="shared" si="95"/>
        <v>444110</v>
      </c>
      <c r="AJ83" s="68"/>
      <c r="AL83" s="39">
        <f t="shared" si="87"/>
        <v>-119000</v>
      </c>
      <c r="AM83" s="39">
        <f t="shared" si="88"/>
        <v>-109000</v>
      </c>
      <c r="AR83" s="38" t="e">
        <f>J83+M83+#REF!+N83</f>
        <v>#REF!</v>
      </c>
      <c r="AS83" s="38">
        <f t="shared" si="89"/>
        <v>380000</v>
      </c>
      <c r="AT83" s="39" t="e">
        <f t="shared" si="90"/>
        <v>#REF!</v>
      </c>
    </row>
    <row r="84" spans="2:46" s="39" customFormat="1" ht="27" customHeight="1">
      <c r="B84" s="286"/>
      <c r="C84" s="287"/>
      <c r="D84" s="283"/>
      <c r="E84" s="280"/>
      <c r="F84" s="283"/>
      <c r="G84" s="280"/>
      <c r="H84" s="283"/>
      <c r="I84" s="182" t="s">
        <v>101</v>
      </c>
      <c r="J84" s="70">
        <v>302000</v>
      </c>
      <c r="K84" s="71">
        <v>312000</v>
      </c>
      <c r="L84" s="71">
        <v>421000</v>
      </c>
      <c r="M84" s="71">
        <f t="shared" si="79"/>
        <v>112000</v>
      </c>
      <c r="N84" s="72">
        <f t="shared" si="80"/>
        <v>18000</v>
      </c>
      <c r="P84" s="70">
        <v>302000</v>
      </c>
      <c r="Q84" s="71">
        <v>312000</v>
      </c>
      <c r="R84" s="73">
        <v>421000</v>
      </c>
      <c r="S84" s="55"/>
      <c r="T84" s="70">
        <v>302000</v>
      </c>
      <c r="U84" s="74">
        <f t="shared" si="81"/>
        <v>0</v>
      </c>
      <c r="V84" s="75">
        <v>312000</v>
      </c>
      <c r="W84" s="76">
        <f t="shared" si="82"/>
        <v>0</v>
      </c>
      <c r="X84" s="77">
        <v>421000</v>
      </c>
      <c r="Y84" s="78">
        <f t="shared" si="83"/>
        <v>0</v>
      </c>
      <c r="Z84" s="75">
        <f t="shared" si="78"/>
        <v>75000</v>
      </c>
      <c r="AA84" s="79">
        <f t="shared" si="84"/>
        <v>0.3303571428571429</v>
      </c>
      <c r="AB84" s="77">
        <f t="shared" si="85"/>
        <v>3000</v>
      </c>
      <c r="AC84" s="80">
        <f t="shared" si="86"/>
        <v>0.83333333333333337</v>
      </c>
      <c r="AE84" s="81">
        <f t="shared" si="91"/>
        <v>380000</v>
      </c>
      <c r="AF84" s="82">
        <f t="shared" si="92"/>
        <v>390000</v>
      </c>
      <c r="AG84" s="83">
        <f t="shared" si="93"/>
        <v>499000</v>
      </c>
      <c r="AH84" s="84">
        <f t="shared" si="94"/>
        <v>54890</v>
      </c>
      <c r="AI84" s="85">
        <f t="shared" si="95"/>
        <v>444110</v>
      </c>
      <c r="AJ84" s="68"/>
      <c r="AL84" s="39">
        <f t="shared" si="87"/>
        <v>-119000</v>
      </c>
      <c r="AM84" s="39">
        <f t="shared" si="88"/>
        <v>-109000</v>
      </c>
      <c r="AR84" s="38" t="e">
        <f>J84+M84+#REF!+N84</f>
        <v>#REF!</v>
      </c>
      <c r="AS84" s="38">
        <f t="shared" si="89"/>
        <v>380000</v>
      </c>
      <c r="AT84" s="39" t="e">
        <f t="shared" si="90"/>
        <v>#REF!</v>
      </c>
    </row>
    <row r="85" spans="2:46" s="39" customFormat="1" ht="27" customHeight="1">
      <c r="B85" s="286"/>
      <c r="C85" s="287"/>
      <c r="D85" s="283"/>
      <c r="E85" s="280"/>
      <c r="F85" s="283"/>
      <c r="G85" s="280"/>
      <c r="H85" s="283"/>
      <c r="I85" s="182" t="s">
        <v>105</v>
      </c>
      <c r="J85" s="70">
        <v>316000</v>
      </c>
      <c r="K85" s="71">
        <v>324000</v>
      </c>
      <c r="L85" s="71">
        <v>496000</v>
      </c>
      <c r="M85" s="71">
        <f t="shared" si="79"/>
        <v>112000</v>
      </c>
      <c r="N85" s="72">
        <f t="shared" si="80"/>
        <v>18000</v>
      </c>
      <c r="P85" s="70">
        <v>316000</v>
      </c>
      <c r="Q85" s="71">
        <v>324000</v>
      </c>
      <c r="R85" s="73">
        <v>496000</v>
      </c>
      <c r="S85" s="55"/>
      <c r="T85" s="70">
        <v>316000</v>
      </c>
      <c r="U85" s="74">
        <f t="shared" si="81"/>
        <v>0</v>
      </c>
      <c r="V85" s="75">
        <v>324000</v>
      </c>
      <c r="W85" s="76">
        <f t="shared" si="82"/>
        <v>0</v>
      </c>
      <c r="X85" s="77">
        <v>496000</v>
      </c>
      <c r="Y85" s="78">
        <f t="shared" si="83"/>
        <v>0</v>
      </c>
      <c r="Z85" s="75">
        <f t="shared" si="78"/>
        <v>75000</v>
      </c>
      <c r="AA85" s="79">
        <f t="shared" si="84"/>
        <v>0.3303571428571429</v>
      </c>
      <c r="AB85" s="77">
        <f t="shared" si="85"/>
        <v>3000</v>
      </c>
      <c r="AC85" s="80">
        <f t="shared" si="86"/>
        <v>0.83333333333333337</v>
      </c>
      <c r="AE85" s="81">
        <f t="shared" si="91"/>
        <v>394000</v>
      </c>
      <c r="AF85" s="82">
        <f t="shared" si="92"/>
        <v>402000</v>
      </c>
      <c r="AG85" s="83">
        <f t="shared" si="93"/>
        <v>574000</v>
      </c>
      <c r="AH85" s="84">
        <f t="shared" si="94"/>
        <v>63140</v>
      </c>
      <c r="AI85" s="85">
        <f t="shared" si="95"/>
        <v>510860</v>
      </c>
      <c r="AJ85" s="68"/>
      <c r="AL85" s="39">
        <f t="shared" si="87"/>
        <v>-180000</v>
      </c>
      <c r="AM85" s="39">
        <f t="shared" si="88"/>
        <v>-172000</v>
      </c>
      <c r="AR85" s="38" t="e">
        <f>J85+M85+#REF!+N85</f>
        <v>#REF!</v>
      </c>
      <c r="AS85" s="38">
        <f t="shared" si="89"/>
        <v>394000</v>
      </c>
      <c r="AT85" s="39" t="e">
        <f t="shared" si="90"/>
        <v>#REF!</v>
      </c>
    </row>
    <row r="86" spans="2:46" s="39" customFormat="1" ht="27" customHeight="1">
      <c r="B86" s="286"/>
      <c r="C86" s="287"/>
      <c r="D86" s="283"/>
      <c r="E86" s="280"/>
      <c r="F86" s="283"/>
      <c r="G86" s="280"/>
      <c r="H86" s="283"/>
      <c r="I86" s="156" t="s">
        <v>113</v>
      </c>
      <c r="J86" s="158">
        <v>316000</v>
      </c>
      <c r="K86" s="159">
        <v>324000</v>
      </c>
      <c r="L86" s="159">
        <v>496000</v>
      </c>
      <c r="M86" s="159">
        <f t="shared" si="79"/>
        <v>112000</v>
      </c>
      <c r="N86" s="160">
        <f t="shared" si="80"/>
        <v>18000</v>
      </c>
      <c r="P86" s="158">
        <v>316000</v>
      </c>
      <c r="Q86" s="159">
        <v>324000</v>
      </c>
      <c r="R86" s="161">
        <v>496000</v>
      </c>
      <c r="S86" s="55"/>
      <c r="T86" s="158">
        <v>316000</v>
      </c>
      <c r="U86" s="162">
        <f t="shared" ref="U86" si="114">1-(T86/J86)</f>
        <v>0</v>
      </c>
      <c r="V86" s="163">
        <v>324000</v>
      </c>
      <c r="W86" s="164">
        <f t="shared" ref="W86" si="115">1-(V86/K86)</f>
        <v>0</v>
      </c>
      <c r="X86" s="165">
        <v>496000</v>
      </c>
      <c r="Y86" s="166">
        <f t="shared" ref="Y86" si="116">1-(X86/L86)</f>
        <v>0</v>
      </c>
      <c r="Z86" s="163">
        <f t="shared" si="78"/>
        <v>75000</v>
      </c>
      <c r="AA86" s="167">
        <f t="shared" ref="AA86" si="117">1-(Z86/M86)</f>
        <v>0.3303571428571429</v>
      </c>
      <c r="AB86" s="165">
        <f t="shared" si="85"/>
        <v>3000</v>
      </c>
      <c r="AC86" s="168">
        <f t="shared" ref="AC86" si="118">1-(AB86/N86)</f>
        <v>0.83333333333333337</v>
      </c>
      <c r="AE86" s="169">
        <f t="shared" si="91"/>
        <v>394000</v>
      </c>
      <c r="AF86" s="170">
        <f t="shared" si="92"/>
        <v>402000</v>
      </c>
      <c r="AG86" s="171">
        <f t="shared" si="93"/>
        <v>574000</v>
      </c>
      <c r="AH86" s="172">
        <f t="shared" si="94"/>
        <v>63140</v>
      </c>
      <c r="AI86" s="173">
        <f t="shared" si="95"/>
        <v>510860</v>
      </c>
      <c r="AJ86" s="68"/>
      <c r="AL86" s="39">
        <f t="shared" ref="AL86" si="119">AE86-AG86</f>
        <v>-180000</v>
      </c>
      <c r="AM86" s="39">
        <f t="shared" ref="AM86" si="120">AF86-AG86</f>
        <v>-172000</v>
      </c>
      <c r="AR86" s="38" t="e">
        <f>J86+M86+#REF!+N86</f>
        <v>#REF!</v>
      </c>
      <c r="AS86" s="38">
        <f t="shared" ref="AS86" si="121">AE86</f>
        <v>394000</v>
      </c>
      <c r="AT86" s="39" t="e">
        <f t="shared" ref="AT86" si="122">1-(AS86/AR86)</f>
        <v>#REF!</v>
      </c>
    </row>
    <row r="87" spans="2:46" s="39" customFormat="1" ht="27" customHeight="1">
      <c r="B87" s="286"/>
      <c r="C87" s="287"/>
      <c r="D87" s="283"/>
      <c r="E87" s="280"/>
      <c r="F87" s="292"/>
      <c r="G87" s="293"/>
      <c r="H87" s="292"/>
      <c r="I87" s="157" t="s">
        <v>92</v>
      </c>
      <c r="J87" s="158">
        <v>347000</v>
      </c>
      <c r="K87" s="159">
        <v>360000</v>
      </c>
      <c r="L87" s="159">
        <v>524000</v>
      </c>
      <c r="M87" s="159">
        <f t="shared" si="79"/>
        <v>112000</v>
      </c>
      <c r="N87" s="160">
        <f t="shared" si="80"/>
        <v>18000</v>
      </c>
      <c r="P87" s="158">
        <v>347000</v>
      </c>
      <c r="Q87" s="159">
        <v>360000</v>
      </c>
      <c r="R87" s="161">
        <v>524000</v>
      </c>
      <c r="S87" s="55"/>
      <c r="T87" s="158">
        <v>347000</v>
      </c>
      <c r="U87" s="162">
        <f t="shared" si="81"/>
        <v>0</v>
      </c>
      <c r="V87" s="163">
        <v>360000</v>
      </c>
      <c r="W87" s="164">
        <f t="shared" si="82"/>
        <v>0</v>
      </c>
      <c r="X87" s="165">
        <v>524000</v>
      </c>
      <c r="Y87" s="166">
        <f t="shared" si="83"/>
        <v>0</v>
      </c>
      <c r="Z87" s="163">
        <f t="shared" si="78"/>
        <v>75000</v>
      </c>
      <c r="AA87" s="167">
        <f t="shared" si="84"/>
        <v>0.3303571428571429</v>
      </c>
      <c r="AB87" s="165">
        <f t="shared" si="85"/>
        <v>3000</v>
      </c>
      <c r="AC87" s="168">
        <f t="shared" si="86"/>
        <v>0.83333333333333337</v>
      </c>
      <c r="AE87" s="169">
        <f t="shared" si="91"/>
        <v>425000</v>
      </c>
      <c r="AF87" s="170">
        <f t="shared" si="92"/>
        <v>438000</v>
      </c>
      <c r="AG87" s="171">
        <f t="shared" si="93"/>
        <v>602000</v>
      </c>
      <c r="AH87" s="172">
        <f t="shared" si="94"/>
        <v>66220</v>
      </c>
      <c r="AI87" s="173">
        <f t="shared" si="95"/>
        <v>535780</v>
      </c>
      <c r="AJ87" s="68"/>
      <c r="AL87" s="39">
        <f t="shared" si="87"/>
        <v>-177000</v>
      </c>
      <c r="AM87" s="39">
        <f t="shared" si="88"/>
        <v>-164000</v>
      </c>
      <c r="AR87" s="38" t="e">
        <f>J87+M87+#REF!+N87</f>
        <v>#REF!</v>
      </c>
      <c r="AS87" s="38">
        <f t="shared" si="89"/>
        <v>425000</v>
      </c>
      <c r="AT87" s="39" t="e">
        <f t="shared" si="90"/>
        <v>#REF!</v>
      </c>
    </row>
    <row r="88" spans="2:46" s="39" customFormat="1" ht="27" customHeight="1">
      <c r="B88" s="286"/>
      <c r="C88" s="287"/>
      <c r="D88" s="283" t="s">
        <v>30</v>
      </c>
      <c r="E88" s="280"/>
      <c r="F88" s="295" t="s">
        <v>27</v>
      </c>
      <c r="G88" s="280"/>
      <c r="H88" s="296" t="s">
        <v>18</v>
      </c>
      <c r="I88" s="183" t="s">
        <v>103</v>
      </c>
      <c r="J88" s="104">
        <v>189000</v>
      </c>
      <c r="K88" s="105">
        <v>197000</v>
      </c>
      <c r="L88" s="105">
        <v>257000</v>
      </c>
      <c r="M88" s="105">
        <f t="shared" si="79"/>
        <v>112000</v>
      </c>
      <c r="N88" s="106">
        <f t="shared" si="80"/>
        <v>18000</v>
      </c>
      <c r="P88" s="104">
        <v>189000</v>
      </c>
      <c r="Q88" s="105">
        <v>197000</v>
      </c>
      <c r="R88" s="107">
        <v>257000</v>
      </c>
      <c r="S88" s="55"/>
      <c r="T88" s="104">
        <f>P88-20000</f>
        <v>169000</v>
      </c>
      <c r="U88" s="108">
        <f t="shared" si="81"/>
        <v>0.10582010582010581</v>
      </c>
      <c r="V88" s="109">
        <f>Q88-20000</f>
        <v>177000</v>
      </c>
      <c r="W88" s="110">
        <f t="shared" si="82"/>
        <v>0.10152284263959388</v>
      </c>
      <c r="X88" s="111">
        <f>R88-30000</f>
        <v>227000</v>
      </c>
      <c r="Y88" s="112">
        <f t="shared" si="83"/>
        <v>0.11673151750972766</v>
      </c>
      <c r="Z88" s="109">
        <f t="shared" si="78"/>
        <v>75000</v>
      </c>
      <c r="AA88" s="113">
        <f t="shared" si="84"/>
        <v>0.3303571428571429</v>
      </c>
      <c r="AB88" s="111">
        <f t="shared" si="85"/>
        <v>3000</v>
      </c>
      <c r="AC88" s="114">
        <f t="shared" si="86"/>
        <v>0.83333333333333337</v>
      </c>
      <c r="AD88" s="55"/>
      <c r="AE88" s="115">
        <f t="shared" si="91"/>
        <v>247000</v>
      </c>
      <c r="AF88" s="116">
        <f t="shared" si="92"/>
        <v>255000</v>
      </c>
      <c r="AG88" s="117">
        <f t="shared" si="93"/>
        <v>305000</v>
      </c>
      <c r="AH88" s="118">
        <f t="shared" si="94"/>
        <v>33550</v>
      </c>
      <c r="AI88" s="119">
        <f t="shared" si="95"/>
        <v>271450</v>
      </c>
      <c r="AJ88" s="68"/>
      <c r="AL88" s="39">
        <f t="shared" si="87"/>
        <v>-58000</v>
      </c>
      <c r="AM88" s="39">
        <f t="shared" si="88"/>
        <v>-50000</v>
      </c>
      <c r="AR88" s="38" t="e">
        <f>J88+M88+#REF!+N88</f>
        <v>#REF!</v>
      </c>
      <c r="AS88" s="38">
        <f t="shared" si="89"/>
        <v>247000</v>
      </c>
      <c r="AT88" s="39" t="e">
        <f t="shared" si="90"/>
        <v>#REF!</v>
      </c>
    </row>
    <row r="89" spans="2:46" s="39" customFormat="1" ht="27" customHeight="1">
      <c r="B89" s="286"/>
      <c r="C89" s="287"/>
      <c r="D89" s="283"/>
      <c r="E89" s="280"/>
      <c r="F89" s="295"/>
      <c r="G89" s="280"/>
      <c r="H89" s="296"/>
      <c r="I89" s="182" t="s">
        <v>101</v>
      </c>
      <c r="J89" s="70">
        <v>189000</v>
      </c>
      <c r="K89" s="71">
        <v>197000</v>
      </c>
      <c r="L89" s="71">
        <v>257000</v>
      </c>
      <c r="M89" s="71">
        <f t="shared" si="79"/>
        <v>112000</v>
      </c>
      <c r="N89" s="72">
        <f t="shared" si="80"/>
        <v>18000</v>
      </c>
      <c r="P89" s="70">
        <v>189000</v>
      </c>
      <c r="Q89" s="71">
        <v>197000</v>
      </c>
      <c r="R89" s="73">
        <v>257000</v>
      </c>
      <c r="S89" s="55"/>
      <c r="T89" s="70">
        <f>P89-10000</f>
        <v>179000</v>
      </c>
      <c r="U89" s="74">
        <f t="shared" si="81"/>
        <v>5.2910052910052907E-2</v>
      </c>
      <c r="V89" s="75">
        <f>Q89-10000</f>
        <v>187000</v>
      </c>
      <c r="W89" s="76">
        <f t="shared" si="82"/>
        <v>5.0761421319796995E-2</v>
      </c>
      <c r="X89" s="77">
        <f>R89-20000</f>
        <v>237000</v>
      </c>
      <c r="Y89" s="78">
        <f t="shared" si="83"/>
        <v>7.7821011673151697E-2</v>
      </c>
      <c r="Z89" s="75">
        <f t="shared" si="78"/>
        <v>75000</v>
      </c>
      <c r="AA89" s="79">
        <f t="shared" si="84"/>
        <v>0.3303571428571429</v>
      </c>
      <c r="AB89" s="77">
        <f t="shared" si="85"/>
        <v>3000</v>
      </c>
      <c r="AC89" s="80">
        <f t="shared" si="86"/>
        <v>0.83333333333333337</v>
      </c>
      <c r="AD89" s="55"/>
      <c r="AE89" s="120">
        <f t="shared" si="91"/>
        <v>257000</v>
      </c>
      <c r="AF89" s="82">
        <f t="shared" si="92"/>
        <v>265000</v>
      </c>
      <c r="AG89" s="83">
        <f t="shared" si="93"/>
        <v>315000</v>
      </c>
      <c r="AH89" s="84">
        <f t="shared" si="94"/>
        <v>34650</v>
      </c>
      <c r="AI89" s="85">
        <f t="shared" si="95"/>
        <v>280350</v>
      </c>
      <c r="AJ89" s="68"/>
      <c r="AL89" s="39">
        <f t="shared" si="87"/>
        <v>-58000</v>
      </c>
      <c r="AM89" s="39">
        <f t="shared" si="88"/>
        <v>-50000</v>
      </c>
      <c r="AR89" s="38" t="e">
        <f>J89+M89+#REF!+N89</f>
        <v>#REF!</v>
      </c>
      <c r="AS89" s="38">
        <f t="shared" si="89"/>
        <v>257000</v>
      </c>
      <c r="AT89" s="39" t="e">
        <f t="shared" si="90"/>
        <v>#REF!</v>
      </c>
    </row>
    <row r="90" spans="2:46" s="39" customFormat="1" ht="27" customHeight="1">
      <c r="B90" s="286"/>
      <c r="C90" s="287"/>
      <c r="D90" s="283"/>
      <c r="E90" s="280"/>
      <c r="F90" s="295"/>
      <c r="G90" s="280"/>
      <c r="H90" s="296"/>
      <c r="I90" s="182" t="s">
        <v>109</v>
      </c>
      <c r="J90" s="70">
        <v>216000</v>
      </c>
      <c r="K90" s="71">
        <v>222000</v>
      </c>
      <c r="L90" s="71">
        <v>332000</v>
      </c>
      <c r="M90" s="71">
        <f t="shared" si="79"/>
        <v>112000</v>
      </c>
      <c r="N90" s="72">
        <f t="shared" si="80"/>
        <v>18000</v>
      </c>
      <c r="P90" s="70">
        <v>216000</v>
      </c>
      <c r="Q90" s="71">
        <v>222000</v>
      </c>
      <c r="R90" s="73">
        <v>332000</v>
      </c>
      <c r="S90" s="55"/>
      <c r="T90" s="70">
        <f>P90-20000</f>
        <v>196000</v>
      </c>
      <c r="U90" s="74">
        <f t="shared" si="81"/>
        <v>9.259259259259256E-2</v>
      </c>
      <c r="V90" s="75">
        <f>Q90-20000</f>
        <v>202000</v>
      </c>
      <c r="W90" s="76">
        <f t="shared" si="82"/>
        <v>9.0090090090090058E-2</v>
      </c>
      <c r="X90" s="77">
        <f>R90-30000</f>
        <v>302000</v>
      </c>
      <c r="Y90" s="78">
        <f t="shared" si="83"/>
        <v>9.0361445783132543E-2</v>
      </c>
      <c r="Z90" s="75">
        <f t="shared" si="78"/>
        <v>75000</v>
      </c>
      <c r="AA90" s="79">
        <f t="shared" si="84"/>
        <v>0.3303571428571429</v>
      </c>
      <c r="AB90" s="77">
        <f t="shared" si="85"/>
        <v>3000</v>
      </c>
      <c r="AC90" s="80">
        <f t="shared" si="86"/>
        <v>0.83333333333333337</v>
      </c>
      <c r="AD90" s="55"/>
      <c r="AE90" s="120">
        <f t="shared" si="91"/>
        <v>274000</v>
      </c>
      <c r="AF90" s="82">
        <f t="shared" si="92"/>
        <v>280000</v>
      </c>
      <c r="AG90" s="83">
        <f t="shared" si="93"/>
        <v>380000</v>
      </c>
      <c r="AH90" s="84">
        <f t="shared" si="94"/>
        <v>41800</v>
      </c>
      <c r="AI90" s="85">
        <f t="shared" si="95"/>
        <v>338200</v>
      </c>
      <c r="AJ90" s="68"/>
      <c r="AL90" s="39">
        <f t="shared" si="87"/>
        <v>-106000</v>
      </c>
      <c r="AM90" s="39">
        <f t="shared" si="88"/>
        <v>-100000</v>
      </c>
      <c r="AR90" s="38" t="e">
        <f>J90+M90+#REF!+N90</f>
        <v>#REF!</v>
      </c>
      <c r="AS90" s="38">
        <f t="shared" si="89"/>
        <v>274000</v>
      </c>
      <c r="AT90" s="39" t="e">
        <f t="shared" si="90"/>
        <v>#REF!</v>
      </c>
    </row>
    <row r="91" spans="2:46" s="39" customFormat="1" ht="27" customHeight="1">
      <c r="B91" s="286"/>
      <c r="C91" s="287"/>
      <c r="D91" s="283"/>
      <c r="E91" s="280"/>
      <c r="F91" s="295"/>
      <c r="G91" s="280"/>
      <c r="H91" s="296"/>
      <c r="I91" s="157" t="s">
        <v>115</v>
      </c>
      <c r="J91" s="123">
        <v>216000</v>
      </c>
      <c r="K91" s="124">
        <v>222000</v>
      </c>
      <c r="L91" s="124">
        <v>332000</v>
      </c>
      <c r="M91" s="124">
        <f t="shared" si="79"/>
        <v>112000</v>
      </c>
      <c r="N91" s="125">
        <f t="shared" si="80"/>
        <v>18000</v>
      </c>
      <c r="P91" s="123">
        <v>216000</v>
      </c>
      <c r="Q91" s="124">
        <v>222000</v>
      </c>
      <c r="R91" s="126">
        <v>332000</v>
      </c>
      <c r="S91" s="55"/>
      <c r="T91" s="123">
        <v>216000</v>
      </c>
      <c r="U91" s="127">
        <f t="shared" ref="U91" si="123">1-(T91/J91)</f>
        <v>0</v>
      </c>
      <c r="V91" s="128">
        <v>222000</v>
      </c>
      <c r="W91" s="129">
        <f t="shared" ref="W91" si="124">1-(V91/K91)</f>
        <v>0</v>
      </c>
      <c r="X91" s="130">
        <v>332000</v>
      </c>
      <c r="Y91" s="131">
        <f t="shared" ref="Y91" si="125">1-(X91/L91)</f>
        <v>0</v>
      </c>
      <c r="Z91" s="128">
        <f t="shared" si="78"/>
        <v>75000</v>
      </c>
      <c r="AA91" s="132">
        <f t="shared" ref="AA91" si="126">1-(Z91/M91)</f>
        <v>0.3303571428571429</v>
      </c>
      <c r="AB91" s="130">
        <f t="shared" si="85"/>
        <v>3000</v>
      </c>
      <c r="AC91" s="133">
        <f t="shared" ref="AC91" si="127">1-(AB91/N91)</f>
        <v>0.83333333333333337</v>
      </c>
      <c r="AD91" s="55"/>
      <c r="AE91" s="120">
        <f t="shared" si="91"/>
        <v>294000</v>
      </c>
      <c r="AF91" s="82">
        <f t="shared" si="92"/>
        <v>300000</v>
      </c>
      <c r="AG91" s="136">
        <f t="shared" si="93"/>
        <v>410000</v>
      </c>
      <c r="AH91" s="84">
        <f t="shared" si="94"/>
        <v>45100</v>
      </c>
      <c r="AI91" s="85">
        <f t="shared" si="95"/>
        <v>364900</v>
      </c>
      <c r="AJ91" s="68"/>
      <c r="AL91" s="39">
        <f t="shared" ref="AL91" si="128">AE91-AG91</f>
        <v>-116000</v>
      </c>
      <c r="AM91" s="39">
        <f t="shared" ref="AM91" si="129">AF91-AG91</f>
        <v>-110000</v>
      </c>
      <c r="AR91" s="38" t="e">
        <f>J91+M91+#REF!+N91</f>
        <v>#REF!</v>
      </c>
      <c r="AS91" s="38">
        <f t="shared" ref="AS91" si="130">AE91</f>
        <v>294000</v>
      </c>
      <c r="AT91" s="39" t="e">
        <f t="shared" ref="AT91" si="131">1-(AS91/AR91)</f>
        <v>#REF!</v>
      </c>
    </row>
    <row r="92" spans="2:46" s="39" customFormat="1" ht="27" customHeight="1">
      <c r="B92" s="286"/>
      <c r="C92" s="287"/>
      <c r="D92" s="283"/>
      <c r="E92" s="280"/>
      <c r="F92" s="295"/>
      <c r="G92" s="280"/>
      <c r="H92" s="296"/>
      <c r="I92" s="157" t="s">
        <v>92</v>
      </c>
      <c r="J92" s="123">
        <v>236000</v>
      </c>
      <c r="K92" s="124">
        <v>245000</v>
      </c>
      <c r="L92" s="124">
        <v>357000</v>
      </c>
      <c r="M92" s="124">
        <f t="shared" si="79"/>
        <v>112000</v>
      </c>
      <c r="N92" s="125">
        <f t="shared" si="80"/>
        <v>18000</v>
      </c>
      <c r="P92" s="123">
        <v>236000</v>
      </c>
      <c r="Q92" s="124">
        <v>245000</v>
      </c>
      <c r="R92" s="126">
        <v>357000</v>
      </c>
      <c r="S92" s="55"/>
      <c r="T92" s="123">
        <v>236000</v>
      </c>
      <c r="U92" s="127">
        <f t="shared" si="81"/>
        <v>0</v>
      </c>
      <c r="V92" s="128">
        <v>245000</v>
      </c>
      <c r="W92" s="129">
        <f t="shared" si="82"/>
        <v>0</v>
      </c>
      <c r="X92" s="130">
        <v>357000</v>
      </c>
      <c r="Y92" s="131">
        <f t="shared" si="83"/>
        <v>0</v>
      </c>
      <c r="Z92" s="128">
        <f t="shared" si="78"/>
        <v>75000</v>
      </c>
      <c r="AA92" s="132">
        <f t="shared" si="84"/>
        <v>0.3303571428571429</v>
      </c>
      <c r="AB92" s="130">
        <f t="shared" si="85"/>
        <v>3000</v>
      </c>
      <c r="AC92" s="133">
        <f t="shared" si="86"/>
        <v>0.83333333333333337</v>
      </c>
      <c r="AD92" s="55"/>
      <c r="AE92" s="120">
        <f t="shared" si="91"/>
        <v>314000</v>
      </c>
      <c r="AF92" s="82">
        <f t="shared" si="92"/>
        <v>323000</v>
      </c>
      <c r="AG92" s="136">
        <f t="shared" si="93"/>
        <v>435000</v>
      </c>
      <c r="AH92" s="84">
        <f t="shared" si="94"/>
        <v>47850</v>
      </c>
      <c r="AI92" s="85">
        <f t="shared" si="95"/>
        <v>387150</v>
      </c>
      <c r="AJ92" s="68"/>
      <c r="AL92" s="39">
        <f t="shared" si="87"/>
        <v>-121000</v>
      </c>
      <c r="AM92" s="39">
        <f t="shared" si="88"/>
        <v>-112000</v>
      </c>
      <c r="AR92" s="38" t="e">
        <f>J92+M92+#REF!+N92</f>
        <v>#REF!</v>
      </c>
      <c r="AS92" s="38">
        <f t="shared" si="89"/>
        <v>314000</v>
      </c>
      <c r="AT92" s="39" t="e">
        <f t="shared" si="90"/>
        <v>#REF!</v>
      </c>
    </row>
    <row r="93" spans="2:46" s="39" customFormat="1" ht="27" customHeight="1">
      <c r="B93" s="286"/>
      <c r="C93" s="287"/>
      <c r="D93" s="283"/>
      <c r="E93" s="280"/>
      <c r="F93" s="295"/>
      <c r="G93" s="280"/>
      <c r="H93" s="297" t="s">
        <v>25</v>
      </c>
      <c r="I93" s="182" t="s">
        <v>103</v>
      </c>
      <c r="J93" s="86">
        <v>239000</v>
      </c>
      <c r="K93" s="87">
        <v>247000</v>
      </c>
      <c r="L93" s="87">
        <v>307000</v>
      </c>
      <c r="M93" s="87">
        <f t="shared" si="79"/>
        <v>112000</v>
      </c>
      <c r="N93" s="88">
        <f t="shared" si="80"/>
        <v>18000</v>
      </c>
      <c r="P93" s="86">
        <v>239000</v>
      </c>
      <c r="Q93" s="87">
        <v>247000</v>
      </c>
      <c r="R93" s="89">
        <v>307000</v>
      </c>
      <c r="S93" s="55"/>
      <c r="T93" s="86">
        <f t="shared" ref="T93" si="132">P93-20000</f>
        <v>219000</v>
      </c>
      <c r="U93" s="90">
        <f t="shared" si="81"/>
        <v>8.3682008368200833E-2</v>
      </c>
      <c r="V93" s="91">
        <f t="shared" ref="V93" si="133">Q93-20000</f>
        <v>227000</v>
      </c>
      <c r="W93" s="92">
        <f t="shared" si="82"/>
        <v>8.0971659919028327E-2</v>
      </c>
      <c r="X93" s="93">
        <f t="shared" ref="X93" si="134">R93-30000</f>
        <v>277000</v>
      </c>
      <c r="Y93" s="94">
        <f t="shared" si="83"/>
        <v>9.7719869706840434E-2</v>
      </c>
      <c r="Z93" s="91">
        <f t="shared" si="78"/>
        <v>75000</v>
      </c>
      <c r="AA93" s="95">
        <f t="shared" si="84"/>
        <v>0.3303571428571429</v>
      </c>
      <c r="AB93" s="93">
        <f t="shared" si="85"/>
        <v>3000</v>
      </c>
      <c r="AC93" s="96">
        <f t="shared" si="86"/>
        <v>0.83333333333333337</v>
      </c>
      <c r="AD93" s="55"/>
      <c r="AE93" s="121">
        <f t="shared" si="91"/>
        <v>297000</v>
      </c>
      <c r="AF93" s="98">
        <f t="shared" si="92"/>
        <v>305000</v>
      </c>
      <c r="AG93" s="99">
        <f t="shared" si="93"/>
        <v>355000</v>
      </c>
      <c r="AH93" s="100">
        <f t="shared" si="94"/>
        <v>39050</v>
      </c>
      <c r="AI93" s="101">
        <f t="shared" si="95"/>
        <v>315950</v>
      </c>
      <c r="AJ93" s="68"/>
      <c r="AL93" s="39">
        <f t="shared" si="87"/>
        <v>-58000</v>
      </c>
      <c r="AM93" s="39">
        <f t="shared" si="88"/>
        <v>-50000</v>
      </c>
      <c r="AR93" s="38" t="e">
        <f>J93+M93+#REF!+N93</f>
        <v>#REF!</v>
      </c>
      <c r="AS93" s="38">
        <f t="shared" si="89"/>
        <v>297000</v>
      </c>
      <c r="AT93" s="39" t="e">
        <f t="shared" si="90"/>
        <v>#REF!</v>
      </c>
    </row>
    <row r="94" spans="2:46" s="39" customFormat="1" ht="27" customHeight="1">
      <c r="B94" s="286"/>
      <c r="C94" s="287"/>
      <c r="D94" s="283"/>
      <c r="E94" s="280"/>
      <c r="F94" s="295"/>
      <c r="G94" s="280"/>
      <c r="H94" s="296"/>
      <c r="I94" s="182" t="s">
        <v>101</v>
      </c>
      <c r="J94" s="70">
        <v>239000</v>
      </c>
      <c r="K94" s="71">
        <v>247000</v>
      </c>
      <c r="L94" s="71">
        <v>307000</v>
      </c>
      <c r="M94" s="71">
        <f t="shared" si="79"/>
        <v>112000</v>
      </c>
      <c r="N94" s="72">
        <f t="shared" si="80"/>
        <v>18000</v>
      </c>
      <c r="P94" s="70">
        <v>239000</v>
      </c>
      <c r="Q94" s="71">
        <v>247000</v>
      </c>
      <c r="R94" s="73">
        <v>307000</v>
      </c>
      <c r="S94" s="55"/>
      <c r="T94" s="70">
        <f t="shared" ref="T94" si="135">P94-10000</f>
        <v>229000</v>
      </c>
      <c r="U94" s="74">
        <f t="shared" si="81"/>
        <v>4.1841004184100417E-2</v>
      </c>
      <c r="V94" s="75">
        <f t="shared" ref="V94" si="136">Q94-10000</f>
        <v>237000</v>
      </c>
      <c r="W94" s="76">
        <f t="shared" si="82"/>
        <v>4.0485829959514219E-2</v>
      </c>
      <c r="X94" s="77">
        <f t="shared" ref="X94" si="137">R94-20000</f>
        <v>287000</v>
      </c>
      <c r="Y94" s="78">
        <f t="shared" si="83"/>
        <v>6.514657980456029E-2</v>
      </c>
      <c r="Z94" s="75">
        <f t="shared" si="78"/>
        <v>75000</v>
      </c>
      <c r="AA94" s="79">
        <f t="shared" si="84"/>
        <v>0.3303571428571429</v>
      </c>
      <c r="AB94" s="77">
        <f t="shared" si="85"/>
        <v>3000</v>
      </c>
      <c r="AC94" s="80">
        <f t="shared" si="86"/>
        <v>0.83333333333333337</v>
      </c>
      <c r="AD94" s="55"/>
      <c r="AE94" s="120">
        <f t="shared" si="91"/>
        <v>307000</v>
      </c>
      <c r="AF94" s="82">
        <f t="shared" si="92"/>
        <v>315000</v>
      </c>
      <c r="AG94" s="83">
        <f t="shared" si="93"/>
        <v>365000</v>
      </c>
      <c r="AH94" s="84">
        <f t="shared" si="94"/>
        <v>40150</v>
      </c>
      <c r="AI94" s="85">
        <f t="shared" si="95"/>
        <v>324850</v>
      </c>
      <c r="AJ94" s="68"/>
      <c r="AL94" s="39">
        <f t="shared" si="87"/>
        <v>-58000</v>
      </c>
      <c r="AM94" s="39">
        <f t="shared" si="88"/>
        <v>-50000</v>
      </c>
      <c r="AR94" s="38" t="e">
        <f>J94+M94+#REF!+N94</f>
        <v>#REF!</v>
      </c>
      <c r="AS94" s="38">
        <f t="shared" si="89"/>
        <v>307000</v>
      </c>
      <c r="AT94" s="39" t="e">
        <f t="shared" si="90"/>
        <v>#REF!</v>
      </c>
    </row>
    <row r="95" spans="2:46" s="39" customFormat="1" ht="27" customHeight="1">
      <c r="B95" s="286"/>
      <c r="C95" s="287"/>
      <c r="D95" s="283"/>
      <c r="E95" s="280"/>
      <c r="F95" s="295"/>
      <c r="G95" s="280"/>
      <c r="H95" s="296"/>
      <c r="I95" s="182" t="s">
        <v>108</v>
      </c>
      <c r="J95" s="70">
        <v>271000</v>
      </c>
      <c r="K95" s="71">
        <v>277000</v>
      </c>
      <c r="L95" s="71">
        <v>387000</v>
      </c>
      <c r="M95" s="71">
        <f t="shared" si="79"/>
        <v>112000</v>
      </c>
      <c r="N95" s="72">
        <f t="shared" si="80"/>
        <v>18000</v>
      </c>
      <c r="P95" s="70">
        <v>271000</v>
      </c>
      <c r="Q95" s="71">
        <v>277000</v>
      </c>
      <c r="R95" s="73">
        <v>387000</v>
      </c>
      <c r="S95" s="55"/>
      <c r="T95" s="70">
        <f t="shared" ref="T95" si="138">P95-20000</f>
        <v>251000</v>
      </c>
      <c r="U95" s="74">
        <f t="shared" si="81"/>
        <v>7.3800738007380073E-2</v>
      </c>
      <c r="V95" s="75">
        <f t="shared" ref="V95" si="139">Q95-20000</f>
        <v>257000</v>
      </c>
      <c r="W95" s="76">
        <f t="shared" si="82"/>
        <v>7.2202166064981976E-2</v>
      </c>
      <c r="X95" s="77">
        <f t="shared" ref="X95" si="140">R95-30000</f>
        <v>357000</v>
      </c>
      <c r="Y95" s="78">
        <f>1-(X95/L95)</f>
        <v>7.7519379844961267E-2</v>
      </c>
      <c r="Z95" s="75">
        <f t="shared" si="78"/>
        <v>75000</v>
      </c>
      <c r="AA95" s="79">
        <f t="shared" si="84"/>
        <v>0.3303571428571429</v>
      </c>
      <c r="AB95" s="77">
        <f t="shared" si="85"/>
        <v>3000</v>
      </c>
      <c r="AC95" s="80">
        <f t="shared" si="86"/>
        <v>0.83333333333333337</v>
      </c>
      <c r="AD95" s="55"/>
      <c r="AE95" s="120">
        <f t="shared" si="91"/>
        <v>329000</v>
      </c>
      <c r="AF95" s="82">
        <f t="shared" si="92"/>
        <v>335000</v>
      </c>
      <c r="AG95" s="83">
        <f t="shared" si="93"/>
        <v>435000</v>
      </c>
      <c r="AH95" s="84">
        <f t="shared" si="94"/>
        <v>47850</v>
      </c>
      <c r="AI95" s="85">
        <f t="shared" si="95"/>
        <v>387150</v>
      </c>
      <c r="AJ95" s="68"/>
      <c r="AL95" s="39">
        <f t="shared" si="87"/>
        <v>-106000</v>
      </c>
      <c r="AM95" s="39">
        <f t="shared" si="88"/>
        <v>-100000</v>
      </c>
      <c r="AR95" s="38" t="e">
        <f>J95+M95+#REF!+N95</f>
        <v>#REF!</v>
      </c>
      <c r="AS95" s="38">
        <f t="shared" si="89"/>
        <v>329000</v>
      </c>
      <c r="AT95" s="39" t="e">
        <f t="shared" si="90"/>
        <v>#REF!</v>
      </c>
    </row>
    <row r="96" spans="2:46" s="39" customFormat="1" ht="27" customHeight="1">
      <c r="B96" s="286"/>
      <c r="C96" s="287"/>
      <c r="D96" s="283"/>
      <c r="E96" s="280"/>
      <c r="F96" s="175"/>
      <c r="G96" s="176"/>
      <c r="H96" s="296"/>
      <c r="I96" s="157" t="s">
        <v>115</v>
      </c>
      <c r="J96" s="123">
        <v>271000</v>
      </c>
      <c r="K96" s="124">
        <v>277000</v>
      </c>
      <c r="L96" s="124">
        <v>387000</v>
      </c>
      <c r="M96" s="124">
        <f t="shared" si="79"/>
        <v>112000</v>
      </c>
      <c r="N96" s="125">
        <f t="shared" si="80"/>
        <v>18000</v>
      </c>
      <c r="P96" s="123">
        <v>271000</v>
      </c>
      <c r="Q96" s="124">
        <v>277000</v>
      </c>
      <c r="R96" s="126">
        <v>387000</v>
      </c>
      <c r="S96" s="55"/>
      <c r="T96" s="123">
        <v>271000</v>
      </c>
      <c r="U96" s="127">
        <f t="shared" ref="U96" si="141">1-(T96/J96)</f>
        <v>0</v>
      </c>
      <c r="V96" s="128">
        <v>277000</v>
      </c>
      <c r="W96" s="129">
        <f t="shared" ref="W96" si="142">1-(V96/K96)</f>
        <v>0</v>
      </c>
      <c r="X96" s="130">
        <v>387000</v>
      </c>
      <c r="Y96" s="131">
        <f>1-(X96/L96)</f>
        <v>0</v>
      </c>
      <c r="Z96" s="128">
        <f t="shared" si="78"/>
        <v>75000</v>
      </c>
      <c r="AA96" s="132">
        <f t="shared" ref="AA96" si="143">1-(Z96/M96)</f>
        <v>0.3303571428571429</v>
      </c>
      <c r="AB96" s="130">
        <f t="shared" si="85"/>
        <v>3000</v>
      </c>
      <c r="AC96" s="133">
        <f t="shared" ref="AC96" si="144">1-(AB96/N96)</f>
        <v>0.83333333333333337</v>
      </c>
      <c r="AD96" s="55"/>
      <c r="AE96" s="120">
        <f t="shared" si="91"/>
        <v>349000</v>
      </c>
      <c r="AF96" s="82">
        <f t="shared" si="92"/>
        <v>355000</v>
      </c>
      <c r="AG96" s="136">
        <f t="shared" si="93"/>
        <v>465000</v>
      </c>
      <c r="AH96" s="84">
        <f t="shared" si="94"/>
        <v>51150</v>
      </c>
      <c r="AI96" s="85">
        <f t="shared" si="95"/>
        <v>413850</v>
      </c>
      <c r="AJ96" s="68"/>
      <c r="AL96" s="39">
        <f t="shared" ref="AL96" si="145">AE96-AG96</f>
        <v>-116000</v>
      </c>
      <c r="AM96" s="39">
        <f t="shared" ref="AM96" si="146">AF96-AG96</f>
        <v>-110000</v>
      </c>
      <c r="AR96" s="38" t="e">
        <f>J96+M96+#REF!+N96</f>
        <v>#REF!</v>
      </c>
      <c r="AS96" s="38">
        <f t="shared" ref="AS96" si="147">AE96</f>
        <v>349000</v>
      </c>
      <c r="AT96" s="39" t="e">
        <f t="shared" ref="AT96" si="148">1-(AS96/AR96)</f>
        <v>#REF!</v>
      </c>
    </row>
    <row r="97" spans="2:46" s="39" customFormat="1" ht="27" customHeight="1">
      <c r="B97" s="286"/>
      <c r="C97" s="287"/>
      <c r="D97" s="283"/>
      <c r="E97" s="280"/>
      <c r="F97" s="175"/>
      <c r="G97" s="176"/>
      <c r="H97" s="296"/>
      <c r="I97" s="156" t="s">
        <v>92</v>
      </c>
      <c r="J97" s="123">
        <v>291000</v>
      </c>
      <c r="K97" s="124">
        <v>300000</v>
      </c>
      <c r="L97" s="124">
        <v>412000</v>
      </c>
      <c r="M97" s="124">
        <f t="shared" si="79"/>
        <v>112000</v>
      </c>
      <c r="N97" s="125">
        <f t="shared" si="80"/>
        <v>18000</v>
      </c>
      <c r="P97" s="123">
        <v>291000</v>
      </c>
      <c r="Q97" s="124">
        <v>300000</v>
      </c>
      <c r="R97" s="126">
        <v>412000</v>
      </c>
      <c r="S97" s="55"/>
      <c r="T97" s="123">
        <v>291000</v>
      </c>
      <c r="U97" s="127">
        <f t="shared" si="81"/>
        <v>0</v>
      </c>
      <c r="V97" s="128">
        <v>300000</v>
      </c>
      <c r="W97" s="129">
        <f t="shared" si="82"/>
        <v>0</v>
      </c>
      <c r="X97" s="130">
        <v>412000</v>
      </c>
      <c r="Y97" s="131">
        <f>1-(X97/L97)</f>
        <v>0</v>
      </c>
      <c r="Z97" s="128">
        <f t="shared" si="78"/>
        <v>75000</v>
      </c>
      <c r="AA97" s="132">
        <f t="shared" si="84"/>
        <v>0.3303571428571429</v>
      </c>
      <c r="AB97" s="130">
        <f t="shared" si="85"/>
        <v>3000</v>
      </c>
      <c r="AC97" s="133">
        <f t="shared" si="86"/>
        <v>0.83333333333333337</v>
      </c>
      <c r="AD97" s="55"/>
      <c r="AE97" s="120">
        <f t="shared" si="91"/>
        <v>369000</v>
      </c>
      <c r="AF97" s="82">
        <f t="shared" si="92"/>
        <v>378000</v>
      </c>
      <c r="AG97" s="136">
        <f t="shared" si="93"/>
        <v>490000</v>
      </c>
      <c r="AH97" s="84">
        <f t="shared" si="94"/>
        <v>53900</v>
      </c>
      <c r="AI97" s="85">
        <f t="shared" si="95"/>
        <v>436100</v>
      </c>
      <c r="AJ97" s="68"/>
      <c r="AL97" s="39">
        <f t="shared" si="87"/>
        <v>-121000</v>
      </c>
      <c r="AM97" s="39">
        <f t="shared" si="88"/>
        <v>-112000</v>
      </c>
      <c r="AR97" s="38" t="e">
        <f>J97+M97+#REF!+N97</f>
        <v>#REF!</v>
      </c>
      <c r="AS97" s="38">
        <f t="shared" si="89"/>
        <v>369000</v>
      </c>
      <c r="AT97" s="39" t="e">
        <f t="shared" si="90"/>
        <v>#REF!</v>
      </c>
    </row>
    <row r="98" spans="2:46" s="39" customFormat="1" ht="27" customHeight="1">
      <c r="B98" s="286"/>
      <c r="C98" s="287"/>
      <c r="D98" s="283"/>
      <c r="E98" s="280"/>
      <c r="F98" s="298" t="s">
        <v>28</v>
      </c>
      <c r="G98" s="279"/>
      <c r="H98" s="297" t="s">
        <v>18</v>
      </c>
      <c r="I98" s="182" t="s">
        <v>103</v>
      </c>
      <c r="J98" s="86">
        <v>248000</v>
      </c>
      <c r="K98" s="87">
        <v>256000</v>
      </c>
      <c r="L98" s="87">
        <v>348000</v>
      </c>
      <c r="M98" s="87">
        <f t="shared" si="79"/>
        <v>112000</v>
      </c>
      <c r="N98" s="88">
        <f t="shared" si="80"/>
        <v>18000</v>
      </c>
      <c r="P98" s="86">
        <v>248000</v>
      </c>
      <c r="Q98" s="87">
        <v>256000</v>
      </c>
      <c r="R98" s="89">
        <v>348000</v>
      </c>
      <c r="S98" s="1"/>
      <c r="T98" s="86">
        <f t="shared" ref="T98" si="149">P98-20000</f>
        <v>228000</v>
      </c>
      <c r="U98" s="90">
        <f t="shared" si="81"/>
        <v>8.064516129032262E-2</v>
      </c>
      <c r="V98" s="91">
        <f t="shared" ref="V98" si="150">Q98-20000</f>
        <v>236000</v>
      </c>
      <c r="W98" s="92">
        <f t="shared" si="82"/>
        <v>7.8125E-2</v>
      </c>
      <c r="X98" s="93">
        <f t="shared" ref="X98" si="151">R98-30000</f>
        <v>318000</v>
      </c>
      <c r="Y98" s="94">
        <f t="shared" si="83"/>
        <v>8.6206896551724088E-2</v>
      </c>
      <c r="Z98" s="91">
        <f t="shared" si="78"/>
        <v>75000</v>
      </c>
      <c r="AA98" s="95">
        <f t="shared" si="84"/>
        <v>0.3303571428571429</v>
      </c>
      <c r="AB98" s="93">
        <f t="shared" si="85"/>
        <v>3000</v>
      </c>
      <c r="AC98" s="96">
        <f t="shared" si="86"/>
        <v>0.83333333333333337</v>
      </c>
      <c r="AD98" s="55"/>
      <c r="AE98" s="121">
        <f t="shared" si="91"/>
        <v>306000</v>
      </c>
      <c r="AF98" s="98">
        <f t="shared" si="92"/>
        <v>314000</v>
      </c>
      <c r="AG98" s="99">
        <f t="shared" si="93"/>
        <v>396000</v>
      </c>
      <c r="AH98" s="100">
        <f t="shared" si="94"/>
        <v>43560</v>
      </c>
      <c r="AI98" s="101">
        <f t="shared" si="95"/>
        <v>352440</v>
      </c>
      <c r="AJ98" s="68"/>
      <c r="AL98" s="39">
        <f t="shared" si="87"/>
        <v>-90000</v>
      </c>
      <c r="AM98" s="39">
        <f t="shared" si="88"/>
        <v>-82000</v>
      </c>
      <c r="AR98" s="38" t="e">
        <f>J98+M98+#REF!+N98</f>
        <v>#REF!</v>
      </c>
      <c r="AS98" s="38">
        <f t="shared" si="89"/>
        <v>306000</v>
      </c>
      <c r="AT98" s="39" t="e">
        <f t="shared" si="90"/>
        <v>#REF!</v>
      </c>
    </row>
    <row r="99" spans="2:46" s="39" customFormat="1" ht="27" customHeight="1">
      <c r="B99" s="286"/>
      <c r="C99" s="287"/>
      <c r="D99" s="283"/>
      <c r="E99" s="280"/>
      <c r="F99" s="295"/>
      <c r="G99" s="280"/>
      <c r="H99" s="296"/>
      <c r="I99" s="182" t="s">
        <v>101</v>
      </c>
      <c r="J99" s="70">
        <v>248000</v>
      </c>
      <c r="K99" s="71">
        <v>256000</v>
      </c>
      <c r="L99" s="71">
        <v>348000</v>
      </c>
      <c r="M99" s="71">
        <f t="shared" si="79"/>
        <v>112000</v>
      </c>
      <c r="N99" s="72">
        <f t="shared" si="80"/>
        <v>18000</v>
      </c>
      <c r="P99" s="70">
        <v>248000</v>
      </c>
      <c r="Q99" s="71">
        <v>256000</v>
      </c>
      <c r="R99" s="73">
        <v>348000</v>
      </c>
      <c r="S99" s="1"/>
      <c r="T99" s="70">
        <f t="shared" ref="T99" si="152">P99-10000</f>
        <v>238000</v>
      </c>
      <c r="U99" s="74">
        <f t="shared" si="81"/>
        <v>4.0322580645161255E-2</v>
      </c>
      <c r="V99" s="75">
        <f t="shared" ref="V99" si="153">Q99-10000</f>
        <v>246000</v>
      </c>
      <c r="W99" s="76">
        <f t="shared" si="82"/>
        <v>3.90625E-2</v>
      </c>
      <c r="X99" s="77">
        <f t="shared" ref="X99" si="154">R99-20000</f>
        <v>328000</v>
      </c>
      <c r="Y99" s="78">
        <f t="shared" si="83"/>
        <v>5.7471264367816133E-2</v>
      </c>
      <c r="Z99" s="75">
        <f t="shared" si="78"/>
        <v>75000</v>
      </c>
      <c r="AA99" s="79">
        <f t="shared" si="84"/>
        <v>0.3303571428571429</v>
      </c>
      <c r="AB99" s="77">
        <f t="shared" si="85"/>
        <v>3000</v>
      </c>
      <c r="AC99" s="80">
        <f t="shared" si="86"/>
        <v>0.83333333333333337</v>
      </c>
      <c r="AD99" s="55"/>
      <c r="AE99" s="120">
        <f t="shared" si="91"/>
        <v>316000</v>
      </c>
      <c r="AF99" s="82">
        <f t="shared" si="92"/>
        <v>324000</v>
      </c>
      <c r="AG99" s="83">
        <f t="shared" si="93"/>
        <v>406000</v>
      </c>
      <c r="AH99" s="84">
        <f t="shared" si="94"/>
        <v>44660</v>
      </c>
      <c r="AI99" s="85">
        <f t="shared" si="95"/>
        <v>361340</v>
      </c>
      <c r="AJ99" s="68"/>
      <c r="AL99" s="39">
        <f t="shared" si="87"/>
        <v>-90000</v>
      </c>
      <c r="AM99" s="39">
        <f t="shared" si="88"/>
        <v>-82000</v>
      </c>
      <c r="AR99" s="38" t="e">
        <f>J99+M99+#REF!+N99</f>
        <v>#REF!</v>
      </c>
      <c r="AS99" s="38">
        <f t="shared" si="89"/>
        <v>316000</v>
      </c>
      <c r="AT99" s="39" t="e">
        <f t="shared" si="90"/>
        <v>#REF!</v>
      </c>
    </row>
    <row r="100" spans="2:46" s="39" customFormat="1" ht="27" customHeight="1">
      <c r="B100" s="286"/>
      <c r="C100" s="287"/>
      <c r="D100" s="283"/>
      <c r="E100" s="280"/>
      <c r="F100" s="295"/>
      <c r="G100" s="280"/>
      <c r="H100" s="296"/>
      <c r="I100" s="182" t="s">
        <v>108</v>
      </c>
      <c r="J100" s="70">
        <v>270000</v>
      </c>
      <c r="K100" s="71">
        <v>279000</v>
      </c>
      <c r="L100" s="71">
        <v>403000</v>
      </c>
      <c r="M100" s="71">
        <f t="shared" si="79"/>
        <v>112000</v>
      </c>
      <c r="N100" s="72">
        <f t="shared" si="80"/>
        <v>18000</v>
      </c>
      <c r="P100" s="70">
        <v>270000</v>
      </c>
      <c r="Q100" s="71">
        <v>279000</v>
      </c>
      <c r="R100" s="73">
        <v>403000</v>
      </c>
      <c r="S100" s="1"/>
      <c r="T100" s="70">
        <f t="shared" ref="T100" si="155">P100-20000</f>
        <v>250000</v>
      </c>
      <c r="U100" s="74">
        <f>1-(T100/J100)</f>
        <v>7.407407407407407E-2</v>
      </c>
      <c r="V100" s="75">
        <f t="shared" ref="V100" si="156">Q100-20000</f>
        <v>259000</v>
      </c>
      <c r="W100" s="76">
        <f>1-(V100/K100)</f>
        <v>7.1684587813620082E-2</v>
      </c>
      <c r="X100" s="77">
        <f t="shared" ref="X100" si="157">R100-30000</f>
        <v>373000</v>
      </c>
      <c r="Y100" s="78">
        <f t="shared" si="83"/>
        <v>7.4441687344913188E-2</v>
      </c>
      <c r="Z100" s="75">
        <f t="shared" si="78"/>
        <v>75000</v>
      </c>
      <c r="AA100" s="79">
        <f t="shared" si="84"/>
        <v>0.3303571428571429</v>
      </c>
      <c r="AB100" s="77">
        <f t="shared" si="85"/>
        <v>3000</v>
      </c>
      <c r="AC100" s="80">
        <f t="shared" si="86"/>
        <v>0.83333333333333337</v>
      </c>
      <c r="AD100" s="55"/>
      <c r="AE100" s="120">
        <f t="shared" si="91"/>
        <v>328000</v>
      </c>
      <c r="AF100" s="82">
        <f t="shared" si="92"/>
        <v>337000</v>
      </c>
      <c r="AG100" s="83">
        <f t="shared" si="93"/>
        <v>451000</v>
      </c>
      <c r="AH100" s="84">
        <f t="shared" si="94"/>
        <v>49610</v>
      </c>
      <c r="AI100" s="85">
        <f t="shared" si="95"/>
        <v>401390</v>
      </c>
      <c r="AJ100" s="68"/>
      <c r="AL100" s="39">
        <f t="shared" si="87"/>
        <v>-123000</v>
      </c>
      <c r="AM100" s="39">
        <f t="shared" si="88"/>
        <v>-114000</v>
      </c>
      <c r="AR100" s="38" t="e">
        <f>J100+M100+#REF!+N100</f>
        <v>#REF!</v>
      </c>
      <c r="AS100" s="38">
        <f t="shared" si="89"/>
        <v>328000</v>
      </c>
      <c r="AT100" s="39" t="e">
        <f t="shared" si="90"/>
        <v>#REF!</v>
      </c>
    </row>
    <row r="101" spans="2:46" s="39" customFormat="1" ht="27" customHeight="1">
      <c r="B101" s="286"/>
      <c r="C101" s="287"/>
      <c r="D101" s="283"/>
      <c r="E101" s="280"/>
      <c r="F101" s="295"/>
      <c r="G101" s="280"/>
      <c r="H101" s="296"/>
      <c r="I101" s="157" t="s">
        <v>115</v>
      </c>
      <c r="J101" s="123">
        <v>270000</v>
      </c>
      <c r="K101" s="124">
        <v>279000</v>
      </c>
      <c r="L101" s="124">
        <v>403000</v>
      </c>
      <c r="M101" s="124">
        <f t="shared" si="79"/>
        <v>112000</v>
      </c>
      <c r="N101" s="125">
        <f t="shared" si="80"/>
        <v>18000</v>
      </c>
      <c r="P101" s="123">
        <v>270000</v>
      </c>
      <c r="Q101" s="124">
        <v>279000</v>
      </c>
      <c r="R101" s="126">
        <v>403000</v>
      </c>
      <c r="S101" s="55"/>
      <c r="T101" s="123">
        <v>270000</v>
      </c>
      <c r="U101" s="127">
        <f>1-(T101/J101)</f>
        <v>0</v>
      </c>
      <c r="V101" s="128">
        <v>279000</v>
      </c>
      <c r="W101" s="129">
        <f>1-(V101/K101)</f>
        <v>0</v>
      </c>
      <c r="X101" s="130">
        <v>403000</v>
      </c>
      <c r="Y101" s="131">
        <f t="shared" ref="Y101" si="158">1-(X101/L101)</f>
        <v>0</v>
      </c>
      <c r="Z101" s="128">
        <f t="shared" si="78"/>
        <v>75000</v>
      </c>
      <c r="AA101" s="132">
        <f t="shared" ref="AA101" si="159">1-(Z101/M101)</f>
        <v>0.3303571428571429</v>
      </c>
      <c r="AB101" s="130">
        <f t="shared" si="85"/>
        <v>3000</v>
      </c>
      <c r="AC101" s="133">
        <f t="shared" ref="AC101" si="160">1-(AB101/N101)</f>
        <v>0.83333333333333337</v>
      </c>
      <c r="AD101" s="55"/>
      <c r="AE101" s="120">
        <f t="shared" si="91"/>
        <v>348000</v>
      </c>
      <c r="AF101" s="82">
        <f t="shared" si="92"/>
        <v>357000</v>
      </c>
      <c r="AG101" s="136">
        <f t="shared" si="93"/>
        <v>481000</v>
      </c>
      <c r="AH101" s="84">
        <f t="shared" si="94"/>
        <v>52910</v>
      </c>
      <c r="AI101" s="85">
        <f t="shared" si="95"/>
        <v>428090</v>
      </c>
      <c r="AJ101" s="68"/>
      <c r="AL101" s="39">
        <f t="shared" ref="AL101" si="161">AE101-AG101</f>
        <v>-133000</v>
      </c>
      <c r="AM101" s="39">
        <f t="shared" ref="AM101" si="162">AF101-AG101</f>
        <v>-124000</v>
      </c>
      <c r="AR101" s="38" t="e">
        <f>J101+M101+#REF!+N101</f>
        <v>#REF!</v>
      </c>
      <c r="AS101" s="38">
        <f t="shared" ref="AS101" si="163">AE101</f>
        <v>348000</v>
      </c>
      <c r="AT101" s="39" t="e">
        <f t="shared" ref="AT101" si="164">1-(AS101/AR101)</f>
        <v>#REF!</v>
      </c>
    </row>
    <row r="102" spans="2:46" s="39" customFormat="1" ht="27" customHeight="1">
      <c r="B102" s="286"/>
      <c r="C102" s="287"/>
      <c r="D102" s="283"/>
      <c r="E102" s="280"/>
      <c r="F102" s="295"/>
      <c r="G102" s="280"/>
      <c r="H102" s="296"/>
      <c r="I102" s="156" t="s">
        <v>92</v>
      </c>
      <c r="J102" s="123">
        <v>297000</v>
      </c>
      <c r="K102" s="124">
        <v>310000</v>
      </c>
      <c r="L102" s="124">
        <v>443000</v>
      </c>
      <c r="M102" s="124">
        <f t="shared" si="79"/>
        <v>112000</v>
      </c>
      <c r="N102" s="125">
        <f t="shared" si="80"/>
        <v>18000</v>
      </c>
      <c r="P102" s="123">
        <v>297000</v>
      </c>
      <c r="Q102" s="124">
        <v>310000</v>
      </c>
      <c r="R102" s="126">
        <v>443000</v>
      </c>
      <c r="S102" s="55"/>
      <c r="T102" s="123">
        <v>297000</v>
      </c>
      <c r="U102" s="127">
        <f>1-(T102/J102)</f>
        <v>0</v>
      </c>
      <c r="V102" s="128">
        <v>310000</v>
      </c>
      <c r="W102" s="129">
        <f>1-(V102/K102)</f>
        <v>0</v>
      </c>
      <c r="X102" s="130">
        <v>443000</v>
      </c>
      <c r="Y102" s="131">
        <f t="shared" si="83"/>
        <v>0</v>
      </c>
      <c r="Z102" s="128">
        <f t="shared" ref="Z102:Z117" si="165">25000*3</f>
        <v>75000</v>
      </c>
      <c r="AA102" s="132">
        <f t="shared" si="84"/>
        <v>0.3303571428571429</v>
      </c>
      <c r="AB102" s="130">
        <f t="shared" si="85"/>
        <v>3000</v>
      </c>
      <c r="AC102" s="133">
        <f t="shared" si="86"/>
        <v>0.83333333333333337</v>
      </c>
      <c r="AD102" s="55"/>
      <c r="AE102" s="120">
        <f t="shared" si="91"/>
        <v>375000</v>
      </c>
      <c r="AF102" s="82">
        <f t="shared" si="92"/>
        <v>388000</v>
      </c>
      <c r="AG102" s="136">
        <f t="shared" si="93"/>
        <v>521000</v>
      </c>
      <c r="AH102" s="84">
        <f t="shared" si="94"/>
        <v>57310</v>
      </c>
      <c r="AI102" s="85">
        <f t="shared" si="95"/>
        <v>463690</v>
      </c>
      <c r="AJ102" s="68"/>
      <c r="AL102" s="39">
        <f t="shared" si="87"/>
        <v>-146000</v>
      </c>
      <c r="AM102" s="39">
        <f t="shared" si="88"/>
        <v>-133000</v>
      </c>
      <c r="AR102" s="38" t="e">
        <f>J102+M102+#REF!+N102</f>
        <v>#REF!</v>
      </c>
      <c r="AS102" s="38">
        <f t="shared" si="89"/>
        <v>375000</v>
      </c>
      <c r="AT102" s="39" t="e">
        <f t="shared" si="90"/>
        <v>#REF!</v>
      </c>
    </row>
    <row r="103" spans="2:46" s="39" customFormat="1" ht="27" customHeight="1">
      <c r="B103" s="286"/>
      <c r="C103" s="287"/>
      <c r="D103" s="283"/>
      <c r="E103" s="280"/>
      <c r="F103" s="295"/>
      <c r="G103" s="280"/>
      <c r="H103" s="297" t="s">
        <v>25</v>
      </c>
      <c r="I103" s="182" t="s">
        <v>103</v>
      </c>
      <c r="J103" s="86">
        <v>303000</v>
      </c>
      <c r="K103" s="87">
        <v>311000</v>
      </c>
      <c r="L103" s="87">
        <v>403000</v>
      </c>
      <c r="M103" s="87">
        <f t="shared" si="79"/>
        <v>112000</v>
      </c>
      <c r="N103" s="88">
        <f t="shared" si="80"/>
        <v>18000</v>
      </c>
      <c r="P103" s="86">
        <v>303000</v>
      </c>
      <c r="Q103" s="87">
        <v>311000</v>
      </c>
      <c r="R103" s="89">
        <v>403000</v>
      </c>
      <c r="S103" s="1"/>
      <c r="T103" s="86">
        <f t="shared" ref="T103" si="166">P103-20000</f>
        <v>283000</v>
      </c>
      <c r="U103" s="90">
        <f t="shared" si="81"/>
        <v>6.6006600660066028E-2</v>
      </c>
      <c r="V103" s="91">
        <f t="shared" ref="V103" si="167">Q103-20000</f>
        <v>291000</v>
      </c>
      <c r="W103" s="92">
        <f t="shared" si="82"/>
        <v>6.4308681672025747E-2</v>
      </c>
      <c r="X103" s="93">
        <f t="shared" ref="X103" si="168">R103-30000</f>
        <v>373000</v>
      </c>
      <c r="Y103" s="94">
        <f t="shared" si="83"/>
        <v>7.4441687344913188E-2</v>
      </c>
      <c r="Z103" s="91">
        <f t="shared" si="165"/>
        <v>75000</v>
      </c>
      <c r="AA103" s="95">
        <f t="shared" si="84"/>
        <v>0.3303571428571429</v>
      </c>
      <c r="AB103" s="93">
        <f t="shared" si="85"/>
        <v>3000</v>
      </c>
      <c r="AC103" s="96">
        <f t="shared" si="86"/>
        <v>0.83333333333333337</v>
      </c>
      <c r="AD103" s="55"/>
      <c r="AE103" s="121">
        <f t="shared" si="91"/>
        <v>361000</v>
      </c>
      <c r="AF103" s="98">
        <f t="shared" si="92"/>
        <v>369000</v>
      </c>
      <c r="AG103" s="99">
        <f t="shared" si="93"/>
        <v>451000</v>
      </c>
      <c r="AH103" s="100">
        <f t="shared" si="94"/>
        <v>49610</v>
      </c>
      <c r="AI103" s="101">
        <f t="shared" si="95"/>
        <v>401390</v>
      </c>
      <c r="AJ103" s="68"/>
      <c r="AL103" s="39">
        <f t="shared" si="87"/>
        <v>-90000</v>
      </c>
      <c r="AM103" s="39">
        <f t="shared" si="88"/>
        <v>-82000</v>
      </c>
      <c r="AR103" s="38" t="e">
        <f>J103+M103+#REF!+N103</f>
        <v>#REF!</v>
      </c>
      <c r="AS103" s="38">
        <f t="shared" si="89"/>
        <v>361000</v>
      </c>
      <c r="AT103" s="39" t="e">
        <f t="shared" si="90"/>
        <v>#REF!</v>
      </c>
    </row>
    <row r="104" spans="2:46" s="39" customFormat="1" ht="27" customHeight="1">
      <c r="B104" s="286"/>
      <c r="C104" s="287"/>
      <c r="D104" s="283"/>
      <c r="E104" s="280"/>
      <c r="F104" s="295"/>
      <c r="G104" s="280"/>
      <c r="H104" s="296"/>
      <c r="I104" s="182" t="s">
        <v>101</v>
      </c>
      <c r="J104" s="70">
        <v>303000</v>
      </c>
      <c r="K104" s="71">
        <v>311000</v>
      </c>
      <c r="L104" s="71">
        <v>403000</v>
      </c>
      <c r="M104" s="71">
        <f t="shared" si="79"/>
        <v>112000</v>
      </c>
      <c r="N104" s="72">
        <f t="shared" si="80"/>
        <v>18000</v>
      </c>
      <c r="P104" s="70">
        <v>303000</v>
      </c>
      <c r="Q104" s="71">
        <v>311000</v>
      </c>
      <c r="R104" s="73">
        <v>403000</v>
      </c>
      <c r="S104" s="1"/>
      <c r="T104" s="70">
        <f t="shared" ref="T104" si="169">P104-10000</f>
        <v>293000</v>
      </c>
      <c r="U104" s="74">
        <f t="shared" si="81"/>
        <v>3.3003300330032959E-2</v>
      </c>
      <c r="V104" s="75">
        <f t="shared" ref="V104" si="170">Q104-10000</f>
        <v>301000</v>
      </c>
      <c r="W104" s="76">
        <f t="shared" si="82"/>
        <v>3.2154340836012874E-2</v>
      </c>
      <c r="X104" s="77">
        <f t="shared" ref="X104" si="171">R104-20000</f>
        <v>383000</v>
      </c>
      <c r="Y104" s="78">
        <f t="shared" si="83"/>
        <v>4.9627791563275458E-2</v>
      </c>
      <c r="Z104" s="75">
        <f t="shared" si="165"/>
        <v>75000</v>
      </c>
      <c r="AA104" s="79">
        <f t="shared" si="84"/>
        <v>0.3303571428571429</v>
      </c>
      <c r="AB104" s="77">
        <f t="shared" si="85"/>
        <v>3000</v>
      </c>
      <c r="AC104" s="80">
        <f t="shared" si="86"/>
        <v>0.83333333333333337</v>
      </c>
      <c r="AD104" s="55"/>
      <c r="AE104" s="120">
        <f t="shared" si="91"/>
        <v>371000</v>
      </c>
      <c r="AF104" s="82">
        <f t="shared" si="92"/>
        <v>379000</v>
      </c>
      <c r="AG104" s="83">
        <f t="shared" si="93"/>
        <v>461000</v>
      </c>
      <c r="AH104" s="84">
        <f t="shared" si="94"/>
        <v>50710</v>
      </c>
      <c r="AI104" s="85">
        <f t="shared" si="95"/>
        <v>410290</v>
      </c>
      <c r="AJ104" s="68"/>
      <c r="AL104" s="39">
        <f t="shared" si="87"/>
        <v>-90000</v>
      </c>
      <c r="AM104" s="39">
        <f t="shared" si="88"/>
        <v>-82000</v>
      </c>
      <c r="AR104" s="38" t="e">
        <f>J104+M104+#REF!+N104</f>
        <v>#REF!</v>
      </c>
      <c r="AS104" s="38">
        <f t="shared" si="89"/>
        <v>371000</v>
      </c>
      <c r="AT104" s="39" t="e">
        <f t="shared" si="90"/>
        <v>#REF!</v>
      </c>
    </row>
    <row r="105" spans="2:46" s="39" customFormat="1" ht="27" customHeight="1">
      <c r="B105" s="286"/>
      <c r="C105" s="287"/>
      <c r="D105" s="283"/>
      <c r="E105" s="280"/>
      <c r="F105" s="295"/>
      <c r="G105" s="280"/>
      <c r="H105" s="296"/>
      <c r="I105" s="156" t="s">
        <v>108</v>
      </c>
      <c r="J105" s="123">
        <v>325000</v>
      </c>
      <c r="K105" s="124">
        <v>334000</v>
      </c>
      <c r="L105" s="124">
        <v>458000</v>
      </c>
      <c r="M105" s="124">
        <f t="shared" si="79"/>
        <v>112000</v>
      </c>
      <c r="N105" s="125">
        <f t="shared" si="80"/>
        <v>18000</v>
      </c>
      <c r="P105" s="123">
        <v>325000</v>
      </c>
      <c r="Q105" s="124">
        <v>334000</v>
      </c>
      <c r="R105" s="126">
        <v>458000</v>
      </c>
      <c r="S105" s="1"/>
      <c r="T105" s="123">
        <f t="shared" ref="T105" si="172">P105-20000</f>
        <v>305000</v>
      </c>
      <c r="U105" s="127">
        <f>1-(T105/J105)</f>
        <v>6.1538461538461542E-2</v>
      </c>
      <c r="V105" s="128">
        <f t="shared" ref="V105" si="173">Q105-20000</f>
        <v>314000</v>
      </c>
      <c r="W105" s="129">
        <f>1-(V105/K105)</f>
        <v>5.9880239520958112E-2</v>
      </c>
      <c r="X105" s="130">
        <f t="shared" ref="X105" si="174">R105-30000</f>
        <v>428000</v>
      </c>
      <c r="Y105" s="131">
        <f t="shared" si="83"/>
        <v>6.5502183406113579E-2</v>
      </c>
      <c r="Z105" s="128">
        <f t="shared" si="165"/>
        <v>75000</v>
      </c>
      <c r="AA105" s="132">
        <f t="shared" si="84"/>
        <v>0.3303571428571429</v>
      </c>
      <c r="AB105" s="130">
        <f t="shared" si="85"/>
        <v>3000</v>
      </c>
      <c r="AC105" s="133">
        <f t="shared" si="86"/>
        <v>0.83333333333333337</v>
      </c>
      <c r="AD105" s="55"/>
      <c r="AE105" s="134">
        <f t="shared" si="91"/>
        <v>383000</v>
      </c>
      <c r="AF105" s="135">
        <f t="shared" si="92"/>
        <v>392000</v>
      </c>
      <c r="AG105" s="136">
        <f t="shared" si="93"/>
        <v>506000</v>
      </c>
      <c r="AH105" s="137">
        <f t="shared" si="94"/>
        <v>55660</v>
      </c>
      <c r="AI105" s="138">
        <f t="shared" si="95"/>
        <v>450340</v>
      </c>
      <c r="AJ105" s="68"/>
      <c r="AL105" s="39">
        <f t="shared" si="87"/>
        <v>-123000</v>
      </c>
      <c r="AM105" s="39">
        <f t="shared" si="88"/>
        <v>-114000</v>
      </c>
      <c r="AR105" s="38" t="e">
        <f>J105+M105+#REF!+N105</f>
        <v>#REF!</v>
      </c>
      <c r="AS105" s="38">
        <f t="shared" si="89"/>
        <v>383000</v>
      </c>
      <c r="AT105" s="39" t="e">
        <f t="shared" si="90"/>
        <v>#REF!</v>
      </c>
    </row>
    <row r="106" spans="2:46" s="39" customFormat="1" ht="27" customHeight="1">
      <c r="B106" s="286"/>
      <c r="C106" s="287"/>
      <c r="D106" s="283"/>
      <c r="E106" s="280"/>
      <c r="F106" s="175"/>
      <c r="G106" s="176"/>
      <c r="H106" s="296"/>
      <c r="I106" s="157" t="s">
        <v>115</v>
      </c>
      <c r="J106" s="123">
        <v>325000</v>
      </c>
      <c r="K106" s="124">
        <v>334000</v>
      </c>
      <c r="L106" s="124">
        <v>458000</v>
      </c>
      <c r="M106" s="124">
        <f t="shared" si="79"/>
        <v>112000</v>
      </c>
      <c r="N106" s="125">
        <f t="shared" si="80"/>
        <v>18000</v>
      </c>
      <c r="P106" s="123">
        <v>325000</v>
      </c>
      <c r="Q106" s="124">
        <v>334000</v>
      </c>
      <c r="R106" s="126">
        <v>458000</v>
      </c>
      <c r="S106" s="55"/>
      <c r="T106" s="123">
        <v>325000</v>
      </c>
      <c r="U106" s="127">
        <f>1-(T106/J106)</f>
        <v>0</v>
      </c>
      <c r="V106" s="128">
        <v>334000</v>
      </c>
      <c r="W106" s="129">
        <f>1-(V106/K106)</f>
        <v>0</v>
      </c>
      <c r="X106" s="130">
        <v>458000</v>
      </c>
      <c r="Y106" s="131">
        <f t="shared" ref="Y106" si="175">1-(X106/L106)</f>
        <v>0</v>
      </c>
      <c r="Z106" s="128">
        <f t="shared" si="165"/>
        <v>75000</v>
      </c>
      <c r="AA106" s="132">
        <f t="shared" ref="AA106" si="176">1-(Z106/M106)</f>
        <v>0.3303571428571429</v>
      </c>
      <c r="AB106" s="130">
        <f t="shared" si="85"/>
        <v>3000</v>
      </c>
      <c r="AC106" s="133">
        <f t="shared" ref="AC106" si="177">1-(AB106/N106)</f>
        <v>0.83333333333333337</v>
      </c>
      <c r="AD106" s="55"/>
      <c r="AE106" s="120">
        <f t="shared" si="91"/>
        <v>403000</v>
      </c>
      <c r="AF106" s="82">
        <f t="shared" si="92"/>
        <v>412000</v>
      </c>
      <c r="AG106" s="136">
        <f t="shared" si="93"/>
        <v>536000</v>
      </c>
      <c r="AH106" s="84">
        <f t="shared" si="94"/>
        <v>58960</v>
      </c>
      <c r="AI106" s="85">
        <f t="shared" si="95"/>
        <v>477040</v>
      </c>
      <c r="AJ106" s="68"/>
      <c r="AL106" s="39">
        <f t="shared" ref="AL106" si="178">AE106-AG106</f>
        <v>-133000</v>
      </c>
      <c r="AM106" s="39">
        <f t="shared" ref="AM106" si="179">AF106-AG106</f>
        <v>-124000</v>
      </c>
      <c r="AR106" s="38" t="e">
        <f>J106+M106+#REF!+N106</f>
        <v>#REF!</v>
      </c>
      <c r="AS106" s="38">
        <f t="shared" ref="AS106" si="180">AE106</f>
        <v>403000</v>
      </c>
      <c r="AT106" s="39" t="e">
        <f t="shared" ref="AT106" si="181">1-(AS106/AR106)</f>
        <v>#REF!</v>
      </c>
    </row>
    <row r="107" spans="2:46" s="39" customFormat="1" ht="27" customHeight="1">
      <c r="B107" s="286"/>
      <c r="C107" s="287"/>
      <c r="D107" s="283"/>
      <c r="E107" s="280"/>
      <c r="F107" s="175"/>
      <c r="G107" s="176"/>
      <c r="H107" s="296"/>
      <c r="I107" s="156" t="s">
        <v>92</v>
      </c>
      <c r="J107" s="123">
        <v>352000</v>
      </c>
      <c r="K107" s="124">
        <v>365000</v>
      </c>
      <c r="L107" s="124">
        <v>498000</v>
      </c>
      <c r="M107" s="124">
        <f t="shared" si="79"/>
        <v>112000</v>
      </c>
      <c r="N107" s="125">
        <f t="shared" si="80"/>
        <v>18000</v>
      </c>
      <c r="P107" s="123">
        <v>352000</v>
      </c>
      <c r="Q107" s="124">
        <v>365000</v>
      </c>
      <c r="R107" s="126">
        <v>498000</v>
      </c>
      <c r="S107" s="55"/>
      <c r="T107" s="123">
        <v>352000</v>
      </c>
      <c r="U107" s="127">
        <f>1-(T107/J107)</f>
        <v>0</v>
      </c>
      <c r="V107" s="128">
        <v>365000</v>
      </c>
      <c r="W107" s="129">
        <f>1-(V107/K107)</f>
        <v>0</v>
      </c>
      <c r="X107" s="130">
        <v>498000</v>
      </c>
      <c r="Y107" s="131">
        <f t="shared" si="83"/>
        <v>0</v>
      </c>
      <c r="Z107" s="128">
        <f t="shared" si="165"/>
        <v>75000</v>
      </c>
      <c r="AA107" s="132">
        <f t="shared" si="84"/>
        <v>0.3303571428571429</v>
      </c>
      <c r="AB107" s="130">
        <f t="shared" si="85"/>
        <v>3000</v>
      </c>
      <c r="AC107" s="133">
        <f t="shared" si="86"/>
        <v>0.83333333333333337</v>
      </c>
      <c r="AD107" s="55"/>
      <c r="AE107" s="120">
        <f t="shared" si="91"/>
        <v>430000</v>
      </c>
      <c r="AF107" s="82">
        <f t="shared" si="92"/>
        <v>443000</v>
      </c>
      <c r="AG107" s="136">
        <f t="shared" si="93"/>
        <v>576000</v>
      </c>
      <c r="AH107" s="84">
        <f t="shared" si="94"/>
        <v>63360</v>
      </c>
      <c r="AI107" s="85">
        <f t="shared" si="95"/>
        <v>512640</v>
      </c>
      <c r="AJ107" s="68"/>
      <c r="AL107" s="39">
        <f t="shared" si="87"/>
        <v>-146000</v>
      </c>
      <c r="AM107" s="39">
        <f t="shared" si="88"/>
        <v>-133000</v>
      </c>
      <c r="AR107" s="38" t="e">
        <f>J107+M107+#REF!+N107</f>
        <v>#REF!</v>
      </c>
      <c r="AS107" s="38">
        <f t="shared" si="89"/>
        <v>430000</v>
      </c>
      <c r="AT107" s="39" t="e">
        <f t="shared" si="90"/>
        <v>#REF!</v>
      </c>
    </row>
    <row r="108" spans="2:46" s="39" customFormat="1" ht="27" customHeight="1">
      <c r="B108" s="286"/>
      <c r="C108" s="287"/>
      <c r="D108" s="283"/>
      <c r="E108" s="280"/>
      <c r="F108" s="282" t="s">
        <v>55</v>
      </c>
      <c r="G108" s="279"/>
      <c r="H108" s="279" t="s">
        <v>18</v>
      </c>
      <c r="I108" s="182" t="s">
        <v>103</v>
      </c>
      <c r="J108" s="86">
        <v>263000</v>
      </c>
      <c r="K108" s="87">
        <v>272000</v>
      </c>
      <c r="L108" s="87">
        <v>373000</v>
      </c>
      <c r="M108" s="87">
        <f t="shared" si="79"/>
        <v>112000</v>
      </c>
      <c r="N108" s="88">
        <f t="shared" si="80"/>
        <v>18000</v>
      </c>
      <c r="P108" s="86">
        <v>263000</v>
      </c>
      <c r="Q108" s="87">
        <v>272000</v>
      </c>
      <c r="R108" s="89">
        <v>373000</v>
      </c>
      <c r="S108" s="1"/>
      <c r="T108" s="86">
        <f t="shared" ref="T108" si="182">P108-20000</f>
        <v>243000</v>
      </c>
      <c r="U108" s="90">
        <f t="shared" si="81"/>
        <v>7.6045627376425839E-2</v>
      </c>
      <c r="V108" s="91">
        <f t="shared" ref="V108" si="183">Q108-20000</f>
        <v>252000</v>
      </c>
      <c r="W108" s="92">
        <f t="shared" si="82"/>
        <v>7.3529411764705843E-2</v>
      </c>
      <c r="X108" s="93">
        <f t="shared" ref="X108" si="184">R108-30000</f>
        <v>343000</v>
      </c>
      <c r="Y108" s="94">
        <f t="shared" si="83"/>
        <v>8.0428954423592547E-2</v>
      </c>
      <c r="Z108" s="91">
        <f t="shared" si="165"/>
        <v>75000</v>
      </c>
      <c r="AA108" s="95">
        <f t="shared" si="84"/>
        <v>0.3303571428571429</v>
      </c>
      <c r="AB108" s="93">
        <f t="shared" si="85"/>
        <v>3000</v>
      </c>
      <c r="AC108" s="96">
        <f t="shared" si="86"/>
        <v>0.83333333333333337</v>
      </c>
      <c r="AD108" s="55"/>
      <c r="AE108" s="121">
        <f t="shared" si="91"/>
        <v>321000</v>
      </c>
      <c r="AF108" s="98">
        <f t="shared" si="92"/>
        <v>330000</v>
      </c>
      <c r="AG108" s="99">
        <f t="shared" si="93"/>
        <v>421000</v>
      </c>
      <c r="AH108" s="100">
        <f t="shared" si="94"/>
        <v>46310</v>
      </c>
      <c r="AI108" s="101">
        <f t="shared" si="95"/>
        <v>374690</v>
      </c>
      <c r="AJ108" s="68"/>
      <c r="AL108" s="39">
        <f t="shared" si="87"/>
        <v>-100000</v>
      </c>
      <c r="AM108" s="39">
        <f t="shared" si="88"/>
        <v>-91000</v>
      </c>
      <c r="AR108" s="38" t="e">
        <f>J108+M108+#REF!+N108</f>
        <v>#REF!</v>
      </c>
      <c r="AS108" s="38">
        <f t="shared" si="89"/>
        <v>321000</v>
      </c>
      <c r="AT108" s="39" t="e">
        <f t="shared" si="90"/>
        <v>#REF!</v>
      </c>
    </row>
    <row r="109" spans="2:46" s="39" customFormat="1" ht="27" customHeight="1">
      <c r="B109" s="286"/>
      <c r="C109" s="287"/>
      <c r="D109" s="283"/>
      <c r="E109" s="280"/>
      <c r="F109" s="283"/>
      <c r="G109" s="280"/>
      <c r="H109" s="280"/>
      <c r="I109" s="182" t="s">
        <v>101</v>
      </c>
      <c r="J109" s="70">
        <v>263000</v>
      </c>
      <c r="K109" s="71">
        <v>272000</v>
      </c>
      <c r="L109" s="71">
        <v>373000</v>
      </c>
      <c r="M109" s="71">
        <f t="shared" si="79"/>
        <v>112000</v>
      </c>
      <c r="N109" s="72">
        <f t="shared" si="80"/>
        <v>18000</v>
      </c>
      <c r="P109" s="70">
        <v>263000</v>
      </c>
      <c r="Q109" s="71">
        <v>272000</v>
      </c>
      <c r="R109" s="73">
        <v>373000</v>
      </c>
      <c r="S109" s="1"/>
      <c r="T109" s="70">
        <f t="shared" ref="T109" si="185">P109-10000</f>
        <v>253000</v>
      </c>
      <c r="U109" s="74">
        <f t="shared" si="81"/>
        <v>3.802281368821292E-2</v>
      </c>
      <c r="V109" s="75">
        <f t="shared" ref="V109" si="186">Q109-10000</f>
        <v>262000</v>
      </c>
      <c r="W109" s="76">
        <f t="shared" si="82"/>
        <v>3.6764705882352922E-2</v>
      </c>
      <c r="X109" s="77">
        <f t="shared" ref="X109" si="187">R109-20000</f>
        <v>353000</v>
      </c>
      <c r="Y109" s="78">
        <f t="shared" si="83"/>
        <v>5.3619302949061698E-2</v>
      </c>
      <c r="Z109" s="75">
        <f t="shared" si="165"/>
        <v>75000</v>
      </c>
      <c r="AA109" s="79">
        <f t="shared" si="84"/>
        <v>0.3303571428571429</v>
      </c>
      <c r="AB109" s="77">
        <f t="shared" si="85"/>
        <v>3000</v>
      </c>
      <c r="AC109" s="80">
        <f t="shared" si="86"/>
        <v>0.83333333333333337</v>
      </c>
      <c r="AD109" s="55"/>
      <c r="AE109" s="120">
        <f t="shared" si="91"/>
        <v>331000</v>
      </c>
      <c r="AF109" s="82">
        <f t="shared" si="92"/>
        <v>340000</v>
      </c>
      <c r="AG109" s="83">
        <f t="shared" si="93"/>
        <v>431000</v>
      </c>
      <c r="AH109" s="84">
        <f t="shared" si="94"/>
        <v>47410</v>
      </c>
      <c r="AI109" s="85">
        <f t="shared" si="95"/>
        <v>383590</v>
      </c>
      <c r="AJ109" s="68"/>
      <c r="AL109" s="39">
        <f t="shared" si="87"/>
        <v>-100000</v>
      </c>
      <c r="AM109" s="39">
        <f t="shared" si="88"/>
        <v>-91000</v>
      </c>
      <c r="AR109" s="38" t="e">
        <f>J109+M109+#REF!+N109</f>
        <v>#REF!</v>
      </c>
      <c r="AS109" s="38">
        <f t="shared" si="89"/>
        <v>331000</v>
      </c>
      <c r="AT109" s="39" t="e">
        <f t="shared" si="90"/>
        <v>#REF!</v>
      </c>
    </row>
    <row r="110" spans="2:46" s="39" customFormat="1" ht="27" customHeight="1">
      <c r="B110" s="286"/>
      <c r="C110" s="287"/>
      <c r="D110" s="283"/>
      <c r="E110" s="280"/>
      <c r="F110" s="283"/>
      <c r="G110" s="280"/>
      <c r="H110" s="280"/>
      <c r="I110" s="182" t="s">
        <v>108</v>
      </c>
      <c r="J110" s="70">
        <v>286000</v>
      </c>
      <c r="K110" s="71">
        <v>294000</v>
      </c>
      <c r="L110" s="71">
        <v>428000</v>
      </c>
      <c r="M110" s="71">
        <f t="shared" si="79"/>
        <v>112000</v>
      </c>
      <c r="N110" s="72">
        <f t="shared" si="80"/>
        <v>18000</v>
      </c>
      <c r="P110" s="70">
        <v>286000</v>
      </c>
      <c r="Q110" s="71">
        <v>294000</v>
      </c>
      <c r="R110" s="73">
        <v>428000</v>
      </c>
      <c r="S110" s="1"/>
      <c r="T110" s="70">
        <v>286000</v>
      </c>
      <c r="U110" s="74">
        <f t="shared" si="81"/>
        <v>0</v>
      </c>
      <c r="V110" s="75">
        <v>294000</v>
      </c>
      <c r="W110" s="76">
        <f t="shared" si="82"/>
        <v>0</v>
      </c>
      <c r="X110" s="77">
        <f t="shared" ref="X110" si="188">R110-30000</f>
        <v>398000</v>
      </c>
      <c r="Y110" s="78">
        <f t="shared" si="83"/>
        <v>7.0093457943925186E-2</v>
      </c>
      <c r="Z110" s="75">
        <f t="shared" si="165"/>
        <v>75000</v>
      </c>
      <c r="AA110" s="79">
        <f t="shared" si="84"/>
        <v>0.3303571428571429</v>
      </c>
      <c r="AB110" s="77">
        <f t="shared" si="85"/>
        <v>3000</v>
      </c>
      <c r="AC110" s="80">
        <f t="shared" si="86"/>
        <v>0.83333333333333337</v>
      </c>
      <c r="AD110" s="55"/>
      <c r="AE110" s="120">
        <f t="shared" si="91"/>
        <v>364000</v>
      </c>
      <c r="AF110" s="82">
        <f t="shared" si="92"/>
        <v>372000</v>
      </c>
      <c r="AG110" s="83">
        <f t="shared" si="93"/>
        <v>476000</v>
      </c>
      <c r="AH110" s="84">
        <f t="shared" si="94"/>
        <v>52360</v>
      </c>
      <c r="AI110" s="85">
        <f t="shared" si="95"/>
        <v>423640</v>
      </c>
      <c r="AJ110" s="68"/>
      <c r="AL110" s="39">
        <f t="shared" si="87"/>
        <v>-112000</v>
      </c>
      <c r="AM110" s="39">
        <f t="shared" si="88"/>
        <v>-104000</v>
      </c>
      <c r="AR110" s="38" t="e">
        <f>J110+M110+#REF!+N110</f>
        <v>#REF!</v>
      </c>
      <c r="AS110" s="38">
        <f t="shared" si="89"/>
        <v>364000</v>
      </c>
      <c r="AT110" s="39" t="e">
        <f t="shared" si="90"/>
        <v>#REF!</v>
      </c>
    </row>
    <row r="111" spans="2:46" s="39" customFormat="1" ht="27" customHeight="1">
      <c r="B111" s="286"/>
      <c r="C111" s="287"/>
      <c r="D111" s="283"/>
      <c r="E111" s="280"/>
      <c r="F111" s="283"/>
      <c r="G111" s="280"/>
      <c r="H111" s="280"/>
      <c r="I111" s="157" t="s">
        <v>115</v>
      </c>
      <c r="J111" s="123">
        <v>286000</v>
      </c>
      <c r="K111" s="124">
        <v>294000</v>
      </c>
      <c r="L111" s="124">
        <v>428000</v>
      </c>
      <c r="M111" s="124">
        <f t="shared" si="79"/>
        <v>112000</v>
      </c>
      <c r="N111" s="125">
        <f t="shared" si="80"/>
        <v>18000</v>
      </c>
      <c r="P111" s="123">
        <v>286000</v>
      </c>
      <c r="Q111" s="124">
        <v>294000</v>
      </c>
      <c r="R111" s="126">
        <v>428000</v>
      </c>
      <c r="S111" s="55"/>
      <c r="T111" s="123">
        <v>286000</v>
      </c>
      <c r="U111" s="127">
        <f t="shared" ref="U111" si="189">1-(T111/J111)</f>
        <v>0</v>
      </c>
      <c r="V111" s="128">
        <v>294000</v>
      </c>
      <c r="W111" s="129">
        <f t="shared" ref="W111" si="190">1-(V111/K111)</f>
        <v>0</v>
      </c>
      <c r="X111" s="130">
        <v>428000</v>
      </c>
      <c r="Y111" s="131">
        <f t="shared" ref="Y111" si="191">1-(X111/L111)</f>
        <v>0</v>
      </c>
      <c r="Z111" s="128">
        <f t="shared" si="165"/>
        <v>75000</v>
      </c>
      <c r="AA111" s="132">
        <f t="shared" ref="AA111" si="192">1-(Z111/M111)</f>
        <v>0.3303571428571429</v>
      </c>
      <c r="AB111" s="130">
        <f t="shared" si="85"/>
        <v>3000</v>
      </c>
      <c r="AC111" s="133">
        <f t="shared" ref="AC111" si="193">1-(AB111/N111)</f>
        <v>0.83333333333333337</v>
      </c>
      <c r="AD111" s="55"/>
      <c r="AE111" s="120">
        <f t="shared" si="91"/>
        <v>364000</v>
      </c>
      <c r="AF111" s="82">
        <f t="shared" si="92"/>
        <v>372000</v>
      </c>
      <c r="AG111" s="136">
        <f t="shared" si="93"/>
        <v>506000</v>
      </c>
      <c r="AH111" s="84">
        <f t="shared" si="94"/>
        <v>55660</v>
      </c>
      <c r="AI111" s="85">
        <f t="shared" si="95"/>
        <v>450340</v>
      </c>
      <c r="AJ111" s="68"/>
      <c r="AL111" s="39">
        <f t="shared" ref="AL111" si="194">AE111-AG111</f>
        <v>-142000</v>
      </c>
      <c r="AM111" s="39">
        <f t="shared" ref="AM111" si="195">AF111-AG111</f>
        <v>-134000</v>
      </c>
      <c r="AR111" s="38" t="e">
        <f>J111+M111+#REF!+N111</f>
        <v>#REF!</v>
      </c>
      <c r="AS111" s="38">
        <f t="shared" ref="AS111" si="196">AE111</f>
        <v>364000</v>
      </c>
      <c r="AT111" s="39" t="e">
        <f t="shared" ref="AT111" si="197">1-(AS111/AR111)</f>
        <v>#REF!</v>
      </c>
    </row>
    <row r="112" spans="2:46" s="39" customFormat="1" ht="27" customHeight="1">
      <c r="B112" s="286"/>
      <c r="C112" s="287"/>
      <c r="D112" s="283"/>
      <c r="E112" s="280"/>
      <c r="F112" s="283"/>
      <c r="G112" s="280"/>
      <c r="H112" s="280"/>
      <c r="I112" s="156" t="s">
        <v>92</v>
      </c>
      <c r="J112" s="123">
        <v>311000</v>
      </c>
      <c r="K112" s="124">
        <v>323000</v>
      </c>
      <c r="L112" s="124">
        <v>478000</v>
      </c>
      <c r="M112" s="124">
        <f t="shared" si="79"/>
        <v>112000</v>
      </c>
      <c r="N112" s="125">
        <f t="shared" si="80"/>
        <v>18000</v>
      </c>
      <c r="P112" s="123">
        <v>311000</v>
      </c>
      <c r="Q112" s="124">
        <v>323000</v>
      </c>
      <c r="R112" s="126">
        <v>478000</v>
      </c>
      <c r="S112" s="55"/>
      <c r="T112" s="123">
        <v>311000</v>
      </c>
      <c r="U112" s="127">
        <f t="shared" si="81"/>
        <v>0</v>
      </c>
      <c r="V112" s="128">
        <v>323000</v>
      </c>
      <c r="W112" s="129">
        <f t="shared" si="82"/>
        <v>0</v>
      </c>
      <c r="X112" s="130">
        <v>478000</v>
      </c>
      <c r="Y112" s="131">
        <f t="shared" si="83"/>
        <v>0</v>
      </c>
      <c r="Z112" s="128">
        <f t="shared" si="165"/>
        <v>75000</v>
      </c>
      <c r="AA112" s="132">
        <f t="shared" si="84"/>
        <v>0.3303571428571429</v>
      </c>
      <c r="AB112" s="130">
        <f t="shared" si="85"/>
        <v>3000</v>
      </c>
      <c r="AC112" s="133">
        <f t="shared" si="86"/>
        <v>0.83333333333333337</v>
      </c>
      <c r="AD112" s="55"/>
      <c r="AE112" s="120">
        <f t="shared" si="91"/>
        <v>389000</v>
      </c>
      <c r="AF112" s="82">
        <f t="shared" si="92"/>
        <v>401000</v>
      </c>
      <c r="AG112" s="136">
        <f t="shared" si="93"/>
        <v>556000</v>
      </c>
      <c r="AH112" s="84">
        <f t="shared" si="94"/>
        <v>61160</v>
      </c>
      <c r="AI112" s="85">
        <f t="shared" si="95"/>
        <v>494840</v>
      </c>
      <c r="AJ112" s="68"/>
      <c r="AL112" s="39">
        <f t="shared" si="87"/>
        <v>-167000</v>
      </c>
      <c r="AM112" s="39">
        <f t="shared" si="88"/>
        <v>-155000</v>
      </c>
      <c r="AR112" s="38" t="e">
        <f>J112+M112+#REF!+N112</f>
        <v>#REF!</v>
      </c>
      <c r="AS112" s="38">
        <f t="shared" si="89"/>
        <v>389000</v>
      </c>
      <c r="AT112" s="39" t="e">
        <f t="shared" si="90"/>
        <v>#REF!</v>
      </c>
    </row>
    <row r="113" spans="2:46" s="39" customFormat="1" ht="27" customHeight="1">
      <c r="B113" s="286"/>
      <c r="C113" s="287"/>
      <c r="D113" s="283"/>
      <c r="E113" s="280"/>
      <c r="F113" s="283"/>
      <c r="G113" s="280"/>
      <c r="H113" s="279" t="s">
        <v>25</v>
      </c>
      <c r="I113" s="182" t="s">
        <v>103</v>
      </c>
      <c r="J113" s="86">
        <v>318000</v>
      </c>
      <c r="K113" s="87">
        <v>327000</v>
      </c>
      <c r="L113" s="87">
        <v>428000</v>
      </c>
      <c r="M113" s="87">
        <f t="shared" si="79"/>
        <v>112000</v>
      </c>
      <c r="N113" s="88">
        <f t="shared" si="80"/>
        <v>18000</v>
      </c>
      <c r="P113" s="86">
        <v>318000</v>
      </c>
      <c r="Q113" s="87">
        <v>327000</v>
      </c>
      <c r="R113" s="89">
        <v>428000</v>
      </c>
      <c r="S113" s="1"/>
      <c r="T113" s="86">
        <f t="shared" ref="T113" si="198">P113-20000</f>
        <v>298000</v>
      </c>
      <c r="U113" s="90">
        <f t="shared" si="81"/>
        <v>6.2893081761006275E-2</v>
      </c>
      <c r="V113" s="91">
        <f t="shared" ref="V113" si="199">Q113-20000</f>
        <v>307000</v>
      </c>
      <c r="W113" s="92">
        <f t="shared" si="82"/>
        <v>6.1162079510703404E-2</v>
      </c>
      <c r="X113" s="93">
        <f t="shared" ref="X113" si="200">R113-30000</f>
        <v>398000</v>
      </c>
      <c r="Y113" s="94">
        <f t="shared" si="83"/>
        <v>7.0093457943925186E-2</v>
      </c>
      <c r="Z113" s="91">
        <f t="shared" si="165"/>
        <v>75000</v>
      </c>
      <c r="AA113" s="95">
        <f t="shared" si="84"/>
        <v>0.3303571428571429</v>
      </c>
      <c r="AB113" s="93">
        <f t="shared" si="85"/>
        <v>3000</v>
      </c>
      <c r="AC113" s="96">
        <f t="shared" si="86"/>
        <v>0.83333333333333337</v>
      </c>
      <c r="AD113" s="55"/>
      <c r="AE113" s="121">
        <f t="shared" si="91"/>
        <v>376000</v>
      </c>
      <c r="AF113" s="98">
        <f t="shared" si="92"/>
        <v>385000</v>
      </c>
      <c r="AG113" s="99">
        <f t="shared" si="93"/>
        <v>476000</v>
      </c>
      <c r="AH113" s="100">
        <f t="shared" si="94"/>
        <v>52360</v>
      </c>
      <c r="AI113" s="101">
        <f t="shared" si="95"/>
        <v>423640</v>
      </c>
      <c r="AJ113" s="68"/>
      <c r="AL113" s="39">
        <f t="shared" si="87"/>
        <v>-100000</v>
      </c>
      <c r="AM113" s="39">
        <f t="shared" si="88"/>
        <v>-91000</v>
      </c>
      <c r="AR113" s="38" t="e">
        <f>J113+M113+#REF!+N113</f>
        <v>#REF!</v>
      </c>
      <c r="AS113" s="38">
        <f t="shared" si="89"/>
        <v>376000</v>
      </c>
      <c r="AT113" s="39" t="e">
        <f t="shared" si="90"/>
        <v>#REF!</v>
      </c>
    </row>
    <row r="114" spans="2:46" s="39" customFormat="1" ht="27" customHeight="1">
      <c r="B114" s="286"/>
      <c r="C114" s="287"/>
      <c r="D114" s="283"/>
      <c r="E114" s="280"/>
      <c r="F114" s="283"/>
      <c r="G114" s="280"/>
      <c r="H114" s="280"/>
      <c r="I114" s="182" t="s">
        <v>101</v>
      </c>
      <c r="J114" s="70">
        <v>318000</v>
      </c>
      <c r="K114" s="71">
        <v>327000</v>
      </c>
      <c r="L114" s="71">
        <v>428000</v>
      </c>
      <c r="M114" s="71">
        <f t="shared" si="79"/>
        <v>112000</v>
      </c>
      <c r="N114" s="72">
        <f t="shared" si="80"/>
        <v>18000</v>
      </c>
      <c r="P114" s="70">
        <v>318000</v>
      </c>
      <c r="Q114" s="71">
        <v>327000</v>
      </c>
      <c r="R114" s="73">
        <v>428000</v>
      </c>
      <c r="S114" s="1"/>
      <c r="T114" s="70">
        <f t="shared" ref="T114" si="201">P114-10000</f>
        <v>308000</v>
      </c>
      <c r="U114" s="74">
        <f t="shared" si="81"/>
        <v>3.1446540880503138E-2</v>
      </c>
      <c r="V114" s="75">
        <f t="shared" ref="V114" si="202">Q114-10000</f>
        <v>317000</v>
      </c>
      <c r="W114" s="76">
        <f t="shared" si="82"/>
        <v>3.0581039755351647E-2</v>
      </c>
      <c r="X114" s="77">
        <f t="shared" ref="X114" si="203">R114-20000</f>
        <v>408000</v>
      </c>
      <c r="Y114" s="78">
        <f t="shared" si="83"/>
        <v>4.6728971962616828E-2</v>
      </c>
      <c r="Z114" s="75">
        <f t="shared" si="165"/>
        <v>75000</v>
      </c>
      <c r="AA114" s="79">
        <f t="shared" si="84"/>
        <v>0.3303571428571429</v>
      </c>
      <c r="AB114" s="77">
        <f t="shared" si="85"/>
        <v>3000</v>
      </c>
      <c r="AC114" s="80">
        <f t="shared" si="86"/>
        <v>0.83333333333333337</v>
      </c>
      <c r="AD114" s="55"/>
      <c r="AE114" s="120">
        <f t="shared" si="91"/>
        <v>386000</v>
      </c>
      <c r="AF114" s="82">
        <f t="shared" si="92"/>
        <v>395000</v>
      </c>
      <c r="AG114" s="83">
        <f t="shared" si="93"/>
        <v>486000</v>
      </c>
      <c r="AH114" s="84">
        <f t="shared" si="94"/>
        <v>53460</v>
      </c>
      <c r="AI114" s="85">
        <f t="shared" si="95"/>
        <v>432540</v>
      </c>
      <c r="AJ114" s="68"/>
      <c r="AL114" s="39">
        <f t="shared" si="87"/>
        <v>-100000</v>
      </c>
      <c r="AM114" s="39">
        <f t="shared" si="88"/>
        <v>-91000</v>
      </c>
      <c r="AR114" s="38" t="e">
        <f>J114+M114+#REF!+N114</f>
        <v>#REF!</v>
      </c>
      <c r="AS114" s="38">
        <f t="shared" si="89"/>
        <v>386000</v>
      </c>
      <c r="AT114" s="39" t="e">
        <f t="shared" si="90"/>
        <v>#REF!</v>
      </c>
    </row>
    <row r="115" spans="2:46" s="39" customFormat="1" ht="27" customHeight="1">
      <c r="B115" s="286"/>
      <c r="C115" s="287"/>
      <c r="D115" s="283"/>
      <c r="E115" s="280"/>
      <c r="F115" s="283"/>
      <c r="G115" s="280"/>
      <c r="H115" s="280"/>
      <c r="I115" s="156" t="s">
        <v>108</v>
      </c>
      <c r="J115" s="123">
        <v>341000</v>
      </c>
      <c r="K115" s="124">
        <v>349000</v>
      </c>
      <c r="L115" s="124">
        <v>483000</v>
      </c>
      <c r="M115" s="124">
        <f t="shared" si="79"/>
        <v>112000</v>
      </c>
      <c r="N115" s="125">
        <f t="shared" si="80"/>
        <v>18000</v>
      </c>
      <c r="P115" s="123">
        <v>341000</v>
      </c>
      <c r="Q115" s="124">
        <v>349000</v>
      </c>
      <c r="R115" s="126">
        <v>483000</v>
      </c>
      <c r="S115" s="1"/>
      <c r="T115" s="123">
        <v>341000</v>
      </c>
      <c r="U115" s="127">
        <f t="shared" ref="U115:U116" si="204">1-(T115/J115)</f>
        <v>0</v>
      </c>
      <c r="V115" s="128">
        <v>349000</v>
      </c>
      <c r="W115" s="129">
        <f t="shared" ref="W115:W116" si="205">1-(V115/K115)</f>
        <v>0</v>
      </c>
      <c r="X115" s="130">
        <f t="shared" ref="X115" si="206">R115-30000</f>
        <v>453000</v>
      </c>
      <c r="Y115" s="131">
        <f t="shared" ref="Y115:Y116" si="207">1-(X115/L115)</f>
        <v>6.2111801242236031E-2</v>
      </c>
      <c r="Z115" s="128">
        <f t="shared" si="165"/>
        <v>75000</v>
      </c>
      <c r="AA115" s="132">
        <f t="shared" ref="AA115:AA116" si="208">1-(Z115/M115)</f>
        <v>0.3303571428571429</v>
      </c>
      <c r="AB115" s="130">
        <f t="shared" si="85"/>
        <v>3000</v>
      </c>
      <c r="AC115" s="133">
        <f t="shared" ref="AC115:AC116" si="209">1-(AB115/N115)</f>
        <v>0.83333333333333337</v>
      </c>
      <c r="AD115" s="55"/>
      <c r="AE115" s="134">
        <f t="shared" si="91"/>
        <v>419000</v>
      </c>
      <c r="AF115" s="135">
        <f t="shared" si="92"/>
        <v>427000</v>
      </c>
      <c r="AG115" s="136">
        <f t="shared" si="93"/>
        <v>531000</v>
      </c>
      <c r="AH115" s="137">
        <f t="shared" si="94"/>
        <v>58410</v>
      </c>
      <c r="AI115" s="138">
        <f t="shared" si="95"/>
        <v>472590</v>
      </c>
      <c r="AJ115" s="68"/>
      <c r="AL115" s="39">
        <f t="shared" ref="AL115:AL116" si="210">AE115-AG115</f>
        <v>-112000</v>
      </c>
      <c r="AM115" s="39">
        <f t="shared" ref="AM115:AM116" si="211">AF115-AG115</f>
        <v>-104000</v>
      </c>
      <c r="AR115" s="38" t="e">
        <f>J115+M115+#REF!+N115</f>
        <v>#REF!</v>
      </c>
      <c r="AS115" s="38">
        <f t="shared" ref="AS115:AS116" si="212">AE115</f>
        <v>419000</v>
      </c>
      <c r="AT115" s="39" t="e">
        <f t="shared" ref="AT115:AT116" si="213">1-(AS115/AR115)</f>
        <v>#REF!</v>
      </c>
    </row>
    <row r="116" spans="2:46" s="39" customFormat="1" ht="27" customHeight="1">
      <c r="B116" s="286"/>
      <c r="C116" s="287"/>
      <c r="D116" s="283"/>
      <c r="E116" s="280"/>
      <c r="F116" s="283"/>
      <c r="G116" s="280"/>
      <c r="H116" s="280"/>
      <c r="I116" s="157" t="s">
        <v>115</v>
      </c>
      <c r="J116" s="123">
        <v>341000</v>
      </c>
      <c r="K116" s="124">
        <v>349000</v>
      </c>
      <c r="L116" s="124">
        <v>483000</v>
      </c>
      <c r="M116" s="124">
        <f t="shared" si="79"/>
        <v>112000</v>
      </c>
      <c r="N116" s="125">
        <f t="shared" si="80"/>
        <v>18000</v>
      </c>
      <c r="P116" s="123">
        <v>341000</v>
      </c>
      <c r="Q116" s="124">
        <v>349000</v>
      </c>
      <c r="R116" s="126">
        <v>483000</v>
      </c>
      <c r="S116" s="1"/>
      <c r="T116" s="123">
        <v>341000</v>
      </c>
      <c r="U116" s="127">
        <f t="shared" si="204"/>
        <v>0</v>
      </c>
      <c r="V116" s="128">
        <v>349000</v>
      </c>
      <c r="W116" s="129">
        <f t="shared" si="205"/>
        <v>0</v>
      </c>
      <c r="X116" s="130">
        <v>483000</v>
      </c>
      <c r="Y116" s="131">
        <f t="shared" si="207"/>
        <v>0</v>
      </c>
      <c r="Z116" s="128">
        <f t="shared" si="165"/>
        <v>75000</v>
      </c>
      <c r="AA116" s="132">
        <f t="shared" si="208"/>
        <v>0.3303571428571429</v>
      </c>
      <c r="AB116" s="130">
        <f t="shared" si="85"/>
        <v>3000</v>
      </c>
      <c r="AC116" s="133">
        <f t="shared" si="209"/>
        <v>0.83333333333333337</v>
      </c>
      <c r="AD116" s="55"/>
      <c r="AE116" s="134">
        <f t="shared" si="91"/>
        <v>419000</v>
      </c>
      <c r="AF116" s="135">
        <f t="shared" si="92"/>
        <v>427000</v>
      </c>
      <c r="AG116" s="136">
        <f t="shared" si="93"/>
        <v>561000</v>
      </c>
      <c r="AH116" s="137">
        <f t="shared" si="94"/>
        <v>61710</v>
      </c>
      <c r="AI116" s="138">
        <f t="shared" si="95"/>
        <v>499290</v>
      </c>
      <c r="AJ116" s="68"/>
      <c r="AL116" s="39">
        <f t="shared" si="210"/>
        <v>-142000</v>
      </c>
      <c r="AM116" s="39">
        <f t="shared" si="211"/>
        <v>-134000</v>
      </c>
      <c r="AR116" s="38" t="e">
        <f>J116+M116+#REF!+N116</f>
        <v>#REF!</v>
      </c>
      <c r="AS116" s="38">
        <f t="shared" si="212"/>
        <v>419000</v>
      </c>
      <c r="AT116" s="39" t="e">
        <f t="shared" si="213"/>
        <v>#REF!</v>
      </c>
    </row>
    <row r="117" spans="2:46" s="39" customFormat="1" ht="27" customHeight="1" thickBot="1">
      <c r="B117" s="288"/>
      <c r="C117" s="289"/>
      <c r="D117" s="294"/>
      <c r="E117" s="281"/>
      <c r="F117" s="294"/>
      <c r="G117" s="281"/>
      <c r="H117" s="281"/>
      <c r="I117" s="177" t="s">
        <v>92</v>
      </c>
      <c r="J117" s="140">
        <v>366000</v>
      </c>
      <c r="K117" s="141">
        <v>378000</v>
      </c>
      <c r="L117" s="141">
        <v>533000</v>
      </c>
      <c r="M117" s="141">
        <f t="shared" si="79"/>
        <v>112000</v>
      </c>
      <c r="N117" s="142">
        <f t="shared" si="80"/>
        <v>18000</v>
      </c>
      <c r="P117" s="140">
        <v>366000</v>
      </c>
      <c r="Q117" s="141">
        <v>378000</v>
      </c>
      <c r="R117" s="143">
        <v>533000</v>
      </c>
      <c r="S117" s="55"/>
      <c r="T117" s="140">
        <v>366000</v>
      </c>
      <c r="U117" s="144">
        <f t="shared" si="81"/>
        <v>0</v>
      </c>
      <c r="V117" s="145">
        <v>378000</v>
      </c>
      <c r="W117" s="146">
        <f t="shared" si="82"/>
        <v>0</v>
      </c>
      <c r="X117" s="147">
        <v>533000</v>
      </c>
      <c r="Y117" s="148">
        <f t="shared" si="83"/>
        <v>0</v>
      </c>
      <c r="Z117" s="145">
        <f t="shared" si="165"/>
        <v>75000</v>
      </c>
      <c r="AA117" s="149">
        <f t="shared" si="84"/>
        <v>0.3303571428571429</v>
      </c>
      <c r="AB117" s="147">
        <f t="shared" si="85"/>
        <v>3000</v>
      </c>
      <c r="AC117" s="150">
        <f t="shared" si="86"/>
        <v>0.83333333333333337</v>
      </c>
      <c r="AD117" s="55"/>
      <c r="AE117" s="151">
        <f t="shared" si="91"/>
        <v>444000</v>
      </c>
      <c r="AF117" s="178">
        <f t="shared" si="92"/>
        <v>456000</v>
      </c>
      <c r="AG117" s="153">
        <f t="shared" si="93"/>
        <v>611000</v>
      </c>
      <c r="AH117" s="179">
        <f t="shared" si="94"/>
        <v>67210</v>
      </c>
      <c r="AI117" s="180">
        <f t="shared" si="95"/>
        <v>543790</v>
      </c>
      <c r="AJ117" s="68"/>
      <c r="AL117" s="39">
        <f t="shared" si="87"/>
        <v>-167000</v>
      </c>
      <c r="AM117" s="39">
        <f t="shared" si="88"/>
        <v>-155000</v>
      </c>
      <c r="AR117" s="38" t="e">
        <f>J117+M117+#REF!+N117</f>
        <v>#REF!</v>
      </c>
      <c r="AS117" s="38">
        <f t="shared" si="89"/>
        <v>444000</v>
      </c>
      <c r="AT117" s="39" t="e">
        <f t="shared" si="90"/>
        <v>#REF!</v>
      </c>
    </row>
  </sheetData>
  <mergeCells count="71">
    <mergeCell ref="B37:C72"/>
    <mergeCell ref="D37:E48"/>
    <mergeCell ref="F37:G40"/>
    <mergeCell ref="H37:H40"/>
    <mergeCell ref="F41:G48"/>
    <mergeCell ref="H41:H44"/>
    <mergeCell ref="H45:H48"/>
    <mergeCell ref="D49:E72"/>
    <mergeCell ref="F49:G55"/>
    <mergeCell ref="H49:H52"/>
    <mergeCell ref="H53:H56"/>
    <mergeCell ref="F57:G63"/>
    <mergeCell ref="H57:H60"/>
    <mergeCell ref="H61:H64"/>
    <mergeCell ref="F65:G72"/>
    <mergeCell ref="D19:E36"/>
    <mergeCell ref="F19:G24"/>
    <mergeCell ref="H19:H21"/>
    <mergeCell ref="H22:H24"/>
    <mergeCell ref="F25:G30"/>
    <mergeCell ref="H25:H27"/>
    <mergeCell ref="B7:E9"/>
    <mergeCell ref="B2:M3"/>
    <mergeCell ref="J7:N7"/>
    <mergeCell ref="M8:N8"/>
    <mergeCell ref="H31:H33"/>
    <mergeCell ref="B10:C36"/>
    <mergeCell ref="D10:E18"/>
    <mergeCell ref="F7:H9"/>
    <mergeCell ref="J8:L8"/>
    <mergeCell ref="H28:H30"/>
    <mergeCell ref="F31:G36"/>
    <mergeCell ref="H34:H36"/>
    <mergeCell ref="I7:I9"/>
    <mergeCell ref="F10:G12"/>
    <mergeCell ref="H10:H12"/>
    <mergeCell ref="F13:G18"/>
    <mergeCell ref="P7:R7"/>
    <mergeCell ref="T7:AC7"/>
    <mergeCell ref="U2:W2"/>
    <mergeCell ref="U3:W3"/>
    <mergeCell ref="AE7:AI7"/>
    <mergeCell ref="AF8:AF9"/>
    <mergeCell ref="AG8:AG9"/>
    <mergeCell ref="AH8:AH9"/>
    <mergeCell ref="AI8:AI9"/>
    <mergeCell ref="P8:R8"/>
    <mergeCell ref="T8:Y8"/>
    <mergeCell ref="Z8:AC8"/>
    <mergeCell ref="AE8:AE9"/>
    <mergeCell ref="B73:C117"/>
    <mergeCell ref="D73:E87"/>
    <mergeCell ref="F73:G77"/>
    <mergeCell ref="H73:H77"/>
    <mergeCell ref="F78:G87"/>
    <mergeCell ref="H78:H82"/>
    <mergeCell ref="H83:H87"/>
    <mergeCell ref="D88:E117"/>
    <mergeCell ref="F88:G95"/>
    <mergeCell ref="H88:H92"/>
    <mergeCell ref="H93:H97"/>
    <mergeCell ref="F98:G105"/>
    <mergeCell ref="H98:H102"/>
    <mergeCell ref="H103:H107"/>
    <mergeCell ref="F108:G117"/>
    <mergeCell ref="H108:H112"/>
    <mergeCell ref="H113:H117"/>
    <mergeCell ref="H13:H15"/>
    <mergeCell ref="H16:H18"/>
    <mergeCell ref="H65:H68"/>
    <mergeCell ref="H69:H7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R117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M5" sqref="M5:N5"/>
    </sheetView>
  </sheetViews>
  <sheetFormatPr defaultColWidth="8.69921875" defaultRowHeight="13.8"/>
  <cols>
    <col min="1" max="1" width="1.09765625" style="1" customWidth="1"/>
    <col min="2" max="3" width="4.19921875" style="1" customWidth="1"/>
    <col min="4" max="5" width="3.69921875" style="1" customWidth="1"/>
    <col min="6" max="7" width="5.69921875" style="1" customWidth="1"/>
    <col min="8" max="8" width="8.69921875" style="1" customWidth="1"/>
    <col min="9" max="9" width="19.69921875" style="1" customWidth="1"/>
    <col min="10" max="14" width="7.69921875" style="1" customWidth="1"/>
    <col min="15" max="15" width="1.69921875" style="1" customWidth="1"/>
    <col min="16" max="18" width="7.69921875" style="1" customWidth="1"/>
    <col min="19" max="19" width="1.69921875" style="1" customWidth="1"/>
    <col min="20" max="20" width="7.69921875" style="1" customWidth="1"/>
    <col min="21" max="21" width="5.69921875" style="1" customWidth="1"/>
    <col min="22" max="22" width="7.69921875" style="1" customWidth="1"/>
    <col min="23" max="23" width="5.69921875" style="1" customWidth="1"/>
    <col min="24" max="24" width="7.69921875" style="1" customWidth="1"/>
    <col min="25" max="25" width="5.69921875" style="1" customWidth="1"/>
    <col min="26" max="26" width="7.69921875" style="1" customWidth="1"/>
    <col min="27" max="27" width="5.69921875" style="1" customWidth="1"/>
    <col min="28" max="28" width="7.69921875" style="1" customWidth="1"/>
    <col min="29" max="29" width="5.69921875" style="1" customWidth="1"/>
    <col min="30" max="30" width="1.69921875" style="1" customWidth="1"/>
    <col min="31" max="35" width="8.69921875" style="1" customWidth="1"/>
    <col min="36" max="37" width="8.69921875" style="1" hidden="1" customWidth="1"/>
    <col min="38" max="46" width="0" style="1" hidden="1" customWidth="1"/>
    <col min="47" max="16384" width="8.69921875" style="1"/>
  </cols>
  <sheetData>
    <row r="1" spans="1:44" ht="10.5" customHeight="1">
      <c r="A1" s="1" t="s">
        <v>24</v>
      </c>
    </row>
    <row r="2" spans="1:44" s="2" customFormat="1" ht="15" customHeight="1">
      <c r="B2" s="215" t="s">
        <v>49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30"/>
      <c r="P2" s="30"/>
      <c r="Q2" s="30"/>
      <c r="R2" s="30"/>
      <c r="S2" s="30"/>
      <c r="T2" s="31"/>
      <c r="U2" s="318"/>
      <c r="V2" s="318"/>
      <c r="W2" s="318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44" s="2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0"/>
      <c r="P3" s="30"/>
      <c r="Q3" s="30"/>
      <c r="R3" s="30"/>
      <c r="S3" s="30"/>
      <c r="T3" s="31"/>
      <c r="U3" s="318"/>
      <c r="V3" s="318"/>
      <c r="W3" s="318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44" s="2" customFormat="1" ht="15" customHeight="1">
      <c r="AG4" s="32"/>
    </row>
    <row r="5" spans="1:44" s="25" customFormat="1" ht="15" customHeight="1">
      <c r="B5" s="33"/>
      <c r="C5" s="33"/>
      <c r="D5" s="33"/>
      <c r="E5" s="33"/>
      <c r="F5" s="33"/>
      <c r="I5" s="34"/>
      <c r="J5" s="34"/>
      <c r="M5" s="35"/>
      <c r="N5" s="36"/>
      <c r="O5" s="37"/>
      <c r="P5" s="34"/>
      <c r="Q5" s="37"/>
      <c r="R5" s="34"/>
      <c r="S5" s="34"/>
      <c r="T5" s="34"/>
      <c r="U5" s="37"/>
      <c r="V5" s="34"/>
      <c r="W5" s="37"/>
      <c r="X5" s="34"/>
      <c r="Y5" s="37"/>
      <c r="Z5" s="34"/>
      <c r="AA5" s="37"/>
    </row>
    <row r="6" spans="1:44" ht="14.4" thickBot="1">
      <c r="AP6" s="38"/>
      <c r="AQ6" s="38"/>
      <c r="AR6" s="39"/>
    </row>
    <row r="7" spans="1:44" s="39" customFormat="1" ht="15" customHeight="1" thickBot="1">
      <c r="B7" s="323" t="s">
        <v>7</v>
      </c>
      <c r="C7" s="324"/>
      <c r="D7" s="324"/>
      <c r="E7" s="325"/>
      <c r="F7" s="332" t="s">
        <v>8</v>
      </c>
      <c r="G7" s="332"/>
      <c r="H7" s="332"/>
      <c r="I7" s="334" t="s">
        <v>9</v>
      </c>
      <c r="J7" s="327" t="s">
        <v>10</v>
      </c>
      <c r="K7" s="328"/>
      <c r="L7" s="328"/>
      <c r="M7" s="328"/>
      <c r="N7" s="329"/>
      <c r="P7" s="315" t="s">
        <v>45</v>
      </c>
      <c r="Q7" s="316"/>
      <c r="R7" s="317"/>
      <c r="S7" s="40"/>
      <c r="T7" s="315" t="s">
        <v>11</v>
      </c>
      <c r="U7" s="316"/>
      <c r="V7" s="316"/>
      <c r="W7" s="316"/>
      <c r="X7" s="316"/>
      <c r="Y7" s="316"/>
      <c r="Z7" s="316"/>
      <c r="AA7" s="316"/>
      <c r="AB7" s="316"/>
      <c r="AC7" s="317"/>
      <c r="AE7" s="319" t="s">
        <v>56</v>
      </c>
      <c r="AF7" s="320"/>
      <c r="AG7" s="321"/>
      <c r="AH7" s="320"/>
      <c r="AI7" s="322"/>
      <c r="AP7" s="38"/>
      <c r="AQ7" s="38"/>
    </row>
    <row r="8" spans="1:44" s="39" customFormat="1" ht="15" customHeight="1">
      <c r="B8" s="326"/>
      <c r="C8" s="295"/>
      <c r="D8" s="295"/>
      <c r="E8" s="280"/>
      <c r="F8" s="306"/>
      <c r="G8" s="306"/>
      <c r="H8" s="306"/>
      <c r="I8" s="330"/>
      <c r="J8" s="305" t="s">
        <v>12</v>
      </c>
      <c r="K8" s="306"/>
      <c r="L8" s="306"/>
      <c r="M8" s="330" t="s">
        <v>84</v>
      </c>
      <c r="N8" s="331"/>
      <c r="P8" s="305" t="s">
        <v>12</v>
      </c>
      <c r="Q8" s="306"/>
      <c r="R8" s="307"/>
      <c r="S8" s="40"/>
      <c r="T8" s="308" t="s">
        <v>12</v>
      </c>
      <c r="U8" s="309"/>
      <c r="V8" s="309"/>
      <c r="W8" s="309"/>
      <c r="X8" s="309"/>
      <c r="Y8" s="310"/>
      <c r="Z8" s="311" t="s">
        <v>68</v>
      </c>
      <c r="AA8" s="312"/>
      <c r="AB8" s="312"/>
      <c r="AC8" s="313"/>
      <c r="AE8" s="314" t="s">
        <v>26</v>
      </c>
      <c r="AF8" s="299" t="s">
        <v>15</v>
      </c>
      <c r="AG8" s="300" t="s">
        <v>46</v>
      </c>
      <c r="AH8" s="302" t="s">
        <v>85</v>
      </c>
      <c r="AI8" s="304" t="s">
        <v>52</v>
      </c>
      <c r="AP8" s="38"/>
      <c r="AQ8" s="38"/>
    </row>
    <row r="9" spans="1:44" s="39" customFormat="1" ht="15" customHeight="1">
      <c r="B9" s="326"/>
      <c r="C9" s="295"/>
      <c r="D9" s="295"/>
      <c r="E9" s="280"/>
      <c r="F9" s="333"/>
      <c r="G9" s="333"/>
      <c r="H9" s="333"/>
      <c r="I9" s="335"/>
      <c r="J9" s="42" t="s">
        <v>14</v>
      </c>
      <c r="K9" s="43" t="s">
        <v>15</v>
      </c>
      <c r="L9" s="43" t="s">
        <v>13</v>
      </c>
      <c r="M9" s="43" t="s">
        <v>61</v>
      </c>
      <c r="N9" s="45" t="s">
        <v>62</v>
      </c>
      <c r="P9" s="42" t="s">
        <v>26</v>
      </c>
      <c r="Q9" s="43" t="s">
        <v>15</v>
      </c>
      <c r="R9" s="45" t="s">
        <v>13</v>
      </c>
      <c r="S9" s="40"/>
      <c r="T9" s="42" t="s">
        <v>26</v>
      </c>
      <c r="U9" s="46" t="s">
        <v>16</v>
      </c>
      <c r="V9" s="47" t="s">
        <v>15</v>
      </c>
      <c r="W9" s="43" t="s">
        <v>16</v>
      </c>
      <c r="X9" s="48" t="s">
        <v>13</v>
      </c>
      <c r="Y9" s="49" t="s">
        <v>16</v>
      </c>
      <c r="Z9" s="47" t="s">
        <v>61</v>
      </c>
      <c r="AA9" s="43" t="s">
        <v>16</v>
      </c>
      <c r="AB9" s="43" t="s">
        <v>62</v>
      </c>
      <c r="AC9" s="45" t="s">
        <v>16</v>
      </c>
      <c r="AE9" s="314"/>
      <c r="AF9" s="299"/>
      <c r="AG9" s="301"/>
      <c r="AH9" s="303"/>
      <c r="AI9" s="304"/>
      <c r="AP9" s="38"/>
      <c r="AQ9" s="38"/>
    </row>
    <row r="10" spans="1:44" s="39" customFormat="1" ht="15" customHeight="1">
      <c r="B10" s="284" t="s">
        <v>138</v>
      </c>
      <c r="C10" s="285"/>
      <c r="D10" s="290" t="s">
        <v>29</v>
      </c>
      <c r="E10" s="291"/>
      <c r="F10" s="290" t="s">
        <v>17</v>
      </c>
      <c r="G10" s="291"/>
      <c r="H10" s="290" t="s">
        <v>18</v>
      </c>
      <c r="I10" s="50" t="s">
        <v>57</v>
      </c>
      <c r="J10" s="51">
        <v>129000</v>
      </c>
      <c r="K10" s="52">
        <v>139000</v>
      </c>
      <c r="L10" s="52">
        <v>178000</v>
      </c>
      <c r="M10" s="52">
        <f t="shared" ref="M10:M36" si="0">43000*2+26000</f>
        <v>112000</v>
      </c>
      <c r="N10" s="54">
        <f t="shared" ref="N10:N35" si="1">50000*2+40000</f>
        <v>140000</v>
      </c>
      <c r="P10" s="51">
        <v>129000</v>
      </c>
      <c r="Q10" s="52">
        <v>139000</v>
      </c>
      <c r="R10" s="54">
        <v>178000</v>
      </c>
      <c r="S10" s="55"/>
      <c r="T10" s="51">
        <v>109000</v>
      </c>
      <c r="U10" s="56">
        <f t="shared" ref="U10:U41" si="2">1-(T10/J10)</f>
        <v>0.15503875968992253</v>
      </c>
      <c r="V10" s="57">
        <f>Q10-20000</f>
        <v>119000</v>
      </c>
      <c r="W10" s="58">
        <f t="shared" ref="W10:W41" si="3">1-(V10/K10)</f>
        <v>0.14388489208633093</v>
      </c>
      <c r="X10" s="59">
        <f>V10+30000</f>
        <v>149000</v>
      </c>
      <c r="Y10" s="60">
        <f t="shared" ref="Y10:Y41" si="4">1-(X10/L10)</f>
        <v>0.1629213483146067</v>
      </c>
      <c r="Z10" s="57">
        <f>22000*2+15000</f>
        <v>59000</v>
      </c>
      <c r="AA10" s="61">
        <f t="shared" ref="AA10:AA41" si="5">1-(Z10/M10)</f>
        <v>0.4732142857142857</v>
      </c>
      <c r="AB10" s="52">
        <f>22000*2+15000</f>
        <v>59000</v>
      </c>
      <c r="AC10" s="62">
        <f t="shared" ref="AC10:AC41" si="6">1-(AB10/N10)</f>
        <v>0.57857142857142851</v>
      </c>
      <c r="AE10" s="63">
        <f>T10+Z10+AB10</f>
        <v>227000</v>
      </c>
      <c r="AF10" s="64">
        <f>V10+Z10+AB10</f>
        <v>237000</v>
      </c>
      <c r="AG10" s="65">
        <f>X10+Z10+AB10</f>
        <v>267000</v>
      </c>
      <c r="AH10" s="66">
        <f>AG10*11%</f>
        <v>29370</v>
      </c>
      <c r="AI10" s="67">
        <f t="shared" ref="AI10" si="7">AG10-AH10</f>
        <v>237630</v>
      </c>
      <c r="AJ10" s="39">
        <f t="shared" ref="AJ10:AJ36" si="8">AE10-AG10</f>
        <v>-40000</v>
      </c>
      <c r="AK10" s="39">
        <f t="shared" ref="AK10:AK36" si="9">AF10-AG10</f>
        <v>-30000</v>
      </c>
      <c r="AP10" s="38" t="e">
        <f>J10+M10+N10+#REF!</f>
        <v>#REF!</v>
      </c>
      <c r="AQ10" s="38">
        <f t="shared" ref="AQ10:AQ36" si="10">AE10</f>
        <v>227000</v>
      </c>
      <c r="AR10" s="39" t="e">
        <f t="shared" ref="AR10:AR69" si="11">1-(AQ10/AP10)</f>
        <v>#REF!</v>
      </c>
    </row>
    <row r="11" spans="1:44" s="39" customFormat="1" ht="15" customHeight="1">
      <c r="B11" s="286"/>
      <c r="C11" s="287"/>
      <c r="D11" s="283"/>
      <c r="E11" s="280"/>
      <c r="F11" s="283"/>
      <c r="G11" s="280"/>
      <c r="H11" s="283"/>
      <c r="I11" s="69" t="s">
        <v>58</v>
      </c>
      <c r="J11" s="70">
        <v>147000</v>
      </c>
      <c r="K11" s="71">
        <v>159000</v>
      </c>
      <c r="L11" s="71">
        <v>234000</v>
      </c>
      <c r="M11" s="71">
        <f t="shared" si="0"/>
        <v>112000</v>
      </c>
      <c r="N11" s="73">
        <f t="shared" si="1"/>
        <v>140000</v>
      </c>
      <c r="P11" s="70">
        <v>147000</v>
      </c>
      <c r="Q11" s="71">
        <v>159000</v>
      </c>
      <c r="R11" s="73">
        <v>234000</v>
      </c>
      <c r="S11" s="55"/>
      <c r="T11" s="70">
        <v>147000</v>
      </c>
      <c r="U11" s="74">
        <f t="shared" si="2"/>
        <v>0</v>
      </c>
      <c r="V11" s="75">
        <f>Q11</f>
        <v>159000</v>
      </c>
      <c r="W11" s="76">
        <f t="shared" si="3"/>
        <v>0</v>
      </c>
      <c r="X11" s="77">
        <v>209000</v>
      </c>
      <c r="Y11" s="78">
        <f t="shared" si="4"/>
        <v>0.10683760683760679</v>
      </c>
      <c r="Z11" s="75">
        <f t="shared" ref="Z11:Z36" si="12">22000*2+15000</f>
        <v>59000</v>
      </c>
      <c r="AA11" s="79">
        <f t="shared" si="5"/>
        <v>0.4732142857142857</v>
      </c>
      <c r="AB11" s="71">
        <f t="shared" ref="AB11:AB36" si="13">22000*2+15000</f>
        <v>59000</v>
      </c>
      <c r="AC11" s="80">
        <f t="shared" si="6"/>
        <v>0.57857142857142851</v>
      </c>
      <c r="AE11" s="81">
        <f t="shared" ref="AE11:AE74" si="14">T11+Z11+AB11</f>
        <v>265000</v>
      </c>
      <c r="AF11" s="82">
        <f t="shared" ref="AF11:AF74" si="15">V11+Z11+AB11</f>
        <v>277000</v>
      </c>
      <c r="AG11" s="83">
        <f t="shared" ref="AG11:AG74" si="16">X11+Z11+AB11</f>
        <v>327000</v>
      </c>
      <c r="AH11" s="84">
        <f t="shared" ref="AH11:AH74" si="17">AG11*11%</f>
        <v>35970</v>
      </c>
      <c r="AI11" s="85">
        <f t="shared" ref="AI11:AI74" si="18">AG11-AH11</f>
        <v>291030</v>
      </c>
      <c r="AJ11" s="39">
        <f t="shared" si="8"/>
        <v>-62000</v>
      </c>
      <c r="AK11" s="39">
        <f t="shared" si="9"/>
        <v>-50000</v>
      </c>
      <c r="AP11" s="38" t="e">
        <f>J11+M11+N11+#REF!</f>
        <v>#REF!</v>
      </c>
      <c r="AQ11" s="38">
        <f t="shared" si="10"/>
        <v>265000</v>
      </c>
      <c r="AR11" s="39" t="e">
        <f t="shared" si="11"/>
        <v>#REF!</v>
      </c>
    </row>
    <row r="12" spans="1:44" s="39" customFormat="1" ht="15" customHeight="1">
      <c r="B12" s="286"/>
      <c r="C12" s="287"/>
      <c r="D12" s="283"/>
      <c r="E12" s="280"/>
      <c r="F12" s="283"/>
      <c r="G12" s="280"/>
      <c r="H12" s="283"/>
      <c r="I12" s="69" t="s">
        <v>59</v>
      </c>
      <c r="J12" s="70">
        <v>178000</v>
      </c>
      <c r="K12" s="71">
        <v>190000</v>
      </c>
      <c r="L12" s="71">
        <v>306000</v>
      </c>
      <c r="M12" s="71">
        <f t="shared" si="0"/>
        <v>112000</v>
      </c>
      <c r="N12" s="73">
        <f>55000*2+45000</f>
        <v>155000</v>
      </c>
      <c r="P12" s="70">
        <v>178000</v>
      </c>
      <c r="Q12" s="71">
        <v>190000</v>
      </c>
      <c r="R12" s="73">
        <v>306000</v>
      </c>
      <c r="S12" s="55"/>
      <c r="T12" s="70">
        <v>178000</v>
      </c>
      <c r="U12" s="74">
        <f t="shared" si="2"/>
        <v>0</v>
      </c>
      <c r="V12" s="75">
        <f>Q12</f>
        <v>190000</v>
      </c>
      <c r="W12" s="76">
        <f t="shared" si="3"/>
        <v>0</v>
      </c>
      <c r="X12" s="77">
        <v>306000</v>
      </c>
      <c r="Y12" s="78">
        <f t="shared" si="4"/>
        <v>0</v>
      </c>
      <c r="Z12" s="75">
        <f t="shared" si="12"/>
        <v>59000</v>
      </c>
      <c r="AA12" s="79">
        <f t="shared" si="5"/>
        <v>0.4732142857142857</v>
      </c>
      <c r="AB12" s="71">
        <f t="shared" si="13"/>
        <v>59000</v>
      </c>
      <c r="AC12" s="80">
        <f t="shared" si="6"/>
        <v>0.61935483870967745</v>
      </c>
      <c r="AE12" s="81">
        <f t="shared" si="14"/>
        <v>296000</v>
      </c>
      <c r="AF12" s="82">
        <f t="shared" si="15"/>
        <v>308000</v>
      </c>
      <c r="AG12" s="83">
        <f t="shared" si="16"/>
        <v>424000</v>
      </c>
      <c r="AH12" s="84">
        <f t="shared" si="17"/>
        <v>46640</v>
      </c>
      <c r="AI12" s="85">
        <f t="shared" si="18"/>
        <v>377360</v>
      </c>
      <c r="AJ12" s="39">
        <f t="shared" si="8"/>
        <v>-128000</v>
      </c>
      <c r="AK12" s="39">
        <f t="shared" si="9"/>
        <v>-116000</v>
      </c>
      <c r="AP12" s="38" t="e">
        <f>J12+M12+N12+#REF!</f>
        <v>#REF!</v>
      </c>
      <c r="AQ12" s="38">
        <f t="shared" si="10"/>
        <v>296000</v>
      </c>
      <c r="AR12" s="39" t="e">
        <f t="shared" si="11"/>
        <v>#REF!</v>
      </c>
    </row>
    <row r="13" spans="1:44" s="39" customFormat="1" ht="15" customHeight="1">
      <c r="B13" s="286"/>
      <c r="C13" s="287"/>
      <c r="D13" s="283"/>
      <c r="E13" s="280"/>
      <c r="F13" s="282" t="s">
        <v>21</v>
      </c>
      <c r="G13" s="279"/>
      <c r="H13" s="282" t="s">
        <v>18</v>
      </c>
      <c r="I13" s="69" t="s">
        <v>57</v>
      </c>
      <c r="J13" s="86">
        <v>154000</v>
      </c>
      <c r="K13" s="87">
        <v>169000</v>
      </c>
      <c r="L13" s="87">
        <v>216000</v>
      </c>
      <c r="M13" s="87">
        <f t="shared" si="0"/>
        <v>112000</v>
      </c>
      <c r="N13" s="89">
        <f t="shared" si="1"/>
        <v>140000</v>
      </c>
      <c r="P13" s="86">
        <v>154000</v>
      </c>
      <c r="Q13" s="87">
        <v>169000</v>
      </c>
      <c r="R13" s="89">
        <v>216000</v>
      </c>
      <c r="S13" s="55"/>
      <c r="T13" s="86">
        <v>134000</v>
      </c>
      <c r="U13" s="90">
        <f t="shared" si="2"/>
        <v>0.12987012987012991</v>
      </c>
      <c r="V13" s="91">
        <f t="shared" ref="V13" si="19">Q13-20000</f>
        <v>149000</v>
      </c>
      <c r="W13" s="92">
        <f t="shared" si="3"/>
        <v>0.11834319526627224</v>
      </c>
      <c r="X13" s="93">
        <v>179000</v>
      </c>
      <c r="Y13" s="94">
        <f t="shared" si="4"/>
        <v>0.17129629629629628</v>
      </c>
      <c r="Z13" s="91">
        <f t="shared" si="12"/>
        <v>59000</v>
      </c>
      <c r="AA13" s="95">
        <f t="shared" si="5"/>
        <v>0.4732142857142857</v>
      </c>
      <c r="AB13" s="87">
        <f t="shared" si="13"/>
        <v>59000</v>
      </c>
      <c r="AC13" s="96">
        <f t="shared" si="6"/>
        <v>0.57857142857142851</v>
      </c>
      <c r="AE13" s="97">
        <f t="shared" si="14"/>
        <v>252000</v>
      </c>
      <c r="AF13" s="98">
        <f t="shared" si="15"/>
        <v>267000</v>
      </c>
      <c r="AG13" s="99">
        <f t="shared" si="16"/>
        <v>297000</v>
      </c>
      <c r="AH13" s="100">
        <f t="shared" si="17"/>
        <v>32670</v>
      </c>
      <c r="AI13" s="101">
        <f t="shared" si="18"/>
        <v>264330</v>
      </c>
      <c r="AJ13" s="39">
        <f t="shared" si="8"/>
        <v>-45000</v>
      </c>
      <c r="AK13" s="39">
        <f t="shared" si="9"/>
        <v>-30000</v>
      </c>
      <c r="AP13" s="38" t="e">
        <f>J13+M13+N13+#REF!</f>
        <v>#REF!</v>
      </c>
      <c r="AQ13" s="38">
        <f t="shared" si="10"/>
        <v>252000</v>
      </c>
      <c r="AR13" s="39" t="e">
        <f t="shared" si="11"/>
        <v>#REF!</v>
      </c>
    </row>
    <row r="14" spans="1:44" s="39" customFormat="1" ht="15" customHeight="1">
      <c r="B14" s="286"/>
      <c r="C14" s="287"/>
      <c r="D14" s="283"/>
      <c r="E14" s="280"/>
      <c r="F14" s="283"/>
      <c r="G14" s="280"/>
      <c r="H14" s="283"/>
      <c r="I14" s="69" t="s">
        <v>58</v>
      </c>
      <c r="J14" s="70">
        <v>178000</v>
      </c>
      <c r="K14" s="71">
        <v>193000</v>
      </c>
      <c r="L14" s="71">
        <v>266000</v>
      </c>
      <c r="M14" s="71">
        <f t="shared" si="0"/>
        <v>112000</v>
      </c>
      <c r="N14" s="73">
        <f t="shared" si="1"/>
        <v>140000</v>
      </c>
      <c r="P14" s="70">
        <v>178000</v>
      </c>
      <c r="Q14" s="71">
        <v>193000</v>
      </c>
      <c r="R14" s="73">
        <v>266000</v>
      </c>
      <c r="S14" s="55"/>
      <c r="T14" s="70">
        <v>178000</v>
      </c>
      <c r="U14" s="74">
        <f t="shared" si="2"/>
        <v>0</v>
      </c>
      <c r="V14" s="75">
        <f t="shared" ref="V14:V15" si="20">Q14</f>
        <v>193000</v>
      </c>
      <c r="W14" s="76">
        <f t="shared" si="3"/>
        <v>0</v>
      </c>
      <c r="X14" s="77">
        <v>243000</v>
      </c>
      <c r="Y14" s="78">
        <f t="shared" si="4"/>
        <v>8.6466165413533802E-2</v>
      </c>
      <c r="Z14" s="75">
        <f t="shared" si="12"/>
        <v>59000</v>
      </c>
      <c r="AA14" s="79">
        <f t="shared" si="5"/>
        <v>0.4732142857142857</v>
      </c>
      <c r="AB14" s="71">
        <f t="shared" si="13"/>
        <v>59000</v>
      </c>
      <c r="AC14" s="80">
        <f t="shared" si="6"/>
        <v>0.57857142857142851</v>
      </c>
      <c r="AE14" s="81">
        <f t="shared" si="14"/>
        <v>296000</v>
      </c>
      <c r="AF14" s="82">
        <f t="shared" si="15"/>
        <v>311000</v>
      </c>
      <c r="AG14" s="83">
        <f t="shared" si="16"/>
        <v>361000</v>
      </c>
      <c r="AH14" s="84">
        <f t="shared" si="17"/>
        <v>39710</v>
      </c>
      <c r="AI14" s="85">
        <f t="shared" si="18"/>
        <v>321290</v>
      </c>
      <c r="AJ14" s="39">
        <f t="shared" si="8"/>
        <v>-65000</v>
      </c>
      <c r="AK14" s="39">
        <f t="shared" si="9"/>
        <v>-50000</v>
      </c>
      <c r="AP14" s="38" t="e">
        <f>J14+M14+N14+#REF!</f>
        <v>#REF!</v>
      </c>
      <c r="AQ14" s="38">
        <f t="shared" si="10"/>
        <v>296000</v>
      </c>
      <c r="AR14" s="39" t="e">
        <f t="shared" si="11"/>
        <v>#REF!</v>
      </c>
    </row>
    <row r="15" spans="1:44" s="39" customFormat="1" ht="15" customHeight="1">
      <c r="B15" s="286"/>
      <c r="C15" s="287"/>
      <c r="D15" s="283"/>
      <c r="E15" s="280"/>
      <c r="F15" s="283"/>
      <c r="G15" s="280"/>
      <c r="H15" s="283"/>
      <c r="I15" s="69" t="s">
        <v>59</v>
      </c>
      <c r="J15" s="70">
        <v>209000</v>
      </c>
      <c r="K15" s="71">
        <v>223000</v>
      </c>
      <c r="L15" s="71">
        <v>353000</v>
      </c>
      <c r="M15" s="71">
        <f t="shared" si="0"/>
        <v>112000</v>
      </c>
      <c r="N15" s="73">
        <f>55000*2+45000</f>
        <v>155000</v>
      </c>
      <c r="P15" s="70">
        <v>209000</v>
      </c>
      <c r="Q15" s="71">
        <v>223000</v>
      </c>
      <c r="R15" s="73">
        <v>353000</v>
      </c>
      <c r="S15" s="55"/>
      <c r="T15" s="70">
        <v>209000</v>
      </c>
      <c r="U15" s="74">
        <f t="shared" si="2"/>
        <v>0</v>
      </c>
      <c r="V15" s="75">
        <f t="shared" si="20"/>
        <v>223000</v>
      </c>
      <c r="W15" s="76">
        <f t="shared" si="3"/>
        <v>0</v>
      </c>
      <c r="X15" s="77">
        <v>353000</v>
      </c>
      <c r="Y15" s="78">
        <f t="shared" si="4"/>
        <v>0</v>
      </c>
      <c r="Z15" s="75">
        <f t="shared" si="12"/>
        <v>59000</v>
      </c>
      <c r="AA15" s="79">
        <f t="shared" si="5"/>
        <v>0.4732142857142857</v>
      </c>
      <c r="AB15" s="71">
        <f t="shared" si="13"/>
        <v>59000</v>
      </c>
      <c r="AC15" s="80">
        <f t="shared" si="6"/>
        <v>0.61935483870967745</v>
      </c>
      <c r="AE15" s="81">
        <f t="shared" si="14"/>
        <v>327000</v>
      </c>
      <c r="AF15" s="82">
        <f t="shared" si="15"/>
        <v>341000</v>
      </c>
      <c r="AG15" s="83">
        <f t="shared" si="16"/>
        <v>471000</v>
      </c>
      <c r="AH15" s="84">
        <f t="shared" si="17"/>
        <v>51810</v>
      </c>
      <c r="AI15" s="85">
        <f t="shared" si="18"/>
        <v>419190</v>
      </c>
      <c r="AJ15" s="39">
        <f t="shared" si="8"/>
        <v>-144000</v>
      </c>
      <c r="AK15" s="39">
        <f t="shared" si="9"/>
        <v>-130000</v>
      </c>
      <c r="AP15" s="38" t="e">
        <f>J15+M15+N15+#REF!</f>
        <v>#REF!</v>
      </c>
      <c r="AQ15" s="38">
        <f t="shared" si="10"/>
        <v>327000</v>
      </c>
      <c r="AR15" s="39" t="e">
        <f t="shared" si="11"/>
        <v>#REF!</v>
      </c>
    </row>
    <row r="16" spans="1:44" s="39" customFormat="1" ht="15" customHeight="1">
      <c r="B16" s="286"/>
      <c r="C16" s="287"/>
      <c r="D16" s="283"/>
      <c r="E16" s="280"/>
      <c r="F16" s="283"/>
      <c r="G16" s="280"/>
      <c r="H16" s="282" t="s">
        <v>25</v>
      </c>
      <c r="I16" s="69" t="s">
        <v>57</v>
      </c>
      <c r="J16" s="86">
        <v>198000</v>
      </c>
      <c r="K16" s="87">
        <v>213000</v>
      </c>
      <c r="L16" s="87">
        <v>263000</v>
      </c>
      <c r="M16" s="87">
        <f t="shared" si="0"/>
        <v>112000</v>
      </c>
      <c r="N16" s="89">
        <f t="shared" si="1"/>
        <v>140000</v>
      </c>
      <c r="P16" s="86">
        <v>198000</v>
      </c>
      <c r="Q16" s="87">
        <v>213000</v>
      </c>
      <c r="R16" s="89">
        <v>263000</v>
      </c>
      <c r="S16" s="55"/>
      <c r="T16" s="86">
        <v>178000</v>
      </c>
      <c r="U16" s="90">
        <f t="shared" si="2"/>
        <v>0.10101010101010099</v>
      </c>
      <c r="V16" s="91">
        <f t="shared" ref="V16" si="21">Q16-20000</f>
        <v>193000</v>
      </c>
      <c r="W16" s="92">
        <f t="shared" si="3"/>
        <v>9.3896713615023497E-2</v>
      </c>
      <c r="X16" s="93">
        <v>223000</v>
      </c>
      <c r="Y16" s="94">
        <f t="shared" si="4"/>
        <v>0.15209125475285168</v>
      </c>
      <c r="Z16" s="91">
        <f t="shared" si="12"/>
        <v>59000</v>
      </c>
      <c r="AA16" s="95">
        <f t="shared" si="5"/>
        <v>0.4732142857142857</v>
      </c>
      <c r="AB16" s="87">
        <f t="shared" si="13"/>
        <v>59000</v>
      </c>
      <c r="AC16" s="96">
        <f t="shared" si="6"/>
        <v>0.57857142857142851</v>
      </c>
      <c r="AE16" s="97">
        <f t="shared" si="14"/>
        <v>296000</v>
      </c>
      <c r="AF16" s="98">
        <f t="shared" si="15"/>
        <v>311000</v>
      </c>
      <c r="AG16" s="99">
        <f t="shared" si="16"/>
        <v>341000</v>
      </c>
      <c r="AH16" s="100">
        <f t="shared" si="17"/>
        <v>37510</v>
      </c>
      <c r="AI16" s="101">
        <f t="shared" si="18"/>
        <v>303490</v>
      </c>
      <c r="AJ16" s="39">
        <f t="shared" si="8"/>
        <v>-45000</v>
      </c>
      <c r="AK16" s="39">
        <f t="shared" si="9"/>
        <v>-30000</v>
      </c>
      <c r="AP16" s="38" t="e">
        <f>J16+M16+N16+#REF!</f>
        <v>#REF!</v>
      </c>
      <c r="AQ16" s="38">
        <f t="shared" si="10"/>
        <v>296000</v>
      </c>
      <c r="AR16" s="39" t="e">
        <f t="shared" si="11"/>
        <v>#REF!</v>
      </c>
    </row>
    <row r="17" spans="2:44" s="39" customFormat="1" ht="15" customHeight="1">
      <c r="B17" s="286"/>
      <c r="C17" s="287"/>
      <c r="D17" s="283"/>
      <c r="E17" s="280"/>
      <c r="F17" s="283"/>
      <c r="G17" s="280"/>
      <c r="H17" s="283"/>
      <c r="I17" s="69" t="s">
        <v>58</v>
      </c>
      <c r="J17" s="70">
        <v>222000</v>
      </c>
      <c r="K17" s="71">
        <v>237000</v>
      </c>
      <c r="L17" s="71">
        <v>313000</v>
      </c>
      <c r="M17" s="71">
        <f t="shared" si="0"/>
        <v>112000</v>
      </c>
      <c r="N17" s="73">
        <f t="shared" si="1"/>
        <v>140000</v>
      </c>
      <c r="P17" s="70">
        <v>222000</v>
      </c>
      <c r="Q17" s="71">
        <v>237000</v>
      </c>
      <c r="R17" s="73">
        <v>313000</v>
      </c>
      <c r="S17" s="55"/>
      <c r="T17" s="70">
        <v>222000</v>
      </c>
      <c r="U17" s="74">
        <f t="shared" si="2"/>
        <v>0</v>
      </c>
      <c r="V17" s="75">
        <f t="shared" ref="V17:V18" si="22">Q17</f>
        <v>237000</v>
      </c>
      <c r="W17" s="76">
        <f t="shared" si="3"/>
        <v>0</v>
      </c>
      <c r="X17" s="77">
        <v>287000</v>
      </c>
      <c r="Y17" s="78">
        <f t="shared" si="4"/>
        <v>8.3067092651757157E-2</v>
      </c>
      <c r="Z17" s="75">
        <f t="shared" si="12"/>
        <v>59000</v>
      </c>
      <c r="AA17" s="79">
        <f t="shared" si="5"/>
        <v>0.4732142857142857</v>
      </c>
      <c r="AB17" s="71">
        <f t="shared" si="13"/>
        <v>59000</v>
      </c>
      <c r="AC17" s="80">
        <f t="shared" si="6"/>
        <v>0.57857142857142851</v>
      </c>
      <c r="AE17" s="81">
        <f t="shared" si="14"/>
        <v>340000</v>
      </c>
      <c r="AF17" s="82">
        <f t="shared" si="15"/>
        <v>355000</v>
      </c>
      <c r="AG17" s="83">
        <f t="shared" si="16"/>
        <v>405000</v>
      </c>
      <c r="AH17" s="84">
        <f t="shared" si="17"/>
        <v>44550</v>
      </c>
      <c r="AI17" s="85">
        <f t="shared" si="18"/>
        <v>360450</v>
      </c>
      <c r="AJ17" s="39">
        <f t="shared" si="8"/>
        <v>-65000</v>
      </c>
      <c r="AK17" s="39">
        <f t="shared" si="9"/>
        <v>-50000</v>
      </c>
      <c r="AP17" s="38" t="e">
        <f>J17+M17+N17+#REF!</f>
        <v>#REF!</v>
      </c>
      <c r="AQ17" s="38">
        <f t="shared" si="10"/>
        <v>340000</v>
      </c>
      <c r="AR17" s="39" t="e">
        <f t="shared" si="11"/>
        <v>#REF!</v>
      </c>
    </row>
    <row r="18" spans="2:44" s="39" customFormat="1" ht="15" customHeight="1">
      <c r="B18" s="286"/>
      <c r="C18" s="287"/>
      <c r="D18" s="283"/>
      <c r="E18" s="280"/>
      <c r="F18" s="283"/>
      <c r="G18" s="280"/>
      <c r="H18" s="283"/>
      <c r="I18" s="102" t="s">
        <v>59</v>
      </c>
      <c r="J18" s="70">
        <v>275000</v>
      </c>
      <c r="K18" s="71">
        <v>289000</v>
      </c>
      <c r="L18" s="71">
        <v>424000</v>
      </c>
      <c r="M18" s="71">
        <f t="shared" si="0"/>
        <v>112000</v>
      </c>
      <c r="N18" s="73">
        <f>55000*2+45000</f>
        <v>155000</v>
      </c>
      <c r="P18" s="70">
        <v>275000</v>
      </c>
      <c r="Q18" s="71">
        <v>289000</v>
      </c>
      <c r="R18" s="73">
        <v>424000</v>
      </c>
      <c r="S18" s="55"/>
      <c r="T18" s="70">
        <v>275000</v>
      </c>
      <c r="U18" s="74">
        <f t="shared" si="2"/>
        <v>0</v>
      </c>
      <c r="V18" s="75">
        <f t="shared" si="22"/>
        <v>289000</v>
      </c>
      <c r="W18" s="76">
        <f t="shared" si="3"/>
        <v>0</v>
      </c>
      <c r="X18" s="77">
        <v>424000</v>
      </c>
      <c r="Y18" s="78">
        <f t="shared" si="4"/>
        <v>0</v>
      </c>
      <c r="Z18" s="75">
        <f t="shared" si="12"/>
        <v>59000</v>
      </c>
      <c r="AA18" s="79">
        <f t="shared" si="5"/>
        <v>0.4732142857142857</v>
      </c>
      <c r="AB18" s="71">
        <f t="shared" si="13"/>
        <v>59000</v>
      </c>
      <c r="AC18" s="80">
        <f t="shared" si="6"/>
        <v>0.61935483870967745</v>
      </c>
      <c r="AE18" s="81">
        <f t="shared" si="14"/>
        <v>393000</v>
      </c>
      <c r="AF18" s="82">
        <f t="shared" si="15"/>
        <v>407000</v>
      </c>
      <c r="AG18" s="83">
        <f t="shared" si="16"/>
        <v>542000</v>
      </c>
      <c r="AH18" s="84">
        <f t="shared" si="17"/>
        <v>59620</v>
      </c>
      <c r="AI18" s="85">
        <f t="shared" si="18"/>
        <v>482380</v>
      </c>
      <c r="AJ18" s="39">
        <f t="shared" si="8"/>
        <v>-149000</v>
      </c>
      <c r="AK18" s="39">
        <f t="shared" si="9"/>
        <v>-135000</v>
      </c>
      <c r="AP18" s="38" t="e">
        <f>J18+M18+N18+#REF!</f>
        <v>#REF!</v>
      </c>
      <c r="AQ18" s="38">
        <f t="shared" si="10"/>
        <v>393000</v>
      </c>
      <c r="AR18" s="39" t="e">
        <f t="shared" si="11"/>
        <v>#REF!</v>
      </c>
    </row>
    <row r="19" spans="2:44" s="39" customFormat="1" ht="15" customHeight="1">
      <c r="B19" s="286"/>
      <c r="C19" s="287"/>
      <c r="D19" s="282" t="s">
        <v>30</v>
      </c>
      <c r="E19" s="279"/>
      <c r="F19" s="298" t="s">
        <v>27</v>
      </c>
      <c r="G19" s="279"/>
      <c r="H19" s="297" t="s">
        <v>79</v>
      </c>
      <c r="I19" s="103" t="s">
        <v>57</v>
      </c>
      <c r="J19" s="104">
        <v>114000</v>
      </c>
      <c r="K19" s="105">
        <v>126000</v>
      </c>
      <c r="L19" s="105">
        <v>160000</v>
      </c>
      <c r="M19" s="105">
        <f t="shared" si="0"/>
        <v>112000</v>
      </c>
      <c r="N19" s="107">
        <f t="shared" si="1"/>
        <v>140000</v>
      </c>
      <c r="P19" s="104">
        <v>114000</v>
      </c>
      <c r="Q19" s="105">
        <v>126000</v>
      </c>
      <c r="R19" s="107">
        <v>160000</v>
      </c>
      <c r="S19" s="55"/>
      <c r="T19" s="104">
        <v>94000</v>
      </c>
      <c r="U19" s="108">
        <f t="shared" si="2"/>
        <v>0.17543859649122806</v>
      </c>
      <c r="V19" s="109">
        <f t="shared" ref="V19" si="23">Q19-20000</f>
        <v>106000</v>
      </c>
      <c r="W19" s="110">
        <f t="shared" si="3"/>
        <v>0.15873015873015872</v>
      </c>
      <c r="X19" s="111">
        <f>V19+30000</f>
        <v>136000</v>
      </c>
      <c r="Y19" s="112">
        <f t="shared" si="4"/>
        <v>0.15000000000000002</v>
      </c>
      <c r="Z19" s="109">
        <f t="shared" si="12"/>
        <v>59000</v>
      </c>
      <c r="AA19" s="113">
        <f t="shared" si="5"/>
        <v>0.4732142857142857</v>
      </c>
      <c r="AB19" s="111">
        <f t="shared" si="13"/>
        <v>59000</v>
      </c>
      <c r="AC19" s="114">
        <f t="shared" si="6"/>
        <v>0.57857142857142851</v>
      </c>
      <c r="AD19" s="55"/>
      <c r="AE19" s="115">
        <f t="shared" si="14"/>
        <v>212000</v>
      </c>
      <c r="AF19" s="116">
        <f t="shared" si="15"/>
        <v>224000</v>
      </c>
      <c r="AG19" s="117">
        <f t="shared" si="16"/>
        <v>254000</v>
      </c>
      <c r="AH19" s="118">
        <f t="shared" si="17"/>
        <v>27940</v>
      </c>
      <c r="AI19" s="119">
        <f t="shared" si="18"/>
        <v>226060</v>
      </c>
      <c r="AJ19" s="39">
        <f t="shared" si="8"/>
        <v>-42000</v>
      </c>
      <c r="AK19" s="39">
        <f t="shared" si="9"/>
        <v>-30000</v>
      </c>
      <c r="AP19" s="38" t="e">
        <f>J19+M19+N19+#REF!</f>
        <v>#REF!</v>
      </c>
      <c r="AQ19" s="38">
        <f t="shared" si="10"/>
        <v>212000</v>
      </c>
      <c r="AR19" s="39" t="e">
        <f t="shared" si="11"/>
        <v>#REF!</v>
      </c>
    </row>
    <row r="20" spans="2:44" s="39" customFormat="1" ht="15" customHeight="1">
      <c r="B20" s="286"/>
      <c r="C20" s="287"/>
      <c r="D20" s="283"/>
      <c r="E20" s="280"/>
      <c r="F20" s="295"/>
      <c r="G20" s="280"/>
      <c r="H20" s="296"/>
      <c r="I20" s="103" t="s">
        <v>58</v>
      </c>
      <c r="J20" s="70">
        <v>130000</v>
      </c>
      <c r="K20" s="71">
        <v>142000</v>
      </c>
      <c r="L20" s="71">
        <v>210000</v>
      </c>
      <c r="M20" s="71">
        <f t="shared" si="0"/>
        <v>112000</v>
      </c>
      <c r="N20" s="73">
        <f t="shared" si="1"/>
        <v>140000</v>
      </c>
      <c r="P20" s="70">
        <v>130000</v>
      </c>
      <c r="Q20" s="71">
        <v>142000</v>
      </c>
      <c r="R20" s="73">
        <v>210000</v>
      </c>
      <c r="S20" s="55"/>
      <c r="T20" s="70">
        <v>130000</v>
      </c>
      <c r="U20" s="74">
        <f t="shared" si="2"/>
        <v>0</v>
      </c>
      <c r="V20" s="75">
        <f t="shared" ref="V20:V21" si="24">Q20</f>
        <v>142000</v>
      </c>
      <c r="W20" s="76">
        <f t="shared" si="3"/>
        <v>0</v>
      </c>
      <c r="X20" s="77">
        <f>V20+40000</f>
        <v>182000</v>
      </c>
      <c r="Y20" s="78">
        <f t="shared" si="4"/>
        <v>0.1333333333333333</v>
      </c>
      <c r="Z20" s="75">
        <f t="shared" si="12"/>
        <v>59000</v>
      </c>
      <c r="AA20" s="79">
        <f t="shared" si="5"/>
        <v>0.4732142857142857</v>
      </c>
      <c r="AB20" s="77">
        <f t="shared" si="13"/>
        <v>59000</v>
      </c>
      <c r="AC20" s="80">
        <f t="shared" si="6"/>
        <v>0.57857142857142851</v>
      </c>
      <c r="AD20" s="55"/>
      <c r="AE20" s="120">
        <f t="shared" si="14"/>
        <v>248000</v>
      </c>
      <c r="AF20" s="82">
        <f t="shared" si="15"/>
        <v>260000</v>
      </c>
      <c r="AG20" s="83">
        <f t="shared" si="16"/>
        <v>300000</v>
      </c>
      <c r="AH20" s="84">
        <f t="shared" si="17"/>
        <v>33000</v>
      </c>
      <c r="AI20" s="85">
        <f t="shared" si="18"/>
        <v>267000</v>
      </c>
      <c r="AJ20" s="39">
        <f t="shared" si="8"/>
        <v>-52000</v>
      </c>
      <c r="AK20" s="39">
        <f t="shared" si="9"/>
        <v>-40000</v>
      </c>
      <c r="AP20" s="38" t="e">
        <f>J20+M20+N20+#REF!</f>
        <v>#REF!</v>
      </c>
      <c r="AQ20" s="38">
        <f t="shared" si="10"/>
        <v>248000</v>
      </c>
      <c r="AR20" s="39" t="e">
        <f t="shared" si="11"/>
        <v>#REF!</v>
      </c>
    </row>
    <row r="21" spans="2:44" s="39" customFormat="1" ht="15" customHeight="1">
      <c r="B21" s="286"/>
      <c r="C21" s="287"/>
      <c r="D21" s="283"/>
      <c r="E21" s="280"/>
      <c r="F21" s="295"/>
      <c r="G21" s="280"/>
      <c r="H21" s="296"/>
      <c r="I21" s="103" t="s">
        <v>59</v>
      </c>
      <c r="J21" s="70">
        <v>164000</v>
      </c>
      <c r="K21" s="71">
        <v>174000</v>
      </c>
      <c r="L21" s="71">
        <v>290000</v>
      </c>
      <c r="M21" s="71">
        <f t="shared" si="0"/>
        <v>112000</v>
      </c>
      <c r="N21" s="73">
        <f>55000*2+45000</f>
        <v>155000</v>
      </c>
      <c r="P21" s="70">
        <v>164000</v>
      </c>
      <c r="Q21" s="71">
        <v>174000</v>
      </c>
      <c r="R21" s="73">
        <v>290000</v>
      </c>
      <c r="S21" s="55"/>
      <c r="T21" s="70">
        <v>164000</v>
      </c>
      <c r="U21" s="74">
        <f t="shared" si="2"/>
        <v>0</v>
      </c>
      <c r="V21" s="75">
        <f t="shared" si="24"/>
        <v>174000</v>
      </c>
      <c r="W21" s="76">
        <f t="shared" si="3"/>
        <v>0</v>
      </c>
      <c r="X21" s="77">
        <f>M21</f>
        <v>112000</v>
      </c>
      <c r="Y21" s="78">
        <f t="shared" si="4"/>
        <v>0.61379310344827587</v>
      </c>
      <c r="Z21" s="75">
        <f t="shared" si="12"/>
        <v>59000</v>
      </c>
      <c r="AA21" s="79">
        <f t="shared" si="5"/>
        <v>0.4732142857142857</v>
      </c>
      <c r="AB21" s="77">
        <f t="shared" si="13"/>
        <v>59000</v>
      </c>
      <c r="AC21" s="80">
        <f t="shared" si="6"/>
        <v>0.61935483870967745</v>
      </c>
      <c r="AD21" s="55"/>
      <c r="AE21" s="120">
        <f t="shared" si="14"/>
        <v>282000</v>
      </c>
      <c r="AF21" s="82">
        <f t="shared" si="15"/>
        <v>292000</v>
      </c>
      <c r="AG21" s="83">
        <f t="shared" si="16"/>
        <v>230000</v>
      </c>
      <c r="AH21" s="84">
        <f t="shared" si="17"/>
        <v>25300</v>
      </c>
      <c r="AI21" s="85">
        <f t="shared" si="18"/>
        <v>204700</v>
      </c>
      <c r="AJ21" s="39">
        <f t="shared" si="8"/>
        <v>52000</v>
      </c>
      <c r="AK21" s="39">
        <f t="shared" si="9"/>
        <v>62000</v>
      </c>
      <c r="AP21" s="38" t="e">
        <f>J21+M21+N21+#REF!</f>
        <v>#REF!</v>
      </c>
      <c r="AQ21" s="38">
        <f t="shared" si="10"/>
        <v>282000</v>
      </c>
      <c r="AR21" s="39" t="e">
        <f t="shared" si="11"/>
        <v>#REF!</v>
      </c>
    </row>
    <row r="22" spans="2:44" s="39" customFormat="1" ht="15" customHeight="1">
      <c r="B22" s="286"/>
      <c r="C22" s="287"/>
      <c r="D22" s="283"/>
      <c r="E22" s="280"/>
      <c r="F22" s="295"/>
      <c r="G22" s="280"/>
      <c r="H22" s="297" t="s">
        <v>25</v>
      </c>
      <c r="I22" s="103" t="s">
        <v>57</v>
      </c>
      <c r="J22" s="86">
        <v>147000</v>
      </c>
      <c r="K22" s="87">
        <v>159000</v>
      </c>
      <c r="L22" s="87">
        <v>193000</v>
      </c>
      <c r="M22" s="87">
        <f t="shared" si="0"/>
        <v>112000</v>
      </c>
      <c r="N22" s="89">
        <f t="shared" si="1"/>
        <v>140000</v>
      </c>
      <c r="P22" s="86">
        <v>147000</v>
      </c>
      <c r="Q22" s="87">
        <v>159000</v>
      </c>
      <c r="R22" s="89">
        <v>193000</v>
      </c>
      <c r="S22" s="55"/>
      <c r="T22" s="86">
        <v>127000</v>
      </c>
      <c r="U22" s="90">
        <f t="shared" si="2"/>
        <v>0.13605442176870752</v>
      </c>
      <c r="V22" s="91">
        <f t="shared" ref="V22" si="25">Q22-20000</f>
        <v>139000</v>
      </c>
      <c r="W22" s="92">
        <f t="shared" si="3"/>
        <v>0.12578616352201255</v>
      </c>
      <c r="X22" s="93">
        <f t="shared" ref="X22" si="26">V22+30000</f>
        <v>169000</v>
      </c>
      <c r="Y22" s="94">
        <f t="shared" si="4"/>
        <v>0.12435233160621761</v>
      </c>
      <c r="Z22" s="91">
        <f t="shared" si="12"/>
        <v>59000</v>
      </c>
      <c r="AA22" s="95">
        <f t="shared" si="5"/>
        <v>0.4732142857142857</v>
      </c>
      <c r="AB22" s="93">
        <f t="shared" si="13"/>
        <v>59000</v>
      </c>
      <c r="AC22" s="96">
        <f t="shared" si="6"/>
        <v>0.57857142857142851</v>
      </c>
      <c r="AD22" s="55"/>
      <c r="AE22" s="121">
        <f t="shared" si="14"/>
        <v>245000</v>
      </c>
      <c r="AF22" s="98">
        <f t="shared" si="15"/>
        <v>257000</v>
      </c>
      <c r="AG22" s="99">
        <f t="shared" si="16"/>
        <v>287000</v>
      </c>
      <c r="AH22" s="100">
        <f t="shared" si="17"/>
        <v>31570</v>
      </c>
      <c r="AI22" s="101">
        <f t="shared" si="18"/>
        <v>255430</v>
      </c>
      <c r="AJ22" s="39">
        <f t="shared" si="8"/>
        <v>-42000</v>
      </c>
      <c r="AK22" s="39">
        <f t="shared" si="9"/>
        <v>-30000</v>
      </c>
      <c r="AP22" s="38" t="e">
        <f>J22+M22+N22+#REF!</f>
        <v>#REF!</v>
      </c>
      <c r="AQ22" s="38">
        <f t="shared" si="10"/>
        <v>245000</v>
      </c>
      <c r="AR22" s="39" t="e">
        <f t="shared" si="11"/>
        <v>#REF!</v>
      </c>
    </row>
    <row r="23" spans="2:44" s="39" customFormat="1" ht="15" customHeight="1">
      <c r="B23" s="286"/>
      <c r="C23" s="287"/>
      <c r="D23" s="283"/>
      <c r="E23" s="280"/>
      <c r="F23" s="295"/>
      <c r="G23" s="280"/>
      <c r="H23" s="296"/>
      <c r="I23" s="103" t="s">
        <v>58</v>
      </c>
      <c r="J23" s="70">
        <v>163000</v>
      </c>
      <c r="K23" s="71">
        <v>175000</v>
      </c>
      <c r="L23" s="71">
        <v>243000</v>
      </c>
      <c r="M23" s="71">
        <f t="shared" si="0"/>
        <v>112000</v>
      </c>
      <c r="N23" s="73">
        <f t="shared" si="1"/>
        <v>140000</v>
      </c>
      <c r="P23" s="70">
        <v>163000</v>
      </c>
      <c r="Q23" s="71">
        <v>175000</v>
      </c>
      <c r="R23" s="73">
        <v>243000</v>
      </c>
      <c r="S23" s="55"/>
      <c r="T23" s="70">
        <v>163000</v>
      </c>
      <c r="U23" s="74">
        <f t="shared" si="2"/>
        <v>0</v>
      </c>
      <c r="V23" s="75">
        <f t="shared" ref="V23:V24" si="27">Q23</f>
        <v>175000</v>
      </c>
      <c r="W23" s="76">
        <f t="shared" si="3"/>
        <v>0</v>
      </c>
      <c r="X23" s="77">
        <f t="shared" ref="X23" si="28">V23+40000</f>
        <v>215000</v>
      </c>
      <c r="Y23" s="78">
        <f t="shared" si="4"/>
        <v>0.1152263374485597</v>
      </c>
      <c r="Z23" s="75">
        <f t="shared" si="12"/>
        <v>59000</v>
      </c>
      <c r="AA23" s="79">
        <f t="shared" si="5"/>
        <v>0.4732142857142857</v>
      </c>
      <c r="AB23" s="77">
        <f t="shared" si="13"/>
        <v>59000</v>
      </c>
      <c r="AC23" s="80">
        <f t="shared" si="6"/>
        <v>0.57857142857142851</v>
      </c>
      <c r="AD23" s="55"/>
      <c r="AE23" s="120">
        <f t="shared" si="14"/>
        <v>281000</v>
      </c>
      <c r="AF23" s="82">
        <f t="shared" si="15"/>
        <v>293000</v>
      </c>
      <c r="AG23" s="83">
        <f t="shared" si="16"/>
        <v>333000</v>
      </c>
      <c r="AH23" s="84">
        <f t="shared" si="17"/>
        <v>36630</v>
      </c>
      <c r="AI23" s="85">
        <f t="shared" si="18"/>
        <v>296370</v>
      </c>
      <c r="AJ23" s="39">
        <f t="shared" si="8"/>
        <v>-52000</v>
      </c>
      <c r="AK23" s="39">
        <f t="shared" si="9"/>
        <v>-40000</v>
      </c>
      <c r="AP23" s="38" t="e">
        <f>J23+M23+N23+#REF!</f>
        <v>#REF!</v>
      </c>
      <c r="AQ23" s="38">
        <f t="shared" si="10"/>
        <v>281000</v>
      </c>
      <c r="AR23" s="39" t="e">
        <f t="shared" si="11"/>
        <v>#REF!</v>
      </c>
    </row>
    <row r="24" spans="2:44" s="39" customFormat="1" ht="15" customHeight="1">
      <c r="B24" s="286"/>
      <c r="C24" s="287"/>
      <c r="D24" s="283"/>
      <c r="E24" s="280"/>
      <c r="F24" s="295"/>
      <c r="G24" s="280"/>
      <c r="H24" s="296"/>
      <c r="I24" s="103" t="s">
        <v>59</v>
      </c>
      <c r="J24" s="70">
        <v>219000</v>
      </c>
      <c r="K24" s="71">
        <v>229000</v>
      </c>
      <c r="L24" s="71">
        <v>345000</v>
      </c>
      <c r="M24" s="71">
        <f t="shared" si="0"/>
        <v>112000</v>
      </c>
      <c r="N24" s="73">
        <f>55000*2+45000</f>
        <v>155000</v>
      </c>
      <c r="P24" s="70">
        <v>219000</v>
      </c>
      <c r="Q24" s="71">
        <v>229000</v>
      </c>
      <c r="R24" s="73">
        <v>345000</v>
      </c>
      <c r="S24" s="55"/>
      <c r="T24" s="70">
        <v>219000</v>
      </c>
      <c r="U24" s="74">
        <f t="shared" si="2"/>
        <v>0</v>
      </c>
      <c r="V24" s="75">
        <f t="shared" si="27"/>
        <v>229000</v>
      </c>
      <c r="W24" s="76">
        <f t="shared" si="3"/>
        <v>0</v>
      </c>
      <c r="X24" s="77">
        <f>M24</f>
        <v>112000</v>
      </c>
      <c r="Y24" s="78">
        <f t="shared" si="4"/>
        <v>0.67536231884057973</v>
      </c>
      <c r="Z24" s="75">
        <f t="shared" si="12"/>
        <v>59000</v>
      </c>
      <c r="AA24" s="79">
        <f t="shared" si="5"/>
        <v>0.4732142857142857</v>
      </c>
      <c r="AB24" s="77">
        <f t="shared" si="13"/>
        <v>59000</v>
      </c>
      <c r="AC24" s="80">
        <f t="shared" si="6"/>
        <v>0.61935483870967745</v>
      </c>
      <c r="AD24" s="55"/>
      <c r="AE24" s="120">
        <f t="shared" si="14"/>
        <v>337000</v>
      </c>
      <c r="AF24" s="82">
        <f t="shared" si="15"/>
        <v>347000</v>
      </c>
      <c r="AG24" s="83">
        <f t="shared" si="16"/>
        <v>230000</v>
      </c>
      <c r="AH24" s="84">
        <f t="shared" si="17"/>
        <v>25300</v>
      </c>
      <c r="AI24" s="85">
        <f t="shared" si="18"/>
        <v>204700</v>
      </c>
      <c r="AJ24" s="39">
        <f t="shared" si="8"/>
        <v>107000</v>
      </c>
      <c r="AK24" s="39">
        <f t="shared" si="9"/>
        <v>117000</v>
      </c>
      <c r="AP24" s="38" t="e">
        <f>J24+M24+N24+#REF!</f>
        <v>#REF!</v>
      </c>
      <c r="AQ24" s="38">
        <f t="shared" si="10"/>
        <v>337000</v>
      </c>
      <c r="AR24" s="39" t="e">
        <f t="shared" si="11"/>
        <v>#REF!</v>
      </c>
    </row>
    <row r="25" spans="2:44" s="39" customFormat="1" ht="15" customHeight="1">
      <c r="B25" s="286"/>
      <c r="C25" s="287"/>
      <c r="D25" s="283"/>
      <c r="E25" s="280"/>
      <c r="F25" s="298" t="s">
        <v>28</v>
      </c>
      <c r="G25" s="279"/>
      <c r="H25" s="297" t="s">
        <v>18</v>
      </c>
      <c r="I25" s="103" t="s">
        <v>57</v>
      </c>
      <c r="J25" s="86">
        <v>148000</v>
      </c>
      <c r="K25" s="87">
        <v>165000</v>
      </c>
      <c r="L25" s="87">
        <v>235000</v>
      </c>
      <c r="M25" s="87">
        <f t="shared" si="0"/>
        <v>112000</v>
      </c>
      <c r="N25" s="89">
        <f t="shared" si="1"/>
        <v>140000</v>
      </c>
      <c r="P25" s="86">
        <v>148000</v>
      </c>
      <c r="Q25" s="87">
        <v>165000</v>
      </c>
      <c r="R25" s="89">
        <v>235000</v>
      </c>
      <c r="S25" s="1"/>
      <c r="T25" s="86">
        <v>128000</v>
      </c>
      <c r="U25" s="90">
        <f t="shared" si="2"/>
        <v>0.13513513513513509</v>
      </c>
      <c r="V25" s="91">
        <f t="shared" ref="V25" si="29">Q25-20000</f>
        <v>145000</v>
      </c>
      <c r="W25" s="92">
        <f t="shared" si="3"/>
        <v>0.12121212121212122</v>
      </c>
      <c r="X25" s="93">
        <f t="shared" ref="X25" si="30">V25+30000</f>
        <v>175000</v>
      </c>
      <c r="Y25" s="94">
        <f t="shared" si="4"/>
        <v>0.25531914893617025</v>
      </c>
      <c r="Z25" s="91">
        <f t="shared" si="12"/>
        <v>59000</v>
      </c>
      <c r="AA25" s="95">
        <f t="shared" si="5"/>
        <v>0.4732142857142857</v>
      </c>
      <c r="AB25" s="93">
        <f t="shared" si="13"/>
        <v>59000</v>
      </c>
      <c r="AC25" s="96">
        <f t="shared" si="6"/>
        <v>0.57857142857142851</v>
      </c>
      <c r="AD25" s="55"/>
      <c r="AE25" s="121">
        <f t="shared" si="14"/>
        <v>246000</v>
      </c>
      <c r="AF25" s="98">
        <f t="shared" si="15"/>
        <v>263000</v>
      </c>
      <c r="AG25" s="99">
        <f t="shared" si="16"/>
        <v>293000</v>
      </c>
      <c r="AH25" s="100">
        <f t="shared" si="17"/>
        <v>32230</v>
      </c>
      <c r="AI25" s="101">
        <f t="shared" si="18"/>
        <v>260770</v>
      </c>
      <c r="AJ25" s="39">
        <f t="shared" si="8"/>
        <v>-47000</v>
      </c>
      <c r="AK25" s="39">
        <f t="shared" si="9"/>
        <v>-30000</v>
      </c>
      <c r="AP25" s="38" t="e">
        <f>J25+M25+N25+#REF!</f>
        <v>#REF!</v>
      </c>
      <c r="AQ25" s="38">
        <f t="shared" si="10"/>
        <v>246000</v>
      </c>
      <c r="AR25" s="39" t="e">
        <f t="shared" si="11"/>
        <v>#REF!</v>
      </c>
    </row>
    <row r="26" spans="2:44" s="39" customFormat="1" ht="15" customHeight="1">
      <c r="B26" s="286"/>
      <c r="C26" s="287"/>
      <c r="D26" s="283"/>
      <c r="E26" s="280"/>
      <c r="F26" s="295"/>
      <c r="G26" s="280"/>
      <c r="H26" s="296"/>
      <c r="I26" s="103" t="s">
        <v>58</v>
      </c>
      <c r="J26" s="70">
        <v>179000</v>
      </c>
      <c r="K26" s="71">
        <v>194000</v>
      </c>
      <c r="L26" s="71">
        <v>285000</v>
      </c>
      <c r="M26" s="71">
        <f t="shared" si="0"/>
        <v>112000</v>
      </c>
      <c r="N26" s="73">
        <f t="shared" si="1"/>
        <v>140000</v>
      </c>
      <c r="P26" s="70">
        <v>179000</v>
      </c>
      <c r="Q26" s="71">
        <v>194000</v>
      </c>
      <c r="R26" s="73">
        <v>285000</v>
      </c>
      <c r="S26" s="1"/>
      <c r="T26" s="70">
        <v>179000</v>
      </c>
      <c r="U26" s="74">
        <f t="shared" si="2"/>
        <v>0</v>
      </c>
      <c r="V26" s="75">
        <f t="shared" ref="V26:V27" si="31">Q26</f>
        <v>194000</v>
      </c>
      <c r="W26" s="76">
        <f t="shared" si="3"/>
        <v>0</v>
      </c>
      <c r="X26" s="77">
        <f t="shared" ref="X26" si="32">V26+40000</f>
        <v>234000</v>
      </c>
      <c r="Y26" s="78">
        <f t="shared" si="4"/>
        <v>0.17894736842105263</v>
      </c>
      <c r="Z26" s="75">
        <f t="shared" si="12"/>
        <v>59000</v>
      </c>
      <c r="AA26" s="79">
        <f t="shared" si="5"/>
        <v>0.4732142857142857</v>
      </c>
      <c r="AB26" s="77">
        <f t="shared" si="13"/>
        <v>59000</v>
      </c>
      <c r="AC26" s="80">
        <f t="shared" si="6"/>
        <v>0.57857142857142851</v>
      </c>
      <c r="AD26" s="55"/>
      <c r="AE26" s="120">
        <f t="shared" si="14"/>
        <v>297000</v>
      </c>
      <c r="AF26" s="82">
        <f t="shared" si="15"/>
        <v>312000</v>
      </c>
      <c r="AG26" s="83">
        <f t="shared" si="16"/>
        <v>352000</v>
      </c>
      <c r="AH26" s="84">
        <f t="shared" si="17"/>
        <v>38720</v>
      </c>
      <c r="AI26" s="85">
        <f t="shared" si="18"/>
        <v>313280</v>
      </c>
      <c r="AJ26" s="39">
        <f t="shared" si="8"/>
        <v>-55000</v>
      </c>
      <c r="AK26" s="39">
        <f t="shared" si="9"/>
        <v>-40000</v>
      </c>
      <c r="AP26" s="38" t="e">
        <f>J26+M26+N26+#REF!</f>
        <v>#REF!</v>
      </c>
      <c r="AQ26" s="38">
        <f t="shared" si="10"/>
        <v>297000</v>
      </c>
      <c r="AR26" s="39" t="e">
        <f t="shared" si="11"/>
        <v>#REF!</v>
      </c>
    </row>
    <row r="27" spans="2:44" s="39" customFormat="1" ht="15" customHeight="1">
      <c r="B27" s="286"/>
      <c r="C27" s="287"/>
      <c r="D27" s="283"/>
      <c r="E27" s="280"/>
      <c r="F27" s="295"/>
      <c r="G27" s="280"/>
      <c r="H27" s="296"/>
      <c r="I27" s="103" t="s">
        <v>59</v>
      </c>
      <c r="J27" s="70">
        <v>218000</v>
      </c>
      <c r="K27" s="71">
        <v>233000</v>
      </c>
      <c r="L27" s="71">
        <v>370000</v>
      </c>
      <c r="M27" s="71">
        <f t="shared" si="0"/>
        <v>112000</v>
      </c>
      <c r="N27" s="73">
        <f>55000*2+45000</f>
        <v>155000</v>
      </c>
      <c r="P27" s="70">
        <v>218000</v>
      </c>
      <c r="Q27" s="71">
        <v>233000</v>
      </c>
      <c r="R27" s="73">
        <v>370000</v>
      </c>
      <c r="S27" s="1"/>
      <c r="T27" s="70">
        <v>218000</v>
      </c>
      <c r="U27" s="74">
        <f t="shared" si="2"/>
        <v>0</v>
      </c>
      <c r="V27" s="75">
        <f t="shared" si="31"/>
        <v>233000</v>
      </c>
      <c r="W27" s="76">
        <f t="shared" si="3"/>
        <v>0</v>
      </c>
      <c r="X27" s="77">
        <f>M27</f>
        <v>112000</v>
      </c>
      <c r="Y27" s="78">
        <f t="shared" si="4"/>
        <v>0.69729729729729728</v>
      </c>
      <c r="Z27" s="75">
        <f t="shared" si="12"/>
        <v>59000</v>
      </c>
      <c r="AA27" s="79">
        <f t="shared" si="5"/>
        <v>0.4732142857142857</v>
      </c>
      <c r="AB27" s="77">
        <f t="shared" si="13"/>
        <v>59000</v>
      </c>
      <c r="AC27" s="80">
        <f t="shared" si="6"/>
        <v>0.61935483870967745</v>
      </c>
      <c r="AD27" s="55"/>
      <c r="AE27" s="120">
        <f t="shared" si="14"/>
        <v>336000</v>
      </c>
      <c r="AF27" s="82">
        <f t="shared" si="15"/>
        <v>351000</v>
      </c>
      <c r="AG27" s="83">
        <f t="shared" si="16"/>
        <v>230000</v>
      </c>
      <c r="AH27" s="84">
        <f t="shared" si="17"/>
        <v>25300</v>
      </c>
      <c r="AI27" s="85">
        <f t="shared" si="18"/>
        <v>204700</v>
      </c>
      <c r="AJ27" s="39">
        <f t="shared" si="8"/>
        <v>106000</v>
      </c>
      <c r="AK27" s="39">
        <f t="shared" si="9"/>
        <v>121000</v>
      </c>
      <c r="AP27" s="38" t="e">
        <f>J27+M27+N27+#REF!</f>
        <v>#REF!</v>
      </c>
      <c r="AQ27" s="38">
        <f t="shared" si="10"/>
        <v>336000</v>
      </c>
      <c r="AR27" s="39" t="e">
        <f t="shared" si="11"/>
        <v>#REF!</v>
      </c>
    </row>
    <row r="28" spans="2:44" s="39" customFormat="1" ht="15" customHeight="1">
      <c r="B28" s="286"/>
      <c r="C28" s="287"/>
      <c r="D28" s="283"/>
      <c r="E28" s="280"/>
      <c r="F28" s="295"/>
      <c r="G28" s="280"/>
      <c r="H28" s="297" t="s">
        <v>25</v>
      </c>
      <c r="I28" s="103" t="s">
        <v>57</v>
      </c>
      <c r="J28" s="86">
        <v>181000</v>
      </c>
      <c r="K28" s="87">
        <v>198000</v>
      </c>
      <c r="L28" s="87">
        <v>268000</v>
      </c>
      <c r="M28" s="87">
        <f t="shared" si="0"/>
        <v>112000</v>
      </c>
      <c r="N28" s="89">
        <f t="shared" si="1"/>
        <v>140000</v>
      </c>
      <c r="P28" s="86">
        <v>181000</v>
      </c>
      <c r="Q28" s="87">
        <v>198000</v>
      </c>
      <c r="R28" s="89">
        <v>268000</v>
      </c>
      <c r="S28" s="1"/>
      <c r="T28" s="86">
        <v>161000</v>
      </c>
      <c r="U28" s="90">
        <f t="shared" si="2"/>
        <v>0.11049723756906082</v>
      </c>
      <c r="V28" s="91">
        <f t="shared" ref="V28" si="33">Q28-20000</f>
        <v>178000</v>
      </c>
      <c r="W28" s="92">
        <f t="shared" si="3"/>
        <v>0.10101010101010099</v>
      </c>
      <c r="X28" s="93">
        <f t="shared" ref="X28" si="34">V28+30000</f>
        <v>208000</v>
      </c>
      <c r="Y28" s="94">
        <f t="shared" si="4"/>
        <v>0.22388059701492535</v>
      </c>
      <c r="Z28" s="91">
        <f t="shared" si="12"/>
        <v>59000</v>
      </c>
      <c r="AA28" s="95">
        <f t="shared" si="5"/>
        <v>0.4732142857142857</v>
      </c>
      <c r="AB28" s="93">
        <f t="shared" si="13"/>
        <v>59000</v>
      </c>
      <c r="AC28" s="96">
        <f t="shared" si="6"/>
        <v>0.57857142857142851</v>
      </c>
      <c r="AD28" s="55"/>
      <c r="AE28" s="121">
        <f t="shared" si="14"/>
        <v>279000</v>
      </c>
      <c r="AF28" s="98">
        <f t="shared" si="15"/>
        <v>296000</v>
      </c>
      <c r="AG28" s="99">
        <f t="shared" si="16"/>
        <v>326000</v>
      </c>
      <c r="AH28" s="100">
        <f t="shared" si="17"/>
        <v>35860</v>
      </c>
      <c r="AI28" s="101">
        <f t="shared" si="18"/>
        <v>290140</v>
      </c>
      <c r="AJ28" s="39">
        <f t="shared" si="8"/>
        <v>-47000</v>
      </c>
      <c r="AK28" s="39">
        <f t="shared" si="9"/>
        <v>-30000</v>
      </c>
      <c r="AP28" s="38" t="e">
        <f>J28+M28+N28+#REF!</f>
        <v>#REF!</v>
      </c>
      <c r="AQ28" s="38">
        <f t="shared" si="10"/>
        <v>279000</v>
      </c>
      <c r="AR28" s="39" t="e">
        <f t="shared" si="11"/>
        <v>#REF!</v>
      </c>
    </row>
    <row r="29" spans="2:44" s="39" customFormat="1" ht="15" customHeight="1">
      <c r="B29" s="286"/>
      <c r="C29" s="287"/>
      <c r="D29" s="283"/>
      <c r="E29" s="280"/>
      <c r="F29" s="295"/>
      <c r="G29" s="280"/>
      <c r="H29" s="296"/>
      <c r="I29" s="103" t="s">
        <v>58</v>
      </c>
      <c r="J29" s="70">
        <v>212000</v>
      </c>
      <c r="K29" s="71">
        <v>227000</v>
      </c>
      <c r="L29" s="71">
        <v>318000</v>
      </c>
      <c r="M29" s="71">
        <f t="shared" si="0"/>
        <v>112000</v>
      </c>
      <c r="N29" s="73">
        <f t="shared" si="1"/>
        <v>140000</v>
      </c>
      <c r="P29" s="70">
        <v>212000</v>
      </c>
      <c r="Q29" s="71">
        <v>227000</v>
      </c>
      <c r="R29" s="73">
        <v>318000</v>
      </c>
      <c r="S29" s="1"/>
      <c r="T29" s="70">
        <v>212000</v>
      </c>
      <c r="U29" s="74">
        <f t="shared" si="2"/>
        <v>0</v>
      </c>
      <c r="V29" s="75">
        <f t="shared" ref="V29:V30" si="35">Q29</f>
        <v>227000</v>
      </c>
      <c r="W29" s="76">
        <f t="shared" si="3"/>
        <v>0</v>
      </c>
      <c r="X29" s="77">
        <f t="shared" ref="X29" si="36">V29+40000</f>
        <v>267000</v>
      </c>
      <c r="Y29" s="78">
        <f t="shared" si="4"/>
        <v>0.160377358490566</v>
      </c>
      <c r="Z29" s="75">
        <f t="shared" si="12"/>
        <v>59000</v>
      </c>
      <c r="AA29" s="79">
        <f t="shared" si="5"/>
        <v>0.4732142857142857</v>
      </c>
      <c r="AB29" s="77">
        <f t="shared" si="13"/>
        <v>59000</v>
      </c>
      <c r="AC29" s="80">
        <f t="shared" si="6"/>
        <v>0.57857142857142851</v>
      </c>
      <c r="AD29" s="55"/>
      <c r="AE29" s="120">
        <f t="shared" si="14"/>
        <v>330000</v>
      </c>
      <c r="AF29" s="82">
        <f t="shared" si="15"/>
        <v>345000</v>
      </c>
      <c r="AG29" s="83">
        <f t="shared" si="16"/>
        <v>385000</v>
      </c>
      <c r="AH29" s="84">
        <f t="shared" si="17"/>
        <v>42350</v>
      </c>
      <c r="AI29" s="85">
        <f t="shared" si="18"/>
        <v>342650</v>
      </c>
      <c r="AJ29" s="39">
        <f t="shared" si="8"/>
        <v>-55000</v>
      </c>
      <c r="AK29" s="39">
        <f t="shared" si="9"/>
        <v>-40000</v>
      </c>
      <c r="AP29" s="38" t="e">
        <f>J29+M29+N29+#REF!</f>
        <v>#REF!</v>
      </c>
      <c r="AQ29" s="38">
        <f t="shared" si="10"/>
        <v>330000</v>
      </c>
      <c r="AR29" s="39" t="e">
        <f t="shared" si="11"/>
        <v>#REF!</v>
      </c>
    </row>
    <row r="30" spans="2:44" s="39" customFormat="1" ht="15" customHeight="1">
      <c r="B30" s="286"/>
      <c r="C30" s="287"/>
      <c r="D30" s="283"/>
      <c r="E30" s="280"/>
      <c r="F30" s="295"/>
      <c r="G30" s="280"/>
      <c r="H30" s="296"/>
      <c r="I30" s="122" t="s">
        <v>59</v>
      </c>
      <c r="J30" s="123">
        <v>273000</v>
      </c>
      <c r="K30" s="124">
        <v>288000</v>
      </c>
      <c r="L30" s="124">
        <v>425000</v>
      </c>
      <c r="M30" s="124">
        <f t="shared" si="0"/>
        <v>112000</v>
      </c>
      <c r="N30" s="126">
        <f>55000*2+45000</f>
        <v>155000</v>
      </c>
      <c r="P30" s="123">
        <v>273000</v>
      </c>
      <c r="Q30" s="124">
        <v>288000</v>
      </c>
      <c r="R30" s="126">
        <v>425000</v>
      </c>
      <c r="S30" s="1"/>
      <c r="T30" s="123">
        <v>273000</v>
      </c>
      <c r="U30" s="127">
        <f t="shared" si="2"/>
        <v>0</v>
      </c>
      <c r="V30" s="128">
        <f t="shared" si="35"/>
        <v>288000</v>
      </c>
      <c r="W30" s="129">
        <f t="shared" si="3"/>
        <v>0</v>
      </c>
      <c r="X30" s="130">
        <f>M30</f>
        <v>112000</v>
      </c>
      <c r="Y30" s="131">
        <f t="shared" si="4"/>
        <v>0.7364705882352941</v>
      </c>
      <c r="Z30" s="128">
        <f t="shared" si="12"/>
        <v>59000</v>
      </c>
      <c r="AA30" s="132">
        <f t="shared" si="5"/>
        <v>0.4732142857142857</v>
      </c>
      <c r="AB30" s="130">
        <f t="shared" si="13"/>
        <v>59000</v>
      </c>
      <c r="AC30" s="133">
        <f t="shared" si="6"/>
        <v>0.61935483870967745</v>
      </c>
      <c r="AD30" s="55"/>
      <c r="AE30" s="134">
        <f t="shared" si="14"/>
        <v>391000</v>
      </c>
      <c r="AF30" s="135">
        <f t="shared" si="15"/>
        <v>406000</v>
      </c>
      <c r="AG30" s="136">
        <f t="shared" si="16"/>
        <v>230000</v>
      </c>
      <c r="AH30" s="137">
        <f t="shared" si="17"/>
        <v>25300</v>
      </c>
      <c r="AI30" s="138">
        <f t="shared" si="18"/>
        <v>204700</v>
      </c>
      <c r="AJ30" s="39">
        <f t="shared" si="8"/>
        <v>161000</v>
      </c>
      <c r="AK30" s="39">
        <f t="shared" si="9"/>
        <v>176000</v>
      </c>
      <c r="AP30" s="38" t="e">
        <f>J30+M30+N30+#REF!</f>
        <v>#REF!</v>
      </c>
      <c r="AQ30" s="38">
        <f t="shared" si="10"/>
        <v>391000</v>
      </c>
      <c r="AR30" s="39" t="e">
        <f t="shared" si="11"/>
        <v>#REF!</v>
      </c>
    </row>
    <row r="31" spans="2:44" s="39" customFormat="1" ht="15" customHeight="1">
      <c r="B31" s="286"/>
      <c r="C31" s="287"/>
      <c r="D31" s="283"/>
      <c r="E31" s="280"/>
      <c r="F31" s="282" t="s">
        <v>55</v>
      </c>
      <c r="G31" s="279"/>
      <c r="H31" s="279" t="s">
        <v>18</v>
      </c>
      <c r="I31" s="103" t="s">
        <v>57</v>
      </c>
      <c r="J31" s="86">
        <v>174000</v>
      </c>
      <c r="K31" s="87">
        <v>191000</v>
      </c>
      <c r="L31" s="87">
        <v>250000</v>
      </c>
      <c r="M31" s="87">
        <f t="shared" si="0"/>
        <v>112000</v>
      </c>
      <c r="N31" s="89">
        <f t="shared" si="1"/>
        <v>140000</v>
      </c>
      <c r="P31" s="86">
        <v>174000</v>
      </c>
      <c r="Q31" s="87">
        <v>191000</v>
      </c>
      <c r="R31" s="89">
        <v>250000</v>
      </c>
      <c r="S31" s="1"/>
      <c r="T31" s="86">
        <v>154000</v>
      </c>
      <c r="U31" s="90">
        <f t="shared" si="2"/>
        <v>0.11494252873563215</v>
      </c>
      <c r="V31" s="91">
        <f t="shared" ref="V31" si="37">Q31-20000</f>
        <v>171000</v>
      </c>
      <c r="W31" s="92">
        <f t="shared" si="3"/>
        <v>0.10471204188481675</v>
      </c>
      <c r="X31" s="93">
        <f t="shared" ref="X31" si="38">V31+30000</f>
        <v>201000</v>
      </c>
      <c r="Y31" s="94">
        <f t="shared" si="4"/>
        <v>0.19599999999999995</v>
      </c>
      <c r="Z31" s="91">
        <f t="shared" si="12"/>
        <v>59000</v>
      </c>
      <c r="AA31" s="95">
        <f t="shared" si="5"/>
        <v>0.4732142857142857</v>
      </c>
      <c r="AB31" s="93">
        <f t="shared" si="13"/>
        <v>59000</v>
      </c>
      <c r="AC31" s="96">
        <f t="shared" si="6"/>
        <v>0.57857142857142851</v>
      </c>
      <c r="AD31" s="55"/>
      <c r="AE31" s="121">
        <f t="shared" si="14"/>
        <v>272000</v>
      </c>
      <c r="AF31" s="98">
        <f t="shared" si="15"/>
        <v>289000</v>
      </c>
      <c r="AG31" s="99">
        <f t="shared" si="16"/>
        <v>319000</v>
      </c>
      <c r="AH31" s="100">
        <f t="shared" si="17"/>
        <v>35090</v>
      </c>
      <c r="AI31" s="101">
        <f t="shared" si="18"/>
        <v>283910</v>
      </c>
      <c r="AJ31" s="39">
        <f t="shared" si="8"/>
        <v>-47000</v>
      </c>
      <c r="AK31" s="39">
        <f t="shared" si="9"/>
        <v>-30000</v>
      </c>
      <c r="AP31" s="38" t="e">
        <f>J31+M31+N31+#REF!</f>
        <v>#REF!</v>
      </c>
      <c r="AQ31" s="38">
        <f t="shared" si="10"/>
        <v>272000</v>
      </c>
      <c r="AR31" s="39" t="e">
        <f t="shared" si="11"/>
        <v>#REF!</v>
      </c>
    </row>
    <row r="32" spans="2:44" s="39" customFormat="1" ht="15" customHeight="1">
      <c r="B32" s="286"/>
      <c r="C32" s="287"/>
      <c r="D32" s="283"/>
      <c r="E32" s="280"/>
      <c r="F32" s="283"/>
      <c r="G32" s="280"/>
      <c r="H32" s="280"/>
      <c r="I32" s="103" t="s">
        <v>58</v>
      </c>
      <c r="J32" s="70">
        <v>197000</v>
      </c>
      <c r="K32" s="71">
        <v>211000</v>
      </c>
      <c r="L32" s="71">
        <v>300000</v>
      </c>
      <c r="M32" s="71">
        <f t="shared" si="0"/>
        <v>112000</v>
      </c>
      <c r="N32" s="73">
        <f t="shared" si="1"/>
        <v>140000</v>
      </c>
      <c r="P32" s="70">
        <v>197000</v>
      </c>
      <c r="Q32" s="71">
        <v>211000</v>
      </c>
      <c r="R32" s="73">
        <v>300000</v>
      </c>
      <c r="S32" s="1"/>
      <c r="T32" s="70">
        <v>197000</v>
      </c>
      <c r="U32" s="74">
        <f t="shared" si="2"/>
        <v>0</v>
      </c>
      <c r="V32" s="75">
        <f t="shared" ref="V32:V33" si="39">Q32</f>
        <v>211000</v>
      </c>
      <c r="W32" s="76">
        <f t="shared" si="3"/>
        <v>0</v>
      </c>
      <c r="X32" s="77">
        <f t="shared" ref="X32" si="40">V32+40000</f>
        <v>251000</v>
      </c>
      <c r="Y32" s="78">
        <f t="shared" si="4"/>
        <v>0.16333333333333333</v>
      </c>
      <c r="Z32" s="75">
        <f t="shared" si="12"/>
        <v>59000</v>
      </c>
      <c r="AA32" s="79">
        <f t="shared" si="5"/>
        <v>0.4732142857142857</v>
      </c>
      <c r="AB32" s="77">
        <f t="shared" si="13"/>
        <v>59000</v>
      </c>
      <c r="AC32" s="80">
        <f t="shared" si="6"/>
        <v>0.57857142857142851</v>
      </c>
      <c r="AD32" s="55"/>
      <c r="AE32" s="120">
        <f t="shared" si="14"/>
        <v>315000</v>
      </c>
      <c r="AF32" s="82">
        <f t="shared" si="15"/>
        <v>329000</v>
      </c>
      <c r="AG32" s="83">
        <f t="shared" si="16"/>
        <v>369000</v>
      </c>
      <c r="AH32" s="84">
        <f t="shared" si="17"/>
        <v>40590</v>
      </c>
      <c r="AI32" s="85">
        <f t="shared" si="18"/>
        <v>328410</v>
      </c>
      <c r="AJ32" s="39">
        <f t="shared" si="8"/>
        <v>-54000</v>
      </c>
      <c r="AK32" s="39">
        <f t="shared" si="9"/>
        <v>-40000</v>
      </c>
      <c r="AP32" s="38" t="e">
        <f>J32+M32+N32+#REF!</f>
        <v>#REF!</v>
      </c>
      <c r="AQ32" s="38">
        <f t="shared" si="10"/>
        <v>315000</v>
      </c>
      <c r="AR32" s="39" t="e">
        <f t="shared" si="11"/>
        <v>#REF!</v>
      </c>
    </row>
    <row r="33" spans="2:44" s="39" customFormat="1" ht="15" customHeight="1">
      <c r="B33" s="286"/>
      <c r="C33" s="287"/>
      <c r="D33" s="283"/>
      <c r="E33" s="280"/>
      <c r="F33" s="283"/>
      <c r="G33" s="280"/>
      <c r="H33" s="280"/>
      <c r="I33" s="103" t="s">
        <v>59</v>
      </c>
      <c r="J33" s="70">
        <v>233000</v>
      </c>
      <c r="K33" s="71">
        <v>248000</v>
      </c>
      <c r="L33" s="71">
        <v>385000</v>
      </c>
      <c r="M33" s="71">
        <f t="shared" si="0"/>
        <v>112000</v>
      </c>
      <c r="N33" s="73">
        <f>55000*2+45000</f>
        <v>155000</v>
      </c>
      <c r="P33" s="70">
        <v>233000</v>
      </c>
      <c r="Q33" s="71">
        <v>248000</v>
      </c>
      <c r="R33" s="73">
        <v>385000</v>
      </c>
      <c r="S33" s="1"/>
      <c r="T33" s="70">
        <v>233000</v>
      </c>
      <c r="U33" s="74">
        <f t="shared" si="2"/>
        <v>0</v>
      </c>
      <c r="V33" s="75">
        <f t="shared" si="39"/>
        <v>248000</v>
      </c>
      <c r="W33" s="76">
        <f t="shared" si="3"/>
        <v>0</v>
      </c>
      <c r="X33" s="77">
        <f>M33</f>
        <v>112000</v>
      </c>
      <c r="Y33" s="78">
        <f t="shared" si="4"/>
        <v>0.70909090909090911</v>
      </c>
      <c r="Z33" s="75">
        <f t="shared" si="12"/>
        <v>59000</v>
      </c>
      <c r="AA33" s="79">
        <f t="shared" si="5"/>
        <v>0.4732142857142857</v>
      </c>
      <c r="AB33" s="77">
        <f t="shared" si="13"/>
        <v>59000</v>
      </c>
      <c r="AC33" s="80">
        <f t="shared" si="6"/>
        <v>0.61935483870967745</v>
      </c>
      <c r="AD33" s="55"/>
      <c r="AE33" s="120">
        <f t="shared" si="14"/>
        <v>351000</v>
      </c>
      <c r="AF33" s="82">
        <f t="shared" si="15"/>
        <v>366000</v>
      </c>
      <c r="AG33" s="83">
        <f t="shared" si="16"/>
        <v>230000</v>
      </c>
      <c r="AH33" s="84">
        <f t="shared" si="17"/>
        <v>25300</v>
      </c>
      <c r="AI33" s="85">
        <f t="shared" si="18"/>
        <v>204700</v>
      </c>
      <c r="AJ33" s="39">
        <f t="shared" si="8"/>
        <v>121000</v>
      </c>
      <c r="AK33" s="39">
        <f t="shared" si="9"/>
        <v>136000</v>
      </c>
      <c r="AP33" s="38" t="e">
        <f>J33+M33+N33+#REF!</f>
        <v>#REF!</v>
      </c>
      <c r="AQ33" s="38">
        <f t="shared" si="10"/>
        <v>351000</v>
      </c>
      <c r="AR33" s="39" t="e">
        <f t="shared" si="11"/>
        <v>#REF!</v>
      </c>
    </row>
    <row r="34" spans="2:44" s="39" customFormat="1" ht="15" customHeight="1">
      <c r="B34" s="286"/>
      <c r="C34" s="287"/>
      <c r="D34" s="283"/>
      <c r="E34" s="280"/>
      <c r="F34" s="283"/>
      <c r="G34" s="280"/>
      <c r="H34" s="279" t="s">
        <v>25</v>
      </c>
      <c r="I34" s="103" t="s">
        <v>57</v>
      </c>
      <c r="J34" s="86">
        <v>207000</v>
      </c>
      <c r="K34" s="87">
        <v>224000</v>
      </c>
      <c r="L34" s="87">
        <v>283000</v>
      </c>
      <c r="M34" s="87">
        <f t="shared" si="0"/>
        <v>112000</v>
      </c>
      <c r="N34" s="89">
        <f t="shared" si="1"/>
        <v>140000</v>
      </c>
      <c r="P34" s="86">
        <v>207000</v>
      </c>
      <c r="Q34" s="87">
        <v>224000</v>
      </c>
      <c r="R34" s="89">
        <v>283000</v>
      </c>
      <c r="S34" s="1"/>
      <c r="T34" s="86">
        <v>187000</v>
      </c>
      <c r="U34" s="90">
        <f t="shared" si="2"/>
        <v>9.661835748792269E-2</v>
      </c>
      <c r="V34" s="91">
        <f t="shared" ref="V34" si="41">Q34-20000</f>
        <v>204000</v>
      </c>
      <c r="W34" s="92">
        <f t="shared" si="3"/>
        <v>8.9285714285714302E-2</v>
      </c>
      <c r="X34" s="93">
        <f t="shared" ref="X34" si="42">V34+30000</f>
        <v>234000</v>
      </c>
      <c r="Y34" s="94">
        <f t="shared" si="4"/>
        <v>0.17314487632508835</v>
      </c>
      <c r="Z34" s="91">
        <f t="shared" si="12"/>
        <v>59000</v>
      </c>
      <c r="AA34" s="95">
        <f t="shared" si="5"/>
        <v>0.4732142857142857</v>
      </c>
      <c r="AB34" s="93">
        <f t="shared" si="13"/>
        <v>59000</v>
      </c>
      <c r="AC34" s="96">
        <f t="shared" si="6"/>
        <v>0.57857142857142851</v>
      </c>
      <c r="AD34" s="55"/>
      <c r="AE34" s="121">
        <f t="shared" si="14"/>
        <v>305000</v>
      </c>
      <c r="AF34" s="98">
        <f t="shared" si="15"/>
        <v>322000</v>
      </c>
      <c r="AG34" s="99">
        <f t="shared" si="16"/>
        <v>352000</v>
      </c>
      <c r="AH34" s="100">
        <f t="shared" si="17"/>
        <v>38720</v>
      </c>
      <c r="AI34" s="101">
        <f t="shared" si="18"/>
        <v>313280</v>
      </c>
      <c r="AJ34" s="39">
        <f t="shared" si="8"/>
        <v>-47000</v>
      </c>
      <c r="AK34" s="39">
        <f t="shared" si="9"/>
        <v>-30000</v>
      </c>
      <c r="AP34" s="38" t="e">
        <f>J34+M34+N34+#REF!</f>
        <v>#REF!</v>
      </c>
      <c r="AQ34" s="38">
        <f t="shared" si="10"/>
        <v>305000</v>
      </c>
      <c r="AR34" s="39" t="e">
        <f t="shared" si="11"/>
        <v>#REF!</v>
      </c>
    </row>
    <row r="35" spans="2:44" s="39" customFormat="1" ht="15" customHeight="1">
      <c r="B35" s="286"/>
      <c r="C35" s="287"/>
      <c r="D35" s="283"/>
      <c r="E35" s="280"/>
      <c r="F35" s="283"/>
      <c r="G35" s="280"/>
      <c r="H35" s="280"/>
      <c r="I35" s="103" t="s">
        <v>58</v>
      </c>
      <c r="J35" s="70">
        <v>230000</v>
      </c>
      <c r="K35" s="71">
        <v>244000</v>
      </c>
      <c r="L35" s="71">
        <v>333000</v>
      </c>
      <c r="M35" s="71">
        <f t="shared" si="0"/>
        <v>112000</v>
      </c>
      <c r="N35" s="73">
        <f t="shared" si="1"/>
        <v>140000</v>
      </c>
      <c r="P35" s="70">
        <v>230000</v>
      </c>
      <c r="Q35" s="71">
        <v>244000</v>
      </c>
      <c r="R35" s="73">
        <v>333000</v>
      </c>
      <c r="S35" s="1"/>
      <c r="T35" s="70">
        <v>230000</v>
      </c>
      <c r="U35" s="74">
        <f t="shared" si="2"/>
        <v>0</v>
      </c>
      <c r="V35" s="75">
        <f t="shared" ref="V35:V36" si="43">Q35</f>
        <v>244000</v>
      </c>
      <c r="W35" s="76">
        <f t="shared" si="3"/>
        <v>0</v>
      </c>
      <c r="X35" s="77">
        <f t="shared" ref="X35" si="44">V35+40000</f>
        <v>284000</v>
      </c>
      <c r="Y35" s="78">
        <f t="shared" si="4"/>
        <v>0.14714714714714716</v>
      </c>
      <c r="Z35" s="75">
        <f t="shared" si="12"/>
        <v>59000</v>
      </c>
      <c r="AA35" s="79">
        <f t="shared" si="5"/>
        <v>0.4732142857142857</v>
      </c>
      <c r="AB35" s="77">
        <f t="shared" si="13"/>
        <v>59000</v>
      </c>
      <c r="AC35" s="80">
        <f t="shared" si="6"/>
        <v>0.57857142857142851</v>
      </c>
      <c r="AD35" s="55"/>
      <c r="AE35" s="120">
        <f t="shared" si="14"/>
        <v>348000</v>
      </c>
      <c r="AF35" s="82">
        <f t="shared" si="15"/>
        <v>362000</v>
      </c>
      <c r="AG35" s="83">
        <f t="shared" si="16"/>
        <v>402000</v>
      </c>
      <c r="AH35" s="84">
        <f t="shared" si="17"/>
        <v>44220</v>
      </c>
      <c r="AI35" s="85">
        <f t="shared" si="18"/>
        <v>357780</v>
      </c>
      <c r="AJ35" s="39">
        <f t="shared" si="8"/>
        <v>-54000</v>
      </c>
      <c r="AK35" s="39">
        <f t="shared" si="9"/>
        <v>-40000</v>
      </c>
      <c r="AP35" s="38" t="e">
        <f>J35+M35+N35+#REF!</f>
        <v>#REF!</v>
      </c>
      <c r="AQ35" s="38">
        <f t="shared" si="10"/>
        <v>348000</v>
      </c>
      <c r="AR35" s="39" t="e">
        <f t="shared" si="11"/>
        <v>#REF!</v>
      </c>
    </row>
    <row r="36" spans="2:44" s="39" customFormat="1" ht="15" customHeight="1" thickBot="1">
      <c r="B36" s="288"/>
      <c r="C36" s="289"/>
      <c r="D36" s="294"/>
      <c r="E36" s="281"/>
      <c r="F36" s="294"/>
      <c r="G36" s="281"/>
      <c r="H36" s="281"/>
      <c r="I36" s="139" t="s">
        <v>59</v>
      </c>
      <c r="J36" s="140">
        <v>288000</v>
      </c>
      <c r="K36" s="141">
        <v>303000</v>
      </c>
      <c r="L36" s="141">
        <v>440000</v>
      </c>
      <c r="M36" s="141">
        <f t="shared" si="0"/>
        <v>112000</v>
      </c>
      <c r="N36" s="143">
        <f>55000*2+45000</f>
        <v>155000</v>
      </c>
      <c r="P36" s="140">
        <v>288000</v>
      </c>
      <c r="Q36" s="141">
        <v>303000</v>
      </c>
      <c r="R36" s="143">
        <v>440000</v>
      </c>
      <c r="S36" s="1"/>
      <c r="T36" s="140">
        <v>288000</v>
      </c>
      <c r="U36" s="144">
        <f t="shared" si="2"/>
        <v>0</v>
      </c>
      <c r="V36" s="145">
        <f t="shared" si="43"/>
        <v>303000</v>
      </c>
      <c r="W36" s="146">
        <f t="shared" si="3"/>
        <v>0</v>
      </c>
      <c r="X36" s="147">
        <f>M36</f>
        <v>112000</v>
      </c>
      <c r="Y36" s="148">
        <f t="shared" si="4"/>
        <v>0.74545454545454548</v>
      </c>
      <c r="Z36" s="145">
        <f t="shared" si="12"/>
        <v>59000</v>
      </c>
      <c r="AA36" s="149">
        <f t="shared" si="5"/>
        <v>0.4732142857142857</v>
      </c>
      <c r="AB36" s="147">
        <f t="shared" si="13"/>
        <v>59000</v>
      </c>
      <c r="AC36" s="150">
        <f t="shared" si="6"/>
        <v>0.61935483870967745</v>
      </c>
      <c r="AD36" s="55"/>
      <c r="AE36" s="184">
        <f t="shared" si="14"/>
        <v>406000</v>
      </c>
      <c r="AF36" s="185">
        <f t="shared" si="15"/>
        <v>421000</v>
      </c>
      <c r="AG36" s="153">
        <f t="shared" si="16"/>
        <v>230000</v>
      </c>
      <c r="AH36" s="154">
        <f t="shared" si="17"/>
        <v>25300</v>
      </c>
      <c r="AI36" s="155">
        <f t="shared" si="18"/>
        <v>204700</v>
      </c>
      <c r="AJ36" s="39">
        <f t="shared" si="8"/>
        <v>176000</v>
      </c>
      <c r="AK36" s="39">
        <f t="shared" si="9"/>
        <v>191000</v>
      </c>
      <c r="AP36" s="38" t="e">
        <f>J36+M36+N36+#REF!</f>
        <v>#REF!</v>
      </c>
      <c r="AQ36" s="38">
        <f t="shared" si="10"/>
        <v>406000</v>
      </c>
      <c r="AR36" s="39" t="e">
        <f t="shared" si="11"/>
        <v>#REF!</v>
      </c>
    </row>
    <row r="37" spans="2:44" s="39" customFormat="1" ht="15" customHeight="1">
      <c r="B37" s="284" t="s">
        <v>162</v>
      </c>
      <c r="C37" s="285"/>
      <c r="D37" s="290" t="s">
        <v>29</v>
      </c>
      <c r="E37" s="291"/>
      <c r="F37" s="290" t="s">
        <v>17</v>
      </c>
      <c r="G37" s="291"/>
      <c r="H37" s="290" t="s">
        <v>18</v>
      </c>
      <c r="I37" s="50" t="s">
        <v>57</v>
      </c>
      <c r="J37" s="51">
        <v>129000</v>
      </c>
      <c r="K37" s="52">
        <v>139000</v>
      </c>
      <c r="L37" s="52">
        <v>178000</v>
      </c>
      <c r="M37" s="52">
        <f t="shared" ref="M37:M72" si="45">43000*2+26000</f>
        <v>112000</v>
      </c>
      <c r="N37" s="54">
        <f>59000*2+49000</f>
        <v>167000</v>
      </c>
      <c r="P37" s="51">
        <v>129000</v>
      </c>
      <c r="Q37" s="52">
        <v>139000</v>
      </c>
      <c r="R37" s="54">
        <v>178000</v>
      </c>
      <c r="S37" s="55"/>
      <c r="T37" s="51">
        <v>109000</v>
      </c>
      <c r="U37" s="56">
        <f t="shared" si="2"/>
        <v>0.15503875968992253</v>
      </c>
      <c r="V37" s="57">
        <v>119000</v>
      </c>
      <c r="W37" s="58">
        <f t="shared" si="3"/>
        <v>0.14388489208633093</v>
      </c>
      <c r="X37" s="59">
        <v>149000</v>
      </c>
      <c r="Y37" s="60">
        <f t="shared" si="4"/>
        <v>0.1629213483146067</v>
      </c>
      <c r="Z37" s="57">
        <f>25000*2+15000</f>
        <v>65000</v>
      </c>
      <c r="AA37" s="61">
        <f t="shared" si="5"/>
        <v>0.4196428571428571</v>
      </c>
      <c r="AB37" s="52">
        <f>25000*2+15000</f>
        <v>65000</v>
      </c>
      <c r="AC37" s="62">
        <f t="shared" si="6"/>
        <v>0.61077844311377238</v>
      </c>
      <c r="AE37" s="63">
        <f t="shared" si="14"/>
        <v>239000</v>
      </c>
      <c r="AF37" s="64">
        <f t="shared" si="15"/>
        <v>249000</v>
      </c>
      <c r="AG37" s="65">
        <f t="shared" si="16"/>
        <v>279000</v>
      </c>
      <c r="AH37" s="66">
        <f t="shared" si="17"/>
        <v>30690</v>
      </c>
      <c r="AI37" s="67">
        <f t="shared" si="18"/>
        <v>248310</v>
      </c>
      <c r="AJ37" s="39">
        <f t="shared" ref="AJ37:AJ72" si="46">AE37-AG37</f>
        <v>-40000</v>
      </c>
      <c r="AK37" s="39">
        <f t="shared" ref="AK37:AK72" si="47">AF37-AG37</f>
        <v>-30000</v>
      </c>
      <c r="AP37" s="38" t="e">
        <f>J37+M37+N37+#REF!</f>
        <v>#REF!</v>
      </c>
      <c r="AQ37" s="38">
        <f t="shared" ref="AQ37:AQ72" si="48">AE37</f>
        <v>239000</v>
      </c>
      <c r="AR37" s="39" t="e">
        <f t="shared" si="11"/>
        <v>#REF!</v>
      </c>
    </row>
    <row r="38" spans="2:44" s="39" customFormat="1" ht="15" customHeight="1">
      <c r="B38" s="286"/>
      <c r="C38" s="287"/>
      <c r="D38" s="283"/>
      <c r="E38" s="280"/>
      <c r="F38" s="283"/>
      <c r="G38" s="280"/>
      <c r="H38" s="283"/>
      <c r="I38" s="69" t="s">
        <v>58</v>
      </c>
      <c r="J38" s="70">
        <v>147000</v>
      </c>
      <c r="K38" s="71">
        <v>159000</v>
      </c>
      <c r="L38" s="71">
        <v>234000</v>
      </c>
      <c r="M38" s="71">
        <f t="shared" si="45"/>
        <v>112000</v>
      </c>
      <c r="N38" s="73">
        <f t="shared" ref="N38:N70" si="49">59000*2+49000</f>
        <v>167000</v>
      </c>
      <c r="P38" s="70">
        <v>147000</v>
      </c>
      <c r="Q38" s="71">
        <v>159000</v>
      </c>
      <c r="R38" s="73">
        <v>234000</v>
      </c>
      <c r="S38" s="55"/>
      <c r="T38" s="70">
        <v>147000</v>
      </c>
      <c r="U38" s="74">
        <f t="shared" si="2"/>
        <v>0</v>
      </c>
      <c r="V38" s="75">
        <v>159000</v>
      </c>
      <c r="W38" s="76">
        <f t="shared" si="3"/>
        <v>0</v>
      </c>
      <c r="X38" s="77">
        <v>234000</v>
      </c>
      <c r="Y38" s="78">
        <f t="shared" si="4"/>
        <v>0</v>
      </c>
      <c r="Z38" s="75">
        <f t="shared" ref="Z38:Z72" si="50">25000*2+15000</f>
        <v>65000</v>
      </c>
      <c r="AA38" s="79">
        <f t="shared" si="5"/>
        <v>0.4196428571428571</v>
      </c>
      <c r="AB38" s="71">
        <f t="shared" ref="AB38:AB72" si="51">25000*2+15000</f>
        <v>65000</v>
      </c>
      <c r="AC38" s="80">
        <f t="shared" si="6"/>
        <v>0.61077844311377238</v>
      </c>
      <c r="AE38" s="81">
        <f t="shared" si="14"/>
        <v>277000</v>
      </c>
      <c r="AF38" s="82">
        <f t="shared" si="15"/>
        <v>289000</v>
      </c>
      <c r="AG38" s="83">
        <f t="shared" si="16"/>
        <v>364000</v>
      </c>
      <c r="AH38" s="84">
        <f t="shared" si="17"/>
        <v>40040</v>
      </c>
      <c r="AI38" s="85">
        <f t="shared" si="18"/>
        <v>323960</v>
      </c>
      <c r="AJ38" s="39">
        <f t="shared" si="46"/>
        <v>-87000</v>
      </c>
      <c r="AK38" s="39">
        <f t="shared" si="47"/>
        <v>-75000</v>
      </c>
      <c r="AP38" s="38" t="e">
        <f>J38+M38+N38+#REF!</f>
        <v>#REF!</v>
      </c>
      <c r="AQ38" s="38">
        <f t="shared" si="48"/>
        <v>277000</v>
      </c>
      <c r="AR38" s="39" t="e">
        <f t="shared" si="11"/>
        <v>#REF!</v>
      </c>
    </row>
    <row r="39" spans="2:44" s="39" customFormat="1" ht="15" customHeight="1">
      <c r="B39" s="286"/>
      <c r="C39" s="287"/>
      <c r="D39" s="283"/>
      <c r="E39" s="280"/>
      <c r="F39" s="283"/>
      <c r="G39" s="280"/>
      <c r="H39" s="283"/>
      <c r="I39" s="69" t="s">
        <v>59</v>
      </c>
      <c r="J39" s="70">
        <v>178000</v>
      </c>
      <c r="K39" s="71">
        <v>190000</v>
      </c>
      <c r="L39" s="71">
        <v>306000</v>
      </c>
      <c r="M39" s="71">
        <f t="shared" si="45"/>
        <v>112000</v>
      </c>
      <c r="N39" s="73">
        <f>64000*2+54000</f>
        <v>182000</v>
      </c>
      <c r="P39" s="70">
        <v>178000</v>
      </c>
      <c r="Q39" s="71">
        <v>190000</v>
      </c>
      <c r="R39" s="73">
        <v>306000</v>
      </c>
      <c r="S39" s="55"/>
      <c r="T39" s="70">
        <v>178000</v>
      </c>
      <c r="U39" s="74">
        <f t="shared" si="2"/>
        <v>0</v>
      </c>
      <c r="V39" s="75">
        <v>190000</v>
      </c>
      <c r="W39" s="76">
        <f t="shared" si="3"/>
        <v>0</v>
      </c>
      <c r="X39" s="77">
        <v>306000</v>
      </c>
      <c r="Y39" s="78">
        <f t="shared" si="4"/>
        <v>0</v>
      </c>
      <c r="Z39" s="75">
        <f t="shared" si="50"/>
        <v>65000</v>
      </c>
      <c r="AA39" s="79">
        <f t="shared" si="5"/>
        <v>0.4196428571428571</v>
      </c>
      <c r="AB39" s="71">
        <f t="shared" si="51"/>
        <v>65000</v>
      </c>
      <c r="AC39" s="80">
        <f t="shared" si="6"/>
        <v>0.64285714285714279</v>
      </c>
      <c r="AE39" s="81">
        <f t="shared" si="14"/>
        <v>308000</v>
      </c>
      <c r="AF39" s="82">
        <f t="shared" si="15"/>
        <v>320000</v>
      </c>
      <c r="AG39" s="83">
        <f t="shared" si="16"/>
        <v>436000</v>
      </c>
      <c r="AH39" s="84">
        <f t="shared" si="17"/>
        <v>47960</v>
      </c>
      <c r="AI39" s="85">
        <f t="shared" si="18"/>
        <v>388040</v>
      </c>
      <c r="AJ39" s="39">
        <f t="shared" si="46"/>
        <v>-128000</v>
      </c>
      <c r="AK39" s="39">
        <f t="shared" si="47"/>
        <v>-116000</v>
      </c>
      <c r="AP39" s="38" t="e">
        <f>J39+M39+N39+#REF!</f>
        <v>#REF!</v>
      </c>
      <c r="AQ39" s="38">
        <f t="shared" si="48"/>
        <v>308000</v>
      </c>
      <c r="AR39" s="39" t="e">
        <f t="shared" si="11"/>
        <v>#REF!</v>
      </c>
    </row>
    <row r="40" spans="2:44" s="39" customFormat="1" ht="11.4">
      <c r="B40" s="286"/>
      <c r="C40" s="287"/>
      <c r="D40" s="283"/>
      <c r="E40" s="280"/>
      <c r="F40" s="283"/>
      <c r="G40" s="280"/>
      <c r="H40" s="283"/>
      <c r="I40" s="156" t="s">
        <v>64</v>
      </c>
      <c r="J40" s="123">
        <v>211000</v>
      </c>
      <c r="K40" s="124">
        <v>222000</v>
      </c>
      <c r="L40" s="124">
        <v>356000</v>
      </c>
      <c r="M40" s="124">
        <f t="shared" si="45"/>
        <v>112000</v>
      </c>
      <c r="N40" s="126">
        <f>64000*2+54000</f>
        <v>182000</v>
      </c>
      <c r="P40" s="123">
        <v>211000</v>
      </c>
      <c r="Q40" s="124">
        <v>222000</v>
      </c>
      <c r="R40" s="126">
        <v>356000</v>
      </c>
      <c r="S40" s="55"/>
      <c r="T40" s="123">
        <v>211000</v>
      </c>
      <c r="U40" s="127">
        <f t="shared" si="2"/>
        <v>0</v>
      </c>
      <c r="V40" s="128">
        <v>222000</v>
      </c>
      <c r="W40" s="129">
        <f t="shared" si="3"/>
        <v>0</v>
      </c>
      <c r="X40" s="130">
        <v>322000</v>
      </c>
      <c r="Y40" s="131">
        <f t="shared" si="4"/>
        <v>9.5505617977528101E-2</v>
      </c>
      <c r="Z40" s="128">
        <f t="shared" si="50"/>
        <v>65000</v>
      </c>
      <c r="AA40" s="132">
        <f t="shared" si="5"/>
        <v>0.4196428571428571</v>
      </c>
      <c r="AB40" s="124">
        <f t="shared" si="51"/>
        <v>65000</v>
      </c>
      <c r="AC40" s="133">
        <f t="shared" si="6"/>
        <v>0.64285714285714279</v>
      </c>
      <c r="AE40" s="81">
        <f t="shared" si="14"/>
        <v>341000</v>
      </c>
      <c r="AF40" s="82">
        <f t="shared" si="15"/>
        <v>352000</v>
      </c>
      <c r="AG40" s="136">
        <f t="shared" si="16"/>
        <v>452000</v>
      </c>
      <c r="AH40" s="84">
        <f t="shared" si="17"/>
        <v>49720</v>
      </c>
      <c r="AI40" s="85">
        <f t="shared" si="18"/>
        <v>402280</v>
      </c>
      <c r="AJ40" s="39">
        <f t="shared" si="46"/>
        <v>-111000</v>
      </c>
      <c r="AK40" s="39">
        <f t="shared" si="47"/>
        <v>-100000</v>
      </c>
      <c r="AP40" s="38" t="e">
        <f>J40+M40+N40+#REF!</f>
        <v>#REF!</v>
      </c>
      <c r="AQ40" s="38">
        <f t="shared" si="48"/>
        <v>341000</v>
      </c>
      <c r="AR40" s="39" t="e">
        <f t="shared" si="11"/>
        <v>#REF!</v>
      </c>
    </row>
    <row r="41" spans="2:44" s="39" customFormat="1" ht="15" customHeight="1">
      <c r="B41" s="286"/>
      <c r="C41" s="287"/>
      <c r="D41" s="283"/>
      <c r="E41" s="280"/>
      <c r="F41" s="282" t="s">
        <v>21</v>
      </c>
      <c r="G41" s="279"/>
      <c r="H41" s="282" t="s">
        <v>18</v>
      </c>
      <c r="I41" s="69" t="s">
        <v>57</v>
      </c>
      <c r="J41" s="86">
        <v>154000</v>
      </c>
      <c r="K41" s="87">
        <v>169000</v>
      </c>
      <c r="L41" s="87">
        <v>216000</v>
      </c>
      <c r="M41" s="87">
        <f t="shared" si="45"/>
        <v>112000</v>
      </c>
      <c r="N41" s="89">
        <f>59000*2+49000</f>
        <v>167000</v>
      </c>
      <c r="P41" s="86">
        <v>154000</v>
      </c>
      <c r="Q41" s="87">
        <v>169000</v>
      </c>
      <c r="R41" s="89">
        <v>216000</v>
      </c>
      <c r="S41" s="55"/>
      <c r="T41" s="86">
        <v>134000</v>
      </c>
      <c r="U41" s="90">
        <f t="shared" si="2"/>
        <v>0.12987012987012991</v>
      </c>
      <c r="V41" s="91">
        <v>149000</v>
      </c>
      <c r="W41" s="92">
        <f t="shared" si="3"/>
        <v>0.11834319526627224</v>
      </c>
      <c r="X41" s="93">
        <v>179000</v>
      </c>
      <c r="Y41" s="94">
        <f t="shared" si="4"/>
        <v>0.17129629629629628</v>
      </c>
      <c r="Z41" s="91">
        <f t="shared" si="50"/>
        <v>65000</v>
      </c>
      <c r="AA41" s="95">
        <f t="shared" si="5"/>
        <v>0.4196428571428571</v>
      </c>
      <c r="AB41" s="87">
        <f t="shared" si="51"/>
        <v>65000</v>
      </c>
      <c r="AC41" s="96">
        <f t="shared" si="6"/>
        <v>0.61077844311377238</v>
      </c>
      <c r="AE41" s="97">
        <f t="shared" si="14"/>
        <v>264000</v>
      </c>
      <c r="AF41" s="98">
        <f t="shared" si="15"/>
        <v>279000</v>
      </c>
      <c r="AG41" s="99">
        <f t="shared" si="16"/>
        <v>309000</v>
      </c>
      <c r="AH41" s="100">
        <f t="shared" si="17"/>
        <v>33990</v>
      </c>
      <c r="AI41" s="101">
        <f t="shared" si="18"/>
        <v>275010</v>
      </c>
      <c r="AJ41" s="39">
        <f t="shared" si="46"/>
        <v>-45000</v>
      </c>
      <c r="AK41" s="39">
        <f t="shared" si="47"/>
        <v>-30000</v>
      </c>
      <c r="AP41" s="38" t="e">
        <f>J41+M41+N41+#REF!</f>
        <v>#REF!</v>
      </c>
      <c r="AQ41" s="38">
        <f t="shared" si="48"/>
        <v>264000</v>
      </c>
      <c r="AR41" s="39" t="e">
        <f t="shared" si="11"/>
        <v>#REF!</v>
      </c>
    </row>
    <row r="42" spans="2:44" s="39" customFormat="1" ht="15" customHeight="1">
      <c r="B42" s="286"/>
      <c r="C42" s="287"/>
      <c r="D42" s="283"/>
      <c r="E42" s="280"/>
      <c r="F42" s="283"/>
      <c r="G42" s="280"/>
      <c r="H42" s="283"/>
      <c r="I42" s="69" t="s">
        <v>58</v>
      </c>
      <c r="J42" s="70">
        <v>178000</v>
      </c>
      <c r="K42" s="71">
        <v>193000</v>
      </c>
      <c r="L42" s="71">
        <v>266000</v>
      </c>
      <c r="M42" s="71">
        <f t="shared" si="45"/>
        <v>112000</v>
      </c>
      <c r="N42" s="73">
        <f t="shared" si="49"/>
        <v>167000</v>
      </c>
      <c r="P42" s="70">
        <v>178000</v>
      </c>
      <c r="Q42" s="71">
        <v>193000</v>
      </c>
      <c r="R42" s="73">
        <v>266000</v>
      </c>
      <c r="S42" s="55"/>
      <c r="T42" s="70">
        <v>178000</v>
      </c>
      <c r="U42" s="74">
        <f t="shared" ref="U42:U73" si="52">1-(T42/J42)</f>
        <v>0</v>
      </c>
      <c r="V42" s="75">
        <v>193000</v>
      </c>
      <c r="W42" s="76">
        <f t="shared" ref="W42:W73" si="53">1-(V42/K42)</f>
        <v>0</v>
      </c>
      <c r="X42" s="77">
        <v>266000</v>
      </c>
      <c r="Y42" s="78">
        <f t="shared" ref="Y42:Y73" si="54">1-(X42/L42)</f>
        <v>0</v>
      </c>
      <c r="Z42" s="75">
        <f t="shared" si="50"/>
        <v>65000</v>
      </c>
      <c r="AA42" s="79">
        <f t="shared" ref="AA42:AA73" si="55">1-(Z42/M42)</f>
        <v>0.4196428571428571</v>
      </c>
      <c r="AB42" s="71">
        <f t="shared" si="51"/>
        <v>65000</v>
      </c>
      <c r="AC42" s="80">
        <f t="shared" ref="AC42:AC73" si="56">1-(AB42/N42)</f>
        <v>0.61077844311377238</v>
      </c>
      <c r="AE42" s="81">
        <f t="shared" si="14"/>
        <v>308000</v>
      </c>
      <c r="AF42" s="82">
        <f t="shared" si="15"/>
        <v>323000</v>
      </c>
      <c r="AG42" s="83">
        <f t="shared" si="16"/>
        <v>396000</v>
      </c>
      <c r="AH42" s="84">
        <f t="shared" si="17"/>
        <v>43560</v>
      </c>
      <c r="AI42" s="85">
        <f t="shared" si="18"/>
        <v>352440</v>
      </c>
      <c r="AJ42" s="39">
        <f t="shared" si="46"/>
        <v>-88000</v>
      </c>
      <c r="AK42" s="39">
        <f t="shared" si="47"/>
        <v>-73000</v>
      </c>
      <c r="AP42" s="38" t="e">
        <f>J42+M42+N42+#REF!</f>
        <v>#REF!</v>
      </c>
      <c r="AQ42" s="38">
        <f t="shared" si="48"/>
        <v>308000</v>
      </c>
      <c r="AR42" s="39" t="e">
        <f t="shared" si="11"/>
        <v>#REF!</v>
      </c>
    </row>
    <row r="43" spans="2:44" s="39" customFormat="1" ht="15" customHeight="1">
      <c r="B43" s="286"/>
      <c r="C43" s="287"/>
      <c r="D43" s="283"/>
      <c r="E43" s="280"/>
      <c r="F43" s="283"/>
      <c r="G43" s="280"/>
      <c r="H43" s="283"/>
      <c r="I43" s="69" t="s">
        <v>59</v>
      </c>
      <c r="J43" s="70">
        <v>209000</v>
      </c>
      <c r="K43" s="71">
        <v>223000</v>
      </c>
      <c r="L43" s="71">
        <v>353000</v>
      </c>
      <c r="M43" s="71">
        <f t="shared" si="45"/>
        <v>112000</v>
      </c>
      <c r="N43" s="73">
        <f>64000*2+54000</f>
        <v>182000</v>
      </c>
      <c r="P43" s="70">
        <v>209000</v>
      </c>
      <c r="Q43" s="71">
        <v>223000</v>
      </c>
      <c r="R43" s="73">
        <v>353000</v>
      </c>
      <c r="S43" s="55"/>
      <c r="T43" s="70">
        <v>209000</v>
      </c>
      <c r="U43" s="74">
        <f t="shared" si="52"/>
        <v>0</v>
      </c>
      <c r="V43" s="75">
        <v>223000</v>
      </c>
      <c r="W43" s="76">
        <f t="shared" si="53"/>
        <v>0</v>
      </c>
      <c r="X43" s="77">
        <v>353000</v>
      </c>
      <c r="Y43" s="78">
        <f t="shared" si="54"/>
        <v>0</v>
      </c>
      <c r="Z43" s="75">
        <f t="shared" si="50"/>
        <v>65000</v>
      </c>
      <c r="AA43" s="79">
        <f t="shared" si="55"/>
        <v>0.4196428571428571</v>
      </c>
      <c r="AB43" s="71">
        <f t="shared" si="51"/>
        <v>65000</v>
      </c>
      <c r="AC43" s="80">
        <f t="shared" si="56"/>
        <v>0.64285714285714279</v>
      </c>
      <c r="AE43" s="81">
        <f t="shared" si="14"/>
        <v>339000</v>
      </c>
      <c r="AF43" s="82">
        <f t="shared" si="15"/>
        <v>353000</v>
      </c>
      <c r="AG43" s="83">
        <f t="shared" si="16"/>
        <v>483000</v>
      </c>
      <c r="AH43" s="84">
        <f t="shared" si="17"/>
        <v>53130</v>
      </c>
      <c r="AI43" s="85">
        <f t="shared" si="18"/>
        <v>429870</v>
      </c>
      <c r="AJ43" s="39">
        <f t="shared" si="46"/>
        <v>-144000</v>
      </c>
      <c r="AK43" s="39">
        <f t="shared" si="47"/>
        <v>-130000</v>
      </c>
      <c r="AP43" s="38" t="e">
        <f>J43+M43+N43+#REF!</f>
        <v>#REF!</v>
      </c>
      <c r="AQ43" s="38">
        <f t="shared" si="48"/>
        <v>339000</v>
      </c>
      <c r="AR43" s="39" t="e">
        <f t="shared" si="11"/>
        <v>#REF!</v>
      </c>
    </row>
    <row r="44" spans="2:44" s="39" customFormat="1" ht="11.4">
      <c r="B44" s="286"/>
      <c r="C44" s="287"/>
      <c r="D44" s="283"/>
      <c r="E44" s="280"/>
      <c r="F44" s="283"/>
      <c r="G44" s="280"/>
      <c r="H44" s="283"/>
      <c r="I44" s="156" t="s">
        <v>64</v>
      </c>
      <c r="J44" s="123">
        <v>244000</v>
      </c>
      <c r="K44" s="124">
        <v>258000</v>
      </c>
      <c r="L44" s="124">
        <v>399000</v>
      </c>
      <c r="M44" s="124">
        <f t="shared" si="45"/>
        <v>112000</v>
      </c>
      <c r="N44" s="126">
        <f>64000*2+54000</f>
        <v>182000</v>
      </c>
      <c r="P44" s="123">
        <v>244000</v>
      </c>
      <c r="Q44" s="124">
        <v>258000</v>
      </c>
      <c r="R44" s="126">
        <v>399000</v>
      </c>
      <c r="S44" s="55"/>
      <c r="T44" s="123">
        <v>244000</v>
      </c>
      <c r="U44" s="127">
        <f t="shared" si="52"/>
        <v>0</v>
      </c>
      <c r="V44" s="128">
        <v>258000</v>
      </c>
      <c r="W44" s="129">
        <f t="shared" si="53"/>
        <v>0</v>
      </c>
      <c r="X44" s="130">
        <v>358000</v>
      </c>
      <c r="Y44" s="131">
        <f t="shared" si="54"/>
        <v>0.10275689223057649</v>
      </c>
      <c r="Z44" s="128">
        <f t="shared" si="50"/>
        <v>65000</v>
      </c>
      <c r="AA44" s="132">
        <f t="shared" si="55"/>
        <v>0.4196428571428571</v>
      </c>
      <c r="AB44" s="124">
        <f t="shared" si="51"/>
        <v>65000</v>
      </c>
      <c r="AC44" s="133">
        <f t="shared" si="56"/>
        <v>0.64285714285714279</v>
      </c>
      <c r="AE44" s="81">
        <f t="shared" si="14"/>
        <v>374000</v>
      </c>
      <c r="AF44" s="82">
        <f t="shared" si="15"/>
        <v>388000</v>
      </c>
      <c r="AG44" s="136">
        <f t="shared" si="16"/>
        <v>488000</v>
      </c>
      <c r="AH44" s="84">
        <f t="shared" si="17"/>
        <v>53680</v>
      </c>
      <c r="AI44" s="85">
        <f t="shared" si="18"/>
        <v>434320</v>
      </c>
      <c r="AJ44" s="39">
        <f t="shared" si="46"/>
        <v>-114000</v>
      </c>
      <c r="AK44" s="39">
        <f t="shared" si="47"/>
        <v>-100000</v>
      </c>
      <c r="AP44" s="38" t="e">
        <f>J44+M44+N44+#REF!</f>
        <v>#REF!</v>
      </c>
      <c r="AQ44" s="38">
        <f t="shared" si="48"/>
        <v>374000</v>
      </c>
      <c r="AR44" s="39" t="e">
        <f t="shared" si="11"/>
        <v>#REF!</v>
      </c>
    </row>
    <row r="45" spans="2:44" s="39" customFormat="1" ht="15" customHeight="1">
      <c r="B45" s="286"/>
      <c r="C45" s="287"/>
      <c r="D45" s="283"/>
      <c r="E45" s="280"/>
      <c r="F45" s="283"/>
      <c r="G45" s="280"/>
      <c r="H45" s="282" t="s">
        <v>25</v>
      </c>
      <c r="I45" s="69" t="s">
        <v>57</v>
      </c>
      <c r="J45" s="86">
        <v>198000</v>
      </c>
      <c r="K45" s="87">
        <v>213000</v>
      </c>
      <c r="L45" s="87">
        <v>263000</v>
      </c>
      <c r="M45" s="87">
        <f t="shared" si="45"/>
        <v>112000</v>
      </c>
      <c r="N45" s="89">
        <f>59000*2+49000</f>
        <v>167000</v>
      </c>
      <c r="P45" s="86">
        <v>198000</v>
      </c>
      <c r="Q45" s="87">
        <v>213000</v>
      </c>
      <c r="R45" s="89">
        <v>263000</v>
      </c>
      <c r="S45" s="55"/>
      <c r="T45" s="86">
        <v>178000</v>
      </c>
      <c r="U45" s="90">
        <f t="shared" si="52"/>
        <v>0.10101010101010099</v>
      </c>
      <c r="V45" s="91">
        <v>193000</v>
      </c>
      <c r="W45" s="92">
        <f t="shared" si="53"/>
        <v>9.3896713615023497E-2</v>
      </c>
      <c r="X45" s="93">
        <v>223000</v>
      </c>
      <c r="Y45" s="94">
        <f t="shared" si="54"/>
        <v>0.15209125475285168</v>
      </c>
      <c r="Z45" s="91">
        <f t="shared" si="50"/>
        <v>65000</v>
      </c>
      <c r="AA45" s="95">
        <f t="shared" si="55"/>
        <v>0.4196428571428571</v>
      </c>
      <c r="AB45" s="87">
        <f t="shared" si="51"/>
        <v>65000</v>
      </c>
      <c r="AC45" s="96">
        <f t="shared" si="56"/>
        <v>0.61077844311377238</v>
      </c>
      <c r="AE45" s="97">
        <f t="shared" si="14"/>
        <v>308000</v>
      </c>
      <c r="AF45" s="98">
        <f t="shared" si="15"/>
        <v>323000</v>
      </c>
      <c r="AG45" s="99">
        <f t="shared" si="16"/>
        <v>353000</v>
      </c>
      <c r="AH45" s="100">
        <f t="shared" si="17"/>
        <v>38830</v>
      </c>
      <c r="AI45" s="101">
        <f t="shared" si="18"/>
        <v>314170</v>
      </c>
      <c r="AJ45" s="39">
        <f t="shared" si="46"/>
        <v>-45000</v>
      </c>
      <c r="AK45" s="39">
        <f t="shared" si="47"/>
        <v>-30000</v>
      </c>
      <c r="AP45" s="38" t="e">
        <f>J45+M45+N45+#REF!</f>
        <v>#REF!</v>
      </c>
      <c r="AQ45" s="38">
        <f t="shared" si="48"/>
        <v>308000</v>
      </c>
      <c r="AR45" s="39" t="e">
        <f t="shared" si="11"/>
        <v>#REF!</v>
      </c>
    </row>
    <row r="46" spans="2:44" s="39" customFormat="1" ht="15" customHeight="1">
      <c r="B46" s="286"/>
      <c r="C46" s="287"/>
      <c r="D46" s="283"/>
      <c r="E46" s="280"/>
      <c r="F46" s="283"/>
      <c r="G46" s="280"/>
      <c r="H46" s="283"/>
      <c r="I46" s="69" t="s">
        <v>58</v>
      </c>
      <c r="J46" s="70">
        <v>222000</v>
      </c>
      <c r="K46" s="71">
        <v>237000</v>
      </c>
      <c r="L46" s="71">
        <v>313000</v>
      </c>
      <c r="M46" s="71">
        <f t="shared" si="45"/>
        <v>112000</v>
      </c>
      <c r="N46" s="73">
        <f t="shared" si="49"/>
        <v>167000</v>
      </c>
      <c r="P46" s="70">
        <v>222000</v>
      </c>
      <c r="Q46" s="71">
        <v>237000</v>
      </c>
      <c r="R46" s="73">
        <v>313000</v>
      </c>
      <c r="S46" s="55"/>
      <c r="T46" s="70">
        <v>222000</v>
      </c>
      <c r="U46" s="74">
        <f t="shared" si="52"/>
        <v>0</v>
      </c>
      <c r="V46" s="75">
        <v>237000</v>
      </c>
      <c r="W46" s="76">
        <f t="shared" si="53"/>
        <v>0</v>
      </c>
      <c r="X46" s="77">
        <v>313000</v>
      </c>
      <c r="Y46" s="78">
        <f t="shared" si="54"/>
        <v>0</v>
      </c>
      <c r="Z46" s="75">
        <f t="shared" si="50"/>
        <v>65000</v>
      </c>
      <c r="AA46" s="79">
        <f t="shared" si="55"/>
        <v>0.4196428571428571</v>
      </c>
      <c r="AB46" s="71">
        <f t="shared" si="51"/>
        <v>65000</v>
      </c>
      <c r="AC46" s="80">
        <f t="shared" si="56"/>
        <v>0.61077844311377238</v>
      </c>
      <c r="AE46" s="81">
        <f t="shared" si="14"/>
        <v>352000</v>
      </c>
      <c r="AF46" s="82">
        <f t="shared" si="15"/>
        <v>367000</v>
      </c>
      <c r="AG46" s="83">
        <f t="shared" si="16"/>
        <v>443000</v>
      </c>
      <c r="AH46" s="84">
        <f t="shared" si="17"/>
        <v>48730</v>
      </c>
      <c r="AI46" s="85">
        <f t="shared" si="18"/>
        <v>394270</v>
      </c>
      <c r="AJ46" s="39">
        <f t="shared" si="46"/>
        <v>-91000</v>
      </c>
      <c r="AK46" s="39">
        <f t="shared" si="47"/>
        <v>-76000</v>
      </c>
      <c r="AP46" s="38" t="e">
        <f>J46+M46+N46+#REF!</f>
        <v>#REF!</v>
      </c>
      <c r="AQ46" s="38">
        <f t="shared" si="48"/>
        <v>352000</v>
      </c>
      <c r="AR46" s="39" t="e">
        <f t="shared" si="11"/>
        <v>#REF!</v>
      </c>
    </row>
    <row r="47" spans="2:44" s="39" customFormat="1" ht="15" customHeight="1">
      <c r="B47" s="286"/>
      <c r="C47" s="287"/>
      <c r="D47" s="283"/>
      <c r="E47" s="280"/>
      <c r="F47" s="283"/>
      <c r="G47" s="280"/>
      <c r="H47" s="283"/>
      <c r="I47" s="69" t="s">
        <v>59</v>
      </c>
      <c r="J47" s="70">
        <v>275000</v>
      </c>
      <c r="K47" s="71">
        <v>289000</v>
      </c>
      <c r="L47" s="71">
        <v>424000</v>
      </c>
      <c r="M47" s="71">
        <f t="shared" si="45"/>
        <v>112000</v>
      </c>
      <c r="N47" s="73">
        <f>64000*2+54000</f>
        <v>182000</v>
      </c>
      <c r="P47" s="70">
        <v>275000</v>
      </c>
      <c r="Q47" s="71">
        <v>289000</v>
      </c>
      <c r="R47" s="73">
        <v>424000</v>
      </c>
      <c r="S47" s="55"/>
      <c r="T47" s="70">
        <v>275000</v>
      </c>
      <c r="U47" s="74">
        <f t="shared" si="52"/>
        <v>0</v>
      </c>
      <c r="V47" s="75">
        <v>289000</v>
      </c>
      <c r="W47" s="76">
        <f t="shared" si="53"/>
        <v>0</v>
      </c>
      <c r="X47" s="77">
        <v>424000</v>
      </c>
      <c r="Y47" s="78">
        <f t="shared" si="54"/>
        <v>0</v>
      </c>
      <c r="Z47" s="75">
        <f t="shared" si="50"/>
        <v>65000</v>
      </c>
      <c r="AA47" s="79">
        <f t="shared" si="55"/>
        <v>0.4196428571428571</v>
      </c>
      <c r="AB47" s="71">
        <f t="shared" si="51"/>
        <v>65000</v>
      </c>
      <c r="AC47" s="80">
        <f t="shared" si="56"/>
        <v>0.64285714285714279</v>
      </c>
      <c r="AE47" s="81">
        <f t="shared" si="14"/>
        <v>405000</v>
      </c>
      <c r="AF47" s="82">
        <f t="shared" si="15"/>
        <v>419000</v>
      </c>
      <c r="AG47" s="83">
        <f t="shared" si="16"/>
        <v>554000</v>
      </c>
      <c r="AH47" s="84">
        <f t="shared" si="17"/>
        <v>60940</v>
      </c>
      <c r="AI47" s="85">
        <f t="shared" si="18"/>
        <v>493060</v>
      </c>
      <c r="AJ47" s="39">
        <f t="shared" si="46"/>
        <v>-149000</v>
      </c>
      <c r="AK47" s="39">
        <f t="shared" si="47"/>
        <v>-135000</v>
      </c>
      <c r="AP47" s="38" t="e">
        <f>J47+M47+N47+#REF!</f>
        <v>#REF!</v>
      </c>
      <c r="AQ47" s="38">
        <f t="shared" si="48"/>
        <v>405000</v>
      </c>
      <c r="AR47" s="39" t="e">
        <f t="shared" si="11"/>
        <v>#REF!</v>
      </c>
    </row>
    <row r="48" spans="2:44" s="39" customFormat="1" ht="11.4">
      <c r="B48" s="286"/>
      <c r="C48" s="287"/>
      <c r="D48" s="283"/>
      <c r="E48" s="280"/>
      <c r="F48" s="292"/>
      <c r="G48" s="293"/>
      <c r="H48" s="292"/>
      <c r="I48" s="157" t="s">
        <v>64</v>
      </c>
      <c r="J48" s="158">
        <v>310000</v>
      </c>
      <c r="K48" s="159">
        <v>324000</v>
      </c>
      <c r="L48" s="159">
        <v>471000</v>
      </c>
      <c r="M48" s="159">
        <f t="shared" si="45"/>
        <v>112000</v>
      </c>
      <c r="N48" s="161">
        <f>64000*2+54000</f>
        <v>182000</v>
      </c>
      <c r="P48" s="158">
        <v>310000</v>
      </c>
      <c r="Q48" s="159">
        <v>324000</v>
      </c>
      <c r="R48" s="161">
        <v>471000</v>
      </c>
      <c r="S48" s="55"/>
      <c r="T48" s="158">
        <v>310000</v>
      </c>
      <c r="U48" s="162">
        <f t="shared" si="52"/>
        <v>0</v>
      </c>
      <c r="V48" s="163">
        <v>324000</v>
      </c>
      <c r="W48" s="164">
        <f t="shared" si="53"/>
        <v>0</v>
      </c>
      <c r="X48" s="165">
        <v>424000</v>
      </c>
      <c r="Y48" s="166">
        <f t="shared" si="54"/>
        <v>9.9787685774946899E-2</v>
      </c>
      <c r="Z48" s="163">
        <f t="shared" si="50"/>
        <v>65000</v>
      </c>
      <c r="AA48" s="167">
        <f t="shared" si="55"/>
        <v>0.4196428571428571</v>
      </c>
      <c r="AB48" s="159">
        <f t="shared" si="51"/>
        <v>65000</v>
      </c>
      <c r="AC48" s="168">
        <f t="shared" si="56"/>
        <v>0.64285714285714279</v>
      </c>
      <c r="AE48" s="169">
        <f t="shared" si="14"/>
        <v>440000</v>
      </c>
      <c r="AF48" s="170">
        <f t="shared" si="15"/>
        <v>454000</v>
      </c>
      <c r="AG48" s="171">
        <f t="shared" si="16"/>
        <v>554000</v>
      </c>
      <c r="AH48" s="172">
        <f t="shared" si="17"/>
        <v>60940</v>
      </c>
      <c r="AI48" s="173">
        <f t="shared" si="18"/>
        <v>493060</v>
      </c>
      <c r="AJ48" s="39">
        <f t="shared" si="46"/>
        <v>-114000</v>
      </c>
      <c r="AK48" s="39">
        <f t="shared" si="47"/>
        <v>-100000</v>
      </c>
      <c r="AP48" s="38" t="e">
        <f>J48+M48+N48+#REF!</f>
        <v>#REF!</v>
      </c>
      <c r="AQ48" s="38">
        <f t="shared" si="48"/>
        <v>440000</v>
      </c>
      <c r="AR48" s="39" t="e">
        <f t="shared" si="11"/>
        <v>#REF!</v>
      </c>
    </row>
    <row r="49" spans="2:44" s="39" customFormat="1" ht="15" customHeight="1">
      <c r="B49" s="286"/>
      <c r="C49" s="287"/>
      <c r="D49" s="283" t="s">
        <v>30</v>
      </c>
      <c r="E49" s="280"/>
      <c r="F49" s="295" t="s">
        <v>27</v>
      </c>
      <c r="G49" s="280"/>
      <c r="H49" s="296" t="s">
        <v>18</v>
      </c>
      <c r="I49" s="174" t="s">
        <v>57</v>
      </c>
      <c r="J49" s="104">
        <v>114000</v>
      </c>
      <c r="K49" s="105">
        <v>126000</v>
      </c>
      <c r="L49" s="105">
        <v>160000</v>
      </c>
      <c r="M49" s="105">
        <f t="shared" si="45"/>
        <v>112000</v>
      </c>
      <c r="N49" s="107">
        <f>59000*2+49000</f>
        <v>167000</v>
      </c>
      <c r="P49" s="104">
        <v>114000</v>
      </c>
      <c r="Q49" s="105">
        <v>126000</v>
      </c>
      <c r="R49" s="107">
        <v>160000</v>
      </c>
      <c r="S49" s="55"/>
      <c r="T49" s="104">
        <v>94000</v>
      </c>
      <c r="U49" s="108">
        <f t="shared" si="52"/>
        <v>0.17543859649122806</v>
      </c>
      <c r="V49" s="109">
        <v>106000</v>
      </c>
      <c r="W49" s="110">
        <f t="shared" si="53"/>
        <v>0.15873015873015872</v>
      </c>
      <c r="X49" s="111">
        <v>136000</v>
      </c>
      <c r="Y49" s="112">
        <f t="shared" si="54"/>
        <v>0.15000000000000002</v>
      </c>
      <c r="Z49" s="109">
        <f t="shared" si="50"/>
        <v>65000</v>
      </c>
      <c r="AA49" s="113">
        <f t="shared" si="55"/>
        <v>0.4196428571428571</v>
      </c>
      <c r="AB49" s="111">
        <f t="shared" si="51"/>
        <v>65000</v>
      </c>
      <c r="AC49" s="114">
        <f t="shared" si="56"/>
        <v>0.61077844311377238</v>
      </c>
      <c r="AD49" s="55"/>
      <c r="AE49" s="115">
        <f t="shared" si="14"/>
        <v>224000</v>
      </c>
      <c r="AF49" s="116">
        <f t="shared" si="15"/>
        <v>236000</v>
      </c>
      <c r="AG49" s="117">
        <f t="shared" si="16"/>
        <v>266000</v>
      </c>
      <c r="AH49" s="118">
        <f t="shared" si="17"/>
        <v>29260</v>
      </c>
      <c r="AI49" s="119">
        <f t="shared" si="18"/>
        <v>236740</v>
      </c>
      <c r="AJ49" s="39">
        <f t="shared" si="46"/>
        <v>-42000</v>
      </c>
      <c r="AK49" s="39">
        <f t="shared" si="47"/>
        <v>-30000</v>
      </c>
      <c r="AP49" s="38" t="e">
        <f>J49+M49+N49+#REF!</f>
        <v>#REF!</v>
      </c>
      <c r="AQ49" s="38">
        <f t="shared" si="48"/>
        <v>224000</v>
      </c>
      <c r="AR49" s="39" t="e">
        <f t="shared" si="11"/>
        <v>#REF!</v>
      </c>
    </row>
    <row r="50" spans="2:44" s="39" customFormat="1" ht="15" customHeight="1">
      <c r="B50" s="286"/>
      <c r="C50" s="287"/>
      <c r="D50" s="283"/>
      <c r="E50" s="280"/>
      <c r="F50" s="295"/>
      <c r="G50" s="280"/>
      <c r="H50" s="296"/>
      <c r="I50" s="69" t="s">
        <v>58</v>
      </c>
      <c r="J50" s="70">
        <v>130000</v>
      </c>
      <c r="K50" s="71">
        <v>142000</v>
      </c>
      <c r="L50" s="71">
        <v>210000</v>
      </c>
      <c r="M50" s="71">
        <f t="shared" si="45"/>
        <v>112000</v>
      </c>
      <c r="N50" s="73">
        <f t="shared" si="49"/>
        <v>167000</v>
      </c>
      <c r="P50" s="70">
        <v>130000</v>
      </c>
      <c r="Q50" s="71">
        <v>142000</v>
      </c>
      <c r="R50" s="73">
        <v>210000</v>
      </c>
      <c r="S50" s="55"/>
      <c r="T50" s="70">
        <v>130000</v>
      </c>
      <c r="U50" s="74">
        <f t="shared" si="52"/>
        <v>0</v>
      </c>
      <c r="V50" s="75">
        <v>142000</v>
      </c>
      <c r="W50" s="76">
        <f t="shared" si="53"/>
        <v>0</v>
      </c>
      <c r="X50" s="77">
        <v>182000</v>
      </c>
      <c r="Y50" s="78">
        <f t="shared" si="54"/>
        <v>0.1333333333333333</v>
      </c>
      <c r="Z50" s="75">
        <f t="shared" si="50"/>
        <v>65000</v>
      </c>
      <c r="AA50" s="79">
        <f t="shared" si="55"/>
        <v>0.4196428571428571</v>
      </c>
      <c r="AB50" s="77">
        <f t="shared" si="51"/>
        <v>65000</v>
      </c>
      <c r="AC50" s="80">
        <f t="shared" si="56"/>
        <v>0.61077844311377238</v>
      </c>
      <c r="AD50" s="55"/>
      <c r="AE50" s="120">
        <f t="shared" si="14"/>
        <v>260000</v>
      </c>
      <c r="AF50" s="82">
        <f t="shared" si="15"/>
        <v>272000</v>
      </c>
      <c r="AG50" s="83">
        <f t="shared" si="16"/>
        <v>312000</v>
      </c>
      <c r="AH50" s="84">
        <f t="shared" si="17"/>
        <v>34320</v>
      </c>
      <c r="AI50" s="85">
        <f t="shared" si="18"/>
        <v>277680</v>
      </c>
      <c r="AJ50" s="39">
        <f t="shared" si="46"/>
        <v>-52000</v>
      </c>
      <c r="AK50" s="39">
        <f t="shared" si="47"/>
        <v>-40000</v>
      </c>
      <c r="AP50" s="38" t="e">
        <f>J50+M50+N50+#REF!</f>
        <v>#REF!</v>
      </c>
      <c r="AQ50" s="38">
        <f t="shared" si="48"/>
        <v>260000</v>
      </c>
      <c r="AR50" s="39" t="e">
        <f t="shared" si="11"/>
        <v>#REF!</v>
      </c>
    </row>
    <row r="51" spans="2:44" s="39" customFormat="1" ht="15" customHeight="1">
      <c r="B51" s="286"/>
      <c r="C51" s="287"/>
      <c r="D51" s="283"/>
      <c r="E51" s="280"/>
      <c r="F51" s="295"/>
      <c r="G51" s="280"/>
      <c r="H51" s="296"/>
      <c r="I51" s="69" t="s">
        <v>59</v>
      </c>
      <c r="J51" s="70">
        <v>164000</v>
      </c>
      <c r="K51" s="71">
        <v>174000</v>
      </c>
      <c r="L51" s="71">
        <v>290000</v>
      </c>
      <c r="M51" s="71">
        <f t="shared" si="45"/>
        <v>112000</v>
      </c>
      <c r="N51" s="73">
        <f>64000*2+54000</f>
        <v>182000</v>
      </c>
      <c r="P51" s="70">
        <v>164000</v>
      </c>
      <c r="Q51" s="71">
        <v>174000</v>
      </c>
      <c r="R51" s="73">
        <v>290000</v>
      </c>
      <c r="S51" s="55"/>
      <c r="T51" s="70">
        <v>164000</v>
      </c>
      <c r="U51" s="74">
        <f t="shared" si="52"/>
        <v>0</v>
      </c>
      <c r="V51" s="75">
        <v>174000</v>
      </c>
      <c r="W51" s="76">
        <f t="shared" si="53"/>
        <v>0</v>
      </c>
      <c r="X51" s="77">
        <v>290000</v>
      </c>
      <c r="Y51" s="78">
        <f t="shared" si="54"/>
        <v>0</v>
      </c>
      <c r="Z51" s="75">
        <f t="shared" si="50"/>
        <v>65000</v>
      </c>
      <c r="AA51" s="79">
        <f t="shared" si="55"/>
        <v>0.4196428571428571</v>
      </c>
      <c r="AB51" s="77">
        <f t="shared" si="51"/>
        <v>65000</v>
      </c>
      <c r="AC51" s="80">
        <f t="shared" si="56"/>
        <v>0.64285714285714279</v>
      </c>
      <c r="AD51" s="55"/>
      <c r="AE51" s="120">
        <f t="shared" si="14"/>
        <v>294000</v>
      </c>
      <c r="AF51" s="82">
        <f t="shared" si="15"/>
        <v>304000</v>
      </c>
      <c r="AG51" s="83">
        <f t="shared" si="16"/>
        <v>420000</v>
      </c>
      <c r="AH51" s="84">
        <f t="shared" si="17"/>
        <v>46200</v>
      </c>
      <c r="AI51" s="85">
        <f t="shared" si="18"/>
        <v>373800</v>
      </c>
      <c r="AJ51" s="39">
        <f t="shared" si="46"/>
        <v>-126000</v>
      </c>
      <c r="AK51" s="39">
        <f t="shared" si="47"/>
        <v>-116000</v>
      </c>
      <c r="AP51" s="38" t="e">
        <f>J51+M51+N51+#REF!</f>
        <v>#REF!</v>
      </c>
      <c r="AQ51" s="38">
        <f t="shared" si="48"/>
        <v>294000</v>
      </c>
      <c r="AR51" s="39" t="e">
        <f t="shared" si="11"/>
        <v>#REF!</v>
      </c>
    </row>
    <row r="52" spans="2:44" s="39" customFormat="1" ht="11.4">
      <c r="B52" s="286"/>
      <c r="C52" s="287"/>
      <c r="D52" s="283"/>
      <c r="E52" s="280"/>
      <c r="F52" s="295"/>
      <c r="G52" s="280"/>
      <c r="H52" s="296"/>
      <c r="I52" s="156" t="s">
        <v>64</v>
      </c>
      <c r="J52" s="123">
        <v>200000</v>
      </c>
      <c r="K52" s="124">
        <v>210000</v>
      </c>
      <c r="L52" s="124">
        <v>320000</v>
      </c>
      <c r="M52" s="124">
        <f t="shared" si="45"/>
        <v>112000</v>
      </c>
      <c r="N52" s="126">
        <f>64000*2+54000</f>
        <v>182000</v>
      </c>
      <c r="P52" s="123">
        <v>200000</v>
      </c>
      <c r="Q52" s="124">
        <v>210000</v>
      </c>
      <c r="R52" s="126">
        <v>320000</v>
      </c>
      <c r="S52" s="55"/>
      <c r="T52" s="123">
        <v>180000</v>
      </c>
      <c r="U52" s="127">
        <f t="shared" si="52"/>
        <v>9.9999999999999978E-2</v>
      </c>
      <c r="V52" s="128">
        <v>190000</v>
      </c>
      <c r="W52" s="129">
        <f t="shared" si="53"/>
        <v>9.5238095238095233E-2</v>
      </c>
      <c r="X52" s="130">
        <v>280000</v>
      </c>
      <c r="Y52" s="131">
        <f t="shared" si="54"/>
        <v>0.125</v>
      </c>
      <c r="Z52" s="128">
        <f t="shared" si="50"/>
        <v>65000</v>
      </c>
      <c r="AA52" s="132">
        <f t="shared" si="55"/>
        <v>0.4196428571428571</v>
      </c>
      <c r="AB52" s="130">
        <f t="shared" si="51"/>
        <v>65000</v>
      </c>
      <c r="AC52" s="133">
        <f t="shared" si="56"/>
        <v>0.64285714285714279</v>
      </c>
      <c r="AD52" s="55"/>
      <c r="AE52" s="120">
        <f t="shared" si="14"/>
        <v>310000</v>
      </c>
      <c r="AF52" s="82">
        <f t="shared" si="15"/>
        <v>320000</v>
      </c>
      <c r="AG52" s="136">
        <f t="shared" si="16"/>
        <v>410000</v>
      </c>
      <c r="AH52" s="84">
        <f t="shared" si="17"/>
        <v>45100</v>
      </c>
      <c r="AI52" s="85">
        <f t="shared" si="18"/>
        <v>364900</v>
      </c>
      <c r="AJ52" s="39">
        <f t="shared" si="46"/>
        <v>-100000</v>
      </c>
      <c r="AK52" s="39">
        <f t="shared" si="47"/>
        <v>-90000</v>
      </c>
      <c r="AP52" s="38" t="e">
        <f>J52+M52+N52+#REF!</f>
        <v>#REF!</v>
      </c>
      <c r="AQ52" s="38">
        <f t="shared" si="48"/>
        <v>310000</v>
      </c>
      <c r="AR52" s="39" t="e">
        <f t="shared" si="11"/>
        <v>#REF!</v>
      </c>
    </row>
    <row r="53" spans="2:44" s="39" customFormat="1" ht="15" customHeight="1">
      <c r="B53" s="286"/>
      <c r="C53" s="287"/>
      <c r="D53" s="283"/>
      <c r="E53" s="280"/>
      <c r="F53" s="295"/>
      <c r="G53" s="280"/>
      <c r="H53" s="297" t="s">
        <v>25</v>
      </c>
      <c r="I53" s="69" t="s">
        <v>57</v>
      </c>
      <c r="J53" s="86">
        <v>147000</v>
      </c>
      <c r="K53" s="87">
        <v>159000</v>
      </c>
      <c r="L53" s="87">
        <v>193000</v>
      </c>
      <c r="M53" s="87">
        <f t="shared" si="45"/>
        <v>112000</v>
      </c>
      <c r="N53" s="89">
        <f>59000*2+49000</f>
        <v>167000</v>
      </c>
      <c r="P53" s="86">
        <v>147000</v>
      </c>
      <c r="Q53" s="87">
        <v>159000</v>
      </c>
      <c r="R53" s="89">
        <v>193000</v>
      </c>
      <c r="S53" s="55"/>
      <c r="T53" s="86">
        <v>127000</v>
      </c>
      <c r="U53" s="90">
        <f t="shared" si="52"/>
        <v>0.13605442176870752</v>
      </c>
      <c r="V53" s="91">
        <v>139000</v>
      </c>
      <c r="W53" s="92">
        <f t="shared" si="53"/>
        <v>0.12578616352201255</v>
      </c>
      <c r="X53" s="93">
        <v>169000</v>
      </c>
      <c r="Y53" s="94">
        <f t="shared" si="54"/>
        <v>0.12435233160621761</v>
      </c>
      <c r="Z53" s="91">
        <f t="shared" si="50"/>
        <v>65000</v>
      </c>
      <c r="AA53" s="95">
        <f t="shared" si="55"/>
        <v>0.4196428571428571</v>
      </c>
      <c r="AB53" s="93">
        <f t="shared" si="51"/>
        <v>65000</v>
      </c>
      <c r="AC53" s="96">
        <f t="shared" si="56"/>
        <v>0.61077844311377238</v>
      </c>
      <c r="AD53" s="55"/>
      <c r="AE53" s="121">
        <f t="shared" si="14"/>
        <v>257000</v>
      </c>
      <c r="AF53" s="98">
        <f t="shared" si="15"/>
        <v>269000</v>
      </c>
      <c r="AG53" s="99">
        <f t="shared" si="16"/>
        <v>299000</v>
      </c>
      <c r="AH53" s="100">
        <f t="shared" si="17"/>
        <v>32890</v>
      </c>
      <c r="AI53" s="101">
        <f t="shared" si="18"/>
        <v>266110</v>
      </c>
      <c r="AJ53" s="39">
        <f t="shared" si="46"/>
        <v>-42000</v>
      </c>
      <c r="AK53" s="39">
        <f t="shared" si="47"/>
        <v>-30000</v>
      </c>
      <c r="AP53" s="38" t="e">
        <f>J53+M53+N53+#REF!</f>
        <v>#REF!</v>
      </c>
      <c r="AQ53" s="38">
        <f t="shared" si="48"/>
        <v>257000</v>
      </c>
      <c r="AR53" s="39" t="e">
        <f t="shared" si="11"/>
        <v>#REF!</v>
      </c>
    </row>
    <row r="54" spans="2:44" s="39" customFormat="1" ht="15" customHeight="1">
      <c r="B54" s="286"/>
      <c r="C54" s="287"/>
      <c r="D54" s="283"/>
      <c r="E54" s="280"/>
      <c r="F54" s="295"/>
      <c r="G54" s="280"/>
      <c r="H54" s="296"/>
      <c r="I54" s="69" t="s">
        <v>58</v>
      </c>
      <c r="J54" s="70">
        <v>163000</v>
      </c>
      <c r="K54" s="71">
        <v>175000</v>
      </c>
      <c r="L54" s="71">
        <v>243000</v>
      </c>
      <c r="M54" s="71">
        <f t="shared" si="45"/>
        <v>112000</v>
      </c>
      <c r="N54" s="73">
        <f t="shared" si="49"/>
        <v>167000</v>
      </c>
      <c r="P54" s="70">
        <v>163000</v>
      </c>
      <c r="Q54" s="71">
        <v>175000</v>
      </c>
      <c r="R54" s="73">
        <v>243000</v>
      </c>
      <c r="S54" s="55"/>
      <c r="T54" s="70">
        <v>163000</v>
      </c>
      <c r="U54" s="74">
        <f t="shared" si="52"/>
        <v>0</v>
      </c>
      <c r="V54" s="75">
        <v>175000</v>
      </c>
      <c r="W54" s="76">
        <f t="shared" si="53"/>
        <v>0</v>
      </c>
      <c r="X54" s="77">
        <v>215000</v>
      </c>
      <c r="Y54" s="78">
        <f t="shared" si="54"/>
        <v>0.1152263374485597</v>
      </c>
      <c r="Z54" s="75">
        <f t="shared" si="50"/>
        <v>65000</v>
      </c>
      <c r="AA54" s="79">
        <f t="shared" si="55"/>
        <v>0.4196428571428571</v>
      </c>
      <c r="AB54" s="77">
        <f t="shared" si="51"/>
        <v>65000</v>
      </c>
      <c r="AC54" s="80">
        <f t="shared" si="56"/>
        <v>0.61077844311377238</v>
      </c>
      <c r="AD54" s="55"/>
      <c r="AE54" s="120">
        <f t="shared" si="14"/>
        <v>293000</v>
      </c>
      <c r="AF54" s="82">
        <f t="shared" si="15"/>
        <v>305000</v>
      </c>
      <c r="AG54" s="83">
        <f t="shared" si="16"/>
        <v>345000</v>
      </c>
      <c r="AH54" s="84">
        <f t="shared" si="17"/>
        <v>37950</v>
      </c>
      <c r="AI54" s="85">
        <f t="shared" si="18"/>
        <v>307050</v>
      </c>
      <c r="AJ54" s="39">
        <f t="shared" si="46"/>
        <v>-52000</v>
      </c>
      <c r="AK54" s="39">
        <f t="shared" si="47"/>
        <v>-40000</v>
      </c>
      <c r="AP54" s="38" t="e">
        <f>J54+M54+N54+#REF!</f>
        <v>#REF!</v>
      </c>
      <c r="AQ54" s="38">
        <f t="shared" si="48"/>
        <v>293000</v>
      </c>
      <c r="AR54" s="39" t="e">
        <f t="shared" si="11"/>
        <v>#REF!</v>
      </c>
    </row>
    <row r="55" spans="2:44" s="39" customFormat="1" ht="15" customHeight="1">
      <c r="B55" s="286"/>
      <c r="C55" s="287"/>
      <c r="D55" s="283"/>
      <c r="E55" s="280"/>
      <c r="F55" s="295"/>
      <c r="G55" s="280"/>
      <c r="H55" s="296"/>
      <c r="I55" s="69" t="s">
        <v>59</v>
      </c>
      <c r="J55" s="70">
        <v>219000</v>
      </c>
      <c r="K55" s="71">
        <v>229000</v>
      </c>
      <c r="L55" s="71">
        <v>345000</v>
      </c>
      <c r="M55" s="71">
        <f t="shared" si="45"/>
        <v>112000</v>
      </c>
      <c r="N55" s="73">
        <f>64000*2+54000</f>
        <v>182000</v>
      </c>
      <c r="P55" s="70">
        <v>219000</v>
      </c>
      <c r="Q55" s="71">
        <v>229000</v>
      </c>
      <c r="R55" s="73">
        <v>345000</v>
      </c>
      <c r="S55" s="55"/>
      <c r="T55" s="70">
        <v>219000</v>
      </c>
      <c r="U55" s="74">
        <f t="shared" si="52"/>
        <v>0</v>
      </c>
      <c r="V55" s="75">
        <v>229000</v>
      </c>
      <c r="W55" s="76">
        <f t="shared" si="53"/>
        <v>0</v>
      </c>
      <c r="X55" s="77">
        <v>345000</v>
      </c>
      <c r="Y55" s="78">
        <f t="shared" si="54"/>
        <v>0</v>
      </c>
      <c r="Z55" s="75">
        <f t="shared" si="50"/>
        <v>65000</v>
      </c>
      <c r="AA55" s="79">
        <f t="shared" si="55"/>
        <v>0.4196428571428571</v>
      </c>
      <c r="AB55" s="77">
        <f t="shared" si="51"/>
        <v>65000</v>
      </c>
      <c r="AC55" s="80">
        <f t="shared" si="56"/>
        <v>0.64285714285714279</v>
      </c>
      <c r="AD55" s="55"/>
      <c r="AE55" s="120">
        <f t="shared" si="14"/>
        <v>349000</v>
      </c>
      <c r="AF55" s="82">
        <f t="shared" si="15"/>
        <v>359000</v>
      </c>
      <c r="AG55" s="83">
        <f t="shared" si="16"/>
        <v>475000</v>
      </c>
      <c r="AH55" s="84">
        <f t="shared" si="17"/>
        <v>52250</v>
      </c>
      <c r="AI55" s="85">
        <f t="shared" si="18"/>
        <v>422750</v>
      </c>
      <c r="AJ55" s="39">
        <f t="shared" si="46"/>
        <v>-126000</v>
      </c>
      <c r="AK55" s="39">
        <f t="shared" si="47"/>
        <v>-116000</v>
      </c>
      <c r="AP55" s="38" t="e">
        <f>J55+M55+N55+#REF!</f>
        <v>#REF!</v>
      </c>
      <c r="AQ55" s="38">
        <f t="shared" si="48"/>
        <v>349000</v>
      </c>
      <c r="AR55" s="39" t="e">
        <f t="shared" si="11"/>
        <v>#REF!</v>
      </c>
    </row>
    <row r="56" spans="2:44" s="39" customFormat="1" ht="11.4">
      <c r="B56" s="286"/>
      <c r="C56" s="287"/>
      <c r="D56" s="283"/>
      <c r="E56" s="280"/>
      <c r="F56" s="175"/>
      <c r="G56" s="176"/>
      <c r="H56" s="296"/>
      <c r="I56" s="156" t="s">
        <v>64</v>
      </c>
      <c r="J56" s="123">
        <v>255000</v>
      </c>
      <c r="K56" s="124">
        <v>265000</v>
      </c>
      <c r="L56" s="124">
        <v>375000</v>
      </c>
      <c r="M56" s="124">
        <f t="shared" si="45"/>
        <v>112000</v>
      </c>
      <c r="N56" s="126">
        <f>64000*2+54000</f>
        <v>182000</v>
      </c>
      <c r="P56" s="123">
        <v>255000</v>
      </c>
      <c r="Q56" s="124">
        <v>265000</v>
      </c>
      <c r="R56" s="126">
        <v>375000</v>
      </c>
      <c r="S56" s="55"/>
      <c r="T56" s="123">
        <v>235000</v>
      </c>
      <c r="U56" s="127">
        <f t="shared" si="52"/>
        <v>7.8431372549019662E-2</v>
      </c>
      <c r="V56" s="128">
        <v>245000</v>
      </c>
      <c r="W56" s="129">
        <f t="shared" si="53"/>
        <v>7.547169811320753E-2</v>
      </c>
      <c r="X56" s="130">
        <v>335000</v>
      </c>
      <c r="Y56" s="131">
        <f t="shared" si="54"/>
        <v>0.10666666666666669</v>
      </c>
      <c r="Z56" s="128">
        <f t="shared" si="50"/>
        <v>65000</v>
      </c>
      <c r="AA56" s="132">
        <f t="shared" si="55"/>
        <v>0.4196428571428571</v>
      </c>
      <c r="AB56" s="130">
        <f t="shared" si="51"/>
        <v>65000</v>
      </c>
      <c r="AC56" s="133">
        <f t="shared" si="56"/>
        <v>0.64285714285714279</v>
      </c>
      <c r="AD56" s="55"/>
      <c r="AE56" s="120">
        <f t="shared" si="14"/>
        <v>365000</v>
      </c>
      <c r="AF56" s="82">
        <f t="shared" si="15"/>
        <v>375000</v>
      </c>
      <c r="AG56" s="136">
        <f t="shared" si="16"/>
        <v>465000</v>
      </c>
      <c r="AH56" s="84">
        <f t="shared" si="17"/>
        <v>51150</v>
      </c>
      <c r="AI56" s="85">
        <f t="shared" si="18"/>
        <v>413850</v>
      </c>
      <c r="AJ56" s="39">
        <f t="shared" si="46"/>
        <v>-100000</v>
      </c>
      <c r="AK56" s="39">
        <f t="shared" si="47"/>
        <v>-90000</v>
      </c>
      <c r="AP56" s="38" t="e">
        <f>J56+M56+N56+#REF!</f>
        <v>#REF!</v>
      </c>
      <c r="AQ56" s="38">
        <f t="shared" si="48"/>
        <v>365000</v>
      </c>
      <c r="AR56" s="39" t="e">
        <f t="shared" si="11"/>
        <v>#REF!</v>
      </c>
    </row>
    <row r="57" spans="2:44" s="39" customFormat="1" ht="15" customHeight="1">
      <c r="B57" s="286"/>
      <c r="C57" s="287"/>
      <c r="D57" s="283"/>
      <c r="E57" s="280"/>
      <c r="F57" s="298" t="s">
        <v>28</v>
      </c>
      <c r="G57" s="279"/>
      <c r="H57" s="297" t="s">
        <v>18</v>
      </c>
      <c r="I57" s="69" t="s">
        <v>57</v>
      </c>
      <c r="J57" s="86">
        <v>148000</v>
      </c>
      <c r="K57" s="87">
        <v>165000</v>
      </c>
      <c r="L57" s="87">
        <v>235000</v>
      </c>
      <c r="M57" s="87">
        <f t="shared" si="45"/>
        <v>112000</v>
      </c>
      <c r="N57" s="89">
        <f>59000*2+49000</f>
        <v>167000</v>
      </c>
      <c r="P57" s="86">
        <v>148000</v>
      </c>
      <c r="Q57" s="87">
        <v>165000</v>
      </c>
      <c r="R57" s="89">
        <v>235000</v>
      </c>
      <c r="S57" s="1"/>
      <c r="T57" s="86">
        <v>128000</v>
      </c>
      <c r="U57" s="90">
        <f t="shared" si="52"/>
        <v>0.13513513513513509</v>
      </c>
      <c r="V57" s="91">
        <v>145000</v>
      </c>
      <c r="W57" s="92">
        <f t="shared" si="53"/>
        <v>0.12121212121212122</v>
      </c>
      <c r="X57" s="93">
        <v>175000</v>
      </c>
      <c r="Y57" s="94">
        <f t="shared" si="54"/>
        <v>0.25531914893617025</v>
      </c>
      <c r="Z57" s="91">
        <f t="shared" si="50"/>
        <v>65000</v>
      </c>
      <c r="AA57" s="95">
        <f t="shared" si="55"/>
        <v>0.4196428571428571</v>
      </c>
      <c r="AB57" s="93">
        <f t="shared" si="51"/>
        <v>65000</v>
      </c>
      <c r="AC57" s="96">
        <f t="shared" si="56"/>
        <v>0.61077844311377238</v>
      </c>
      <c r="AD57" s="55"/>
      <c r="AE57" s="121">
        <f t="shared" si="14"/>
        <v>258000</v>
      </c>
      <c r="AF57" s="98">
        <f t="shared" si="15"/>
        <v>275000</v>
      </c>
      <c r="AG57" s="99">
        <f t="shared" si="16"/>
        <v>305000</v>
      </c>
      <c r="AH57" s="100">
        <f t="shared" si="17"/>
        <v>33550</v>
      </c>
      <c r="AI57" s="101">
        <f t="shared" si="18"/>
        <v>271450</v>
      </c>
      <c r="AJ57" s="39">
        <f t="shared" si="46"/>
        <v>-47000</v>
      </c>
      <c r="AK57" s="39">
        <f t="shared" si="47"/>
        <v>-30000</v>
      </c>
      <c r="AP57" s="38" t="e">
        <f>J57+M57+N57+#REF!</f>
        <v>#REF!</v>
      </c>
      <c r="AQ57" s="38">
        <f t="shared" si="48"/>
        <v>258000</v>
      </c>
      <c r="AR57" s="39" t="e">
        <f t="shared" si="11"/>
        <v>#REF!</v>
      </c>
    </row>
    <row r="58" spans="2:44" s="39" customFormat="1" ht="15" customHeight="1">
      <c r="B58" s="286"/>
      <c r="C58" s="287"/>
      <c r="D58" s="283"/>
      <c r="E58" s="280"/>
      <c r="F58" s="295"/>
      <c r="G58" s="280"/>
      <c r="H58" s="296"/>
      <c r="I58" s="69" t="s">
        <v>58</v>
      </c>
      <c r="J58" s="70">
        <v>179000</v>
      </c>
      <c r="K58" s="71">
        <v>194000</v>
      </c>
      <c r="L58" s="71">
        <v>285000</v>
      </c>
      <c r="M58" s="71">
        <f t="shared" si="45"/>
        <v>112000</v>
      </c>
      <c r="N58" s="73">
        <f t="shared" si="49"/>
        <v>167000</v>
      </c>
      <c r="P58" s="70">
        <v>179000</v>
      </c>
      <c r="Q58" s="71">
        <v>194000</v>
      </c>
      <c r="R58" s="73">
        <v>285000</v>
      </c>
      <c r="S58" s="1"/>
      <c r="T58" s="70">
        <v>179000</v>
      </c>
      <c r="U58" s="74">
        <f t="shared" si="52"/>
        <v>0</v>
      </c>
      <c r="V58" s="75">
        <v>194000</v>
      </c>
      <c r="W58" s="76">
        <f t="shared" si="53"/>
        <v>0</v>
      </c>
      <c r="X58" s="77">
        <v>234000</v>
      </c>
      <c r="Y58" s="78">
        <f t="shared" si="54"/>
        <v>0.17894736842105263</v>
      </c>
      <c r="Z58" s="75">
        <f t="shared" si="50"/>
        <v>65000</v>
      </c>
      <c r="AA58" s="79">
        <f t="shared" si="55"/>
        <v>0.4196428571428571</v>
      </c>
      <c r="AB58" s="77">
        <f t="shared" si="51"/>
        <v>65000</v>
      </c>
      <c r="AC58" s="80">
        <f t="shared" si="56"/>
        <v>0.61077844311377238</v>
      </c>
      <c r="AD58" s="55"/>
      <c r="AE58" s="120">
        <f t="shared" si="14"/>
        <v>309000</v>
      </c>
      <c r="AF58" s="82">
        <f t="shared" si="15"/>
        <v>324000</v>
      </c>
      <c r="AG58" s="83">
        <f t="shared" si="16"/>
        <v>364000</v>
      </c>
      <c r="AH58" s="84">
        <f t="shared" si="17"/>
        <v>40040</v>
      </c>
      <c r="AI58" s="85">
        <f t="shared" si="18"/>
        <v>323960</v>
      </c>
      <c r="AJ58" s="39">
        <f t="shared" si="46"/>
        <v>-55000</v>
      </c>
      <c r="AK58" s="39">
        <f t="shared" si="47"/>
        <v>-40000</v>
      </c>
      <c r="AP58" s="38" t="e">
        <f>J58+M58+N58+#REF!</f>
        <v>#REF!</v>
      </c>
      <c r="AQ58" s="38">
        <f t="shared" si="48"/>
        <v>309000</v>
      </c>
      <c r="AR58" s="39" t="e">
        <f t="shared" si="11"/>
        <v>#REF!</v>
      </c>
    </row>
    <row r="59" spans="2:44" s="39" customFormat="1" ht="15" customHeight="1">
      <c r="B59" s="286"/>
      <c r="C59" s="287"/>
      <c r="D59" s="283"/>
      <c r="E59" s="280"/>
      <c r="F59" s="295"/>
      <c r="G59" s="280"/>
      <c r="H59" s="296"/>
      <c r="I59" s="69" t="s">
        <v>59</v>
      </c>
      <c r="J59" s="70">
        <v>218000</v>
      </c>
      <c r="K59" s="71">
        <v>233000</v>
      </c>
      <c r="L59" s="71">
        <v>370000</v>
      </c>
      <c r="M59" s="71">
        <f t="shared" si="45"/>
        <v>112000</v>
      </c>
      <c r="N59" s="73">
        <f>64000*2+54000</f>
        <v>182000</v>
      </c>
      <c r="P59" s="70">
        <v>218000</v>
      </c>
      <c r="Q59" s="71">
        <v>233000</v>
      </c>
      <c r="R59" s="73">
        <v>370000</v>
      </c>
      <c r="S59" s="1"/>
      <c r="T59" s="70">
        <v>218000</v>
      </c>
      <c r="U59" s="74">
        <f t="shared" si="52"/>
        <v>0</v>
      </c>
      <c r="V59" s="75">
        <v>233000</v>
      </c>
      <c r="W59" s="76">
        <f t="shared" si="53"/>
        <v>0</v>
      </c>
      <c r="X59" s="77">
        <v>370000</v>
      </c>
      <c r="Y59" s="78">
        <f t="shared" si="54"/>
        <v>0</v>
      </c>
      <c r="Z59" s="75">
        <f t="shared" si="50"/>
        <v>65000</v>
      </c>
      <c r="AA59" s="79">
        <f t="shared" si="55"/>
        <v>0.4196428571428571</v>
      </c>
      <c r="AB59" s="77">
        <f t="shared" si="51"/>
        <v>65000</v>
      </c>
      <c r="AC59" s="80">
        <f t="shared" si="56"/>
        <v>0.64285714285714279</v>
      </c>
      <c r="AD59" s="55"/>
      <c r="AE59" s="120">
        <f t="shared" si="14"/>
        <v>348000</v>
      </c>
      <c r="AF59" s="82">
        <f t="shared" si="15"/>
        <v>363000</v>
      </c>
      <c r="AG59" s="83">
        <f t="shared" si="16"/>
        <v>500000</v>
      </c>
      <c r="AH59" s="84">
        <f t="shared" si="17"/>
        <v>55000</v>
      </c>
      <c r="AI59" s="85">
        <f t="shared" si="18"/>
        <v>445000</v>
      </c>
      <c r="AJ59" s="39">
        <f t="shared" si="46"/>
        <v>-152000</v>
      </c>
      <c r="AK59" s="39">
        <f t="shared" si="47"/>
        <v>-137000</v>
      </c>
      <c r="AP59" s="38" t="e">
        <f>J59+M59+N59+#REF!</f>
        <v>#REF!</v>
      </c>
      <c r="AQ59" s="38">
        <f t="shared" si="48"/>
        <v>348000</v>
      </c>
      <c r="AR59" s="39" t="e">
        <f t="shared" si="11"/>
        <v>#REF!</v>
      </c>
    </row>
    <row r="60" spans="2:44" s="39" customFormat="1" ht="11.4">
      <c r="B60" s="286"/>
      <c r="C60" s="287"/>
      <c r="D60" s="283"/>
      <c r="E60" s="280"/>
      <c r="F60" s="295"/>
      <c r="G60" s="280"/>
      <c r="H60" s="296"/>
      <c r="I60" s="156" t="s">
        <v>64</v>
      </c>
      <c r="J60" s="123">
        <v>262000</v>
      </c>
      <c r="K60" s="124">
        <v>276000</v>
      </c>
      <c r="L60" s="124">
        <v>400000</v>
      </c>
      <c r="M60" s="124">
        <f t="shared" si="45"/>
        <v>112000</v>
      </c>
      <c r="N60" s="126">
        <f>64000*2+54000</f>
        <v>182000</v>
      </c>
      <c r="P60" s="123">
        <v>262000</v>
      </c>
      <c r="Q60" s="124">
        <v>276000</v>
      </c>
      <c r="R60" s="126">
        <v>400000</v>
      </c>
      <c r="S60" s="55"/>
      <c r="T60" s="123">
        <v>242000</v>
      </c>
      <c r="U60" s="127">
        <f t="shared" si="52"/>
        <v>7.6335877862595436E-2</v>
      </c>
      <c r="V60" s="128">
        <v>256000</v>
      </c>
      <c r="W60" s="129">
        <f t="shared" si="53"/>
        <v>7.2463768115942018E-2</v>
      </c>
      <c r="X60" s="130">
        <v>346000</v>
      </c>
      <c r="Y60" s="131">
        <f t="shared" si="54"/>
        <v>0.13500000000000001</v>
      </c>
      <c r="Z60" s="128">
        <f t="shared" si="50"/>
        <v>65000</v>
      </c>
      <c r="AA60" s="132">
        <f t="shared" si="55"/>
        <v>0.4196428571428571</v>
      </c>
      <c r="AB60" s="130">
        <f t="shared" si="51"/>
        <v>65000</v>
      </c>
      <c r="AC60" s="133">
        <f t="shared" si="56"/>
        <v>0.64285714285714279</v>
      </c>
      <c r="AD60" s="55"/>
      <c r="AE60" s="120">
        <f t="shared" si="14"/>
        <v>372000</v>
      </c>
      <c r="AF60" s="82">
        <f t="shared" si="15"/>
        <v>386000</v>
      </c>
      <c r="AG60" s="136">
        <f t="shared" si="16"/>
        <v>476000</v>
      </c>
      <c r="AH60" s="84">
        <f t="shared" si="17"/>
        <v>52360</v>
      </c>
      <c r="AI60" s="85">
        <f t="shared" si="18"/>
        <v>423640</v>
      </c>
      <c r="AJ60" s="39">
        <f t="shared" si="46"/>
        <v>-104000</v>
      </c>
      <c r="AK60" s="39">
        <f t="shared" si="47"/>
        <v>-90000</v>
      </c>
      <c r="AP60" s="38" t="e">
        <f>J60+M60+N60+#REF!</f>
        <v>#REF!</v>
      </c>
      <c r="AQ60" s="38">
        <f t="shared" si="48"/>
        <v>372000</v>
      </c>
      <c r="AR60" s="39" t="e">
        <f t="shared" si="11"/>
        <v>#REF!</v>
      </c>
    </row>
    <row r="61" spans="2:44" s="39" customFormat="1" ht="15" customHeight="1">
      <c r="B61" s="286"/>
      <c r="C61" s="287"/>
      <c r="D61" s="283"/>
      <c r="E61" s="280"/>
      <c r="F61" s="295"/>
      <c r="G61" s="280"/>
      <c r="H61" s="297" t="s">
        <v>25</v>
      </c>
      <c r="I61" s="69" t="s">
        <v>57</v>
      </c>
      <c r="J61" s="86">
        <v>181000</v>
      </c>
      <c r="K61" s="87">
        <v>198000</v>
      </c>
      <c r="L61" s="87">
        <v>268000</v>
      </c>
      <c r="M61" s="87">
        <f t="shared" si="45"/>
        <v>112000</v>
      </c>
      <c r="N61" s="89">
        <f>59000*2+49000</f>
        <v>167000</v>
      </c>
      <c r="P61" s="86">
        <v>181000</v>
      </c>
      <c r="Q61" s="87">
        <v>198000</v>
      </c>
      <c r="R61" s="89">
        <v>268000</v>
      </c>
      <c r="S61" s="1"/>
      <c r="T61" s="86">
        <v>161000</v>
      </c>
      <c r="U61" s="90">
        <f t="shared" si="52"/>
        <v>0.11049723756906082</v>
      </c>
      <c r="V61" s="91">
        <v>178000</v>
      </c>
      <c r="W61" s="92">
        <f t="shared" si="53"/>
        <v>0.10101010101010099</v>
      </c>
      <c r="X61" s="93">
        <v>208000</v>
      </c>
      <c r="Y61" s="94">
        <f t="shared" si="54"/>
        <v>0.22388059701492535</v>
      </c>
      <c r="Z61" s="91">
        <f t="shared" si="50"/>
        <v>65000</v>
      </c>
      <c r="AA61" s="95">
        <f t="shared" si="55"/>
        <v>0.4196428571428571</v>
      </c>
      <c r="AB61" s="93">
        <f t="shared" si="51"/>
        <v>65000</v>
      </c>
      <c r="AC61" s="96">
        <f t="shared" si="56"/>
        <v>0.61077844311377238</v>
      </c>
      <c r="AD61" s="55"/>
      <c r="AE61" s="121">
        <f t="shared" si="14"/>
        <v>291000</v>
      </c>
      <c r="AF61" s="98">
        <f t="shared" si="15"/>
        <v>308000</v>
      </c>
      <c r="AG61" s="99">
        <f t="shared" si="16"/>
        <v>338000</v>
      </c>
      <c r="AH61" s="100">
        <f t="shared" si="17"/>
        <v>37180</v>
      </c>
      <c r="AI61" s="101">
        <f t="shared" si="18"/>
        <v>300820</v>
      </c>
      <c r="AJ61" s="39">
        <f t="shared" si="46"/>
        <v>-47000</v>
      </c>
      <c r="AK61" s="39">
        <f t="shared" si="47"/>
        <v>-30000</v>
      </c>
      <c r="AP61" s="38" t="e">
        <f>J61+M61+N61+#REF!</f>
        <v>#REF!</v>
      </c>
      <c r="AQ61" s="38">
        <f t="shared" si="48"/>
        <v>291000</v>
      </c>
      <c r="AR61" s="39" t="e">
        <f t="shared" si="11"/>
        <v>#REF!</v>
      </c>
    </row>
    <row r="62" spans="2:44" s="39" customFormat="1" ht="15" customHeight="1">
      <c r="B62" s="286"/>
      <c r="C62" s="287"/>
      <c r="D62" s="283"/>
      <c r="E62" s="280"/>
      <c r="F62" s="295"/>
      <c r="G62" s="280"/>
      <c r="H62" s="296"/>
      <c r="I62" s="69" t="s">
        <v>58</v>
      </c>
      <c r="J62" s="70">
        <v>212000</v>
      </c>
      <c r="K62" s="71">
        <v>227000</v>
      </c>
      <c r="L62" s="71">
        <v>318000</v>
      </c>
      <c r="M62" s="71">
        <f t="shared" si="45"/>
        <v>112000</v>
      </c>
      <c r="N62" s="73">
        <f t="shared" si="49"/>
        <v>167000</v>
      </c>
      <c r="P62" s="70">
        <v>212000</v>
      </c>
      <c r="Q62" s="71">
        <v>227000</v>
      </c>
      <c r="R62" s="73">
        <v>318000</v>
      </c>
      <c r="S62" s="1"/>
      <c r="T62" s="70">
        <v>212000</v>
      </c>
      <c r="U62" s="74">
        <f t="shared" si="52"/>
        <v>0</v>
      </c>
      <c r="V62" s="75">
        <v>227000</v>
      </c>
      <c r="W62" s="76">
        <f t="shared" si="53"/>
        <v>0</v>
      </c>
      <c r="X62" s="77">
        <v>267000</v>
      </c>
      <c r="Y62" s="78">
        <f t="shared" si="54"/>
        <v>0.160377358490566</v>
      </c>
      <c r="Z62" s="75">
        <f t="shared" si="50"/>
        <v>65000</v>
      </c>
      <c r="AA62" s="79">
        <f t="shared" si="55"/>
        <v>0.4196428571428571</v>
      </c>
      <c r="AB62" s="77">
        <f t="shared" si="51"/>
        <v>65000</v>
      </c>
      <c r="AC62" s="80">
        <f t="shared" si="56"/>
        <v>0.61077844311377238</v>
      </c>
      <c r="AD62" s="55"/>
      <c r="AE62" s="120">
        <f t="shared" si="14"/>
        <v>342000</v>
      </c>
      <c r="AF62" s="82">
        <f t="shared" si="15"/>
        <v>357000</v>
      </c>
      <c r="AG62" s="83">
        <f t="shared" si="16"/>
        <v>397000</v>
      </c>
      <c r="AH62" s="84">
        <f t="shared" si="17"/>
        <v>43670</v>
      </c>
      <c r="AI62" s="85">
        <f t="shared" si="18"/>
        <v>353330</v>
      </c>
      <c r="AJ62" s="39">
        <f t="shared" si="46"/>
        <v>-55000</v>
      </c>
      <c r="AK62" s="39">
        <f t="shared" si="47"/>
        <v>-40000</v>
      </c>
      <c r="AP62" s="38" t="e">
        <f>J62+M62+N62+#REF!</f>
        <v>#REF!</v>
      </c>
      <c r="AQ62" s="38">
        <f t="shared" si="48"/>
        <v>342000</v>
      </c>
      <c r="AR62" s="39" t="e">
        <f t="shared" si="11"/>
        <v>#REF!</v>
      </c>
    </row>
    <row r="63" spans="2:44" s="39" customFormat="1" ht="15" customHeight="1">
      <c r="B63" s="286"/>
      <c r="C63" s="287"/>
      <c r="D63" s="283"/>
      <c r="E63" s="280"/>
      <c r="F63" s="295"/>
      <c r="G63" s="280"/>
      <c r="H63" s="296"/>
      <c r="I63" s="102" t="s">
        <v>59</v>
      </c>
      <c r="J63" s="123">
        <v>273000</v>
      </c>
      <c r="K63" s="124">
        <v>288000</v>
      </c>
      <c r="L63" s="124">
        <v>425000</v>
      </c>
      <c r="M63" s="124">
        <f t="shared" si="45"/>
        <v>112000</v>
      </c>
      <c r="N63" s="126">
        <f>64000*2+54000</f>
        <v>182000</v>
      </c>
      <c r="P63" s="123">
        <v>273000</v>
      </c>
      <c r="Q63" s="124">
        <v>288000</v>
      </c>
      <c r="R63" s="126">
        <v>425000</v>
      </c>
      <c r="S63" s="1"/>
      <c r="T63" s="123">
        <v>273000</v>
      </c>
      <c r="U63" s="127">
        <f t="shared" si="52"/>
        <v>0</v>
      </c>
      <c r="V63" s="128">
        <v>288000</v>
      </c>
      <c r="W63" s="129">
        <f t="shared" si="53"/>
        <v>0</v>
      </c>
      <c r="X63" s="130">
        <v>425000</v>
      </c>
      <c r="Y63" s="131">
        <f t="shared" si="54"/>
        <v>0</v>
      </c>
      <c r="Z63" s="128">
        <f t="shared" si="50"/>
        <v>65000</v>
      </c>
      <c r="AA63" s="132">
        <f t="shared" si="55"/>
        <v>0.4196428571428571</v>
      </c>
      <c r="AB63" s="130">
        <f t="shared" si="51"/>
        <v>65000</v>
      </c>
      <c r="AC63" s="133">
        <f t="shared" si="56"/>
        <v>0.64285714285714279</v>
      </c>
      <c r="AD63" s="55"/>
      <c r="AE63" s="134">
        <f t="shared" si="14"/>
        <v>403000</v>
      </c>
      <c r="AF63" s="135">
        <f t="shared" si="15"/>
        <v>418000</v>
      </c>
      <c r="AG63" s="136">
        <f t="shared" si="16"/>
        <v>555000</v>
      </c>
      <c r="AH63" s="137">
        <f t="shared" si="17"/>
        <v>61050</v>
      </c>
      <c r="AI63" s="138">
        <f t="shared" si="18"/>
        <v>493950</v>
      </c>
      <c r="AJ63" s="39">
        <f t="shared" si="46"/>
        <v>-152000</v>
      </c>
      <c r="AK63" s="39">
        <f t="shared" si="47"/>
        <v>-137000</v>
      </c>
      <c r="AP63" s="38" t="e">
        <f>J63+M63+N63+#REF!</f>
        <v>#REF!</v>
      </c>
      <c r="AQ63" s="38">
        <f t="shared" si="48"/>
        <v>403000</v>
      </c>
      <c r="AR63" s="39" t="e">
        <f t="shared" si="11"/>
        <v>#REF!</v>
      </c>
    </row>
    <row r="64" spans="2:44" s="39" customFormat="1" ht="11.4">
      <c r="B64" s="286"/>
      <c r="C64" s="287"/>
      <c r="D64" s="283"/>
      <c r="E64" s="280"/>
      <c r="F64" s="175"/>
      <c r="G64" s="176"/>
      <c r="H64" s="296"/>
      <c r="I64" s="156" t="s">
        <v>64</v>
      </c>
      <c r="J64" s="123">
        <v>317000</v>
      </c>
      <c r="K64" s="124">
        <v>331000</v>
      </c>
      <c r="L64" s="124">
        <v>455000</v>
      </c>
      <c r="M64" s="124">
        <f t="shared" si="45"/>
        <v>112000</v>
      </c>
      <c r="N64" s="126">
        <f>64000*2+54000</f>
        <v>182000</v>
      </c>
      <c r="P64" s="123">
        <v>317000</v>
      </c>
      <c r="Q64" s="124">
        <v>331000</v>
      </c>
      <c r="R64" s="126">
        <v>455000</v>
      </c>
      <c r="S64" s="55"/>
      <c r="T64" s="123">
        <v>297000</v>
      </c>
      <c r="U64" s="127">
        <f t="shared" si="52"/>
        <v>6.3091482649842323E-2</v>
      </c>
      <c r="V64" s="128">
        <v>311000</v>
      </c>
      <c r="W64" s="129">
        <f t="shared" si="53"/>
        <v>6.0422960725075581E-2</v>
      </c>
      <c r="X64" s="130">
        <v>401000</v>
      </c>
      <c r="Y64" s="131">
        <f t="shared" si="54"/>
        <v>0.1186813186813187</v>
      </c>
      <c r="Z64" s="128">
        <f t="shared" si="50"/>
        <v>65000</v>
      </c>
      <c r="AA64" s="132">
        <f t="shared" si="55"/>
        <v>0.4196428571428571</v>
      </c>
      <c r="AB64" s="130">
        <f t="shared" si="51"/>
        <v>65000</v>
      </c>
      <c r="AC64" s="133">
        <f t="shared" si="56"/>
        <v>0.64285714285714279</v>
      </c>
      <c r="AD64" s="55"/>
      <c r="AE64" s="120">
        <f t="shared" si="14"/>
        <v>427000</v>
      </c>
      <c r="AF64" s="82">
        <f t="shared" si="15"/>
        <v>441000</v>
      </c>
      <c r="AG64" s="136">
        <f t="shared" si="16"/>
        <v>531000</v>
      </c>
      <c r="AH64" s="84">
        <f t="shared" si="17"/>
        <v>58410</v>
      </c>
      <c r="AI64" s="85">
        <f t="shared" si="18"/>
        <v>472590</v>
      </c>
      <c r="AJ64" s="39">
        <f t="shared" si="46"/>
        <v>-104000</v>
      </c>
      <c r="AK64" s="39">
        <f t="shared" si="47"/>
        <v>-90000</v>
      </c>
      <c r="AP64" s="38" t="e">
        <f>J64+M64+N64+#REF!</f>
        <v>#REF!</v>
      </c>
      <c r="AQ64" s="38">
        <f t="shared" si="48"/>
        <v>427000</v>
      </c>
      <c r="AR64" s="39" t="e">
        <f t="shared" si="11"/>
        <v>#REF!</v>
      </c>
    </row>
    <row r="65" spans="2:44" s="39" customFormat="1" ht="15" customHeight="1">
      <c r="B65" s="286"/>
      <c r="C65" s="287"/>
      <c r="D65" s="283"/>
      <c r="E65" s="280"/>
      <c r="F65" s="282" t="s">
        <v>55</v>
      </c>
      <c r="G65" s="279"/>
      <c r="H65" s="279" t="s">
        <v>18</v>
      </c>
      <c r="I65" s="69" t="s">
        <v>57</v>
      </c>
      <c r="J65" s="86">
        <v>174000</v>
      </c>
      <c r="K65" s="87">
        <v>191000</v>
      </c>
      <c r="L65" s="87">
        <v>250000</v>
      </c>
      <c r="M65" s="87">
        <f t="shared" si="45"/>
        <v>112000</v>
      </c>
      <c r="N65" s="89">
        <f>59000*2+49000</f>
        <v>167000</v>
      </c>
      <c r="P65" s="86">
        <v>174000</v>
      </c>
      <c r="Q65" s="87">
        <v>191000</v>
      </c>
      <c r="R65" s="89">
        <v>250000</v>
      </c>
      <c r="S65" s="1"/>
      <c r="T65" s="86">
        <v>154000</v>
      </c>
      <c r="U65" s="90">
        <f t="shared" si="52"/>
        <v>0.11494252873563215</v>
      </c>
      <c r="V65" s="91">
        <v>171000</v>
      </c>
      <c r="W65" s="92">
        <f t="shared" si="53"/>
        <v>0.10471204188481675</v>
      </c>
      <c r="X65" s="93">
        <v>201000</v>
      </c>
      <c r="Y65" s="94">
        <f t="shared" si="54"/>
        <v>0.19599999999999995</v>
      </c>
      <c r="Z65" s="91">
        <f t="shared" si="50"/>
        <v>65000</v>
      </c>
      <c r="AA65" s="95">
        <f t="shared" si="55"/>
        <v>0.4196428571428571</v>
      </c>
      <c r="AB65" s="93">
        <f t="shared" si="51"/>
        <v>65000</v>
      </c>
      <c r="AC65" s="96">
        <f t="shared" si="56"/>
        <v>0.61077844311377238</v>
      </c>
      <c r="AD65" s="55"/>
      <c r="AE65" s="121">
        <f t="shared" si="14"/>
        <v>284000</v>
      </c>
      <c r="AF65" s="98">
        <f t="shared" si="15"/>
        <v>301000</v>
      </c>
      <c r="AG65" s="99">
        <f t="shared" si="16"/>
        <v>331000</v>
      </c>
      <c r="AH65" s="100">
        <f t="shared" si="17"/>
        <v>36410</v>
      </c>
      <c r="AI65" s="101">
        <f t="shared" si="18"/>
        <v>294590</v>
      </c>
      <c r="AJ65" s="39">
        <f t="shared" si="46"/>
        <v>-47000</v>
      </c>
      <c r="AK65" s="39">
        <f t="shared" si="47"/>
        <v>-30000</v>
      </c>
      <c r="AP65" s="38" t="e">
        <f>J65+M65+N65+#REF!</f>
        <v>#REF!</v>
      </c>
      <c r="AQ65" s="38">
        <f t="shared" si="48"/>
        <v>284000</v>
      </c>
      <c r="AR65" s="39" t="e">
        <f t="shared" si="11"/>
        <v>#REF!</v>
      </c>
    </row>
    <row r="66" spans="2:44" s="39" customFormat="1" ht="15" customHeight="1">
      <c r="B66" s="286"/>
      <c r="C66" s="287"/>
      <c r="D66" s="283"/>
      <c r="E66" s="280"/>
      <c r="F66" s="283"/>
      <c r="G66" s="280"/>
      <c r="H66" s="280"/>
      <c r="I66" s="69" t="s">
        <v>58</v>
      </c>
      <c r="J66" s="70">
        <v>197000</v>
      </c>
      <c r="K66" s="71">
        <v>211000</v>
      </c>
      <c r="L66" s="71">
        <v>300000</v>
      </c>
      <c r="M66" s="71">
        <f t="shared" si="45"/>
        <v>112000</v>
      </c>
      <c r="N66" s="73">
        <f t="shared" si="49"/>
        <v>167000</v>
      </c>
      <c r="P66" s="70">
        <v>197000</v>
      </c>
      <c r="Q66" s="71">
        <v>211000</v>
      </c>
      <c r="R66" s="73">
        <v>300000</v>
      </c>
      <c r="S66" s="1"/>
      <c r="T66" s="70">
        <v>197000</v>
      </c>
      <c r="U66" s="74">
        <f t="shared" si="52"/>
        <v>0</v>
      </c>
      <c r="V66" s="75">
        <v>211000</v>
      </c>
      <c r="W66" s="76">
        <f t="shared" si="53"/>
        <v>0</v>
      </c>
      <c r="X66" s="77">
        <v>251000</v>
      </c>
      <c r="Y66" s="78">
        <f t="shared" si="54"/>
        <v>0.16333333333333333</v>
      </c>
      <c r="Z66" s="75">
        <f t="shared" si="50"/>
        <v>65000</v>
      </c>
      <c r="AA66" s="79">
        <f t="shared" si="55"/>
        <v>0.4196428571428571</v>
      </c>
      <c r="AB66" s="77">
        <f t="shared" si="51"/>
        <v>65000</v>
      </c>
      <c r="AC66" s="80">
        <f t="shared" si="56"/>
        <v>0.61077844311377238</v>
      </c>
      <c r="AD66" s="55"/>
      <c r="AE66" s="120">
        <f t="shared" si="14"/>
        <v>327000</v>
      </c>
      <c r="AF66" s="82">
        <f t="shared" si="15"/>
        <v>341000</v>
      </c>
      <c r="AG66" s="83">
        <f t="shared" si="16"/>
        <v>381000</v>
      </c>
      <c r="AH66" s="84">
        <f t="shared" si="17"/>
        <v>41910</v>
      </c>
      <c r="AI66" s="85">
        <f t="shared" si="18"/>
        <v>339090</v>
      </c>
      <c r="AJ66" s="39">
        <f t="shared" si="46"/>
        <v>-54000</v>
      </c>
      <c r="AK66" s="39">
        <f t="shared" si="47"/>
        <v>-40000</v>
      </c>
      <c r="AP66" s="38" t="e">
        <f>J66+M66+N66+#REF!</f>
        <v>#REF!</v>
      </c>
      <c r="AQ66" s="38">
        <f t="shared" si="48"/>
        <v>327000</v>
      </c>
      <c r="AR66" s="39" t="e">
        <f t="shared" si="11"/>
        <v>#REF!</v>
      </c>
    </row>
    <row r="67" spans="2:44" s="39" customFormat="1" ht="15" customHeight="1">
      <c r="B67" s="286"/>
      <c r="C67" s="287"/>
      <c r="D67" s="283"/>
      <c r="E67" s="280"/>
      <c r="F67" s="283"/>
      <c r="G67" s="280"/>
      <c r="H67" s="280"/>
      <c r="I67" s="69" t="s">
        <v>59</v>
      </c>
      <c r="J67" s="70">
        <v>233000</v>
      </c>
      <c r="K67" s="71">
        <v>248000</v>
      </c>
      <c r="L67" s="71">
        <v>385000</v>
      </c>
      <c r="M67" s="71">
        <f t="shared" si="45"/>
        <v>112000</v>
      </c>
      <c r="N67" s="73">
        <f>64000*2+54000</f>
        <v>182000</v>
      </c>
      <c r="P67" s="70">
        <v>233000</v>
      </c>
      <c r="Q67" s="71">
        <v>248000</v>
      </c>
      <c r="R67" s="73">
        <v>385000</v>
      </c>
      <c r="S67" s="1"/>
      <c r="T67" s="70">
        <v>233000</v>
      </c>
      <c r="U67" s="74">
        <f t="shared" si="52"/>
        <v>0</v>
      </c>
      <c r="V67" s="75">
        <v>248000</v>
      </c>
      <c r="W67" s="76">
        <f t="shared" si="53"/>
        <v>0</v>
      </c>
      <c r="X67" s="77">
        <v>385000</v>
      </c>
      <c r="Y67" s="78">
        <f t="shared" si="54"/>
        <v>0</v>
      </c>
      <c r="Z67" s="75">
        <f t="shared" si="50"/>
        <v>65000</v>
      </c>
      <c r="AA67" s="79">
        <f t="shared" si="55"/>
        <v>0.4196428571428571</v>
      </c>
      <c r="AB67" s="77">
        <f t="shared" si="51"/>
        <v>65000</v>
      </c>
      <c r="AC67" s="80">
        <f t="shared" si="56"/>
        <v>0.64285714285714279</v>
      </c>
      <c r="AD67" s="55"/>
      <c r="AE67" s="120">
        <f t="shared" si="14"/>
        <v>363000</v>
      </c>
      <c r="AF67" s="82">
        <f t="shared" si="15"/>
        <v>378000</v>
      </c>
      <c r="AG67" s="83">
        <f t="shared" si="16"/>
        <v>515000</v>
      </c>
      <c r="AH67" s="84">
        <f t="shared" si="17"/>
        <v>56650</v>
      </c>
      <c r="AI67" s="85">
        <f t="shared" si="18"/>
        <v>458350</v>
      </c>
      <c r="AJ67" s="39">
        <f t="shared" si="46"/>
        <v>-152000</v>
      </c>
      <c r="AK67" s="39">
        <f t="shared" si="47"/>
        <v>-137000</v>
      </c>
      <c r="AP67" s="38" t="e">
        <f>J67+M67+N67+#REF!</f>
        <v>#REF!</v>
      </c>
      <c r="AQ67" s="38">
        <f t="shared" si="48"/>
        <v>363000</v>
      </c>
      <c r="AR67" s="39" t="e">
        <f t="shared" si="11"/>
        <v>#REF!</v>
      </c>
    </row>
    <row r="68" spans="2:44" s="39" customFormat="1" ht="11.4">
      <c r="B68" s="286"/>
      <c r="C68" s="287"/>
      <c r="D68" s="283"/>
      <c r="E68" s="280"/>
      <c r="F68" s="283"/>
      <c r="G68" s="280"/>
      <c r="H68" s="280"/>
      <c r="I68" s="156" t="s">
        <v>64</v>
      </c>
      <c r="J68" s="123">
        <v>277000</v>
      </c>
      <c r="K68" s="124">
        <v>291000</v>
      </c>
      <c r="L68" s="124">
        <v>425000</v>
      </c>
      <c r="M68" s="124">
        <f t="shared" si="45"/>
        <v>112000</v>
      </c>
      <c r="N68" s="126">
        <f>64000*2+54000</f>
        <v>182000</v>
      </c>
      <c r="P68" s="123">
        <v>277000</v>
      </c>
      <c r="Q68" s="124">
        <v>291000</v>
      </c>
      <c r="R68" s="126">
        <v>425000</v>
      </c>
      <c r="S68" s="55"/>
      <c r="T68" s="123">
        <v>257000</v>
      </c>
      <c r="U68" s="127">
        <f t="shared" si="52"/>
        <v>7.2202166064981976E-2</v>
      </c>
      <c r="V68" s="128">
        <v>271000</v>
      </c>
      <c r="W68" s="129">
        <f t="shared" si="53"/>
        <v>6.8728522336769737E-2</v>
      </c>
      <c r="X68" s="130">
        <v>371000</v>
      </c>
      <c r="Y68" s="131">
        <f t="shared" si="54"/>
        <v>0.12705882352941178</v>
      </c>
      <c r="Z68" s="128">
        <f t="shared" si="50"/>
        <v>65000</v>
      </c>
      <c r="AA68" s="132">
        <f t="shared" si="55"/>
        <v>0.4196428571428571</v>
      </c>
      <c r="AB68" s="130">
        <f t="shared" si="51"/>
        <v>65000</v>
      </c>
      <c r="AC68" s="133">
        <f t="shared" si="56"/>
        <v>0.64285714285714279</v>
      </c>
      <c r="AD68" s="55"/>
      <c r="AE68" s="120">
        <f t="shared" si="14"/>
        <v>387000</v>
      </c>
      <c r="AF68" s="82">
        <f t="shared" si="15"/>
        <v>401000</v>
      </c>
      <c r="AG68" s="136">
        <f t="shared" si="16"/>
        <v>501000</v>
      </c>
      <c r="AH68" s="84">
        <f t="shared" si="17"/>
        <v>55110</v>
      </c>
      <c r="AI68" s="85">
        <f t="shared" si="18"/>
        <v>445890</v>
      </c>
      <c r="AJ68" s="39">
        <f t="shared" si="46"/>
        <v>-114000</v>
      </c>
      <c r="AK68" s="39">
        <f t="shared" si="47"/>
        <v>-100000</v>
      </c>
      <c r="AP68" s="38" t="e">
        <f>J68+M68+N68+#REF!</f>
        <v>#REF!</v>
      </c>
      <c r="AQ68" s="38">
        <f t="shared" si="48"/>
        <v>387000</v>
      </c>
      <c r="AR68" s="39" t="e">
        <f t="shared" si="11"/>
        <v>#REF!</v>
      </c>
    </row>
    <row r="69" spans="2:44" s="39" customFormat="1" ht="15" customHeight="1">
      <c r="B69" s="286"/>
      <c r="C69" s="287"/>
      <c r="D69" s="283"/>
      <c r="E69" s="280"/>
      <c r="F69" s="283"/>
      <c r="G69" s="280"/>
      <c r="H69" s="279" t="s">
        <v>25</v>
      </c>
      <c r="I69" s="69" t="s">
        <v>57</v>
      </c>
      <c r="J69" s="86">
        <v>207000</v>
      </c>
      <c r="K69" s="87">
        <v>224000</v>
      </c>
      <c r="L69" s="87">
        <v>283000</v>
      </c>
      <c r="M69" s="87">
        <f t="shared" si="45"/>
        <v>112000</v>
      </c>
      <c r="N69" s="89">
        <f>59000*2+49000</f>
        <v>167000</v>
      </c>
      <c r="P69" s="86">
        <v>207000</v>
      </c>
      <c r="Q69" s="87">
        <v>224000</v>
      </c>
      <c r="R69" s="89">
        <v>283000</v>
      </c>
      <c r="S69" s="1"/>
      <c r="T69" s="86">
        <v>187000</v>
      </c>
      <c r="U69" s="90">
        <f t="shared" si="52"/>
        <v>9.661835748792269E-2</v>
      </c>
      <c r="V69" s="91">
        <v>204000</v>
      </c>
      <c r="W69" s="92">
        <f t="shared" si="53"/>
        <v>8.9285714285714302E-2</v>
      </c>
      <c r="X69" s="93">
        <v>234000</v>
      </c>
      <c r="Y69" s="94">
        <f t="shared" si="54"/>
        <v>0.17314487632508835</v>
      </c>
      <c r="Z69" s="91">
        <f t="shared" si="50"/>
        <v>65000</v>
      </c>
      <c r="AA69" s="95">
        <f t="shared" si="55"/>
        <v>0.4196428571428571</v>
      </c>
      <c r="AB69" s="93">
        <f t="shared" si="51"/>
        <v>65000</v>
      </c>
      <c r="AC69" s="96">
        <f t="shared" si="56"/>
        <v>0.61077844311377238</v>
      </c>
      <c r="AD69" s="55"/>
      <c r="AE69" s="121">
        <f t="shared" si="14"/>
        <v>317000</v>
      </c>
      <c r="AF69" s="98">
        <f t="shared" si="15"/>
        <v>334000</v>
      </c>
      <c r="AG69" s="99">
        <f t="shared" si="16"/>
        <v>364000</v>
      </c>
      <c r="AH69" s="100">
        <f t="shared" si="17"/>
        <v>40040</v>
      </c>
      <c r="AI69" s="101">
        <f t="shared" si="18"/>
        <v>323960</v>
      </c>
      <c r="AJ69" s="39">
        <f t="shared" si="46"/>
        <v>-47000</v>
      </c>
      <c r="AK69" s="39">
        <f t="shared" si="47"/>
        <v>-30000</v>
      </c>
      <c r="AP69" s="38" t="e">
        <f>J69+M69+N69+#REF!</f>
        <v>#REF!</v>
      </c>
      <c r="AQ69" s="38">
        <f t="shared" si="48"/>
        <v>317000</v>
      </c>
      <c r="AR69" s="39" t="e">
        <f t="shared" si="11"/>
        <v>#REF!</v>
      </c>
    </row>
    <row r="70" spans="2:44" s="39" customFormat="1" ht="15" customHeight="1">
      <c r="B70" s="286"/>
      <c r="C70" s="287"/>
      <c r="D70" s="283"/>
      <c r="E70" s="280"/>
      <c r="F70" s="283"/>
      <c r="G70" s="280"/>
      <c r="H70" s="280"/>
      <c r="I70" s="69" t="s">
        <v>58</v>
      </c>
      <c r="J70" s="70">
        <v>230000</v>
      </c>
      <c r="K70" s="71">
        <v>244000</v>
      </c>
      <c r="L70" s="71">
        <v>333000</v>
      </c>
      <c r="M70" s="71">
        <f t="shared" si="45"/>
        <v>112000</v>
      </c>
      <c r="N70" s="73">
        <f t="shared" si="49"/>
        <v>167000</v>
      </c>
      <c r="P70" s="70">
        <v>230000</v>
      </c>
      <c r="Q70" s="71">
        <v>244000</v>
      </c>
      <c r="R70" s="73">
        <v>333000</v>
      </c>
      <c r="S70" s="1"/>
      <c r="T70" s="70">
        <v>230000</v>
      </c>
      <c r="U70" s="74">
        <f t="shared" si="52"/>
        <v>0</v>
      </c>
      <c r="V70" s="75">
        <v>244000</v>
      </c>
      <c r="W70" s="76">
        <f t="shared" si="53"/>
        <v>0</v>
      </c>
      <c r="X70" s="77">
        <v>284000</v>
      </c>
      <c r="Y70" s="78">
        <f t="shared" si="54"/>
        <v>0.14714714714714716</v>
      </c>
      <c r="Z70" s="75">
        <f t="shared" si="50"/>
        <v>65000</v>
      </c>
      <c r="AA70" s="79">
        <f t="shared" si="55"/>
        <v>0.4196428571428571</v>
      </c>
      <c r="AB70" s="77">
        <f t="shared" si="51"/>
        <v>65000</v>
      </c>
      <c r="AC70" s="80">
        <f t="shared" si="56"/>
        <v>0.61077844311377238</v>
      </c>
      <c r="AD70" s="55"/>
      <c r="AE70" s="120">
        <f t="shared" si="14"/>
        <v>360000</v>
      </c>
      <c r="AF70" s="82">
        <f t="shared" si="15"/>
        <v>374000</v>
      </c>
      <c r="AG70" s="83">
        <f t="shared" si="16"/>
        <v>414000</v>
      </c>
      <c r="AH70" s="84">
        <f t="shared" si="17"/>
        <v>45540</v>
      </c>
      <c r="AI70" s="85">
        <f t="shared" si="18"/>
        <v>368460</v>
      </c>
      <c r="AJ70" s="39">
        <f t="shared" si="46"/>
        <v>-54000</v>
      </c>
      <c r="AK70" s="39">
        <f t="shared" si="47"/>
        <v>-40000</v>
      </c>
      <c r="AP70" s="38" t="e">
        <f>J70+M70+N70+#REF!</f>
        <v>#REF!</v>
      </c>
      <c r="AQ70" s="38">
        <f t="shared" si="48"/>
        <v>360000</v>
      </c>
      <c r="AR70" s="39" t="e">
        <f t="shared" ref="AR70:AR72" si="57">1-(AQ70/AP70)</f>
        <v>#REF!</v>
      </c>
    </row>
    <row r="71" spans="2:44" s="39" customFormat="1" ht="15" customHeight="1">
      <c r="B71" s="286"/>
      <c r="C71" s="287"/>
      <c r="D71" s="283"/>
      <c r="E71" s="280"/>
      <c r="F71" s="283"/>
      <c r="G71" s="280"/>
      <c r="H71" s="280"/>
      <c r="I71" s="102" t="s">
        <v>59</v>
      </c>
      <c r="J71" s="123">
        <v>288000</v>
      </c>
      <c r="K71" s="124">
        <v>303000</v>
      </c>
      <c r="L71" s="124">
        <v>440000</v>
      </c>
      <c r="M71" s="124">
        <f t="shared" si="45"/>
        <v>112000</v>
      </c>
      <c r="N71" s="126">
        <f>64000*2+54000</f>
        <v>182000</v>
      </c>
      <c r="P71" s="123">
        <v>288000</v>
      </c>
      <c r="Q71" s="124">
        <v>303000</v>
      </c>
      <c r="R71" s="126">
        <v>440000</v>
      </c>
      <c r="S71" s="1"/>
      <c r="T71" s="123">
        <v>288000</v>
      </c>
      <c r="U71" s="127">
        <f t="shared" si="52"/>
        <v>0</v>
      </c>
      <c r="V71" s="128">
        <v>303000</v>
      </c>
      <c r="W71" s="129">
        <f t="shared" si="53"/>
        <v>0</v>
      </c>
      <c r="X71" s="130">
        <v>440000</v>
      </c>
      <c r="Y71" s="131">
        <f t="shared" si="54"/>
        <v>0</v>
      </c>
      <c r="Z71" s="128">
        <f t="shared" si="50"/>
        <v>65000</v>
      </c>
      <c r="AA71" s="132">
        <f t="shared" si="55"/>
        <v>0.4196428571428571</v>
      </c>
      <c r="AB71" s="130">
        <f t="shared" si="51"/>
        <v>65000</v>
      </c>
      <c r="AC71" s="133">
        <f t="shared" si="56"/>
        <v>0.64285714285714279</v>
      </c>
      <c r="AD71" s="55"/>
      <c r="AE71" s="134">
        <f t="shared" si="14"/>
        <v>418000</v>
      </c>
      <c r="AF71" s="135">
        <f t="shared" si="15"/>
        <v>433000</v>
      </c>
      <c r="AG71" s="136">
        <f t="shared" si="16"/>
        <v>570000</v>
      </c>
      <c r="AH71" s="137">
        <f t="shared" si="17"/>
        <v>62700</v>
      </c>
      <c r="AI71" s="138">
        <f t="shared" si="18"/>
        <v>507300</v>
      </c>
      <c r="AJ71" s="39">
        <f t="shared" si="46"/>
        <v>-152000</v>
      </c>
      <c r="AK71" s="39">
        <f t="shared" si="47"/>
        <v>-137000</v>
      </c>
      <c r="AP71" s="38" t="e">
        <f>J71+M71+N71+#REF!</f>
        <v>#REF!</v>
      </c>
      <c r="AQ71" s="38">
        <f t="shared" si="48"/>
        <v>418000</v>
      </c>
      <c r="AR71" s="39" t="e">
        <f t="shared" si="57"/>
        <v>#REF!</v>
      </c>
    </row>
    <row r="72" spans="2:44" s="39" customFormat="1" ht="12" thickBot="1">
      <c r="B72" s="288"/>
      <c r="C72" s="289"/>
      <c r="D72" s="294"/>
      <c r="E72" s="281"/>
      <c r="F72" s="294"/>
      <c r="G72" s="281"/>
      <c r="H72" s="281"/>
      <c r="I72" s="177" t="s">
        <v>64</v>
      </c>
      <c r="J72" s="140">
        <v>332000</v>
      </c>
      <c r="K72" s="141">
        <v>346000</v>
      </c>
      <c r="L72" s="141">
        <v>480000</v>
      </c>
      <c r="M72" s="141">
        <f t="shared" si="45"/>
        <v>112000</v>
      </c>
      <c r="N72" s="143">
        <f>64000*2+54000</f>
        <v>182000</v>
      </c>
      <c r="P72" s="140">
        <v>332000</v>
      </c>
      <c r="Q72" s="141">
        <v>346000</v>
      </c>
      <c r="R72" s="143">
        <v>480000</v>
      </c>
      <c r="S72" s="55"/>
      <c r="T72" s="140">
        <v>312000</v>
      </c>
      <c r="U72" s="144">
        <f t="shared" si="52"/>
        <v>6.0240963855421659E-2</v>
      </c>
      <c r="V72" s="145">
        <v>326000</v>
      </c>
      <c r="W72" s="146">
        <f t="shared" si="53"/>
        <v>5.7803468208092457E-2</v>
      </c>
      <c r="X72" s="147">
        <v>426000</v>
      </c>
      <c r="Y72" s="148">
        <f t="shared" si="54"/>
        <v>0.11250000000000004</v>
      </c>
      <c r="Z72" s="145">
        <f t="shared" si="50"/>
        <v>65000</v>
      </c>
      <c r="AA72" s="149">
        <f t="shared" si="55"/>
        <v>0.4196428571428571</v>
      </c>
      <c r="AB72" s="147">
        <f t="shared" si="51"/>
        <v>65000</v>
      </c>
      <c r="AC72" s="150">
        <f t="shared" si="56"/>
        <v>0.64285714285714279</v>
      </c>
      <c r="AD72" s="55"/>
      <c r="AE72" s="151">
        <f t="shared" si="14"/>
        <v>442000</v>
      </c>
      <c r="AF72" s="178">
        <f t="shared" si="15"/>
        <v>456000</v>
      </c>
      <c r="AG72" s="153">
        <f t="shared" si="16"/>
        <v>556000</v>
      </c>
      <c r="AH72" s="179">
        <f t="shared" si="17"/>
        <v>61160</v>
      </c>
      <c r="AI72" s="180">
        <f t="shared" si="18"/>
        <v>494840</v>
      </c>
      <c r="AJ72" s="39">
        <f t="shared" si="46"/>
        <v>-114000</v>
      </c>
      <c r="AK72" s="39">
        <f t="shared" si="47"/>
        <v>-100000</v>
      </c>
      <c r="AP72" s="38" t="e">
        <f>J72+M72+N72+#REF!</f>
        <v>#REF!</v>
      </c>
      <c r="AQ72" s="38">
        <f t="shared" si="48"/>
        <v>442000</v>
      </c>
      <c r="AR72" s="39" t="e">
        <f t="shared" si="57"/>
        <v>#REF!</v>
      </c>
    </row>
    <row r="73" spans="2:44" s="39" customFormat="1" ht="27" customHeight="1">
      <c r="B73" s="339" t="s">
        <v>161</v>
      </c>
      <c r="C73" s="340"/>
      <c r="D73" s="290" t="s">
        <v>29</v>
      </c>
      <c r="E73" s="291"/>
      <c r="F73" s="341" t="s">
        <v>17</v>
      </c>
      <c r="G73" s="325"/>
      <c r="H73" s="336" t="s">
        <v>18</v>
      </c>
      <c r="I73" s="181" t="s">
        <v>140</v>
      </c>
      <c r="J73" s="51">
        <v>210000</v>
      </c>
      <c r="K73" s="52">
        <v>218000</v>
      </c>
      <c r="L73" s="52">
        <v>321000</v>
      </c>
      <c r="M73" s="52">
        <f t="shared" ref="M73:M117" si="58">43000*2+26000</f>
        <v>112000</v>
      </c>
      <c r="N73" s="54">
        <f>59000*2+49000</f>
        <v>167000</v>
      </c>
      <c r="P73" s="51">
        <v>210000</v>
      </c>
      <c r="Q73" s="52">
        <v>218000</v>
      </c>
      <c r="R73" s="54">
        <v>321000</v>
      </c>
      <c r="S73" s="55"/>
      <c r="T73" s="51">
        <v>210000</v>
      </c>
      <c r="U73" s="56">
        <f t="shared" si="52"/>
        <v>0</v>
      </c>
      <c r="V73" s="57">
        <v>218000</v>
      </c>
      <c r="W73" s="58">
        <f t="shared" si="53"/>
        <v>0</v>
      </c>
      <c r="X73" s="59">
        <v>321000</v>
      </c>
      <c r="Y73" s="60">
        <f t="shared" si="54"/>
        <v>0</v>
      </c>
      <c r="Z73" s="57">
        <f t="shared" ref="Z73:Z117" si="59">25000*2+15000</f>
        <v>65000</v>
      </c>
      <c r="AA73" s="61">
        <f t="shared" si="55"/>
        <v>0.4196428571428571</v>
      </c>
      <c r="AB73" s="52">
        <f t="shared" ref="AB73:AB117" si="60">25000*2+15000</f>
        <v>65000</v>
      </c>
      <c r="AC73" s="62">
        <f t="shared" si="56"/>
        <v>0.61077844311377238</v>
      </c>
      <c r="AE73" s="63">
        <f t="shared" si="14"/>
        <v>340000</v>
      </c>
      <c r="AF73" s="64">
        <f t="shared" si="15"/>
        <v>348000</v>
      </c>
      <c r="AG73" s="65">
        <f t="shared" si="16"/>
        <v>451000</v>
      </c>
      <c r="AH73" s="66">
        <f t="shared" si="17"/>
        <v>49610</v>
      </c>
      <c r="AI73" s="67">
        <f t="shared" si="18"/>
        <v>401390</v>
      </c>
      <c r="AJ73" s="39">
        <f t="shared" ref="AJ73:AJ116" si="61">AE73-AG73</f>
        <v>-111000</v>
      </c>
      <c r="AK73" s="39">
        <f t="shared" ref="AK73:AK116" si="62">AF73-AG73</f>
        <v>-103000</v>
      </c>
      <c r="AP73" s="38" t="e">
        <f>J73+M73+N73+#REF!</f>
        <v>#REF!</v>
      </c>
      <c r="AQ73" s="38">
        <f t="shared" ref="AQ73:AQ116" si="63">AE73</f>
        <v>340000</v>
      </c>
      <c r="AR73" s="39" t="e">
        <f t="shared" ref="AR73:AR116" si="64">1-(AQ73/AP73)</f>
        <v>#REF!</v>
      </c>
    </row>
    <row r="74" spans="2:44" s="39" customFormat="1" ht="27" customHeight="1">
      <c r="B74" s="286"/>
      <c r="C74" s="287"/>
      <c r="D74" s="283"/>
      <c r="E74" s="280"/>
      <c r="F74" s="283"/>
      <c r="G74" s="280"/>
      <c r="H74" s="296"/>
      <c r="I74" s="182" t="s">
        <v>141</v>
      </c>
      <c r="J74" s="70">
        <v>210000</v>
      </c>
      <c r="K74" s="71">
        <v>218000</v>
      </c>
      <c r="L74" s="71">
        <v>321000</v>
      </c>
      <c r="M74" s="71">
        <f t="shared" si="58"/>
        <v>112000</v>
      </c>
      <c r="N74" s="73">
        <f t="shared" ref="N74:N114" si="65">59000*2+49000</f>
        <v>167000</v>
      </c>
      <c r="P74" s="70">
        <v>210000</v>
      </c>
      <c r="Q74" s="71">
        <v>218000</v>
      </c>
      <c r="R74" s="73">
        <v>321000</v>
      </c>
      <c r="S74" s="55"/>
      <c r="T74" s="70">
        <v>210000</v>
      </c>
      <c r="U74" s="74">
        <f t="shared" ref="U74:U105" si="66">1-(T74/J74)</f>
        <v>0</v>
      </c>
      <c r="V74" s="75">
        <v>218000</v>
      </c>
      <c r="W74" s="76">
        <f t="shared" ref="W74:W105" si="67">1-(V74/K74)</f>
        <v>0</v>
      </c>
      <c r="X74" s="77">
        <v>321000</v>
      </c>
      <c r="Y74" s="78">
        <f t="shared" ref="Y74:Y105" si="68">1-(X74/L74)</f>
        <v>0</v>
      </c>
      <c r="Z74" s="75">
        <f t="shared" si="59"/>
        <v>65000</v>
      </c>
      <c r="AA74" s="79">
        <f t="shared" ref="AA74:AA105" si="69">1-(Z74/M74)</f>
        <v>0.4196428571428571</v>
      </c>
      <c r="AB74" s="71">
        <f t="shared" si="60"/>
        <v>65000</v>
      </c>
      <c r="AC74" s="80">
        <f t="shared" ref="AC74:AC105" si="70">1-(AB74/N74)</f>
        <v>0.61077844311377238</v>
      </c>
      <c r="AE74" s="81">
        <f t="shared" si="14"/>
        <v>340000</v>
      </c>
      <c r="AF74" s="82">
        <f t="shared" si="15"/>
        <v>348000</v>
      </c>
      <c r="AG74" s="83">
        <f t="shared" si="16"/>
        <v>451000</v>
      </c>
      <c r="AH74" s="84">
        <f t="shared" si="17"/>
        <v>49610</v>
      </c>
      <c r="AI74" s="85">
        <f t="shared" si="18"/>
        <v>401390</v>
      </c>
      <c r="AJ74" s="39">
        <f t="shared" si="61"/>
        <v>-111000</v>
      </c>
      <c r="AK74" s="39">
        <f t="shared" si="62"/>
        <v>-103000</v>
      </c>
      <c r="AP74" s="38" t="e">
        <f>J74+M74+N74+#REF!</f>
        <v>#REF!</v>
      </c>
      <c r="AQ74" s="38">
        <f t="shared" si="63"/>
        <v>340000</v>
      </c>
      <c r="AR74" s="39" t="e">
        <f t="shared" si="64"/>
        <v>#REF!</v>
      </c>
    </row>
    <row r="75" spans="2:44" s="39" customFormat="1" ht="27" customHeight="1">
      <c r="B75" s="286"/>
      <c r="C75" s="287"/>
      <c r="D75" s="283"/>
      <c r="E75" s="280"/>
      <c r="F75" s="283"/>
      <c r="G75" s="280"/>
      <c r="H75" s="296"/>
      <c r="I75" s="182" t="s">
        <v>142</v>
      </c>
      <c r="J75" s="70">
        <v>235000</v>
      </c>
      <c r="K75" s="71">
        <v>243000</v>
      </c>
      <c r="L75" s="71">
        <v>377000</v>
      </c>
      <c r="M75" s="71">
        <f t="shared" si="58"/>
        <v>112000</v>
      </c>
      <c r="N75" s="73">
        <f>64000*2+54000</f>
        <v>182000</v>
      </c>
      <c r="P75" s="70">
        <v>235000</v>
      </c>
      <c r="Q75" s="71">
        <v>243000</v>
      </c>
      <c r="R75" s="73">
        <v>377000</v>
      </c>
      <c r="S75" s="55"/>
      <c r="T75" s="70">
        <v>235000</v>
      </c>
      <c r="U75" s="74">
        <f t="shared" si="66"/>
        <v>0</v>
      </c>
      <c r="V75" s="75">
        <v>243000</v>
      </c>
      <c r="W75" s="76">
        <f t="shared" si="67"/>
        <v>0</v>
      </c>
      <c r="X75" s="77">
        <v>377000</v>
      </c>
      <c r="Y75" s="78">
        <f t="shared" si="68"/>
        <v>0</v>
      </c>
      <c r="Z75" s="75">
        <f t="shared" si="59"/>
        <v>65000</v>
      </c>
      <c r="AA75" s="79">
        <f t="shared" si="69"/>
        <v>0.4196428571428571</v>
      </c>
      <c r="AB75" s="71">
        <f t="shared" si="60"/>
        <v>65000</v>
      </c>
      <c r="AC75" s="80">
        <f t="shared" si="70"/>
        <v>0.64285714285714279</v>
      </c>
      <c r="AE75" s="81">
        <f t="shared" ref="AE75:AE117" si="71">T75+Z75+AB75</f>
        <v>365000</v>
      </c>
      <c r="AF75" s="82">
        <f t="shared" ref="AF75:AF117" si="72">V75+Z75+AB75</f>
        <v>373000</v>
      </c>
      <c r="AG75" s="83">
        <f t="shared" ref="AG75:AG117" si="73">X75+Z75+AB75</f>
        <v>507000</v>
      </c>
      <c r="AH75" s="84">
        <f t="shared" ref="AH75:AH117" si="74">AG75*11%</f>
        <v>55770</v>
      </c>
      <c r="AI75" s="85">
        <f t="shared" ref="AI75:AI117" si="75">AG75-AH75</f>
        <v>451230</v>
      </c>
      <c r="AJ75" s="39">
        <f t="shared" si="61"/>
        <v>-142000</v>
      </c>
      <c r="AK75" s="39">
        <f t="shared" si="62"/>
        <v>-134000</v>
      </c>
      <c r="AP75" s="38" t="e">
        <f>J75+M75+N75+#REF!</f>
        <v>#REF!</v>
      </c>
      <c r="AQ75" s="38">
        <f t="shared" si="63"/>
        <v>365000</v>
      </c>
      <c r="AR75" s="39" t="e">
        <f t="shared" si="64"/>
        <v>#REF!</v>
      </c>
    </row>
    <row r="76" spans="2:44" s="39" customFormat="1" ht="27" customHeight="1">
      <c r="B76" s="286"/>
      <c r="C76" s="287"/>
      <c r="D76" s="283"/>
      <c r="E76" s="280"/>
      <c r="F76" s="283"/>
      <c r="G76" s="280"/>
      <c r="H76" s="296"/>
      <c r="I76" s="156" t="s">
        <v>112</v>
      </c>
      <c r="J76" s="123">
        <v>235000</v>
      </c>
      <c r="K76" s="124">
        <v>243000</v>
      </c>
      <c r="L76" s="124">
        <v>377000</v>
      </c>
      <c r="M76" s="124">
        <f t="shared" si="58"/>
        <v>112000</v>
      </c>
      <c r="N76" s="126">
        <f>64000*2+54000</f>
        <v>182000</v>
      </c>
      <c r="P76" s="123">
        <v>235000</v>
      </c>
      <c r="Q76" s="124">
        <v>243000</v>
      </c>
      <c r="R76" s="126">
        <v>377000</v>
      </c>
      <c r="S76" s="55"/>
      <c r="T76" s="123">
        <v>235000</v>
      </c>
      <c r="U76" s="127">
        <f t="shared" si="66"/>
        <v>0</v>
      </c>
      <c r="V76" s="128">
        <v>243000</v>
      </c>
      <c r="W76" s="129">
        <f t="shared" si="67"/>
        <v>0</v>
      </c>
      <c r="X76" s="130">
        <v>377000</v>
      </c>
      <c r="Y76" s="131">
        <f t="shared" si="68"/>
        <v>0</v>
      </c>
      <c r="Z76" s="128">
        <f t="shared" si="59"/>
        <v>65000</v>
      </c>
      <c r="AA76" s="132">
        <f t="shared" si="69"/>
        <v>0.4196428571428571</v>
      </c>
      <c r="AB76" s="124">
        <f t="shared" si="60"/>
        <v>65000</v>
      </c>
      <c r="AC76" s="133">
        <f t="shared" si="70"/>
        <v>0.64285714285714279</v>
      </c>
      <c r="AE76" s="81">
        <f t="shared" si="71"/>
        <v>365000</v>
      </c>
      <c r="AF76" s="82">
        <f t="shared" si="72"/>
        <v>373000</v>
      </c>
      <c r="AG76" s="136">
        <f t="shared" si="73"/>
        <v>507000</v>
      </c>
      <c r="AH76" s="84">
        <f t="shared" si="74"/>
        <v>55770</v>
      </c>
      <c r="AI76" s="85">
        <f t="shared" si="75"/>
        <v>451230</v>
      </c>
      <c r="AJ76" s="39">
        <f t="shared" si="61"/>
        <v>-142000</v>
      </c>
      <c r="AK76" s="39">
        <f t="shared" si="62"/>
        <v>-134000</v>
      </c>
      <c r="AP76" s="38" t="e">
        <f>J76+M76+N76+#REF!</f>
        <v>#REF!</v>
      </c>
      <c r="AQ76" s="38">
        <f t="shared" si="63"/>
        <v>365000</v>
      </c>
      <c r="AR76" s="39" t="e">
        <f t="shared" si="64"/>
        <v>#REF!</v>
      </c>
    </row>
    <row r="77" spans="2:44" s="39" customFormat="1" ht="27" customHeight="1">
      <c r="B77" s="286"/>
      <c r="C77" s="287"/>
      <c r="D77" s="283"/>
      <c r="E77" s="280"/>
      <c r="F77" s="342"/>
      <c r="G77" s="343"/>
      <c r="H77" s="337"/>
      <c r="I77" s="156" t="s">
        <v>143</v>
      </c>
      <c r="J77" s="123">
        <v>256000</v>
      </c>
      <c r="K77" s="124">
        <v>265000</v>
      </c>
      <c r="L77" s="124">
        <v>408000</v>
      </c>
      <c r="M77" s="124">
        <f t="shared" si="58"/>
        <v>112000</v>
      </c>
      <c r="N77" s="126">
        <f>64000*2+54000</f>
        <v>182000</v>
      </c>
      <c r="P77" s="123">
        <v>256000</v>
      </c>
      <c r="Q77" s="124">
        <v>265000</v>
      </c>
      <c r="R77" s="126">
        <v>408000</v>
      </c>
      <c r="S77" s="55"/>
      <c r="T77" s="123">
        <v>256000</v>
      </c>
      <c r="U77" s="127">
        <f t="shared" si="66"/>
        <v>0</v>
      </c>
      <c r="V77" s="128">
        <v>265000</v>
      </c>
      <c r="W77" s="129">
        <f t="shared" si="67"/>
        <v>0</v>
      </c>
      <c r="X77" s="130">
        <v>408000</v>
      </c>
      <c r="Y77" s="131">
        <f t="shared" si="68"/>
        <v>0</v>
      </c>
      <c r="Z77" s="128">
        <f t="shared" si="59"/>
        <v>65000</v>
      </c>
      <c r="AA77" s="132">
        <f t="shared" si="69"/>
        <v>0.4196428571428571</v>
      </c>
      <c r="AB77" s="124">
        <f t="shared" si="60"/>
        <v>65000</v>
      </c>
      <c r="AC77" s="133">
        <f t="shared" si="70"/>
        <v>0.64285714285714279</v>
      </c>
      <c r="AE77" s="81">
        <f t="shared" si="71"/>
        <v>386000</v>
      </c>
      <c r="AF77" s="82">
        <f t="shared" si="72"/>
        <v>395000</v>
      </c>
      <c r="AG77" s="136">
        <f t="shared" si="73"/>
        <v>538000</v>
      </c>
      <c r="AH77" s="84">
        <f t="shared" si="74"/>
        <v>59180</v>
      </c>
      <c r="AI77" s="85">
        <f t="shared" si="75"/>
        <v>478820</v>
      </c>
      <c r="AP77" s="38"/>
      <c r="AQ77" s="38"/>
    </row>
    <row r="78" spans="2:44" s="39" customFormat="1" ht="27" customHeight="1">
      <c r="B78" s="286"/>
      <c r="C78" s="287"/>
      <c r="D78" s="283"/>
      <c r="E78" s="280"/>
      <c r="F78" s="282" t="s">
        <v>139</v>
      </c>
      <c r="G78" s="279"/>
      <c r="H78" s="297" t="s">
        <v>18</v>
      </c>
      <c r="I78" s="182" t="s">
        <v>144</v>
      </c>
      <c r="J78" s="86">
        <v>237000</v>
      </c>
      <c r="K78" s="87">
        <v>247000</v>
      </c>
      <c r="L78" s="87">
        <v>358000</v>
      </c>
      <c r="M78" s="87">
        <f t="shared" si="58"/>
        <v>112000</v>
      </c>
      <c r="N78" s="89">
        <f>59000*2+49000</f>
        <v>167000</v>
      </c>
      <c r="P78" s="86">
        <v>237000</v>
      </c>
      <c r="Q78" s="87">
        <v>247000</v>
      </c>
      <c r="R78" s="89">
        <v>358000</v>
      </c>
      <c r="S78" s="55"/>
      <c r="T78" s="86">
        <v>217000</v>
      </c>
      <c r="U78" s="90">
        <f t="shared" si="66"/>
        <v>8.4388185654008407E-2</v>
      </c>
      <c r="V78" s="91">
        <v>227000</v>
      </c>
      <c r="W78" s="92">
        <f t="shared" si="67"/>
        <v>8.0971659919028327E-2</v>
      </c>
      <c r="X78" s="93">
        <v>318000</v>
      </c>
      <c r="Y78" s="94">
        <f t="shared" si="68"/>
        <v>0.11173184357541899</v>
      </c>
      <c r="Z78" s="91">
        <f t="shared" si="59"/>
        <v>65000</v>
      </c>
      <c r="AA78" s="95">
        <f t="shared" si="69"/>
        <v>0.4196428571428571</v>
      </c>
      <c r="AB78" s="87">
        <f t="shared" si="60"/>
        <v>65000</v>
      </c>
      <c r="AC78" s="96">
        <f t="shared" si="70"/>
        <v>0.61077844311377238</v>
      </c>
      <c r="AE78" s="97">
        <f t="shared" si="71"/>
        <v>347000</v>
      </c>
      <c r="AF78" s="98">
        <f t="shared" si="72"/>
        <v>357000</v>
      </c>
      <c r="AG78" s="99">
        <f t="shared" si="73"/>
        <v>448000</v>
      </c>
      <c r="AH78" s="100">
        <f t="shared" si="74"/>
        <v>49280</v>
      </c>
      <c r="AI78" s="101">
        <f t="shared" si="75"/>
        <v>398720</v>
      </c>
      <c r="AJ78" s="39">
        <f t="shared" si="61"/>
        <v>-101000</v>
      </c>
      <c r="AK78" s="39">
        <f t="shared" si="62"/>
        <v>-91000</v>
      </c>
      <c r="AP78" s="38" t="e">
        <f>J78+M78+N78+#REF!</f>
        <v>#REF!</v>
      </c>
      <c r="AQ78" s="38">
        <f t="shared" si="63"/>
        <v>347000</v>
      </c>
      <c r="AR78" s="39" t="e">
        <f t="shared" si="64"/>
        <v>#REF!</v>
      </c>
    </row>
    <row r="79" spans="2:44" s="39" customFormat="1" ht="27" customHeight="1">
      <c r="B79" s="286"/>
      <c r="C79" s="287"/>
      <c r="D79" s="283"/>
      <c r="E79" s="280"/>
      <c r="F79" s="283"/>
      <c r="G79" s="280"/>
      <c r="H79" s="296"/>
      <c r="I79" s="182" t="s">
        <v>145</v>
      </c>
      <c r="J79" s="70">
        <v>237000</v>
      </c>
      <c r="K79" s="71">
        <v>247000</v>
      </c>
      <c r="L79" s="71">
        <v>358000</v>
      </c>
      <c r="M79" s="71">
        <f t="shared" si="58"/>
        <v>112000</v>
      </c>
      <c r="N79" s="73">
        <f t="shared" si="65"/>
        <v>167000</v>
      </c>
      <c r="P79" s="70">
        <v>237000</v>
      </c>
      <c r="Q79" s="71">
        <v>247000</v>
      </c>
      <c r="R79" s="73">
        <v>358000</v>
      </c>
      <c r="S79" s="55"/>
      <c r="T79" s="70">
        <v>227000</v>
      </c>
      <c r="U79" s="74">
        <f t="shared" si="66"/>
        <v>4.2194092827004259E-2</v>
      </c>
      <c r="V79" s="75">
        <v>237000</v>
      </c>
      <c r="W79" s="76">
        <f t="shared" si="67"/>
        <v>4.0485829959514219E-2</v>
      </c>
      <c r="X79" s="77">
        <v>338000</v>
      </c>
      <c r="Y79" s="78">
        <f t="shared" si="68"/>
        <v>5.5865921787709549E-2</v>
      </c>
      <c r="Z79" s="75">
        <f t="shared" si="59"/>
        <v>65000</v>
      </c>
      <c r="AA79" s="79">
        <f t="shared" si="69"/>
        <v>0.4196428571428571</v>
      </c>
      <c r="AB79" s="71">
        <f t="shared" si="60"/>
        <v>65000</v>
      </c>
      <c r="AC79" s="80">
        <f t="shared" si="70"/>
        <v>0.61077844311377238</v>
      </c>
      <c r="AE79" s="81">
        <f t="shared" si="71"/>
        <v>357000</v>
      </c>
      <c r="AF79" s="82">
        <f t="shared" si="72"/>
        <v>367000</v>
      </c>
      <c r="AG79" s="83">
        <f t="shared" si="73"/>
        <v>468000</v>
      </c>
      <c r="AH79" s="84">
        <f t="shared" si="74"/>
        <v>51480</v>
      </c>
      <c r="AI79" s="85">
        <f t="shared" si="75"/>
        <v>416520</v>
      </c>
      <c r="AJ79" s="39">
        <f t="shared" si="61"/>
        <v>-111000</v>
      </c>
      <c r="AK79" s="39">
        <f t="shared" si="62"/>
        <v>-101000</v>
      </c>
      <c r="AP79" s="38" t="e">
        <f>J79+M79+N79+#REF!</f>
        <v>#REF!</v>
      </c>
      <c r="AQ79" s="38">
        <f t="shared" si="63"/>
        <v>357000</v>
      </c>
      <c r="AR79" s="39" t="e">
        <f t="shared" si="64"/>
        <v>#REF!</v>
      </c>
    </row>
    <row r="80" spans="2:44" s="39" customFormat="1" ht="27" customHeight="1">
      <c r="B80" s="286"/>
      <c r="C80" s="287"/>
      <c r="D80" s="283"/>
      <c r="E80" s="280"/>
      <c r="F80" s="283"/>
      <c r="G80" s="280"/>
      <c r="H80" s="296"/>
      <c r="I80" s="182" t="s">
        <v>142</v>
      </c>
      <c r="J80" s="70">
        <v>271000</v>
      </c>
      <c r="K80" s="71">
        <v>279000</v>
      </c>
      <c r="L80" s="71">
        <v>420000</v>
      </c>
      <c r="M80" s="71">
        <f t="shared" si="58"/>
        <v>112000</v>
      </c>
      <c r="N80" s="73">
        <f>64000*2+54000</f>
        <v>182000</v>
      </c>
      <c r="P80" s="70">
        <v>271000</v>
      </c>
      <c r="Q80" s="71">
        <v>279000</v>
      </c>
      <c r="R80" s="73">
        <v>420000</v>
      </c>
      <c r="S80" s="55"/>
      <c r="T80" s="70">
        <v>271000</v>
      </c>
      <c r="U80" s="74">
        <f t="shared" si="66"/>
        <v>0</v>
      </c>
      <c r="V80" s="75">
        <v>279000</v>
      </c>
      <c r="W80" s="76">
        <f t="shared" si="67"/>
        <v>0</v>
      </c>
      <c r="X80" s="77">
        <v>420000</v>
      </c>
      <c r="Y80" s="78">
        <f t="shared" si="68"/>
        <v>0</v>
      </c>
      <c r="Z80" s="75">
        <f t="shared" si="59"/>
        <v>65000</v>
      </c>
      <c r="AA80" s="79">
        <f t="shared" si="69"/>
        <v>0.4196428571428571</v>
      </c>
      <c r="AB80" s="71">
        <f t="shared" si="60"/>
        <v>65000</v>
      </c>
      <c r="AC80" s="80">
        <f t="shared" si="70"/>
        <v>0.64285714285714279</v>
      </c>
      <c r="AE80" s="81">
        <f t="shared" si="71"/>
        <v>401000</v>
      </c>
      <c r="AF80" s="82">
        <f t="shared" si="72"/>
        <v>409000</v>
      </c>
      <c r="AG80" s="83">
        <f t="shared" si="73"/>
        <v>550000</v>
      </c>
      <c r="AH80" s="84">
        <f t="shared" si="74"/>
        <v>60500</v>
      </c>
      <c r="AI80" s="85">
        <f t="shared" si="75"/>
        <v>489500</v>
      </c>
      <c r="AJ80" s="39">
        <f t="shared" si="61"/>
        <v>-149000</v>
      </c>
      <c r="AK80" s="39">
        <f t="shared" si="62"/>
        <v>-141000</v>
      </c>
      <c r="AP80" s="38" t="e">
        <f>J80+M80+N80+#REF!</f>
        <v>#REF!</v>
      </c>
      <c r="AQ80" s="38">
        <f t="shared" si="63"/>
        <v>401000</v>
      </c>
      <c r="AR80" s="39" t="e">
        <f t="shared" si="64"/>
        <v>#REF!</v>
      </c>
    </row>
    <row r="81" spans="2:44" s="39" customFormat="1" ht="27" customHeight="1">
      <c r="B81" s="286"/>
      <c r="C81" s="287"/>
      <c r="D81" s="283"/>
      <c r="E81" s="280"/>
      <c r="F81" s="283"/>
      <c r="G81" s="280"/>
      <c r="H81" s="296"/>
      <c r="I81" s="156" t="s">
        <v>112</v>
      </c>
      <c r="J81" s="123">
        <v>271000</v>
      </c>
      <c r="K81" s="124">
        <v>279000</v>
      </c>
      <c r="L81" s="124">
        <v>420000</v>
      </c>
      <c r="M81" s="124">
        <f t="shared" si="58"/>
        <v>112000</v>
      </c>
      <c r="N81" s="126">
        <f>64000*2+54000</f>
        <v>182000</v>
      </c>
      <c r="P81" s="123">
        <v>271000</v>
      </c>
      <c r="Q81" s="124">
        <v>279000</v>
      </c>
      <c r="R81" s="126">
        <v>420000</v>
      </c>
      <c r="S81" s="55"/>
      <c r="T81" s="123">
        <v>271000</v>
      </c>
      <c r="U81" s="127">
        <f t="shared" si="66"/>
        <v>0</v>
      </c>
      <c r="V81" s="128">
        <v>279000</v>
      </c>
      <c r="W81" s="129">
        <f t="shared" si="67"/>
        <v>0</v>
      </c>
      <c r="X81" s="130">
        <v>420000</v>
      </c>
      <c r="Y81" s="131">
        <f t="shared" si="68"/>
        <v>0</v>
      </c>
      <c r="Z81" s="128">
        <f t="shared" si="59"/>
        <v>65000</v>
      </c>
      <c r="AA81" s="132">
        <f t="shared" si="69"/>
        <v>0.4196428571428571</v>
      </c>
      <c r="AB81" s="124">
        <f t="shared" si="60"/>
        <v>65000</v>
      </c>
      <c r="AC81" s="133">
        <f t="shared" si="70"/>
        <v>0.64285714285714279</v>
      </c>
      <c r="AE81" s="81">
        <f t="shared" si="71"/>
        <v>401000</v>
      </c>
      <c r="AF81" s="82">
        <f t="shared" si="72"/>
        <v>409000</v>
      </c>
      <c r="AG81" s="136">
        <f t="shared" si="73"/>
        <v>550000</v>
      </c>
      <c r="AH81" s="84">
        <f t="shared" si="74"/>
        <v>60500</v>
      </c>
      <c r="AI81" s="85">
        <f t="shared" si="75"/>
        <v>489500</v>
      </c>
      <c r="AJ81" s="39">
        <f t="shared" si="61"/>
        <v>-149000</v>
      </c>
      <c r="AK81" s="39">
        <f t="shared" si="62"/>
        <v>-141000</v>
      </c>
      <c r="AP81" s="38" t="e">
        <f>J81+M81+N81+#REF!</f>
        <v>#REF!</v>
      </c>
      <c r="AQ81" s="38">
        <f t="shared" si="63"/>
        <v>401000</v>
      </c>
      <c r="AR81" s="39" t="e">
        <f t="shared" si="64"/>
        <v>#REF!</v>
      </c>
    </row>
    <row r="82" spans="2:44" s="39" customFormat="1" ht="27" customHeight="1">
      <c r="B82" s="286"/>
      <c r="C82" s="287"/>
      <c r="D82" s="283"/>
      <c r="E82" s="280"/>
      <c r="F82" s="283"/>
      <c r="G82" s="280"/>
      <c r="H82" s="337"/>
      <c r="I82" s="156" t="s">
        <v>92</v>
      </c>
      <c r="J82" s="123">
        <v>287000</v>
      </c>
      <c r="K82" s="124">
        <v>300000</v>
      </c>
      <c r="L82" s="124">
        <v>447000</v>
      </c>
      <c r="M82" s="124">
        <f t="shared" si="58"/>
        <v>112000</v>
      </c>
      <c r="N82" s="126">
        <f>64000*2+54000</f>
        <v>182000</v>
      </c>
      <c r="P82" s="123">
        <v>287000</v>
      </c>
      <c r="Q82" s="124">
        <v>300000</v>
      </c>
      <c r="R82" s="126">
        <v>447000</v>
      </c>
      <c r="S82" s="55"/>
      <c r="T82" s="123">
        <v>287000</v>
      </c>
      <c r="U82" s="127">
        <f t="shared" si="66"/>
        <v>0</v>
      </c>
      <c r="V82" s="128">
        <v>300000</v>
      </c>
      <c r="W82" s="129">
        <f t="shared" si="67"/>
        <v>0</v>
      </c>
      <c r="X82" s="130">
        <v>447000</v>
      </c>
      <c r="Y82" s="131">
        <f t="shared" si="68"/>
        <v>0</v>
      </c>
      <c r="Z82" s="128">
        <f t="shared" si="59"/>
        <v>65000</v>
      </c>
      <c r="AA82" s="132">
        <f t="shared" si="69"/>
        <v>0.4196428571428571</v>
      </c>
      <c r="AB82" s="124">
        <f t="shared" si="60"/>
        <v>65000</v>
      </c>
      <c r="AC82" s="133">
        <f t="shared" si="70"/>
        <v>0.64285714285714279</v>
      </c>
      <c r="AE82" s="81">
        <f t="shared" si="71"/>
        <v>417000</v>
      </c>
      <c r="AF82" s="82">
        <f t="shared" si="72"/>
        <v>430000</v>
      </c>
      <c r="AG82" s="136">
        <f t="shared" si="73"/>
        <v>577000</v>
      </c>
      <c r="AH82" s="84">
        <f t="shared" si="74"/>
        <v>63470</v>
      </c>
      <c r="AI82" s="85">
        <f t="shared" si="75"/>
        <v>513530</v>
      </c>
      <c r="AP82" s="38"/>
      <c r="AQ82" s="38"/>
    </row>
    <row r="83" spans="2:44" s="39" customFormat="1" ht="27" customHeight="1">
      <c r="B83" s="286"/>
      <c r="C83" s="287"/>
      <c r="D83" s="283"/>
      <c r="E83" s="280"/>
      <c r="F83" s="283"/>
      <c r="G83" s="280"/>
      <c r="H83" s="297" t="s">
        <v>25</v>
      </c>
      <c r="I83" s="182" t="s">
        <v>140</v>
      </c>
      <c r="J83" s="86">
        <v>302000</v>
      </c>
      <c r="K83" s="87">
        <v>312000</v>
      </c>
      <c r="L83" s="87">
        <v>421000</v>
      </c>
      <c r="M83" s="87">
        <f t="shared" si="58"/>
        <v>112000</v>
      </c>
      <c r="N83" s="89">
        <f>59000*2+49000</f>
        <v>167000</v>
      </c>
      <c r="P83" s="86">
        <v>302000</v>
      </c>
      <c r="Q83" s="87">
        <v>312000</v>
      </c>
      <c r="R83" s="89">
        <v>421000</v>
      </c>
      <c r="S83" s="55"/>
      <c r="T83" s="86">
        <v>302000</v>
      </c>
      <c r="U83" s="90">
        <f t="shared" si="66"/>
        <v>0</v>
      </c>
      <c r="V83" s="91">
        <v>312000</v>
      </c>
      <c r="W83" s="92">
        <f t="shared" si="67"/>
        <v>0</v>
      </c>
      <c r="X83" s="93">
        <v>421000</v>
      </c>
      <c r="Y83" s="94">
        <f t="shared" si="68"/>
        <v>0</v>
      </c>
      <c r="Z83" s="91">
        <f t="shared" si="59"/>
        <v>65000</v>
      </c>
      <c r="AA83" s="95">
        <f t="shared" si="69"/>
        <v>0.4196428571428571</v>
      </c>
      <c r="AB83" s="87">
        <f t="shared" si="60"/>
        <v>65000</v>
      </c>
      <c r="AC83" s="96">
        <f t="shared" si="70"/>
        <v>0.61077844311377238</v>
      </c>
      <c r="AE83" s="97">
        <f t="shared" si="71"/>
        <v>432000</v>
      </c>
      <c r="AF83" s="98">
        <f t="shared" si="72"/>
        <v>442000</v>
      </c>
      <c r="AG83" s="99">
        <f t="shared" si="73"/>
        <v>551000</v>
      </c>
      <c r="AH83" s="100">
        <f t="shared" si="74"/>
        <v>60610</v>
      </c>
      <c r="AI83" s="101">
        <f t="shared" si="75"/>
        <v>490390</v>
      </c>
      <c r="AJ83" s="39">
        <f t="shared" si="61"/>
        <v>-119000</v>
      </c>
      <c r="AK83" s="39">
        <f t="shared" si="62"/>
        <v>-109000</v>
      </c>
      <c r="AP83" s="38" t="e">
        <f>J83+M83+N83+#REF!</f>
        <v>#REF!</v>
      </c>
      <c r="AQ83" s="38">
        <f t="shared" si="63"/>
        <v>432000</v>
      </c>
      <c r="AR83" s="39" t="e">
        <f t="shared" si="64"/>
        <v>#REF!</v>
      </c>
    </row>
    <row r="84" spans="2:44" s="39" customFormat="1" ht="27" customHeight="1">
      <c r="B84" s="286"/>
      <c r="C84" s="287"/>
      <c r="D84" s="283"/>
      <c r="E84" s="280"/>
      <c r="F84" s="283"/>
      <c r="G84" s="280"/>
      <c r="H84" s="296"/>
      <c r="I84" s="182" t="s">
        <v>146</v>
      </c>
      <c r="J84" s="70">
        <v>302000</v>
      </c>
      <c r="K84" s="71">
        <v>312000</v>
      </c>
      <c r="L84" s="71">
        <v>421000</v>
      </c>
      <c r="M84" s="71">
        <f t="shared" si="58"/>
        <v>112000</v>
      </c>
      <c r="N84" s="73">
        <f t="shared" si="65"/>
        <v>167000</v>
      </c>
      <c r="P84" s="70">
        <v>302000</v>
      </c>
      <c r="Q84" s="71">
        <v>312000</v>
      </c>
      <c r="R84" s="73">
        <v>421000</v>
      </c>
      <c r="S84" s="55"/>
      <c r="T84" s="70">
        <v>302000</v>
      </c>
      <c r="U84" s="74">
        <f t="shared" si="66"/>
        <v>0</v>
      </c>
      <c r="V84" s="75">
        <v>312000</v>
      </c>
      <c r="W84" s="76">
        <f t="shared" si="67"/>
        <v>0</v>
      </c>
      <c r="X84" s="77">
        <v>421000</v>
      </c>
      <c r="Y84" s="78">
        <f t="shared" si="68"/>
        <v>0</v>
      </c>
      <c r="Z84" s="75">
        <f t="shared" si="59"/>
        <v>65000</v>
      </c>
      <c r="AA84" s="79">
        <f t="shared" si="69"/>
        <v>0.4196428571428571</v>
      </c>
      <c r="AB84" s="71">
        <f t="shared" si="60"/>
        <v>65000</v>
      </c>
      <c r="AC84" s="80">
        <f t="shared" si="70"/>
        <v>0.61077844311377238</v>
      </c>
      <c r="AE84" s="81">
        <f t="shared" si="71"/>
        <v>432000</v>
      </c>
      <c r="AF84" s="82">
        <f t="shared" si="72"/>
        <v>442000</v>
      </c>
      <c r="AG84" s="83">
        <f t="shared" si="73"/>
        <v>551000</v>
      </c>
      <c r="AH84" s="84">
        <f t="shared" si="74"/>
        <v>60610</v>
      </c>
      <c r="AI84" s="85">
        <f t="shared" si="75"/>
        <v>490390</v>
      </c>
      <c r="AJ84" s="39">
        <f t="shared" si="61"/>
        <v>-119000</v>
      </c>
      <c r="AK84" s="39">
        <f t="shared" si="62"/>
        <v>-109000</v>
      </c>
      <c r="AP84" s="38" t="e">
        <f>J84+M84+N84+#REF!</f>
        <v>#REF!</v>
      </c>
      <c r="AQ84" s="38">
        <f t="shared" si="63"/>
        <v>432000</v>
      </c>
      <c r="AR84" s="39" t="e">
        <f t="shared" si="64"/>
        <v>#REF!</v>
      </c>
    </row>
    <row r="85" spans="2:44" s="39" customFormat="1" ht="27" customHeight="1">
      <c r="B85" s="286"/>
      <c r="C85" s="287"/>
      <c r="D85" s="283"/>
      <c r="E85" s="280"/>
      <c r="F85" s="283"/>
      <c r="G85" s="280"/>
      <c r="H85" s="296"/>
      <c r="I85" s="182" t="s">
        <v>147</v>
      </c>
      <c r="J85" s="70">
        <v>316000</v>
      </c>
      <c r="K85" s="71">
        <v>324000</v>
      </c>
      <c r="L85" s="71">
        <v>496000</v>
      </c>
      <c r="M85" s="71">
        <f t="shared" si="58"/>
        <v>112000</v>
      </c>
      <c r="N85" s="73">
        <f>64000*2+54000</f>
        <v>182000</v>
      </c>
      <c r="P85" s="70">
        <v>316000</v>
      </c>
      <c r="Q85" s="71">
        <v>324000</v>
      </c>
      <c r="R85" s="73">
        <v>496000</v>
      </c>
      <c r="S85" s="55"/>
      <c r="T85" s="70">
        <v>316000</v>
      </c>
      <c r="U85" s="74">
        <f t="shared" si="66"/>
        <v>0</v>
      </c>
      <c r="V85" s="75">
        <v>324000</v>
      </c>
      <c r="W85" s="76">
        <f t="shared" si="67"/>
        <v>0</v>
      </c>
      <c r="X85" s="77">
        <v>496000</v>
      </c>
      <c r="Y85" s="78">
        <f t="shared" si="68"/>
        <v>0</v>
      </c>
      <c r="Z85" s="75">
        <f t="shared" si="59"/>
        <v>65000</v>
      </c>
      <c r="AA85" s="79">
        <f t="shared" si="69"/>
        <v>0.4196428571428571</v>
      </c>
      <c r="AB85" s="71">
        <f t="shared" si="60"/>
        <v>65000</v>
      </c>
      <c r="AC85" s="80">
        <f t="shared" si="70"/>
        <v>0.64285714285714279</v>
      </c>
      <c r="AE85" s="81">
        <f t="shared" si="71"/>
        <v>446000</v>
      </c>
      <c r="AF85" s="82">
        <f t="shared" si="72"/>
        <v>454000</v>
      </c>
      <c r="AG85" s="83">
        <f t="shared" si="73"/>
        <v>626000</v>
      </c>
      <c r="AH85" s="84">
        <f t="shared" si="74"/>
        <v>68860</v>
      </c>
      <c r="AI85" s="85">
        <f t="shared" si="75"/>
        <v>557140</v>
      </c>
      <c r="AJ85" s="39">
        <f t="shared" si="61"/>
        <v>-180000</v>
      </c>
      <c r="AK85" s="39">
        <f t="shared" si="62"/>
        <v>-172000</v>
      </c>
      <c r="AP85" s="38" t="e">
        <f>J85+M85+N85+#REF!</f>
        <v>#REF!</v>
      </c>
      <c r="AQ85" s="38">
        <f t="shared" si="63"/>
        <v>446000</v>
      </c>
      <c r="AR85" s="39" t="e">
        <f t="shared" si="64"/>
        <v>#REF!</v>
      </c>
    </row>
    <row r="86" spans="2:44" s="39" customFormat="1" ht="27" customHeight="1">
      <c r="B86" s="286"/>
      <c r="C86" s="287"/>
      <c r="D86" s="283"/>
      <c r="E86" s="280"/>
      <c r="F86" s="283"/>
      <c r="G86" s="280"/>
      <c r="H86" s="296"/>
      <c r="I86" s="182" t="s">
        <v>112</v>
      </c>
      <c r="J86" s="70">
        <v>316000</v>
      </c>
      <c r="K86" s="71">
        <v>324000</v>
      </c>
      <c r="L86" s="71">
        <v>496000</v>
      </c>
      <c r="M86" s="71">
        <f t="shared" si="58"/>
        <v>112000</v>
      </c>
      <c r="N86" s="73">
        <f>64000*2+54000</f>
        <v>182000</v>
      </c>
      <c r="P86" s="123">
        <v>316000</v>
      </c>
      <c r="Q86" s="124">
        <v>324000</v>
      </c>
      <c r="R86" s="126">
        <v>496000</v>
      </c>
      <c r="S86" s="55"/>
      <c r="T86" s="123">
        <v>316000</v>
      </c>
      <c r="U86" s="127">
        <f t="shared" si="66"/>
        <v>0</v>
      </c>
      <c r="V86" s="128">
        <v>324000</v>
      </c>
      <c r="W86" s="129">
        <f t="shared" si="67"/>
        <v>0</v>
      </c>
      <c r="X86" s="130">
        <v>496000</v>
      </c>
      <c r="Y86" s="131">
        <f t="shared" si="68"/>
        <v>0</v>
      </c>
      <c r="Z86" s="128">
        <f t="shared" si="59"/>
        <v>65000</v>
      </c>
      <c r="AA86" s="132">
        <f t="shared" si="69"/>
        <v>0.4196428571428571</v>
      </c>
      <c r="AB86" s="124">
        <f t="shared" si="60"/>
        <v>65000</v>
      </c>
      <c r="AC86" s="133">
        <f t="shared" si="70"/>
        <v>0.64285714285714279</v>
      </c>
      <c r="AE86" s="186">
        <f t="shared" si="71"/>
        <v>446000</v>
      </c>
      <c r="AF86" s="135">
        <f t="shared" si="72"/>
        <v>454000</v>
      </c>
      <c r="AG86" s="136">
        <f t="shared" si="73"/>
        <v>626000</v>
      </c>
      <c r="AH86" s="137">
        <f t="shared" si="74"/>
        <v>68860</v>
      </c>
      <c r="AI86" s="138">
        <f t="shared" si="75"/>
        <v>557140</v>
      </c>
      <c r="AJ86" s="39">
        <f t="shared" si="61"/>
        <v>-180000</v>
      </c>
      <c r="AK86" s="39">
        <f t="shared" si="62"/>
        <v>-172000</v>
      </c>
      <c r="AP86" s="38" t="e">
        <f>J86+M86+N86+#REF!</f>
        <v>#REF!</v>
      </c>
      <c r="AQ86" s="38">
        <f t="shared" si="63"/>
        <v>446000</v>
      </c>
      <c r="AR86" s="39" t="e">
        <f t="shared" si="64"/>
        <v>#REF!</v>
      </c>
    </row>
    <row r="87" spans="2:44" s="39" customFormat="1" ht="27" customHeight="1" thickBot="1">
      <c r="B87" s="286"/>
      <c r="C87" s="287"/>
      <c r="D87" s="187"/>
      <c r="E87" s="176"/>
      <c r="F87" s="294"/>
      <c r="G87" s="281"/>
      <c r="H87" s="338"/>
      <c r="I87" s="188" t="s">
        <v>92</v>
      </c>
      <c r="J87" s="189">
        <v>347000</v>
      </c>
      <c r="K87" s="190">
        <v>360000</v>
      </c>
      <c r="L87" s="190">
        <v>524000</v>
      </c>
      <c r="M87" s="190">
        <f t="shared" si="58"/>
        <v>112000</v>
      </c>
      <c r="N87" s="208">
        <f>64000*2+54000</f>
        <v>182000</v>
      </c>
      <c r="P87" s="140">
        <v>347000</v>
      </c>
      <c r="Q87" s="141">
        <v>360000</v>
      </c>
      <c r="R87" s="143">
        <v>524000</v>
      </c>
      <c r="S87" s="55"/>
      <c r="T87" s="140">
        <v>347000</v>
      </c>
      <c r="U87" s="144">
        <f t="shared" si="66"/>
        <v>0</v>
      </c>
      <c r="V87" s="145">
        <v>360000</v>
      </c>
      <c r="W87" s="146">
        <f t="shared" si="67"/>
        <v>0</v>
      </c>
      <c r="X87" s="147">
        <v>524000</v>
      </c>
      <c r="Y87" s="148">
        <f t="shared" si="68"/>
        <v>0</v>
      </c>
      <c r="Z87" s="145">
        <f t="shared" si="59"/>
        <v>65000</v>
      </c>
      <c r="AA87" s="149">
        <f t="shared" si="69"/>
        <v>0.4196428571428571</v>
      </c>
      <c r="AB87" s="147">
        <f t="shared" si="60"/>
        <v>65000</v>
      </c>
      <c r="AC87" s="150">
        <f t="shared" si="70"/>
        <v>0.64285714285714279</v>
      </c>
      <c r="AE87" s="191">
        <f t="shared" si="71"/>
        <v>477000</v>
      </c>
      <c r="AF87" s="178">
        <f t="shared" si="72"/>
        <v>490000</v>
      </c>
      <c r="AG87" s="192">
        <f t="shared" si="73"/>
        <v>654000</v>
      </c>
      <c r="AH87" s="179">
        <f t="shared" si="74"/>
        <v>71940</v>
      </c>
      <c r="AI87" s="180">
        <f t="shared" si="75"/>
        <v>582060</v>
      </c>
      <c r="AP87" s="38"/>
      <c r="AQ87" s="38"/>
    </row>
    <row r="88" spans="2:44" s="39" customFormat="1" ht="27" customHeight="1">
      <c r="B88" s="286"/>
      <c r="C88" s="287"/>
      <c r="D88" s="283" t="s">
        <v>30</v>
      </c>
      <c r="E88" s="280"/>
      <c r="F88" s="341" t="s">
        <v>27</v>
      </c>
      <c r="G88" s="325"/>
      <c r="H88" s="336" t="s">
        <v>18</v>
      </c>
      <c r="I88" s="183" t="s">
        <v>154</v>
      </c>
      <c r="J88" s="104">
        <v>189000</v>
      </c>
      <c r="K88" s="105">
        <v>197000</v>
      </c>
      <c r="L88" s="105">
        <v>257000</v>
      </c>
      <c r="M88" s="105">
        <f t="shared" si="58"/>
        <v>112000</v>
      </c>
      <c r="N88" s="107">
        <f>59000*2+49000</f>
        <v>167000</v>
      </c>
      <c r="P88" s="104">
        <v>189000</v>
      </c>
      <c r="Q88" s="105">
        <v>197000</v>
      </c>
      <c r="R88" s="107">
        <v>257000</v>
      </c>
      <c r="S88" s="55"/>
      <c r="T88" s="104">
        <v>169000</v>
      </c>
      <c r="U88" s="108">
        <f t="shared" si="66"/>
        <v>0.10582010582010581</v>
      </c>
      <c r="V88" s="109">
        <f>Q88-20000</f>
        <v>177000</v>
      </c>
      <c r="W88" s="110">
        <f t="shared" si="67"/>
        <v>0.10152284263959388</v>
      </c>
      <c r="X88" s="111">
        <f>R88-30000</f>
        <v>227000</v>
      </c>
      <c r="Y88" s="112">
        <f t="shared" si="68"/>
        <v>0.11673151750972766</v>
      </c>
      <c r="Z88" s="109">
        <f t="shared" si="59"/>
        <v>65000</v>
      </c>
      <c r="AA88" s="113">
        <f t="shared" si="69"/>
        <v>0.4196428571428571</v>
      </c>
      <c r="AB88" s="111">
        <f t="shared" si="60"/>
        <v>65000</v>
      </c>
      <c r="AC88" s="114">
        <f t="shared" si="70"/>
        <v>0.61077844311377238</v>
      </c>
      <c r="AD88" s="55"/>
      <c r="AE88" s="115">
        <f t="shared" si="71"/>
        <v>299000</v>
      </c>
      <c r="AF88" s="116">
        <f t="shared" si="72"/>
        <v>307000</v>
      </c>
      <c r="AG88" s="117">
        <f t="shared" si="73"/>
        <v>357000</v>
      </c>
      <c r="AH88" s="118">
        <f t="shared" si="74"/>
        <v>39270</v>
      </c>
      <c r="AI88" s="119">
        <f t="shared" si="75"/>
        <v>317730</v>
      </c>
      <c r="AJ88" s="39">
        <f t="shared" si="61"/>
        <v>-58000</v>
      </c>
      <c r="AK88" s="39">
        <f t="shared" si="62"/>
        <v>-50000</v>
      </c>
      <c r="AP88" s="38" t="e">
        <f>J88+M88+N88+#REF!</f>
        <v>#REF!</v>
      </c>
      <c r="AQ88" s="38">
        <f t="shared" si="63"/>
        <v>299000</v>
      </c>
      <c r="AR88" s="39" t="e">
        <f t="shared" si="64"/>
        <v>#REF!</v>
      </c>
    </row>
    <row r="89" spans="2:44" s="39" customFormat="1" ht="27" customHeight="1">
      <c r="B89" s="286"/>
      <c r="C89" s="287"/>
      <c r="D89" s="283"/>
      <c r="E89" s="280"/>
      <c r="F89" s="283"/>
      <c r="G89" s="280"/>
      <c r="H89" s="296"/>
      <c r="I89" s="182" t="s">
        <v>149</v>
      </c>
      <c r="J89" s="70">
        <v>189000</v>
      </c>
      <c r="K89" s="71">
        <v>197000</v>
      </c>
      <c r="L89" s="71">
        <v>257000</v>
      </c>
      <c r="M89" s="71">
        <f t="shared" si="58"/>
        <v>112000</v>
      </c>
      <c r="N89" s="73">
        <f t="shared" si="65"/>
        <v>167000</v>
      </c>
      <c r="P89" s="70">
        <v>189000</v>
      </c>
      <c r="Q89" s="71">
        <v>197000</v>
      </c>
      <c r="R89" s="73">
        <v>257000</v>
      </c>
      <c r="S89" s="55"/>
      <c r="T89" s="70">
        <v>179000</v>
      </c>
      <c r="U89" s="74">
        <f t="shared" si="66"/>
        <v>5.2910052910052907E-2</v>
      </c>
      <c r="V89" s="75">
        <f>Q89-10000</f>
        <v>187000</v>
      </c>
      <c r="W89" s="76">
        <f t="shared" si="67"/>
        <v>5.0761421319796995E-2</v>
      </c>
      <c r="X89" s="77">
        <f>R89-20000</f>
        <v>237000</v>
      </c>
      <c r="Y89" s="78">
        <f t="shared" si="68"/>
        <v>7.7821011673151697E-2</v>
      </c>
      <c r="Z89" s="75">
        <f t="shared" si="59"/>
        <v>65000</v>
      </c>
      <c r="AA89" s="79">
        <f t="shared" si="69"/>
        <v>0.4196428571428571</v>
      </c>
      <c r="AB89" s="77">
        <f t="shared" si="60"/>
        <v>65000</v>
      </c>
      <c r="AC89" s="80">
        <f t="shared" si="70"/>
        <v>0.61077844311377238</v>
      </c>
      <c r="AD89" s="55"/>
      <c r="AE89" s="120">
        <f t="shared" si="71"/>
        <v>309000</v>
      </c>
      <c r="AF89" s="82">
        <f t="shared" si="72"/>
        <v>317000</v>
      </c>
      <c r="AG89" s="83">
        <f t="shared" si="73"/>
        <v>367000</v>
      </c>
      <c r="AH89" s="84">
        <f t="shared" si="74"/>
        <v>40370</v>
      </c>
      <c r="AI89" s="85">
        <f t="shared" si="75"/>
        <v>326630</v>
      </c>
      <c r="AJ89" s="39">
        <f t="shared" si="61"/>
        <v>-58000</v>
      </c>
      <c r="AK89" s="39">
        <f t="shared" si="62"/>
        <v>-50000</v>
      </c>
      <c r="AP89" s="38" t="e">
        <f>J89+M89+N89+#REF!</f>
        <v>#REF!</v>
      </c>
      <c r="AQ89" s="38">
        <f t="shared" si="63"/>
        <v>309000</v>
      </c>
      <c r="AR89" s="39" t="e">
        <f t="shared" si="64"/>
        <v>#REF!</v>
      </c>
    </row>
    <row r="90" spans="2:44" s="39" customFormat="1" ht="27" customHeight="1">
      <c r="B90" s="286"/>
      <c r="C90" s="287"/>
      <c r="D90" s="283"/>
      <c r="E90" s="280"/>
      <c r="F90" s="283"/>
      <c r="G90" s="280"/>
      <c r="H90" s="296"/>
      <c r="I90" s="182" t="s">
        <v>155</v>
      </c>
      <c r="J90" s="70">
        <v>216000</v>
      </c>
      <c r="K90" s="71">
        <v>222000</v>
      </c>
      <c r="L90" s="71">
        <v>332000</v>
      </c>
      <c r="M90" s="71">
        <f t="shared" si="58"/>
        <v>112000</v>
      </c>
      <c r="N90" s="73">
        <f>64000*2+54000</f>
        <v>182000</v>
      </c>
      <c r="P90" s="70">
        <v>216000</v>
      </c>
      <c r="Q90" s="71">
        <v>222000</v>
      </c>
      <c r="R90" s="73">
        <v>332000</v>
      </c>
      <c r="S90" s="55"/>
      <c r="T90" s="70">
        <v>196000</v>
      </c>
      <c r="U90" s="74">
        <f t="shared" si="66"/>
        <v>9.259259259259256E-2</v>
      </c>
      <c r="V90" s="75">
        <f>Q90-20000</f>
        <v>202000</v>
      </c>
      <c r="W90" s="76">
        <f t="shared" si="67"/>
        <v>9.0090090090090058E-2</v>
      </c>
      <c r="X90" s="77">
        <f>R90-30000</f>
        <v>302000</v>
      </c>
      <c r="Y90" s="78">
        <f t="shared" si="68"/>
        <v>9.0361445783132543E-2</v>
      </c>
      <c r="Z90" s="75">
        <f t="shared" si="59"/>
        <v>65000</v>
      </c>
      <c r="AA90" s="79">
        <f t="shared" si="69"/>
        <v>0.4196428571428571</v>
      </c>
      <c r="AB90" s="77">
        <f t="shared" si="60"/>
        <v>65000</v>
      </c>
      <c r="AC90" s="80">
        <f t="shared" si="70"/>
        <v>0.64285714285714279</v>
      </c>
      <c r="AD90" s="55"/>
      <c r="AE90" s="120">
        <f t="shared" si="71"/>
        <v>326000</v>
      </c>
      <c r="AF90" s="82">
        <f t="shared" si="72"/>
        <v>332000</v>
      </c>
      <c r="AG90" s="83">
        <f t="shared" si="73"/>
        <v>432000</v>
      </c>
      <c r="AH90" s="84">
        <f t="shared" si="74"/>
        <v>47520</v>
      </c>
      <c r="AI90" s="85">
        <f t="shared" si="75"/>
        <v>384480</v>
      </c>
      <c r="AJ90" s="39">
        <f t="shared" si="61"/>
        <v>-106000</v>
      </c>
      <c r="AK90" s="39">
        <f t="shared" si="62"/>
        <v>-100000</v>
      </c>
      <c r="AP90" s="38" t="e">
        <f>J90+M90+N90+#REF!</f>
        <v>#REF!</v>
      </c>
      <c r="AQ90" s="38">
        <f t="shared" si="63"/>
        <v>326000</v>
      </c>
      <c r="AR90" s="39" t="e">
        <f t="shared" si="64"/>
        <v>#REF!</v>
      </c>
    </row>
    <row r="91" spans="2:44" s="39" customFormat="1" ht="27" customHeight="1">
      <c r="B91" s="286"/>
      <c r="C91" s="287"/>
      <c r="D91" s="283"/>
      <c r="E91" s="280"/>
      <c r="F91" s="283"/>
      <c r="G91" s="280"/>
      <c r="H91" s="296"/>
      <c r="I91" s="156" t="s">
        <v>114</v>
      </c>
      <c r="J91" s="123">
        <v>216000</v>
      </c>
      <c r="K91" s="124">
        <v>222000</v>
      </c>
      <c r="L91" s="124">
        <v>332000</v>
      </c>
      <c r="M91" s="124">
        <f t="shared" si="58"/>
        <v>112000</v>
      </c>
      <c r="N91" s="126">
        <f>64000*2+54000</f>
        <v>182000</v>
      </c>
      <c r="P91" s="123">
        <v>216000</v>
      </c>
      <c r="Q91" s="124">
        <v>222000</v>
      </c>
      <c r="R91" s="126">
        <v>332000</v>
      </c>
      <c r="S91" s="55"/>
      <c r="T91" s="123">
        <v>216000</v>
      </c>
      <c r="U91" s="127">
        <f t="shared" si="66"/>
        <v>0</v>
      </c>
      <c r="V91" s="128">
        <v>222000</v>
      </c>
      <c r="W91" s="129">
        <f t="shared" si="67"/>
        <v>0</v>
      </c>
      <c r="X91" s="130">
        <v>332000</v>
      </c>
      <c r="Y91" s="131">
        <f t="shared" si="68"/>
        <v>0</v>
      </c>
      <c r="Z91" s="128">
        <f t="shared" si="59"/>
        <v>65000</v>
      </c>
      <c r="AA91" s="132">
        <f t="shared" si="69"/>
        <v>0.4196428571428571</v>
      </c>
      <c r="AB91" s="130">
        <f t="shared" si="60"/>
        <v>65000</v>
      </c>
      <c r="AC91" s="133">
        <f t="shared" si="70"/>
        <v>0.64285714285714279</v>
      </c>
      <c r="AD91" s="55"/>
      <c r="AE91" s="120">
        <f t="shared" si="71"/>
        <v>346000</v>
      </c>
      <c r="AF91" s="82">
        <f t="shared" si="72"/>
        <v>352000</v>
      </c>
      <c r="AG91" s="136">
        <f t="shared" si="73"/>
        <v>462000</v>
      </c>
      <c r="AH91" s="84">
        <f t="shared" si="74"/>
        <v>50820</v>
      </c>
      <c r="AI91" s="85">
        <f t="shared" si="75"/>
        <v>411180</v>
      </c>
      <c r="AJ91" s="39">
        <f t="shared" si="61"/>
        <v>-116000</v>
      </c>
      <c r="AK91" s="39">
        <f t="shared" si="62"/>
        <v>-110000</v>
      </c>
      <c r="AP91" s="38" t="e">
        <f>J91+M91+N91+#REF!</f>
        <v>#REF!</v>
      </c>
      <c r="AQ91" s="38">
        <f t="shared" si="63"/>
        <v>346000</v>
      </c>
      <c r="AR91" s="39" t="e">
        <f t="shared" si="64"/>
        <v>#REF!</v>
      </c>
    </row>
    <row r="92" spans="2:44" s="39" customFormat="1" ht="27" customHeight="1">
      <c r="B92" s="286"/>
      <c r="C92" s="287"/>
      <c r="D92" s="283"/>
      <c r="E92" s="280"/>
      <c r="F92" s="283"/>
      <c r="G92" s="280"/>
      <c r="H92" s="337"/>
      <c r="I92" s="156" t="s">
        <v>92</v>
      </c>
      <c r="J92" s="123">
        <v>236000</v>
      </c>
      <c r="K92" s="124">
        <v>245000</v>
      </c>
      <c r="L92" s="124">
        <v>357000</v>
      </c>
      <c r="M92" s="124">
        <f t="shared" si="58"/>
        <v>112000</v>
      </c>
      <c r="N92" s="126">
        <f>64000*2+54000</f>
        <v>182000</v>
      </c>
      <c r="P92" s="123">
        <v>236000</v>
      </c>
      <c r="Q92" s="124">
        <v>245000</v>
      </c>
      <c r="R92" s="126">
        <v>357000</v>
      </c>
      <c r="S92" s="55"/>
      <c r="T92" s="123">
        <v>236000</v>
      </c>
      <c r="U92" s="127">
        <f t="shared" si="66"/>
        <v>0</v>
      </c>
      <c r="V92" s="128">
        <v>245000</v>
      </c>
      <c r="W92" s="129">
        <f t="shared" si="67"/>
        <v>0</v>
      </c>
      <c r="X92" s="130">
        <v>357000</v>
      </c>
      <c r="Y92" s="131">
        <f t="shared" si="68"/>
        <v>0</v>
      </c>
      <c r="Z92" s="128">
        <f t="shared" si="59"/>
        <v>65000</v>
      </c>
      <c r="AA92" s="132">
        <f t="shared" si="69"/>
        <v>0.4196428571428571</v>
      </c>
      <c r="AB92" s="130">
        <f t="shared" si="60"/>
        <v>65000</v>
      </c>
      <c r="AC92" s="133">
        <f t="shared" si="70"/>
        <v>0.64285714285714279</v>
      </c>
      <c r="AD92" s="55"/>
      <c r="AE92" s="120">
        <f t="shared" si="71"/>
        <v>366000</v>
      </c>
      <c r="AF92" s="82">
        <f t="shared" si="72"/>
        <v>375000</v>
      </c>
      <c r="AG92" s="136">
        <f t="shared" si="73"/>
        <v>487000</v>
      </c>
      <c r="AH92" s="84">
        <f t="shared" si="74"/>
        <v>53570</v>
      </c>
      <c r="AI92" s="85">
        <f t="shared" si="75"/>
        <v>433430</v>
      </c>
      <c r="AP92" s="38"/>
      <c r="AQ92" s="38"/>
    </row>
    <row r="93" spans="2:44" s="39" customFormat="1" ht="27" customHeight="1">
      <c r="B93" s="286"/>
      <c r="C93" s="287"/>
      <c r="D93" s="283"/>
      <c r="E93" s="280"/>
      <c r="F93" s="283"/>
      <c r="G93" s="280"/>
      <c r="H93" s="297" t="s">
        <v>25</v>
      </c>
      <c r="I93" s="182" t="s">
        <v>154</v>
      </c>
      <c r="J93" s="86">
        <v>239000</v>
      </c>
      <c r="K93" s="87">
        <v>247000</v>
      </c>
      <c r="L93" s="87">
        <v>307000</v>
      </c>
      <c r="M93" s="87">
        <f t="shared" si="58"/>
        <v>112000</v>
      </c>
      <c r="N93" s="89">
        <f>59000*2+49000</f>
        <v>167000</v>
      </c>
      <c r="P93" s="86">
        <v>239000</v>
      </c>
      <c r="Q93" s="87">
        <v>247000</v>
      </c>
      <c r="R93" s="89">
        <v>307000</v>
      </c>
      <c r="S93" s="55"/>
      <c r="T93" s="86">
        <v>219000</v>
      </c>
      <c r="U93" s="90">
        <f t="shared" si="66"/>
        <v>8.3682008368200833E-2</v>
      </c>
      <c r="V93" s="91">
        <f t="shared" ref="V93" si="76">Q93-20000</f>
        <v>227000</v>
      </c>
      <c r="W93" s="92">
        <f t="shared" si="67"/>
        <v>8.0971659919028327E-2</v>
      </c>
      <c r="X93" s="93">
        <f t="shared" ref="X93" si="77">R93-30000</f>
        <v>277000</v>
      </c>
      <c r="Y93" s="94">
        <f t="shared" si="68"/>
        <v>9.7719869706840434E-2</v>
      </c>
      <c r="Z93" s="91">
        <f t="shared" si="59"/>
        <v>65000</v>
      </c>
      <c r="AA93" s="95">
        <f t="shared" si="69"/>
        <v>0.4196428571428571</v>
      </c>
      <c r="AB93" s="93">
        <f t="shared" si="60"/>
        <v>65000</v>
      </c>
      <c r="AC93" s="96">
        <f t="shared" si="70"/>
        <v>0.61077844311377238</v>
      </c>
      <c r="AD93" s="55"/>
      <c r="AE93" s="121">
        <f t="shared" si="71"/>
        <v>349000</v>
      </c>
      <c r="AF93" s="98">
        <f t="shared" si="72"/>
        <v>357000</v>
      </c>
      <c r="AG93" s="99">
        <f t="shared" si="73"/>
        <v>407000</v>
      </c>
      <c r="AH93" s="100">
        <f t="shared" si="74"/>
        <v>44770</v>
      </c>
      <c r="AI93" s="101">
        <f t="shared" si="75"/>
        <v>362230</v>
      </c>
      <c r="AJ93" s="39">
        <f t="shared" si="61"/>
        <v>-58000</v>
      </c>
      <c r="AK93" s="39">
        <f t="shared" si="62"/>
        <v>-50000</v>
      </c>
      <c r="AP93" s="38" t="e">
        <f>J93+M93+N93+#REF!</f>
        <v>#REF!</v>
      </c>
      <c r="AQ93" s="38">
        <f t="shared" si="63"/>
        <v>349000</v>
      </c>
      <c r="AR93" s="39" t="e">
        <f t="shared" si="64"/>
        <v>#REF!</v>
      </c>
    </row>
    <row r="94" spans="2:44" s="39" customFormat="1" ht="27" customHeight="1">
      <c r="B94" s="286"/>
      <c r="C94" s="287"/>
      <c r="D94" s="283"/>
      <c r="E94" s="280"/>
      <c r="F94" s="283"/>
      <c r="G94" s="280"/>
      <c r="H94" s="296"/>
      <c r="I94" s="182" t="s">
        <v>156</v>
      </c>
      <c r="J94" s="70">
        <v>239000</v>
      </c>
      <c r="K94" s="71">
        <v>247000</v>
      </c>
      <c r="L94" s="71">
        <v>307000</v>
      </c>
      <c r="M94" s="71">
        <f t="shared" si="58"/>
        <v>112000</v>
      </c>
      <c r="N94" s="73">
        <f t="shared" si="65"/>
        <v>167000</v>
      </c>
      <c r="P94" s="70">
        <v>239000</v>
      </c>
      <c r="Q94" s="71">
        <v>247000</v>
      </c>
      <c r="R94" s="73">
        <v>307000</v>
      </c>
      <c r="S94" s="55"/>
      <c r="T94" s="70">
        <v>229000</v>
      </c>
      <c r="U94" s="74">
        <f t="shared" si="66"/>
        <v>4.1841004184100417E-2</v>
      </c>
      <c r="V94" s="75">
        <f t="shared" ref="V94" si="78">Q94-10000</f>
        <v>237000</v>
      </c>
      <c r="W94" s="76">
        <f t="shared" si="67"/>
        <v>4.0485829959514219E-2</v>
      </c>
      <c r="X94" s="77">
        <f t="shared" ref="X94" si="79">R94-20000</f>
        <v>287000</v>
      </c>
      <c r="Y94" s="78">
        <f t="shared" si="68"/>
        <v>6.514657980456029E-2</v>
      </c>
      <c r="Z94" s="75">
        <f t="shared" si="59"/>
        <v>65000</v>
      </c>
      <c r="AA94" s="79">
        <f t="shared" si="69"/>
        <v>0.4196428571428571</v>
      </c>
      <c r="AB94" s="77">
        <f t="shared" si="60"/>
        <v>65000</v>
      </c>
      <c r="AC94" s="80">
        <f t="shared" si="70"/>
        <v>0.61077844311377238</v>
      </c>
      <c r="AD94" s="55"/>
      <c r="AE94" s="120">
        <f t="shared" si="71"/>
        <v>359000</v>
      </c>
      <c r="AF94" s="82">
        <f t="shared" si="72"/>
        <v>367000</v>
      </c>
      <c r="AG94" s="83">
        <f t="shared" si="73"/>
        <v>417000</v>
      </c>
      <c r="AH94" s="84">
        <f t="shared" si="74"/>
        <v>45870</v>
      </c>
      <c r="AI94" s="85">
        <f t="shared" si="75"/>
        <v>371130</v>
      </c>
      <c r="AJ94" s="39">
        <f t="shared" si="61"/>
        <v>-58000</v>
      </c>
      <c r="AK94" s="39">
        <f t="shared" si="62"/>
        <v>-50000</v>
      </c>
      <c r="AP94" s="38" t="e">
        <f>J94+M94+N94+#REF!</f>
        <v>#REF!</v>
      </c>
      <c r="AQ94" s="38">
        <f t="shared" si="63"/>
        <v>359000</v>
      </c>
      <c r="AR94" s="39" t="e">
        <f t="shared" si="64"/>
        <v>#REF!</v>
      </c>
    </row>
    <row r="95" spans="2:44" s="39" customFormat="1" ht="27" customHeight="1">
      <c r="B95" s="286"/>
      <c r="C95" s="287"/>
      <c r="D95" s="283"/>
      <c r="E95" s="280"/>
      <c r="F95" s="283"/>
      <c r="G95" s="280"/>
      <c r="H95" s="296"/>
      <c r="I95" s="182" t="s">
        <v>150</v>
      </c>
      <c r="J95" s="70">
        <v>271000</v>
      </c>
      <c r="K95" s="71">
        <v>277000</v>
      </c>
      <c r="L95" s="71">
        <v>387000</v>
      </c>
      <c r="M95" s="71">
        <f t="shared" si="58"/>
        <v>112000</v>
      </c>
      <c r="N95" s="73">
        <f>64000*2+54000</f>
        <v>182000</v>
      </c>
      <c r="P95" s="70">
        <v>271000</v>
      </c>
      <c r="Q95" s="71">
        <v>277000</v>
      </c>
      <c r="R95" s="73">
        <v>387000</v>
      </c>
      <c r="S95" s="55"/>
      <c r="T95" s="70">
        <v>251000</v>
      </c>
      <c r="U95" s="74">
        <f t="shared" si="66"/>
        <v>7.3800738007380073E-2</v>
      </c>
      <c r="V95" s="75">
        <f t="shared" ref="V95" si="80">Q95-20000</f>
        <v>257000</v>
      </c>
      <c r="W95" s="76">
        <f t="shared" si="67"/>
        <v>7.2202166064981976E-2</v>
      </c>
      <c r="X95" s="77">
        <f t="shared" ref="X95" si="81">R95-30000</f>
        <v>357000</v>
      </c>
      <c r="Y95" s="78">
        <f t="shared" si="68"/>
        <v>7.7519379844961267E-2</v>
      </c>
      <c r="Z95" s="75">
        <f t="shared" si="59"/>
        <v>65000</v>
      </c>
      <c r="AA95" s="79">
        <f t="shared" si="69"/>
        <v>0.4196428571428571</v>
      </c>
      <c r="AB95" s="77">
        <f t="shared" si="60"/>
        <v>65000</v>
      </c>
      <c r="AC95" s="80">
        <f t="shared" si="70"/>
        <v>0.64285714285714279</v>
      </c>
      <c r="AD95" s="55"/>
      <c r="AE95" s="120">
        <f t="shared" si="71"/>
        <v>381000</v>
      </c>
      <c r="AF95" s="82">
        <f t="shared" si="72"/>
        <v>387000</v>
      </c>
      <c r="AG95" s="83">
        <f t="shared" si="73"/>
        <v>487000</v>
      </c>
      <c r="AH95" s="84">
        <f t="shared" si="74"/>
        <v>53570</v>
      </c>
      <c r="AI95" s="85">
        <f t="shared" si="75"/>
        <v>433430</v>
      </c>
      <c r="AJ95" s="39">
        <f t="shared" si="61"/>
        <v>-106000</v>
      </c>
      <c r="AK95" s="39">
        <f t="shared" si="62"/>
        <v>-100000</v>
      </c>
      <c r="AP95" s="38" t="e">
        <f>J95+M95+N95+#REF!</f>
        <v>#REF!</v>
      </c>
      <c r="AQ95" s="38">
        <f t="shared" si="63"/>
        <v>381000</v>
      </c>
      <c r="AR95" s="39" t="e">
        <f t="shared" si="64"/>
        <v>#REF!</v>
      </c>
    </row>
    <row r="96" spans="2:44" s="39" customFormat="1" ht="27" customHeight="1">
      <c r="B96" s="286"/>
      <c r="C96" s="287"/>
      <c r="D96" s="283"/>
      <c r="E96" s="280"/>
      <c r="F96" s="283"/>
      <c r="G96" s="280"/>
      <c r="H96" s="296"/>
      <c r="I96" s="156" t="s">
        <v>114</v>
      </c>
      <c r="J96" s="123">
        <v>271000</v>
      </c>
      <c r="K96" s="124">
        <v>277000</v>
      </c>
      <c r="L96" s="124">
        <v>387000</v>
      </c>
      <c r="M96" s="124">
        <f t="shared" si="58"/>
        <v>112000</v>
      </c>
      <c r="N96" s="126">
        <f>64000*2+54000</f>
        <v>182000</v>
      </c>
      <c r="P96" s="123">
        <v>271000</v>
      </c>
      <c r="Q96" s="124">
        <v>277000</v>
      </c>
      <c r="R96" s="126">
        <v>387000</v>
      </c>
      <c r="S96" s="55"/>
      <c r="T96" s="123">
        <v>271000</v>
      </c>
      <c r="U96" s="127">
        <f t="shared" si="66"/>
        <v>0</v>
      </c>
      <c r="V96" s="128">
        <v>277000</v>
      </c>
      <c r="W96" s="129">
        <f t="shared" si="67"/>
        <v>0</v>
      </c>
      <c r="X96" s="130">
        <v>387000</v>
      </c>
      <c r="Y96" s="131">
        <f t="shared" si="68"/>
        <v>0</v>
      </c>
      <c r="Z96" s="128">
        <f t="shared" si="59"/>
        <v>65000</v>
      </c>
      <c r="AA96" s="132">
        <f t="shared" si="69"/>
        <v>0.4196428571428571</v>
      </c>
      <c r="AB96" s="130">
        <f t="shared" si="60"/>
        <v>65000</v>
      </c>
      <c r="AC96" s="133">
        <f t="shared" si="70"/>
        <v>0.64285714285714279</v>
      </c>
      <c r="AD96" s="55"/>
      <c r="AE96" s="120">
        <f t="shared" si="71"/>
        <v>401000</v>
      </c>
      <c r="AF96" s="82">
        <f t="shared" si="72"/>
        <v>407000</v>
      </c>
      <c r="AG96" s="136">
        <f t="shared" si="73"/>
        <v>517000</v>
      </c>
      <c r="AH96" s="84">
        <f t="shared" si="74"/>
        <v>56870</v>
      </c>
      <c r="AI96" s="85">
        <f t="shared" si="75"/>
        <v>460130</v>
      </c>
      <c r="AJ96" s="39">
        <f t="shared" si="61"/>
        <v>-116000</v>
      </c>
      <c r="AK96" s="39">
        <f t="shared" si="62"/>
        <v>-110000</v>
      </c>
      <c r="AP96" s="38" t="e">
        <f>J96+M96+N96+#REF!</f>
        <v>#REF!</v>
      </c>
      <c r="AQ96" s="38">
        <f t="shared" si="63"/>
        <v>401000</v>
      </c>
      <c r="AR96" s="39" t="e">
        <f t="shared" si="64"/>
        <v>#REF!</v>
      </c>
    </row>
    <row r="97" spans="2:44" s="39" customFormat="1" ht="27" customHeight="1">
      <c r="B97" s="286"/>
      <c r="C97" s="287"/>
      <c r="D97" s="283"/>
      <c r="E97" s="280"/>
      <c r="F97" s="342"/>
      <c r="G97" s="343"/>
      <c r="H97" s="337"/>
      <c r="I97" s="156" t="s">
        <v>92</v>
      </c>
      <c r="J97" s="123">
        <v>291000</v>
      </c>
      <c r="K97" s="124">
        <v>300000</v>
      </c>
      <c r="L97" s="124">
        <v>412000</v>
      </c>
      <c r="M97" s="124">
        <f t="shared" si="58"/>
        <v>112000</v>
      </c>
      <c r="N97" s="126">
        <f>64000*2+54000</f>
        <v>182000</v>
      </c>
      <c r="P97" s="123">
        <v>291000</v>
      </c>
      <c r="Q97" s="124">
        <v>300000</v>
      </c>
      <c r="R97" s="126">
        <v>412000</v>
      </c>
      <c r="S97" s="55"/>
      <c r="T97" s="123">
        <v>291000</v>
      </c>
      <c r="U97" s="127">
        <f t="shared" si="66"/>
        <v>0</v>
      </c>
      <c r="V97" s="128">
        <v>300000</v>
      </c>
      <c r="W97" s="129">
        <f t="shared" si="67"/>
        <v>0</v>
      </c>
      <c r="X97" s="130">
        <v>412000</v>
      </c>
      <c r="Y97" s="131">
        <f t="shared" si="68"/>
        <v>0</v>
      </c>
      <c r="Z97" s="128">
        <f t="shared" si="59"/>
        <v>65000</v>
      </c>
      <c r="AA97" s="132">
        <f t="shared" si="69"/>
        <v>0.4196428571428571</v>
      </c>
      <c r="AB97" s="130">
        <f t="shared" si="60"/>
        <v>65000</v>
      </c>
      <c r="AC97" s="133">
        <f t="shared" si="70"/>
        <v>0.64285714285714279</v>
      </c>
      <c r="AD97" s="55"/>
      <c r="AE97" s="120">
        <f t="shared" si="71"/>
        <v>421000</v>
      </c>
      <c r="AF97" s="82">
        <f t="shared" si="72"/>
        <v>430000</v>
      </c>
      <c r="AG97" s="136">
        <f t="shared" si="73"/>
        <v>542000</v>
      </c>
      <c r="AH97" s="84">
        <f t="shared" si="74"/>
        <v>59620</v>
      </c>
      <c r="AI97" s="85">
        <f t="shared" si="75"/>
        <v>482380</v>
      </c>
      <c r="AP97" s="38"/>
      <c r="AQ97" s="38"/>
    </row>
    <row r="98" spans="2:44" s="39" customFormat="1" ht="27" customHeight="1">
      <c r="B98" s="286"/>
      <c r="C98" s="287"/>
      <c r="D98" s="283"/>
      <c r="E98" s="280"/>
      <c r="F98" s="282" t="s">
        <v>28</v>
      </c>
      <c r="G98" s="279"/>
      <c r="H98" s="297" t="s">
        <v>18</v>
      </c>
      <c r="I98" s="182" t="s">
        <v>157</v>
      </c>
      <c r="J98" s="86">
        <v>248000</v>
      </c>
      <c r="K98" s="87">
        <v>256000</v>
      </c>
      <c r="L98" s="87">
        <v>348000</v>
      </c>
      <c r="M98" s="87">
        <f t="shared" si="58"/>
        <v>112000</v>
      </c>
      <c r="N98" s="89">
        <f>59000*2+49000</f>
        <v>167000</v>
      </c>
      <c r="P98" s="86">
        <v>248000</v>
      </c>
      <c r="Q98" s="87">
        <v>256000</v>
      </c>
      <c r="R98" s="89">
        <v>348000</v>
      </c>
      <c r="S98" s="1"/>
      <c r="T98" s="86">
        <v>228000</v>
      </c>
      <c r="U98" s="90">
        <f t="shared" si="66"/>
        <v>8.064516129032262E-2</v>
      </c>
      <c r="V98" s="91">
        <f t="shared" ref="V98" si="82">Q98-20000</f>
        <v>236000</v>
      </c>
      <c r="W98" s="92">
        <f t="shared" si="67"/>
        <v>7.8125E-2</v>
      </c>
      <c r="X98" s="93">
        <f t="shared" ref="X98" si="83">R98-30000</f>
        <v>318000</v>
      </c>
      <c r="Y98" s="94">
        <f t="shared" si="68"/>
        <v>8.6206896551724088E-2</v>
      </c>
      <c r="Z98" s="91">
        <f t="shared" si="59"/>
        <v>65000</v>
      </c>
      <c r="AA98" s="95">
        <f t="shared" si="69"/>
        <v>0.4196428571428571</v>
      </c>
      <c r="AB98" s="93">
        <f t="shared" si="60"/>
        <v>65000</v>
      </c>
      <c r="AC98" s="96">
        <f t="shared" si="70"/>
        <v>0.61077844311377238</v>
      </c>
      <c r="AD98" s="55"/>
      <c r="AE98" s="121">
        <f t="shared" si="71"/>
        <v>358000</v>
      </c>
      <c r="AF98" s="98">
        <f t="shared" si="72"/>
        <v>366000</v>
      </c>
      <c r="AG98" s="99">
        <f t="shared" si="73"/>
        <v>448000</v>
      </c>
      <c r="AH98" s="100">
        <f t="shared" si="74"/>
        <v>49280</v>
      </c>
      <c r="AI98" s="101">
        <f t="shared" si="75"/>
        <v>398720</v>
      </c>
      <c r="AJ98" s="39">
        <f t="shared" si="61"/>
        <v>-90000</v>
      </c>
      <c r="AK98" s="39">
        <f t="shared" si="62"/>
        <v>-82000</v>
      </c>
      <c r="AP98" s="38" t="e">
        <f>J98+M98+N98+#REF!</f>
        <v>#REF!</v>
      </c>
      <c r="AQ98" s="38">
        <f t="shared" si="63"/>
        <v>358000</v>
      </c>
      <c r="AR98" s="39" t="e">
        <f t="shared" si="64"/>
        <v>#REF!</v>
      </c>
    </row>
    <row r="99" spans="2:44" s="39" customFormat="1" ht="27" customHeight="1">
      <c r="B99" s="286"/>
      <c r="C99" s="287"/>
      <c r="D99" s="283"/>
      <c r="E99" s="280"/>
      <c r="F99" s="283"/>
      <c r="G99" s="280"/>
      <c r="H99" s="296"/>
      <c r="I99" s="182" t="s">
        <v>156</v>
      </c>
      <c r="J99" s="70">
        <v>248000</v>
      </c>
      <c r="K99" s="71">
        <v>256000</v>
      </c>
      <c r="L99" s="71">
        <v>348000</v>
      </c>
      <c r="M99" s="71">
        <f t="shared" si="58"/>
        <v>112000</v>
      </c>
      <c r="N99" s="73">
        <f t="shared" si="65"/>
        <v>167000</v>
      </c>
      <c r="P99" s="70">
        <v>248000</v>
      </c>
      <c r="Q99" s="71">
        <v>256000</v>
      </c>
      <c r="R99" s="73">
        <v>348000</v>
      </c>
      <c r="S99" s="1"/>
      <c r="T99" s="70">
        <v>238000</v>
      </c>
      <c r="U99" s="74">
        <f t="shared" si="66"/>
        <v>4.0322580645161255E-2</v>
      </c>
      <c r="V99" s="75">
        <f t="shared" ref="V99" si="84">Q99-10000</f>
        <v>246000</v>
      </c>
      <c r="W99" s="76">
        <f t="shared" si="67"/>
        <v>3.90625E-2</v>
      </c>
      <c r="X99" s="77">
        <f t="shared" ref="X99" si="85">R99-20000</f>
        <v>328000</v>
      </c>
      <c r="Y99" s="78">
        <f t="shared" si="68"/>
        <v>5.7471264367816133E-2</v>
      </c>
      <c r="Z99" s="75">
        <f t="shared" si="59"/>
        <v>65000</v>
      </c>
      <c r="AA99" s="79">
        <f t="shared" si="69"/>
        <v>0.4196428571428571</v>
      </c>
      <c r="AB99" s="77">
        <f t="shared" si="60"/>
        <v>65000</v>
      </c>
      <c r="AC99" s="80">
        <f t="shared" si="70"/>
        <v>0.61077844311377238</v>
      </c>
      <c r="AD99" s="55"/>
      <c r="AE99" s="120">
        <f t="shared" si="71"/>
        <v>368000</v>
      </c>
      <c r="AF99" s="82">
        <f t="shared" si="72"/>
        <v>376000</v>
      </c>
      <c r="AG99" s="83">
        <f t="shared" si="73"/>
        <v>458000</v>
      </c>
      <c r="AH99" s="84">
        <f t="shared" si="74"/>
        <v>50380</v>
      </c>
      <c r="AI99" s="85">
        <f t="shared" si="75"/>
        <v>407620</v>
      </c>
      <c r="AJ99" s="39">
        <f t="shared" si="61"/>
        <v>-90000</v>
      </c>
      <c r="AK99" s="39">
        <f t="shared" si="62"/>
        <v>-82000</v>
      </c>
      <c r="AP99" s="38" t="e">
        <f>J99+M99+N99+#REF!</f>
        <v>#REF!</v>
      </c>
      <c r="AQ99" s="38">
        <f t="shared" si="63"/>
        <v>368000</v>
      </c>
      <c r="AR99" s="39" t="e">
        <f t="shared" si="64"/>
        <v>#REF!</v>
      </c>
    </row>
    <row r="100" spans="2:44" s="39" customFormat="1" ht="27" customHeight="1">
      <c r="B100" s="286"/>
      <c r="C100" s="287"/>
      <c r="D100" s="283"/>
      <c r="E100" s="280"/>
      <c r="F100" s="283"/>
      <c r="G100" s="280"/>
      <c r="H100" s="296"/>
      <c r="I100" s="182" t="s">
        <v>158</v>
      </c>
      <c r="J100" s="70">
        <v>270000</v>
      </c>
      <c r="K100" s="71">
        <v>279000</v>
      </c>
      <c r="L100" s="71">
        <v>403000</v>
      </c>
      <c r="M100" s="71">
        <f t="shared" si="58"/>
        <v>112000</v>
      </c>
      <c r="N100" s="73">
        <f>64000*2+54000</f>
        <v>182000</v>
      </c>
      <c r="P100" s="70">
        <v>270000</v>
      </c>
      <c r="Q100" s="71">
        <v>279000</v>
      </c>
      <c r="R100" s="73">
        <v>403000</v>
      </c>
      <c r="S100" s="1"/>
      <c r="T100" s="70">
        <v>250000</v>
      </c>
      <c r="U100" s="74">
        <f t="shared" si="66"/>
        <v>7.407407407407407E-2</v>
      </c>
      <c r="V100" s="75">
        <f t="shared" ref="V100" si="86">Q100-20000</f>
        <v>259000</v>
      </c>
      <c r="W100" s="76">
        <f t="shared" si="67"/>
        <v>7.1684587813620082E-2</v>
      </c>
      <c r="X100" s="77">
        <f t="shared" ref="X100" si="87">R100-30000</f>
        <v>373000</v>
      </c>
      <c r="Y100" s="78">
        <f t="shared" si="68"/>
        <v>7.4441687344913188E-2</v>
      </c>
      <c r="Z100" s="75">
        <f t="shared" si="59"/>
        <v>65000</v>
      </c>
      <c r="AA100" s="79">
        <f t="shared" si="69"/>
        <v>0.4196428571428571</v>
      </c>
      <c r="AB100" s="77">
        <f t="shared" si="60"/>
        <v>65000</v>
      </c>
      <c r="AC100" s="80">
        <f t="shared" si="70"/>
        <v>0.64285714285714279</v>
      </c>
      <c r="AD100" s="55"/>
      <c r="AE100" s="120">
        <f t="shared" si="71"/>
        <v>380000</v>
      </c>
      <c r="AF100" s="82">
        <f t="shared" si="72"/>
        <v>389000</v>
      </c>
      <c r="AG100" s="83">
        <f t="shared" si="73"/>
        <v>503000</v>
      </c>
      <c r="AH100" s="84">
        <f t="shared" si="74"/>
        <v>55330</v>
      </c>
      <c r="AI100" s="85">
        <f t="shared" si="75"/>
        <v>447670</v>
      </c>
      <c r="AJ100" s="39">
        <f t="shared" si="61"/>
        <v>-123000</v>
      </c>
      <c r="AK100" s="39">
        <f t="shared" si="62"/>
        <v>-114000</v>
      </c>
      <c r="AP100" s="38" t="e">
        <f>J100+M100+N100+#REF!</f>
        <v>#REF!</v>
      </c>
      <c r="AQ100" s="38">
        <f t="shared" si="63"/>
        <v>380000</v>
      </c>
      <c r="AR100" s="39" t="e">
        <f t="shared" si="64"/>
        <v>#REF!</v>
      </c>
    </row>
    <row r="101" spans="2:44" s="39" customFormat="1" ht="27" customHeight="1">
      <c r="B101" s="286"/>
      <c r="C101" s="287"/>
      <c r="D101" s="283"/>
      <c r="E101" s="280"/>
      <c r="F101" s="283"/>
      <c r="G101" s="280"/>
      <c r="H101" s="296"/>
      <c r="I101" s="156" t="s">
        <v>114</v>
      </c>
      <c r="J101" s="123">
        <v>270000</v>
      </c>
      <c r="K101" s="124">
        <v>279000</v>
      </c>
      <c r="L101" s="124">
        <v>403000</v>
      </c>
      <c r="M101" s="124">
        <f t="shared" si="58"/>
        <v>112000</v>
      </c>
      <c r="N101" s="126">
        <f>64000*2+54000</f>
        <v>182000</v>
      </c>
      <c r="P101" s="123">
        <v>270000</v>
      </c>
      <c r="Q101" s="124">
        <v>279000</v>
      </c>
      <c r="R101" s="126">
        <v>403000</v>
      </c>
      <c r="S101" s="55"/>
      <c r="T101" s="123">
        <v>270000</v>
      </c>
      <c r="U101" s="127">
        <f t="shared" si="66"/>
        <v>0</v>
      </c>
      <c r="V101" s="128">
        <v>279000</v>
      </c>
      <c r="W101" s="129">
        <f t="shared" si="67"/>
        <v>0</v>
      </c>
      <c r="X101" s="130">
        <v>403000</v>
      </c>
      <c r="Y101" s="131">
        <f t="shared" si="68"/>
        <v>0</v>
      </c>
      <c r="Z101" s="128">
        <f t="shared" si="59"/>
        <v>65000</v>
      </c>
      <c r="AA101" s="132">
        <f t="shared" si="69"/>
        <v>0.4196428571428571</v>
      </c>
      <c r="AB101" s="130">
        <f t="shared" si="60"/>
        <v>65000</v>
      </c>
      <c r="AC101" s="133">
        <f t="shared" si="70"/>
        <v>0.64285714285714279</v>
      </c>
      <c r="AD101" s="55"/>
      <c r="AE101" s="120">
        <f t="shared" si="71"/>
        <v>400000</v>
      </c>
      <c r="AF101" s="82">
        <f t="shared" si="72"/>
        <v>409000</v>
      </c>
      <c r="AG101" s="136">
        <f t="shared" si="73"/>
        <v>533000</v>
      </c>
      <c r="AH101" s="84">
        <f t="shared" si="74"/>
        <v>58630</v>
      </c>
      <c r="AI101" s="85">
        <f t="shared" si="75"/>
        <v>474370</v>
      </c>
      <c r="AJ101" s="39">
        <f t="shared" si="61"/>
        <v>-133000</v>
      </c>
      <c r="AK101" s="39">
        <f t="shared" si="62"/>
        <v>-124000</v>
      </c>
      <c r="AP101" s="38" t="e">
        <f>J101+M101+N101+#REF!</f>
        <v>#REF!</v>
      </c>
      <c r="AQ101" s="38">
        <f t="shared" si="63"/>
        <v>400000</v>
      </c>
      <c r="AR101" s="39" t="e">
        <f t="shared" si="64"/>
        <v>#REF!</v>
      </c>
    </row>
    <row r="102" spans="2:44" s="39" customFormat="1" ht="27" customHeight="1">
      <c r="B102" s="286"/>
      <c r="C102" s="287"/>
      <c r="D102" s="283"/>
      <c r="E102" s="280"/>
      <c r="F102" s="283"/>
      <c r="G102" s="280"/>
      <c r="H102" s="337"/>
      <c r="I102" s="156" t="s">
        <v>92</v>
      </c>
      <c r="J102" s="123">
        <v>297000</v>
      </c>
      <c r="K102" s="124">
        <v>310000</v>
      </c>
      <c r="L102" s="124">
        <v>443000</v>
      </c>
      <c r="M102" s="124">
        <f t="shared" si="58"/>
        <v>112000</v>
      </c>
      <c r="N102" s="126">
        <f>64000*2+54000</f>
        <v>182000</v>
      </c>
      <c r="P102" s="123">
        <v>297000</v>
      </c>
      <c r="Q102" s="124">
        <v>310000</v>
      </c>
      <c r="R102" s="126">
        <v>443000</v>
      </c>
      <c r="S102" s="55"/>
      <c r="T102" s="123">
        <v>297000</v>
      </c>
      <c r="U102" s="127">
        <f t="shared" si="66"/>
        <v>0</v>
      </c>
      <c r="V102" s="128">
        <v>310000</v>
      </c>
      <c r="W102" s="129">
        <f t="shared" si="67"/>
        <v>0</v>
      </c>
      <c r="X102" s="130">
        <v>443000</v>
      </c>
      <c r="Y102" s="131">
        <f t="shared" si="68"/>
        <v>0</v>
      </c>
      <c r="Z102" s="128">
        <f t="shared" si="59"/>
        <v>65000</v>
      </c>
      <c r="AA102" s="132">
        <f t="shared" si="69"/>
        <v>0.4196428571428571</v>
      </c>
      <c r="AB102" s="130">
        <f t="shared" si="60"/>
        <v>65000</v>
      </c>
      <c r="AC102" s="133">
        <f t="shared" si="70"/>
        <v>0.64285714285714279</v>
      </c>
      <c r="AD102" s="55"/>
      <c r="AE102" s="120">
        <f t="shared" si="71"/>
        <v>427000</v>
      </c>
      <c r="AF102" s="82">
        <f t="shared" si="72"/>
        <v>440000</v>
      </c>
      <c r="AG102" s="136">
        <f t="shared" si="73"/>
        <v>573000</v>
      </c>
      <c r="AH102" s="84">
        <f t="shared" si="74"/>
        <v>63030</v>
      </c>
      <c r="AI102" s="85">
        <f t="shared" si="75"/>
        <v>509970</v>
      </c>
      <c r="AP102" s="38"/>
      <c r="AQ102" s="38"/>
    </row>
    <row r="103" spans="2:44" s="39" customFormat="1" ht="27" customHeight="1">
      <c r="B103" s="286"/>
      <c r="C103" s="287"/>
      <c r="D103" s="283"/>
      <c r="E103" s="280"/>
      <c r="F103" s="283"/>
      <c r="G103" s="280"/>
      <c r="H103" s="297" t="s">
        <v>25</v>
      </c>
      <c r="I103" s="182" t="s">
        <v>157</v>
      </c>
      <c r="J103" s="86">
        <v>303000</v>
      </c>
      <c r="K103" s="87">
        <v>311000</v>
      </c>
      <c r="L103" s="87">
        <v>403000</v>
      </c>
      <c r="M103" s="87">
        <f t="shared" si="58"/>
        <v>112000</v>
      </c>
      <c r="N103" s="89">
        <f>59000*2+49000</f>
        <v>167000</v>
      </c>
      <c r="P103" s="86">
        <v>303000</v>
      </c>
      <c r="Q103" s="87">
        <v>311000</v>
      </c>
      <c r="R103" s="89">
        <v>403000</v>
      </c>
      <c r="S103" s="1"/>
      <c r="T103" s="86">
        <v>283000</v>
      </c>
      <c r="U103" s="90">
        <f t="shared" si="66"/>
        <v>6.6006600660066028E-2</v>
      </c>
      <c r="V103" s="91">
        <f t="shared" ref="V103" si="88">Q103-20000</f>
        <v>291000</v>
      </c>
      <c r="W103" s="92">
        <f t="shared" si="67"/>
        <v>6.4308681672025747E-2</v>
      </c>
      <c r="X103" s="93">
        <f t="shared" ref="X103" si="89">R103-30000</f>
        <v>373000</v>
      </c>
      <c r="Y103" s="94">
        <f t="shared" si="68"/>
        <v>7.4441687344913188E-2</v>
      </c>
      <c r="Z103" s="91">
        <f t="shared" si="59"/>
        <v>65000</v>
      </c>
      <c r="AA103" s="95">
        <f t="shared" si="69"/>
        <v>0.4196428571428571</v>
      </c>
      <c r="AB103" s="93">
        <f t="shared" si="60"/>
        <v>65000</v>
      </c>
      <c r="AC103" s="96">
        <f t="shared" si="70"/>
        <v>0.61077844311377238</v>
      </c>
      <c r="AD103" s="55"/>
      <c r="AE103" s="121">
        <f t="shared" si="71"/>
        <v>413000</v>
      </c>
      <c r="AF103" s="98">
        <f t="shared" si="72"/>
        <v>421000</v>
      </c>
      <c r="AG103" s="99">
        <f t="shared" si="73"/>
        <v>503000</v>
      </c>
      <c r="AH103" s="100">
        <f t="shared" si="74"/>
        <v>55330</v>
      </c>
      <c r="AI103" s="101">
        <f t="shared" si="75"/>
        <v>447670</v>
      </c>
      <c r="AJ103" s="39">
        <f t="shared" si="61"/>
        <v>-90000</v>
      </c>
      <c r="AK103" s="39">
        <f t="shared" si="62"/>
        <v>-82000</v>
      </c>
      <c r="AP103" s="38" t="e">
        <f>J103+M103+N103+#REF!</f>
        <v>#REF!</v>
      </c>
      <c r="AQ103" s="38">
        <f t="shared" si="63"/>
        <v>413000</v>
      </c>
      <c r="AR103" s="39" t="e">
        <f t="shared" si="64"/>
        <v>#REF!</v>
      </c>
    </row>
    <row r="104" spans="2:44" s="39" customFormat="1" ht="27" customHeight="1">
      <c r="B104" s="286"/>
      <c r="C104" s="287"/>
      <c r="D104" s="283"/>
      <c r="E104" s="280"/>
      <c r="F104" s="283"/>
      <c r="G104" s="280"/>
      <c r="H104" s="296"/>
      <c r="I104" s="182" t="s">
        <v>149</v>
      </c>
      <c r="J104" s="70">
        <v>303000</v>
      </c>
      <c r="K104" s="71">
        <v>311000</v>
      </c>
      <c r="L104" s="71">
        <v>403000</v>
      </c>
      <c r="M104" s="71">
        <f t="shared" si="58"/>
        <v>112000</v>
      </c>
      <c r="N104" s="73">
        <f t="shared" si="65"/>
        <v>167000</v>
      </c>
      <c r="P104" s="70">
        <v>303000</v>
      </c>
      <c r="Q104" s="71">
        <v>311000</v>
      </c>
      <c r="R104" s="73">
        <v>403000</v>
      </c>
      <c r="S104" s="1"/>
      <c r="T104" s="70">
        <v>293000</v>
      </c>
      <c r="U104" s="74">
        <f t="shared" si="66"/>
        <v>3.3003300330032959E-2</v>
      </c>
      <c r="V104" s="75">
        <f t="shared" ref="V104" si="90">Q104-10000</f>
        <v>301000</v>
      </c>
      <c r="W104" s="76">
        <f t="shared" si="67"/>
        <v>3.2154340836012874E-2</v>
      </c>
      <c r="X104" s="77">
        <f t="shared" ref="X104" si="91">R104-20000</f>
        <v>383000</v>
      </c>
      <c r="Y104" s="78">
        <f t="shared" si="68"/>
        <v>4.9627791563275458E-2</v>
      </c>
      <c r="Z104" s="75">
        <f t="shared" si="59"/>
        <v>65000</v>
      </c>
      <c r="AA104" s="79">
        <f t="shared" si="69"/>
        <v>0.4196428571428571</v>
      </c>
      <c r="AB104" s="77">
        <f t="shared" si="60"/>
        <v>65000</v>
      </c>
      <c r="AC104" s="80">
        <f t="shared" si="70"/>
        <v>0.61077844311377238</v>
      </c>
      <c r="AD104" s="55"/>
      <c r="AE104" s="120">
        <f t="shared" si="71"/>
        <v>423000</v>
      </c>
      <c r="AF104" s="82">
        <f t="shared" si="72"/>
        <v>431000</v>
      </c>
      <c r="AG104" s="83">
        <f t="shared" si="73"/>
        <v>513000</v>
      </c>
      <c r="AH104" s="84">
        <f t="shared" si="74"/>
        <v>56430</v>
      </c>
      <c r="AI104" s="85">
        <f t="shared" si="75"/>
        <v>456570</v>
      </c>
      <c r="AJ104" s="39">
        <f t="shared" si="61"/>
        <v>-90000</v>
      </c>
      <c r="AK104" s="39">
        <f t="shared" si="62"/>
        <v>-82000</v>
      </c>
      <c r="AP104" s="38" t="e">
        <f>J104+M104+N104+#REF!</f>
        <v>#REF!</v>
      </c>
      <c r="AQ104" s="38">
        <f t="shared" si="63"/>
        <v>423000</v>
      </c>
      <c r="AR104" s="39" t="e">
        <f t="shared" si="64"/>
        <v>#REF!</v>
      </c>
    </row>
    <row r="105" spans="2:44" s="39" customFormat="1" ht="27" customHeight="1">
      <c r="B105" s="286"/>
      <c r="C105" s="287"/>
      <c r="D105" s="283"/>
      <c r="E105" s="280"/>
      <c r="F105" s="283"/>
      <c r="G105" s="280"/>
      <c r="H105" s="296"/>
      <c r="I105" s="156" t="s">
        <v>150</v>
      </c>
      <c r="J105" s="123">
        <v>325000</v>
      </c>
      <c r="K105" s="124">
        <v>334000</v>
      </c>
      <c r="L105" s="124">
        <v>458000</v>
      </c>
      <c r="M105" s="124">
        <f t="shared" si="58"/>
        <v>112000</v>
      </c>
      <c r="N105" s="126">
        <f>64000*2+54000</f>
        <v>182000</v>
      </c>
      <c r="P105" s="123">
        <v>325000</v>
      </c>
      <c r="Q105" s="124">
        <v>334000</v>
      </c>
      <c r="R105" s="126">
        <v>458000</v>
      </c>
      <c r="S105" s="1"/>
      <c r="T105" s="123">
        <v>305000</v>
      </c>
      <c r="U105" s="127">
        <f t="shared" si="66"/>
        <v>6.1538461538461542E-2</v>
      </c>
      <c r="V105" s="128">
        <f t="shared" ref="V105" si="92">Q105-20000</f>
        <v>314000</v>
      </c>
      <c r="W105" s="129">
        <f t="shared" si="67"/>
        <v>5.9880239520958112E-2</v>
      </c>
      <c r="X105" s="130">
        <f t="shared" ref="X105" si="93">R105-30000</f>
        <v>428000</v>
      </c>
      <c r="Y105" s="131">
        <f t="shared" si="68"/>
        <v>6.5502183406113579E-2</v>
      </c>
      <c r="Z105" s="128">
        <f t="shared" si="59"/>
        <v>65000</v>
      </c>
      <c r="AA105" s="132">
        <f t="shared" si="69"/>
        <v>0.4196428571428571</v>
      </c>
      <c r="AB105" s="130">
        <f t="shared" si="60"/>
        <v>65000</v>
      </c>
      <c r="AC105" s="133">
        <f t="shared" si="70"/>
        <v>0.64285714285714279</v>
      </c>
      <c r="AD105" s="55"/>
      <c r="AE105" s="134">
        <f t="shared" si="71"/>
        <v>435000</v>
      </c>
      <c r="AF105" s="135">
        <f t="shared" si="72"/>
        <v>444000</v>
      </c>
      <c r="AG105" s="136">
        <f t="shared" si="73"/>
        <v>558000</v>
      </c>
      <c r="AH105" s="137">
        <f t="shared" si="74"/>
        <v>61380</v>
      </c>
      <c r="AI105" s="138">
        <f t="shared" si="75"/>
        <v>496620</v>
      </c>
      <c r="AJ105" s="39">
        <f t="shared" si="61"/>
        <v>-123000</v>
      </c>
      <c r="AK105" s="39">
        <f t="shared" si="62"/>
        <v>-114000</v>
      </c>
      <c r="AP105" s="38" t="e">
        <f>J105+M105+N105+#REF!</f>
        <v>#REF!</v>
      </c>
      <c r="AQ105" s="38">
        <f t="shared" si="63"/>
        <v>435000</v>
      </c>
      <c r="AR105" s="39" t="e">
        <f t="shared" si="64"/>
        <v>#REF!</v>
      </c>
    </row>
    <row r="106" spans="2:44" s="39" customFormat="1" ht="27" customHeight="1">
      <c r="B106" s="286"/>
      <c r="C106" s="287"/>
      <c r="D106" s="283"/>
      <c r="E106" s="280"/>
      <c r="F106" s="283"/>
      <c r="G106" s="280"/>
      <c r="H106" s="296"/>
      <c r="I106" s="156" t="s">
        <v>114</v>
      </c>
      <c r="J106" s="123">
        <v>325000</v>
      </c>
      <c r="K106" s="124">
        <v>334000</v>
      </c>
      <c r="L106" s="124">
        <v>458000</v>
      </c>
      <c r="M106" s="124">
        <f t="shared" si="58"/>
        <v>112000</v>
      </c>
      <c r="N106" s="126">
        <f>64000*2+54000</f>
        <v>182000</v>
      </c>
      <c r="P106" s="123">
        <v>325000</v>
      </c>
      <c r="Q106" s="124">
        <v>334000</v>
      </c>
      <c r="R106" s="126">
        <v>458000</v>
      </c>
      <c r="S106" s="55"/>
      <c r="T106" s="123">
        <v>325000</v>
      </c>
      <c r="U106" s="127">
        <f t="shared" ref="U106:U117" si="94">1-(T106/J106)</f>
        <v>0</v>
      </c>
      <c r="V106" s="128">
        <v>334000</v>
      </c>
      <c r="W106" s="129">
        <f t="shared" ref="W106:W117" si="95">1-(V106/K106)</f>
        <v>0</v>
      </c>
      <c r="X106" s="130">
        <v>458000</v>
      </c>
      <c r="Y106" s="131">
        <f t="shared" ref="Y106:Y117" si="96">1-(X106/L106)</f>
        <v>0</v>
      </c>
      <c r="Z106" s="128">
        <f t="shared" si="59"/>
        <v>65000</v>
      </c>
      <c r="AA106" s="132">
        <f t="shared" ref="AA106:AA117" si="97">1-(Z106/M106)</f>
        <v>0.4196428571428571</v>
      </c>
      <c r="AB106" s="130">
        <f t="shared" si="60"/>
        <v>65000</v>
      </c>
      <c r="AC106" s="133">
        <f t="shared" ref="AC106:AC117" si="98">1-(AB106/N106)</f>
        <v>0.64285714285714279</v>
      </c>
      <c r="AD106" s="55"/>
      <c r="AE106" s="120">
        <f t="shared" si="71"/>
        <v>455000</v>
      </c>
      <c r="AF106" s="82">
        <f t="shared" si="72"/>
        <v>464000</v>
      </c>
      <c r="AG106" s="136">
        <f t="shared" si="73"/>
        <v>588000</v>
      </c>
      <c r="AH106" s="84">
        <f t="shared" si="74"/>
        <v>64680</v>
      </c>
      <c r="AI106" s="85">
        <f t="shared" si="75"/>
        <v>523320</v>
      </c>
      <c r="AJ106" s="39">
        <f t="shared" si="61"/>
        <v>-133000</v>
      </c>
      <c r="AK106" s="39">
        <f t="shared" si="62"/>
        <v>-124000</v>
      </c>
      <c r="AP106" s="38" t="e">
        <f>J106+M106+N106+#REF!</f>
        <v>#REF!</v>
      </c>
      <c r="AQ106" s="38">
        <f t="shared" si="63"/>
        <v>455000</v>
      </c>
      <c r="AR106" s="39" t="e">
        <f t="shared" si="64"/>
        <v>#REF!</v>
      </c>
    </row>
    <row r="107" spans="2:44" s="39" customFormat="1" ht="27" customHeight="1">
      <c r="B107" s="286"/>
      <c r="C107" s="287"/>
      <c r="D107" s="283"/>
      <c r="E107" s="280"/>
      <c r="F107" s="342"/>
      <c r="G107" s="343"/>
      <c r="H107" s="337"/>
      <c r="I107" s="156" t="s">
        <v>92</v>
      </c>
      <c r="J107" s="123">
        <v>352000</v>
      </c>
      <c r="K107" s="124">
        <v>365000</v>
      </c>
      <c r="L107" s="124">
        <v>498000</v>
      </c>
      <c r="M107" s="124">
        <f t="shared" si="58"/>
        <v>112000</v>
      </c>
      <c r="N107" s="126">
        <f>64000*2+54000</f>
        <v>182000</v>
      </c>
      <c r="P107" s="123">
        <v>352000</v>
      </c>
      <c r="Q107" s="124">
        <v>365000</v>
      </c>
      <c r="R107" s="126">
        <v>498000</v>
      </c>
      <c r="S107" s="55"/>
      <c r="T107" s="123">
        <v>352000</v>
      </c>
      <c r="U107" s="127">
        <f t="shared" si="94"/>
        <v>0</v>
      </c>
      <c r="V107" s="128">
        <v>365000</v>
      </c>
      <c r="W107" s="129">
        <f t="shared" si="95"/>
        <v>0</v>
      </c>
      <c r="X107" s="130">
        <v>498000</v>
      </c>
      <c r="Y107" s="131">
        <f t="shared" si="96"/>
        <v>0</v>
      </c>
      <c r="Z107" s="128">
        <f t="shared" si="59"/>
        <v>65000</v>
      </c>
      <c r="AA107" s="132">
        <f t="shared" si="97"/>
        <v>0.4196428571428571</v>
      </c>
      <c r="AB107" s="130">
        <f t="shared" si="60"/>
        <v>65000</v>
      </c>
      <c r="AC107" s="133">
        <f t="shared" si="98"/>
        <v>0.64285714285714279</v>
      </c>
      <c r="AD107" s="55"/>
      <c r="AE107" s="120">
        <f t="shared" si="71"/>
        <v>482000</v>
      </c>
      <c r="AF107" s="82">
        <f t="shared" si="72"/>
        <v>495000</v>
      </c>
      <c r="AG107" s="136">
        <f t="shared" si="73"/>
        <v>628000</v>
      </c>
      <c r="AH107" s="84">
        <f t="shared" si="74"/>
        <v>69080</v>
      </c>
      <c r="AI107" s="85">
        <f t="shared" si="75"/>
        <v>558920</v>
      </c>
      <c r="AP107" s="38"/>
      <c r="AQ107" s="38"/>
    </row>
    <row r="108" spans="2:44" s="39" customFormat="1" ht="27" customHeight="1">
      <c r="B108" s="286"/>
      <c r="C108" s="287"/>
      <c r="D108" s="283"/>
      <c r="E108" s="280"/>
      <c r="F108" s="282" t="s">
        <v>55</v>
      </c>
      <c r="G108" s="279"/>
      <c r="H108" s="297" t="s">
        <v>18</v>
      </c>
      <c r="I108" s="182" t="s">
        <v>148</v>
      </c>
      <c r="J108" s="86">
        <v>263000</v>
      </c>
      <c r="K108" s="87">
        <v>272000</v>
      </c>
      <c r="L108" s="87">
        <v>373000</v>
      </c>
      <c r="M108" s="87">
        <f t="shared" si="58"/>
        <v>112000</v>
      </c>
      <c r="N108" s="89">
        <f>59000*2+49000</f>
        <v>167000</v>
      </c>
      <c r="P108" s="86">
        <v>263000</v>
      </c>
      <c r="Q108" s="87">
        <v>272000</v>
      </c>
      <c r="R108" s="89">
        <v>373000</v>
      </c>
      <c r="S108" s="1"/>
      <c r="T108" s="86">
        <v>243000</v>
      </c>
      <c r="U108" s="90">
        <f t="shared" si="94"/>
        <v>7.6045627376425839E-2</v>
      </c>
      <c r="V108" s="91">
        <f t="shared" ref="V108" si="99">Q108-20000</f>
        <v>252000</v>
      </c>
      <c r="W108" s="92">
        <f t="shared" si="95"/>
        <v>7.3529411764705843E-2</v>
      </c>
      <c r="X108" s="93">
        <f t="shared" ref="X108" si="100">R108-30000</f>
        <v>343000</v>
      </c>
      <c r="Y108" s="94">
        <f t="shared" si="96"/>
        <v>8.0428954423592547E-2</v>
      </c>
      <c r="Z108" s="91">
        <f t="shared" si="59"/>
        <v>65000</v>
      </c>
      <c r="AA108" s="95">
        <f t="shared" si="97"/>
        <v>0.4196428571428571</v>
      </c>
      <c r="AB108" s="93">
        <f t="shared" si="60"/>
        <v>65000</v>
      </c>
      <c r="AC108" s="96">
        <f t="shared" si="98"/>
        <v>0.61077844311377238</v>
      </c>
      <c r="AD108" s="55"/>
      <c r="AE108" s="121">
        <f t="shared" si="71"/>
        <v>373000</v>
      </c>
      <c r="AF108" s="98">
        <f t="shared" si="72"/>
        <v>382000</v>
      </c>
      <c r="AG108" s="99">
        <f t="shared" si="73"/>
        <v>473000</v>
      </c>
      <c r="AH108" s="100">
        <f t="shared" si="74"/>
        <v>52030</v>
      </c>
      <c r="AI108" s="101">
        <f t="shared" si="75"/>
        <v>420970</v>
      </c>
      <c r="AJ108" s="39">
        <f t="shared" si="61"/>
        <v>-100000</v>
      </c>
      <c r="AK108" s="39">
        <f t="shared" si="62"/>
        <v>-91000</v>
      </c>
      <c r="AP108" s="38" t="e">
        <f>J108+M108+N108+#REF!</f>
        <v>#REF!</v>
      </c>
      <c r="AQ108" s="38">
        <f t="shared" si="63"/>
        <v>373000</v>
      </c>
      <c r="AR108" s="39" t="e">
        <f t="shared" si="64"/>
        <v>#REF!</v>
      </c>
    </row>
    <row r="109" spans="2:44" s="39" customFormat="1" ht="27" customHeight="1">
      <c r="B109" s="286"/>
      <c r="C109" s="287"/>
      <c r="D109" s="283"/>
      <c r="E109" s="280"/>
      <c r="F109" s="283"/>
      <c r="G109" s="280"/>
      <c r="H109" s="296"/>
      <c r="I109" s="182" t="s">
        <v>149</v>
      </c>
      <c r="J109" s="70">
        <v>263000</v>
      </c>
      <c r="K109" s="71">
        <v>272000</v>
      </c>
      <c r="L109" s="71">
        <v>373000</v>
      </c>
      <c r="M109" s="71">
        <f t="shared" si="58"/>
        <v>112000</v>
      </c>
      <c r="N109" s="73">
        <f t="shared" si="65"/>
        <v>167000</v>
      </c>
      <c r="P109" s="70">
        <v>263000</v>
      </c>
      <c r="Q109" s="71">
        <v>272000</v>
      </c>
      <c r="R109" s="73">
        <v>373000</v>
      </c>
      <c r="S109" s="1"/>
      <c r="T109" s="70">
        <v>253000</v>
      </c>
      <c r="U109" s="74">
        <f t="shared" si="94"/>
        <v>3.802281368821292E-2</v>
      </c>
      <c r="V109" s="75">
        <f t="shared" ref="V109" si="101">Q109-10000</f>
        <v>262000</v>
      </c>
      <c r="W109" s="76">
        <f t="shared" si="95"/>
        <v>3.6764705882352922E-2</v>
      </c>
      <c r="X109" s="77">
        <f t="shared" ref="X109" si="102">R109-20000</f>
        <v>353000</v>
      </c>
      <c r="Y109" s="78">
        <f t="shared" si="96"/>
        <v>5.3619302949061698E-2</v>
      </c>
      <c r="Z109" s="75">
        <f t="shared" si="59"/>
        <v>65000</v>
      </c>
      <c r="AA109" s="79">
        <f t="shared" si="97"/>
        <v>0.4196428571428571</v>
      </c>
      <c r="AB109" s="77">
        <f t="shared" si="60"/>
        <v>65000</v>
      </c>
      <c r="AC109" s="80">
        <f t="shared" si="98"/>
        <v>0.61077844311377238</v>
      </c>
      <c r="AD109" s="55"/>
      <c r="AE109" s="120">
        <f t="shared" si="71"/>
        <v>383000</v>
      </c>
      <c r="AF109" s="82">
        <f t="shared" si="72"/>
        <v>392000</v>
      </c>
      <c r="AG109" s="83">
        <f t="shared" si="73"/>
        <v>483000</v>
      </c>
      <c r="AH109" s="84">
        <f t="shared" si="74"/>
        <v>53130</v>
      </c>
      <c r="AI109" s="85">
        <f t="shared" si="75"/>
        <v>429870</v>
      </c>
      <c r="AJ109" s="39">
        <f t="shared" si="61"/>
        <v>-100000</v>
      </c>
      <c r="AK109" s="39">
        <f t="shared" si="62"/>
        <v>-91000</v>
      </c>
      <c r="AP109" s="38" t="e">
        <f>J109+M109+N109+#REF!</f>
        <v>#REF!</v>
      </c>
      <c r="AQ109" s="38">
        <f t="shared" si="63"/>
        <v>383000</v>
      </c>
      <c r="AR109" s="39" t="e">
        <f t="shared" si="64"/>
        <v>#REF!</v>
      </c>
    </row>
    <row r="110" spans="2:44" s="39" customFormat="1" ht="27" customHeight="1">
      <c r="B110" s="286"/>
      <c r="C110" s="287"/>
      <c r="D110" s="283"/>
      <c r="E110" s="280"/>
      <c r="F110" s="283"/>
      <c r="G110" s="280"/>
      <c r="H110" s="296"/>
      <c r="I110" s="182" t="s">
        <v>150</v>
      </c>
      <c r="J110" s="70">
        <v>286000</v>
      </c>
      <c r="K110" s="71">
        <v>294000</v>
      </c>
      <c r="L110" s="71">
        <v>428000</v>
      </c>
      <c r="M110" s="71">
        <f t="shared" si="58"/>
        <v>112000</v>
      </c>
      <c r="N110" s="73">
        <f>64000*2+54000</f>
        <v>182000</v>
      </c>
      <c r="P110" s="70">
        <v>286000</v>
      </c>
      <c r="Q110" s="71">
        <v>294000</v>
      </c>
      <c r="R110" s="73">
        <v>428000</v>
      </c>
      <c r="S110" s="1"/>
      <c r="T110" s="70">
        <v>286000</v>
      </c>
      <c r="U110" s="74">
        <f t="shared" si="94"/>
        <v>0</v>
      </c>
      <c r="V110" s="75">
        <v>294000</v>
      </c>
      <c r="W110" s="76">
        <f t="shared" si="95"/>
        <v>0</v>
      </c>
      <c r="X110" s="77">
        <f t="shared" ref="X110" si="103">R110-30000</f>
        <v>398000</v>
      </c>
      <c r="Y110" s="78">
        <f t="shared" si="96"/>
        <v>7.0093457943925186E-2</v>
      </c>
      <c r="Z110" s="75">
        <f t="shared" si="59"/>
        <v>65000</v>
      </c>
      <c r="AA110" s="79">
        <f t="shared" si="97"/>
        <v>0.4196428571428571</v>
      </c>
      <c r="AB110" s="77">
        <f t="shared" si="60"/>
        <v>65000</v>
      </c>
      <c r="AC110" s="80">
        <f t="shared" si="98"/>
        <v>0.64285714285714279</v>
      </c>
      <c r="AD110" s="55"/>
      <c r="AE110" s="120">
        <f t="shared" si="71"/>
        <v>416000</v>
      </c>
      <c r="AF110" s="82">
        <f t="shared" si="72"/>
        <v>424000</v>
      </c>
      <c r="AG110" s="83">
        <f t="shared" si="73"/>
        <v>528000</v>
      </c>
      <c r="AH110" s="84">
        <f t="shared" si="74"/>
        <v>58080</v>
      </c>
      <c r="AI110" s="85">
        <f t="shared" si="75"/>
        <v>469920</v>
      </c>
      <c r="AJ110" s="39">
        <f t="shared" si="61"/>
        <v>-112000</v>
      </c>
      <c r="AK110" s="39">
        <f t="shared" si="62"/>
        <v>-104000</v>
      </c>
      <c r="AP110" s="38" t="e">
        <f>J110+M110+N110+#REF!</f>
        <v>#REF!</v>
      </c>
      <c r="AQ110" s="38">
        <f t="shared" si="63"/>
        <v>416000</v>
      </c>
      <c r="AR110" s="39" t="e">
        <f t="shared" si="64"/>
        <v>#REF!</v>
      </c>
    </row>
    <row r="111" spans="2:44" s="39" customFormat="1" ht="27" customHeight="1">
      <c r="B111" s="286"/>
      <c r="C111" s="287"/>
      <c r="D111" s="283"/>
      <c r="E111" s="280"/>
      <c r="F111" s="283"/>
      <c r="G111" s="280"/>
      <c r="H111" s="296"/>
      <c r="I111" s="156" t="s">
        <v>114</v>
      </c>
      <c r="J111" s="123">
        <v>286000</v>
      </c>
      <c r="K111" s="124">
        <v>294000</v>
      </c>
      <c r="L111" s="124">
        <v>428000</v>
      </c>
      <c r="M111" s="124">
        <f t="shared" si="58"/>
        <v>112000</v>
      </c>
      <c r="N111" s="126">
        <f>64000*2+54000</f>
        <v>182000</v>
      </c>
      <c r="P111" s="123">
        <v>286000</v>
      </c>
      <c r="Q111" s="124">
        <v>294000</v>
      </c>
      <c r="R111" s="126">
        <v>428000</v>
      </c>
      <c r="S111" s="55"/>
      <c r="T111" s="123">
        <v>286000</v>
      </c>
      <c r="U111" s="127">
        <f t="shared" si="94"/>
        <v>0</v>
      </c>
      <c r="V111" s="128">
        <v>294000</v>
      </c>
      <c r="W111" s="129">
        <f t="shared" si="95"/>
        <v>0</v>
      </c>
      <c r="X111" s="130">
        <v>428000</v>
      </c>
      <c r="Y111" s="131">
        <f t="shared" si="96"/>
        <v>0</v>
      </c>
      <c r="Z111" s="128">
        <f t="shared" si="59"/>
        <v>65000</v>
      </c>
      <c r="AA111" s="132">
        <f t="shared" si="97"/>
        <v>0.4196428571428571</v>
      </c>
      <c r="AB111" s="130">
        <f t="shared" si="60"/>
        <v>65000</v>
      </c>
      <c r="AC111" s="133">
        <f t="shared" si="98"/>
        <v>0.64285714285714279</v>
      </c>
      <c r="AD111" s="55"/>
      <c r="AE111" s="120">
        <f t="shared" si="71"/>
        <v>416000</v>
      </c>
      <c r="AF111" s="82">
        <f t="shared" si="72"/>
        <v>424000</v>
      </c>
      <c r="AG111" s="136">
        <f t="shared" si="73"/>
        <v>558000</v>
      </c>
      <c r="AH111" s="84">
        <f t="shared" si="74"/>
        <v>61380</v>
      </c>
      <c r="AI111" s="85">
        <f t="shared" si="75"/>
        <v>496620</v>
      </c>
      <c r="AJ111" s="39">
        <f t="shared" si="61"/>
        <v>-142000</v>
      </c>
      <c r="AK111" s="39">
        <f t="shared" si="62"/>
        <v>-134000</v>
      </c>
      <c r="AP111" s="38" t="e">
        <f>J111+M111+N111+#REF!</f>
        <v>#REF!</v>
      </c>
      <c r="AQ111" s="38">
        <f t="shared" si="63"/>
        <v>416000</v>
      </c>
      <c r="AR111" s="39" t="e">
        <f t="shared" si="64"/>
        <v>#REF!</v>
      </c>
    </row>
    <row r="112" spans="2:44" s="39" customFormat="1" ht="27" customHeight="1">
      <c r="B112" s="286"/>
      <c r="C112" s="287"/>
      <c r="D112" s="283"/>
      <c r="E112" s="280"/>
      <c r="F112" s="283"/>
      <c r="G112" s="280"/>
      <c r="H112" s="337"/>
      <c r="I112" s="156" t="s">
        <v>92</v>
      </c>
      <c r="J112" s="123">
        <v>311000</v>
      </c>
      <c r="K112" s="124">
        <v>323000</v>
      </c>
      <c r="L112" s="124">
        <v>478000</v>
      </c>
      <c r="M112" s="124">
        <f t="shared" si="58"/>
        <v>112000</v>
      </c>
      <c r="N112" s="126">
        <f>64000*2+54000</f>
        <v>182000</v>
      </c>
      <c r="P112" s="123">
        <v>311000</v>
      </c>
      <c r="Q112" s="124">
        <v>323000</v>
      </c>
      <c r="R112" s="126">
        <v>478000</v>
      </c>
      <c r="S112" s="55"/>
      <c r="T112" s="123">
        <v>311000</v>
      </c>
      <c r="U112" s="127">
        <f t="shared" si="94"/>
        <v>0</v>
      </c>
      <c r="V112" s="128">
        <v>323000</v>
      </c>
      <c r="W112" s="129">
        <f t="shared" si="95"/>
        <v>0</v>
      </c>
      <c r="X112" s="130">
        <v>478000</v>
      </c>
      <c r="Y112" s="131">
        <f t="shared" si="96"/>
        <v>0</v>
      </c>
      <c r="Z112" s="128">
        <f t="shared" si="59"/>
        <v>65000</v>
      </c>
      <c r="AA112" s="132">
        <f t="shared" si="97"/>
        <v>0.4196428571428571</v>
      </c>
      <c r="AB112" s="130">
        <f t="shared" si="60"/>
        <v>65000</v>
      </c>
      <c r="AC112" s="133">
        <f t="shared" si="98"/>
        <v>0.64285714285714279</v>
      </c>
      <c r="AD112" s="55"/>
      <c r="AE112" s="120">
        <f t="shared" si="71"/>
        <v>441000</v>
      </c>
      <c r="AF112" s="82">
        <f t="shared" si="72"/>
        <v>453000</v>
      </c>
      <c r="AG112" s="136">
        <f t="shared" si="73"/>
        <v>608000</v>
      </c>
      <c r="AH112" s="84">
        <f t="shared" si="74"/>
        <v>66880</v>
      </c>
      <c r="AI112" s="85">
        <f t="shared" si="75"/>
        <v>541120</v>
      </c>
      <c r="AP112" s="38"/>
      <c r="AQ112" s="38"/>
    </row>
    <row r="113" spans="2:44" s="39" customFormat="1" ht="27" customHeight="1">
      <c r="B113" s="286"/>
      <c r="C113" s="287"/>
      <c r="D113" s="283"/>
      <c r="E113" s="280"/>
      <c r="F113" s="283"/>
      <c r="G113" s="280"/>
      <c r="H113" s="297" t="s">
        <v>25</v>
      </c>
      <c r="I113" s="182" t="s">
        <v>148</v>
      </c>
      <c r="J113" s="86">
        <v>318000</v>
      </c>
      <c r="K113" s="87">
        <v>327000</v>
      </c>
      <c r="L113" s="87">
        <v>428000</v>
      </c>
      <c r="M113" s="87">
        <f t="shared" si="58"/>
        <v>112000</v>
      </c>
      <c r="N113" s="89">
        <f>59000*2+49000</f>
        <v>167000</v>
      </c>
      <c r="P113" s="86">
        <v>318000</v>
      </c>
      <c r="Q113" s="87">
        <v>327000</v>
      </c>
      <c r="R113" s="89">
        <v>428000</v>
      </c>
      <c r="S113" s="1"/>
      <c r="T113" s="86">
        <v>298000</v>
      </c>
      <c r="U113" s="90">
        <f t="shared" si="94"/>
        <v>6.2893081761006275E-2</v>
      </c>
      <c r="V113" s="91">
        <f t="shared" ref="V113" si="104">Q113-20000</f>
        <v>307000</v>
      </c>
      <c r="W113" s="92">
        <f t="shared" si="95"/>
        <v>6.1162079510703404E-2</v>
      </c>
      <c r="X113" s="93">
        <f t="shared" ref="X113" si="105">R113-30000</f>
        <v>398000</v>
      </c>
      <c r="Y113" s="94">
        <f t="shared" si="96"/>
        <v>7.0093457943925186E-2</v>
      </c>
      <c r="Z113" s="91">
        <f t="shared" si="59"/>
        <v>65000</v>
      </c>
      <c r="AA113" s="95">
        <f t="shared" si="97"/>
        <v>0.4196428571428571</v>
      </c>
      <c r="AB113" s="93">
        <f t="shared" si="60"/>
        <v>65000</v>
      </c>
      <c r="AC113" s="96">
        <f t="shared" si="98"/>
        <v>0.61077844311377238</v>
      </c>
      <c r="AD113" s="55"/>
      <c r="AE113" s="121">
        <f t="shared" si="71"/>
        <v>428000</v>
      </c>
      <c r="AF113" s="98">
        <f t="shared" si="72"/>
        <v>437000</v>
      </c>
      <c r="AG113" s="99">
        <f t="shared" si="73"/>
        <v>528000</v>
      </c>
      <c r="AH113" s="100">
        <f t="shared" si="74"/>
        <v>58080</v>
      </c>
      <c r="AI113" s="101">
        <f t="shared" si="75"/>
        <v>469920</v>
      </c>
      <c r="AJ113" s="39">
        <f t="shared" si="61"/>
        <v>-100000</v>
      </c>
      <c r="AK113" s="39">
        <f t="shared" si="62"/>
        <v>-91000</v>
      </c>
      <c r="AP113" s="38" t="e">
        <f>J113+M113+N113+#REF!</f>
        <v>#REF!</v>
      </c>
      <c r="AQ113" s="38">
        <f t="shared" si="63"/>
        <v>428000</v>
      </c>
      <c r="AR113" s="39" t="e">
        <f t="shared" si="64"/>
        <v>#REF!</v>
      </c>
    </row>
    <row r="114" spans="2:44" s="39" customFormat="1" ht="27" customHeight="1">
      <c r="B114" s="286"/>
      <c r="C114" s="287"/>
      <c r="D114" s="283"/>
      <c r="E114" s="280"/>
      <c r="F114" s="283"/>
      <c r="G114" s="280"/>
      <c r="H114" s="296"/>
      <c r="I114" s="182" t="s">
        <v>151</v>
      </c>
      <c r="J114" s="70">
        <v>318000</v>
      </c>
      <c r="K114" s="71">
        <v>327000</v>
      </c>
      <c r="L114" s="71">
        <v>428000</v>
      </c>
      <c r="M114" s="71">
        <f t="shared" si="58"/>
        <v>112000</v>
      </c>
      <c r="N114" s="73">
        <f t="shared" si="65"/>
        <v>167000</v>
      </c>
      <c r="P114" s="70">
        <v>318000</v>
      </c>
      <c r="Q114" s="71">
        <v>327000</v>
      </c>
      <c r="R114" s="73">
        <v>428000</v>
      </c>
      <c r="S114" s="1"/>
      <c r="T114" s="70">
        <v>308000</v>
      </c>
      <c r="U114" s="74">
        <f t="shared" si="94"/>
        <v>3.1446540880503138E-2</v>
      </c>
      <c r="V114" s="75">
        <f t="shared" ref="V114" si="106">Q114-10000</f>
        <v>317000</v>
      </c>
      <c r="W114" s="76">
        <f t="shared" si="95"/>
        <v>3.0581039755351647E-2</v>
      </c>
      <c r="X114" s="77">
        <f t="shared" ref="X114" si="107">R114-20000</f>
        <v>408000</v>
      </c>
      <c r="Y114" s="78">
        <f t="shared" si="96"/>
        <v>4.6728971962616828E-2</v>
      </c>
      <c r="Z114" s="75">
        <f t="shared" si="59"/>
        <v>65000</v>
      </c>
      <c r="AA114" s="79">
        <f t="shared" si="97"/>
        <v>0.4196428571428571</v>
      </c>
      <c r="AB114" s="77">
        <f t="shared" si="60"/>
        <v>65000</v>
      </c>
      <c r="AC114" s="80">
        <f t="shared" si="98"/>
        <v>0.61077844311377238</v>
      </c>
      <c r="AD114" s="55"/>
      <c r="AE114" s="120">
        <f t="shared" si="71"/>
        <v>438000</v>
      </c>
      <c r="AF114" s="82">
        <f t="shared" si="72"/>
        <v>447000</v>
      </c>
      <c r="AG114" s="83">
        <f t="shared" si="73"/>
        <v>538000</v>
      </c>
      <c r="AH114" s="84">
        <f t="shared" si="74"/>
        <v>59180</v>
      </c>
      <c r="AI114" s="85">
        <f t="shared" si="75"/>
        <v>478820</v>
      </c>
      <c r="AJ114" s="39">
        <f t="shared" si="61"/>
        <v>-100000</v>
      </c>
      <c r="AK114" s="39">
        <f t="shared" si="62"/>
        <v>-91000</v>
      </c>
      <c r="AP114" s="38" t="e">
        <f>J114+M114+N114+#REF!</f>
        <v>#REF!</v>
      </c>
      <c r="AQ114" s="38">
        <f t="shared" si="63"/>
        <v>438000</v>
      </c>
      <c r="AR114" s="39" t="e">
        <f t="shared" si="64"/>
        <v>#REF!</v>
      </c>
    </row>
    <row r="115" spans="2:44" s="39" customFormat="1" ht="27" customHeight="1">
      <c r="B115" s="286"/>
      <c r="C115" s="287"/>
      <c r="D115" s="283"/>
      <c r="E115" s="280"/>
      <c r="F115" s="283"/>
      <c r="G115" s="280"/>
      <c r="H115" s="296"/>
      <c r="I115" s="156" t="s">
        <v>152</v>
      </c>
      <c r="J115" s="123">
        <v>341000</v>
      </c>
      <c r="K115" s="124">
        <v>349000</v>
      </c>
      <c r="L115" s="124">
        <v>483000</v>
      </c>
      <c r="M115" s="124">
        <f t="shared" si="58"/>
        <v>112000</v>
      </c>
      <c r="N115" s="126">
        <f>64000*2+54000</f>
        <v>182000</v>
      </c>
      <c r="P115" s="123">
        <v>341000</v>
      </c>
      <c r="Q115" s="124">
        <v>349000</v>
      </c>
      <c r="R115" s="126">
        <v>483000</v>
      </c>
      <c r="S115" s="1"/>
      <c r="T115" s="123">
        <v>341000</v>
      </c>
      <c r="U115" s="127">
        <f t="shared" si="94"/>
        <v>0</v>
      </c>
      <c r="V115" s="128">
        <v>349000</v>
      </c>
      <c r="W115" s="129">
        <f t="shared" si="95"/>
        <v>0</v>
      </c>
      <c r="X115" s="130">
        <f t="shared" ref="X115" si="108">R115-30000</f>
        <v>453000</v>
      </c>
      <c r="Y115" s="131">
        <f t="shared" si="96"/>
        <v>6.2111801242236031E-2</v>
      </c>
      <c r="Z115" s="128">
        <f t="shared" si="59"/>
        <v>65000</v>
      </c>
      <c r="AA115" s="132">
        <f t="shared" si="97"/>
        <v>0.4196428571428571</v>
      </c>
      <c r="AB115" s="130">
        <f t="shared" si="60"/>
        <v>65000</v>
      </c>
      <c r="AC115" s="133">
        <f t="shared" si="98"/>
        <v>0.64285714285714279</v>
      </c>
      <c r="AD115" s="55"/>
      <c r="AE115" s="134">
        <f t="shared" si="71"/>
        <v>471000</v>
      </c>
      <c r="AF115" s="135">
        <f t="shared" si="72"/>
        <v>479000</v>
      </c>
      <c r="AG115" s="136">
        <f t="shared" si="73"/>
        <v>583000</v>
      </c>
      <c r="AH115" s="137">
        <f t="shared" si="74"/>
        <v>64130</v>
      </c>
      <c r="AI115" s="138">
        <f t="shared" si="75"/>
        <v>518870</v>
      </c>
      <c r="AJ115" s="39">
        <f t="shared" si="61"/>
        <v>-112000</v>
      </c>
      <c r="AK115" s="39">
        <f t="shared" si="62"/>
        <v>-104000</v>
      </c>
      <c r="AP115" s="38" t="e">
        <f>J115+M115+N115+#REF!</f>
        <v>#REF!</v>
      </c>
      <c r="AQ115" s="38">
        <f t="shared" si="63"/>
        <v>471000</v>
      </c>
      <c r="AR115" s="39" t="e">
        <f t="shared" si="64"/>
        <v>#REF!</v>
      </c>
    </row>
    <row r="116" spans="2:44" s="39" customFormat="1" ht="27" customHeight="1">
      <c r="B116" s="286"/>
      <c r="C116" s="287"/>
      <c r="D116" s="283"/>
      <c r="E116" s="280"/>
      <c r="F116" s="283"/>
      <c r="G116" s="280"/>
      <c r="H116" s="296"/>
      <c r="I116" s="156" t="s">
        <v>114</v>
      </c>
      <c r="J116" s="123">
        <v>341000</v>
      </c>
      <c r="K116" s="124">
        <v>349000</v>
      </c>
      <c r="L116" s="124">
        <v>483000</v>
      </c>
      <c r="M116" s="124">
        <f t="shared" si="58"/>
        <v>112000</v>
      </c>
      <c r="N116" s="126">
        <f>64000*2+54000</f>
        <v>182000</v>
      </c>
      <c r="P116" s="123">
        <v>341000</v>
      </c>
      <c r="Q116" s="124">
        <v>349000</v>
      </c>
      <c r="R116" s="126">
        <v>483000</v>
      </c>
      <c r="S116" s="55"/>
      <c r="T116" s="123">
        <v>341000</v>
      </c>
      <c r="U116" s="127">
        <f t="shared" si="94"/>
        <v>0</v>
      </c>
      <c r="V116" s="128">
        <v>349000</v>
      </c>
      <c r="W116" s="129">
        <f t="shared" si="95"/>
        <v>0</v>
      </c>
      <c r="X116" s="130">
        <v>483000</v>
      </c>
      <c r="Y116" s="131">
        <f t="shared" si="96"/>
        <v>0</v>
      </c>
      <c r="Z116" s="128">
        <f t="shared" si="59"/>
        <v>65000</v>
      </c>
      <c r="AA116" s="132">
        <f t="shared" si="97"/>
        <v>0.4196428571428571</v>
      </c>
      <c r="AB116" s="130">
        <f t="shared" si="60"/>
        <v>65000</v>
      </c>
      <c r="AC116" s="133">
        <f t="shared" si="98"/>
        <v>0.64285714285714279</v>
      </c>
      <c r="AD116" s="55"/>
      <c r="AE116" s="134">
        <f t="shared" si="71"/>
        <v>471000</v>
      </c>
      <c r="AF116" s="135">
        <f t="shared" si="72"/>
        <v>479000</v>
      </c>
      <c r="AG116" s="136">
        <f t="shared" si="73"/>
        <v>613000</v>
      </c>
      <c r="AH116" s="137">
        <f t="shared" si="74"/>
        <v>67430</v>
      </c>
      <c r="AI116" s="138">
        <f t="shared" si="75"/>
        <v>545570</v>
      </c>
      <c r="AJ116" s="39">
        <f t="shared" si="61"/>
        <v>-142000</v>
      </c>
      <c r="AK116" s="39">
        <f t="shared" si="62"/>
        <v>-134000</v>
      </c>
      <c r="AP116" s="38" t="e">
        <f>J116+M116+N116+#REF!</f>
        <v>#REF!</v>
      </c>
      <c r="AQ116" s="38">
        <f t="shared" si="63"/>
        <v>471000</v>
      </c>
      <c r="AR116" s="39" t="e">
        <f t="shared" si="64"/>
        <v>#REF!</v>
      </c>
    </row>
    <row r="117" spans="2:44" ht="27" customHeight="1" thickBot="1">
      <c r="B117" s="288"/>
      <c r="C117" s="289"/>
      <c r="D117" s="294"/>
      <c r="E117" s="281"/>
      <c r="F117" s="294"/>
      <c r="G117" s="281"/>
      <c r="H117" s="338"/>
      <c r="I117" s="195" t="s">
        <v>153</v>
      </c>
      <c r="J117" s="209">
        <v>366000</v>
      </c>
      <c r="K117" s="196">
        <v>378000</v>
      </c>
      <c r="L117" s="196">
        <v>533000</v>
      </c>
      <c r="M117" s="196">
        <f t="shared" si="58"/>
        <v>112000</v>
      </c>
      <c r="N117" s="197">
        <f>64000*2+54000</f>
        <v>182000</v>
      </c>
      <c r="P117" s="198">
        <v>366000</v>
      </c>
      <c r="Q117" s="199">
        <v>378000</v>
      </c>
      <c r="R117" s="200">
        <v>533000</v>
      </c>
      <c r="T117" s="201">
        <v>366000</v>
      </c>
      <c r="U117" s="202">
        <f t="shared" si="94"/>
        <v>0</v>
      </c>
      <c r="V117" s="193">
        <v>378000</v>
      </c>
      <c r="W117" s="202">
        <f t="shared" si="95"/>
        <v>0</v>
      </c>
      <c r="X117" s="193">
        <v>533000</v>
      </c>
      <c r="Y117" s="202">
        <f t="shared" si="96"/>
        <v>0</v>
      </c>
      <c r="Z117" s="193">
        <f t="shared" si="59"/>
        <v>65000</v>
      </c>
      <c r="AA117" s="193">
        <f t="shared" si="97"/>
        <v>0.4196428571428571</v>
      </c>
      <c r="AB117" s="193">
        <f t="shared" si="60"/>
        <v>65000</v>
      </c>
      <c r="AC117" s="194">
        <f t="shared" si="98"/>
        <v>0.64285714285714279</v>
      </c>
      <c r="AE117" s="203">
        <f t="shared" si="71"/>
        <v>496000</v>
      </c>
      <c r="AF117" s="204">
        <f t="shared" si="72"/>
        <v>508000</v>
      </c>
      <c r="AG117" s="205">
        <f t="shared" si="73"/>
        <v>663000</v>
      </c>
      <c r="AH117" s="206">
        <f t="shared" si="74"/>
        <v>72930</v>
      </c>
      <c r="AI117" s="207">
        <f t="shared" si="75"/>
        <v>590070</v>
      </c>
    </row>
  </sheetData>
  <mergeCells count="71">
    <mergeCell ref="H83:H87"/>
    <mergeCell ref="F78:G87"/>
    <mergeCell ref="D88:E117"/>
    <mergeCell ref="B73:C117"/>
    <mergeCell ref="F88:G97"/>
    <mergeCell ref="H93:H97"/>
    <mergeCell ref="H88:H92"/>
    <mergeCell ref="F98:G107"/>
    <mergeCell ref="H103:H107"/>
    <mergeCell ref="H98:H102"/>
    <mergeCell ref="F108:G117"/>
    <mergeCell ref="H113:H117"/>
    <mergeCell ref="H108:H112"/>
    <mergeCell ref="D73:E86"/>
    <mergeCell ref="F73:G77"/>
    <mergeCell ref="H78:H82"/>
    <mergeCell ref="U2:W2"/>
    <mergeCell ref="U3:W3"/>
    <mergeCell ref="B2:N3"/>
    <mergeCell ref="B7:E9"/>
    <mergeCell ref="F7:H9"/>
    <mergeCell ref="I7:I9"/>
    <mergeCell ref="J7:N7"/>
    <mergeCell ref="F31:G36"/>
    <mergeCell ref="H31:H33"/>
    <mergeCell ref="H34:H36"/>
    <mergeCell ref="AI8:AI9"/>
    <mergeCell ref="T7:AC7"/>
    <mergeCell ref="AE7:AI7"/>
    <mergeCell ref="J8:L8"/>
    <mergeCell ref="M8:N8"/>
    <mergeCell ref="P8:R8"/>
    <mergeCell ref="T8:Y8"/>
    <mergeCell ref="Z8:AC8"/>
    <mergeCell ref="AE8:AE9"/>
    <mergeCell ref="P7:R7"/>
    <mergeCell ref="AF8:AF9"/>
    <mergeCell ref="AG8:AG9"/>
    <mergeCell ref="AH8:AH9"/>
    <mergeCell ref="H57:H60"/>
    <mergeCell ref="H61:H64"/>
    <mergeCell ref="B10:C36"/>
    <mergeCell ref="D10:E18"/>
    <mergeCell ref="F10:G12"/>
    <mergeCell ref="H10:H12"/>
    <mergeCell ref="F13:G18"/>
    <mergeCell ref="H13:H15"/>
    <mergeCell ref="H16:H18"/>
    <mergeCell ref="D19:E36"/>
    <mergeCell ref="F19:G24"/>
    <mergeCell ref="H19:H21"/>
    <mergeCell ref="H22:H24"/>
    <mergeCell ref="F25:G30"/>
    <mergeCell ref="H25:H27"/>
    <mergeCell ref="H28:H30"/>
    <mergeCell ref="H73:H77"/>
    <mergeCell ref="B37:C72"/>
    <mergeCell ref="D37:E48"/>
    <mergeCell ref="F37:G40"/>
    <mergeCell ref="H37:H40"/>
    <mergeCell ref="F41:G48"/>
    <mergeCell ref="H41:H44"/>
    <mergeCell ref="H45:H48"/>
    <mergeCell ref="D49:E72"/>
    <mergeCell ref="F65:G72"/>
    <mergeCell ref="H65:H68"/>
    <mergeCell ref="H69:H72"/>
    <mergeCell ref="F49:G55"/>
    <mergeCell ref="H49:H52"/>
    <mergeCell ref="H53:H56"/>
    <mergeCell ref="F57:G6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내용</vt:lpstr>
      <vt:lpstr>마이리얼트립</vt:lpstr>
      <vt:lpstr>카카오톡예약하기_맘맘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소노_박가은</dc:creator>
  <cp:lastModifiedBy>User</cp:lastModifiedBy>
  <cp:lastPrinted>2025-07-15T03:58:23Z</cp:lastPrinted>
  <dcterms:created xsi:type="dcterms:W3CDTF">2025-04-10T00:35:40Z</dcterms:created>
  <dcterms:modified xsi:type="dcterms:W3CDTF">2026-06-04T04:14:35Z</dcterms:modified>
</cp:coreProperties>
</file>