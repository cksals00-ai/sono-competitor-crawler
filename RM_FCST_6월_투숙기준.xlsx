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업장별 총괄" sheetId="1" state="visible" r:id="rId1"/>
    <sheet xmlns:r="http://schemas.openxmlformats.org/officeDocument/2006/relationships" name="세그먼트별 상세" sheetId="2" state="visible" r:id="rId2"/>
    <sheet xmlns:r="http://schemas.openxmlformats.org/officeDocument/2006/relationships" name="메타정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\%"/>
  </numFmts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RM FCST - 2026-06</t>
        </is>
      </c>
    </row>
    <row r="2">
      <c r="A2" s="2" t="inlineStr">
        <is>
          <t>사업장</t>
        </is>
      </c>
      <c r="B2" s="2" t="inlineStr">
        <is>
          <t>예산 RN</t>
        </is>
      </c>
      <c r="C2" s="2" t="inlineStr">
        <is>
          <t>예산 ADR</t>
        </is>
      </c>
      <c r="D2" s="2" t="inlineStr">
        <is>
          <t>예산 매출(백만)</t>
        </is>
      </c>
      <c r="E2" s="2" t="inlineStr">
        <is>
          <t>FCST RN</t>
        </is>
      </c>
      <c r="F2" s="2" t="inlineStr">
        <is>
          <t>FCST ADR</t>
        </is>
      </c>
      <c r="G2" s="2" t="inlineStr">
        <is>
          <t>FCST 매출(백만)</t>
        </is>
      </c>
      <c r="H2" s="2" t="inlineStr">
        <is>
          <t>FCST/예산</t>
        </is>
      </c>
    </row>
    <row r="3">
      <c r="A3" s="3" t="inlineStr">
        <is>
          <t>01.벨비발디</t>
        </is>
      </c>
      <c r="B3" s="4" t="n">
        <v>20810</v>
      </c>
      <c r="C3" s="4" t="n">
        <v>144</v>
      </c>
      <c r="D3" s="4" t="n">
        <v>2992</v>
      </c>
      <c r="E3" s="4" t="n">
        <v>17520</v>
      </c>
      <c r="F3" s="4" t="n">
        <v>147</v>
      </c>
      <c r="G3" s="4" t="n">
        <v>2579</v>
      </c>
      <c r="H3" s="5">
        <f>IF(B3=0,0,ROUND(E3/B3*100,1))</f>
        <v/>
      </c>
    </row>
    <row r="4">
      <c r="A4" s="3" t="inlineStr">
        <is>
          <t>02.캄비발디</t>
        </is>
      </c>
      <c r="B4" s="4" t="n">
        <v>3245</v>
      </c>
      <c r="C4" s="4" t="n">
        <v>217</v>
      </c>
      <c r="D4" s="4" t="n">
        <v>705</v>
      </c>
      <c r="E4" s="4" t="n">
        <v>2174</v>
      </c>
      <c r="F4" s="4" t="n">
        <v>221</v>
      </c>
      <c r="G4" s="4" t="n">
        <v>481</v>
      </c>
      <c r="H4" s="5">
        <f>IF(B4=0,0,ROUND(E4/B4*100,1))</f>
        <v/>
      </c>
    </row>
    <row r="5">
      <c r="A5" s="3" t="inlineStr">
        <is>
          <t>03.펫비발디</t>
        </is>
      </c>
      <c r="B5" s="4" t="n">
        <v>2047</v>
      </c>
      <c r="C5" s="4" t="n">
        <v>290</v>
      </c>
      <c r="D5" s="4" t="n">
        <v>594</v>
      </c>
      <c r="E5" s="4" t="n">
        <v>1713</v>
      </c>
      <c r="F5" s="4" t="n">
        <v>299</v>
      </c>
      <c r="G5" s="4" t="n">
        <v>513</v>
      </c>
      <c r="H5" s="5">
        <f>IF(B5=0,0,ROUND(E5/B5*100,1))</f>
        <v/>
      </c>
    </row>
    <row r="6">
      <c r="A6" s="3" t="inlineStr">
        <is>
          <t>04.펠리체비발디</t>
        </is>
      </c>
      <c r="B6" s="4" t="n">
        <v>5030</v>
      </c>
      <c r="C6" s="4" t="n">
        <v>259</v>
      </c>
      <c r="D6" s="4" t="n">
        <v>1303</v>
      </c>
      <c r="E6" s="4" t="n">
        <v>4311</v>
      </c>
      <c r="F6" s="4" t="n">
        <v>273</v>
      </c>
      <c r="G6" s="4" t="n">
        <v>1177</v>
      </c>
      <c r="H6" s="5">
        <f>IF(B6=0,0,ROUND(E6/B6*100,1))</f>
        <v/>
      </c>
    </row>
    <row r="7">
      <c r="A7" s="3" t="inlineStr">
        <is>
          <t>05.빌리지비발디</t>
        </is>
      </c>
      <c r="B7" s="4" t="n">
        <v>2897</v>
      </c>
      <c r="C7" s="4" t="n">
        <v>297</v>
      </c>
      <c r="D7" s="4" t="n">
        <v>860</v>
      </c>
      <c r="E7" s="4" t="n">
        <v>2359</v>
      </c>
      <c r="F7" s="4" t="n">
        <v>297</v>
      </c>
      <c r="G7" s="4" t="n">
        <v>702</v>
      </c>
      <c r="H7" s="5">
        <f>IF(B7=0,0,ROUND(E7/B7*100,1))</f>
        <v/>
      </c>
    </row>
    <row r="8">
      <c r="A8" s="3" t="inlineStr">
        <is>
          <t>06.양평</t>
        </is>
      </c>
      <c r="B8" s="4" t="n">
        <v>3425</v>
      </c>
      <c r="C8" s="4" t="n">
        <v>117</v>
      </c>
      <c r="D8" s="4" t="n">
        <v>401</v>
      </c>
      <c r="E8" s="4" t="n">
        <v>2973</v>
      </c>
      <c r="F8" s="4" t="n">
        <v>117</v>
      </c>
      <c r="G8" s="4" t="n">
        <v>348</v>
      </c>
      <c r="H8" s="5">
        <f>IF(B8=0,0,ROUND(E8/B8*100,1))</f>
        <v/>
      </c>
    </row>
    <row r="9">
      <c r="A9" s="3" t="inlineStr">
        <is>
          <t>07.델피노</t>
        </is>
      </c>
      <c r="B9" s="4" t="n">
        <v>19860</v>
      </c>
      <c r="C9" s="4" t="n">
        <v>207</v>
      </c>
      <c r="D9" s="4" t="n">
        <v>4116</v>
      </c>
      <c r="E9" s="4" t="n">
        <v>19646</v>
      </c>
      <c r="F9" s="4" t="n">
        <v>206</v>
      </c>
      <c r="G9" s="4" t="n">
        <v>4042</v>
      </c>
      <c r="H9" s="5">
        <f>IF(B9=0,0,ROUND(E9/B9*100,1))</f>
        <v/>
      </c>
    </row>
    <row r="10">
      <c r="A10" s="3" t="inlineStr">
        <is>
          <t>08.쏠비치양양</t>
        </is>
      </c>
      <c r="B10" s="4" t="n">
        <v>12445</v>
      </c>
      <c r="C10" s="4" t="n">
        <v>182</v>
      </c>
      <c r="D10" s="4" t="n">
        <v>2267</v>
      </c>
      <c r="E10" s="4" t="n">
        <v>10536</v>
      </c>
      <c r="F10" s="4" t="n">
        <v>179</v>
      </c>
      <c r="G10" s="4" t="n">
        <v>1887</v>
      </c>
      <c r="H10" s="5">
        <f>IF(B10=0,0,ROUND(E10/B10*100,1))</f>
        <v/>
      </c>
    </row>
    <row r="11">
      <c r="A11" s="3" t="inlineStr">
        <is>
          <t>09.쏠비치삼척</t>
        </is>
      </c>
      <c r="B11" s="4" t="n">
        <v>20175</v>
      </c>
      <c r="C11" s="4" t="n">
        <v>198</v>
      </c>
      <c r="D11" s="4" t="n">
        <v>3993</v>
      </c>
      <c r="E11" s="4" t="n">
        <v>17302</v>
      </c>
      <c r="F11" s="4" t="n">
        <v>192</v>
      </c>
      <c r="G11" s="4" t="n">
        <v>3321</v>
      </c>
      <c r="H11" s="5">
        <f>IF(B11=0,0,ROUND(E11/B11*100,1))</f>
        <v/>
      </c>
    </row>
    <row r="12">
      <c r="A12" s="3" t="inlineStr">
        <is>
          <t>10.소노벨단양</t>
        </is>
      </c>
      <c r="B12" s="4" t="n">
        <v>12960</v>
      </c>
      <c r="C12" s="4" t="n">
        <v>142</v>
      </c>
      <c r="D12" s="4" t="n">
        <v>1836</v>
      </c>
      <c r="E12" s="4" t="n">
        <v>12060</v>
      </c>
      <c r="F12" s="4" t="n">
        <v>134</v>
      </c>
      <c r="G12" s="4" t="n">
        <v>1618</v>
      </c>
      <c r="H12" s="5">
        <f>IF(B12=0,0,ROUND(E12/B12*100,1))</f>
        <v/>
      </c>
    </row>
    <row r="13">
      <c r="A13" s="3" t="inlineStr">
        <is>
          <t>11.소노캄경주</t>
        </is>
      </c>
      <c r="B13" s="4" t="n">
        <v>9505</v>
      </c>
      <c r="C13" s="4" t="n">
        <v>234</v>
      </c>
      <c r="D13" s="4" t="n">
        <v>2223</v>
      </c>
      <c r="E13" s="4" t="n">
        <v>9540</v>
      </c>
      <c r="F13" s="4" t="n">
        <v>221</v>
      </c>
      <c r="G13" s="4" t="n">
        <v>2111</v>
      </c>
      <c r="H13" s="5">
        <f>IF(B13=0,0,ROUND(E13/B13*100,1))</f>
        <v/>
      </c>
    </row>
    <row r="14">
      <c r="A14" s="3" t="inlineStr">
        <is>
          <t>12.소노벨청송</t>
        </is>
      </c>
      <c r="B14" s="4" t="n">
        <v>4710</v>
      </c>
      <c r="C14" s="4" t="n">
        <v>151</v>
      </c>
      <c r="D14" s="4" t="n">
        <v>712</v>
      </c>
      <c r="E14" s="4" t="n">
        <v>3575</v>
      </c>
      <c r="F14" s="4" t="n">
        <v>151</v>
      </c>
      <c r="G14" s="4" t="n">
        <v>539</v>
      </c>
      <c r="H14" s="5">
        <f>IF(B14=0,0,ROUND(E14/B14*100,1))</f>
        <v/>
      </c>
    </row>
    <row r="15">
      <c r="A15" s="3" t="inlineStr">
        <is>
          <t>13.소노벨천안</t>
        </is>
      </c>
      <c r="B15" s="4" t="n">
        <v>9250</v>
      </c>
      <c r="C15" s="4" t="n">
        <v>154</v>
      </c>
      <c r="D15" s="4" t="n">
        <v>1425</v>
      </c>
      <c r="E15" s="4" t="n">
        <v>7565</v>
      </c>
      <c r="F15" s="4" t="n">
        <v>156</v>
      </c>
      <c r="G15" s="4" t="n">
        <v>1183</v>
      </c>
      <c r="H15" s="5">
        <f>IF(B15=0,0,ROUND(E15/B15*100,1))</f>
        <v/>
      </c>
    </row>
    <row r="16">
      <c r="A16" s="3" t="inlineStr">
        <is>
          <t>14.소노벨변산</t>
        </is>
      </c>
      <c r="B16" s="4" t="n">
        <v>9920</v>
      </c>
      <c r="C16" s="4" t="n">
        <v>148</v>
      </c>
      <c r="D16" s="4" t="n">
        <v>1464</v>
      </c>
      <c r="E16" s="4" t="n">
        <v>8800</v>
      </c>
      <c r="F16" s="4" t="n">
        <v>152</v>
      </c>
      <c r="G16" s="4" t="n">
        <v>1340</v>
      </c>
      <c r="H16" s="5">
        <f>IF(B16=0,0,ROUND(E16/B16*100,1))</f>
        <v/>
      </c>
    </row>
    <row r="17">
      <c r="A17" s="3" t="inlineStr">
        <is>
          <t>15.소노캄여수</t>
        </is>
      </c>
      <c r="B17" s="4" t="n">
        <v>5030</v>
      </c>
      <c r="C17" s="4" t="n">
        <v>243</v>
      </c>
      <c r="D17" s="4" t="n">
        <v>1222</v>
      </c>
      <c r="E17" s="4" t="n">
        <v>4781</v>
      </c>
      <c r="F17" s="4" t="n">
        <v>251</v>
      </c>
      <c r="G17" s="4" t="n">
        <v>1201</v>
      </c>
      <c r="H17" s="5">
        <f>IF(B17=0,0,ROUND(E17/B17*100,1))</f>
        <v/>
      </c>
    </row>
    <row r="18">
      <c r="A18" s="3" t="inlineStr">
        <is>
          <t>16.소노캄거제</t>
        </is>
      </c>
      <c r="B18" s="4" t="n">
        <v>10360</v>
      </c>
      <c r="C18" s="4" t="n">
        <v>199</v>
      </c>
      <c r="D18" s="4" t="n">
        <v>2063</v>
      </c>
      <c r="E18" s="4" t="n">
        <v>8397</v>
      </c>
      <c r="F18" s="4" t="n">
        <v>209</v>
      </c>
      <c r="G18" s="4" t="n">
        <v>1753</v>
      </c>
      <c r="H18" s="5">
        <f>IF(B18=0,0,ROUND(E18/B18*100,1))</f>
        <v/>
      </c>
    </row>
    <row r="19">
      <c r="A19" s="3" t="inlineStr">
        <is>
          <t>17.쏠비치진도</t>
        </is>
      </c>
      <c r="B19" s="4" t="n">
        <v>11920</v>
      </c>
      <c r="C19" s="4" t="n">
        <v>197</v>
      </c>
      <c r="D19" s="4" t="n">
        <v>2347</v>
      </c>
      <c r="E19" s="4" t="n">
        <v>9680</v>
      </c>
      <c r="F19" s="4" t="n">
        <v>187</v>
      </c>
      <c r="G19" s="4" t="n">
        <v>1813</v>
      </c>
      <c r="H19" s="5">
        <f>IF(B19=0,0,ROUND(E19/B19*100,1))</f>
        <v/>
      </c>
    </row>
    <row r="20">
      <c r="A20" s="3" t="inlineStr">
        <is>
          <t>18.소노벨제주</t>
        </is>
      </c>
      <c r="B20" s="4" t="n">
        <v>9730</v>
      </c>
      <c r="C20" s="4" t="n">
        <v>154</v>
      </c>
      <c r="D20" s="4" t="n">
        <v>1502</v>
      </c>
      <c r="E20" s="4" t="n">
        <v>9120</v>
      </c>
      <c r="F20" s="4" t="n">
        <v>153</v>
      </c>
      <c r="G20" s="4" t="n">
        <v>1399</v>
      </c>
      <c r="H20" s="5">
        <f>IF(B20=0,0,ROUND(E20/B20*100,1))</f>
        <v/>
      </c>
    </row>
    <row r="21">
      <c r="A21" s="3" t="inlineStr">
        <is>
          <t>19.소노캄제주</t>
        </is>
      </c>
      <c r="B21" s="4" t="n">
        <v>7000</v>
      </c>
      <c r="C21" s="4" t="n">
        <v>194</v>
      </c>
      <c r="D21" s="4" t="n">
        <v>1359</v>
      </c>
      <c r="E21" s="4" t="n">
        <v>6660</v>
      </c>
      <c r="F21" s="4" t="n">
        <v>175</v>
      </c>
      <c r="G21" s="4" t="n">
        <v>1166</v>
      </c>
      <c r="H21" s="5">
        <f>IF(B21=0,0,ROUND(E21/B21*100,1))</f>
        <v/>
      </c>
    </row>
    <row r="22">
      <c r="A22" s="3" t="inlineStr">
        <is>
          <t>20.소노캄고양</t>
        </is>
      </c>
      <c r="B22" s="4" t="n">
        <v>15460</v>
      </c>
      <c r="C22" s="4" t="n">
        <v>140</v>
      </c>
      <c r="D22" s="4" t="n">
        <v>2168</v>
      </c>
      <c r="E22" s="4" t="n">
        <v>13370</v>
      </c>
      <c r="F22" s="4" t="n">
        <v>147</v>
      </c>
      <c r="G22" s="4" t="n">
        <v>1959</v>
      </c>
      <c r="H22" s="5">
        <f>IF(B22=0,0,ROUND(E22/B22*100,1))</f>
        <v/>
      </c>
    </row>
    <row r="23">
      <c r="A23" s="3" t="inlineStr">
        <is>
          <t>21.소노문해운대</t>
        </is>
      </c>
      <c r="B23" s="4" t="n">
        <v>5110</v>
      </c>
      <c r="C23" s="4" t="n">
        <v>94</v>
      </c>
      <c r="D23" s="4" t="n">
        <v>482</v>
      </c>
      <c r="E23" s="4" t="n">
        <v>5367</v>
      </c>
      <c r="F23" s="4" t="n">
        <v>96</v>
      </c>
      <c r="G23" s="4" t="n">
        <v>513</v>
      </c>
      <c r="H23" s="5">
        <f>IF(B23=0,0,ROUND(E23/B23*100,1))</f>
        <v/>
      </c>
    </row>
    <row r="24">
      <c r="A24" s="3" t="inlineStr">
        <is>
          <t>22.쏠비치남해</t>
        </is>
      </c>
      <c r="B24" s="4" t="n">
        <v>11250</v>
      </c>
      <c r="C24" s="4" t="n">
        <v>301</v>
      </c>
      <c r="D24" s="4" t="n">
        <v>3383</v>
      </c>
      <c r="E24" s="4" t="n">
        <v>9117</v>
      </c>
      <c r="F24" s="4" t="n">
        <v>310</v>
      </c>
      <c r="G24" s="4" t="n">
        <v>2822</v>
      </c>
      <c r="H24" s="5">
        <f>IF(B24=0,0,ROUND(E24/B24*100,1))</f>
        <v/>
      </c>
    </row>
    <row r="25">
      <c r="A25" s="3" t="inlineStr">
        <is>
          <t>23.르네블루</t>
        </is>
      </c>
      <c r="B25" s="4" t="n">
        <v>2130</v>
      </c>
      <c r="C25" s="4" t="n">
        <v>239</v>
      </c>
      <c r="D25" s="4" t="n">
        <v>509</v>
      </c>
      <c r="E25" s="4" t="n">
        <v>2155</v>
      </c>
      <c r="F25" s="4" t="n">
        <v>204</v>
      </c>
      <c r="G25" s="4" t="n">
        <v>439</v>
      </c>
      <c r="H25" s="5">
        <f>IF(B25=0,0,ROUND(E25/B25*100,1))</f>
        <v/>
      </c>
    </row>
    <row r="27">
      <c r="A27" s="6" t="inlineStr">
        <is>
          <t>[비발디]</t>
        </is>
      </c>
      <c r="B27" s="7" t="n">
        <v>37454</v>
      </c>
      <c r="C27" s="7" t="n">
        <v>183</v>
      </c>
      <c r="D27" s="7" t="n">
        <v>6855</v>
      </c>
      <c r="E27" s="7" t="n">
        <v>31050</v>
      </c>
      <c r="F27" s="7" t="n">
        <v>187</v>
      </c>
      <c r="G27" s="7" t="n">
        <v>5799</v>
      </c>
      <c r="H27" s="8">
        <f>IF(B27=0,0,ROUND(E27/B27*100,1))</f>
        <v/>
      </c>
    </row>
    <row r="28">
      <c r="A28" s="6" t="inlineStr">
        <is>
          <t>[한국중부]</t>
        </is>
      </c>
      <c r="B28" s="7" t="n">
        <v>76820</v>
      </c>
      <c r="C28" s="7" t="n">
        <v>184</v>
      </c>
      <c r="D28" s="7" t="n">
        <v>14147</v>
      </c>
      <c r="E28" s="7" t="n">
        <v>69264</v>
      </c>
      <c r="F28" s="7" t="n">
        <v>180</v>
      </c>
      <c r="G28" s="7" t="n">
        <v>12491</v>
      </c>
      <c r="H28" s="8">
        <f>IF(B28=0,0,ROUND(E28/B28*100,1))</f>
        <v/>
      </c>
    </row>
    <row r="29">
      <c r="A29" s="6" t="inlineStr">
        <is>
          <t>[아시아퍼시픽]</t>
        </is>
      </c>
      <c r="B29" s="7" t="n">
        <v>32190</v>
      </c>
      <c r="C29" s="7" t="n">
        <v>156</v>
      </c>
      <c r="D29" s="7" t="n">
        <v>5030</v>
      </c>
      <c r="E29" s="7" t="n">
        <v>29150</v>
      </c>
      <c r="F29" s="7" t="n">
        <v>155</v>
      </c>
      <c r="G29" s="7" t="n">
        <v>4523</v>
      </c>
      <c r="H29" s="8">
        <f>IF(B29=0,0,ROUND(E29/B29*100,1))</f>
        <v/>
      </c>
    </row>
    <row r="30">
      <c r="A30" s="6" t="inlineStr">
        <is>
          <t>[한국남부]</t>
        </is>
      </c>
      <c r="B30" s="7" t="n">
        <v>67805</v>
      </c>
      <c r="C30" s="7" t="n">
        <v>205</v>
      </c>
      <c r="D30" s="7" t="n">
        <v>13897</v>
      </c>
      <c r="E30" s="7" t="n">
        <v>59257</v>
      </c>
      <c r="F30" s="7" t="n">
        <v>204</v>
      </c>
      <c r="G30" s="7" t="n">
        <v>12092</v>
      </c>
      <c r="H30" s="8">
        <f>IF(B30=0,0,ROUND(E30/B30*100,1))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RM FCST 세그먼트별 - 2026-06</t>
        </is>
      </c>
    </row>
    <row r="2">
      <c r="A2" s="2" t="inlineStr">
        <is>
          <t>사업장</t>
        </is>
      </c>
      <c r="B2" s="2" t="inlineStr">
        <is>
          <t>세그먼트</t>
        </is>
      </c>
      <c r="C2" s="2" t="inlineStr">
        <is>
          <t>예산 RN</t>
        </is>
      </c>
      <c r="D2" s="2" t="inlineStr">
        <is>
          <t>예산 ADR</t>
        </is>
      </c>
      <c r="E2" s="2" t="inlineStr">
        <is>
          <t>예산 매출(백만)</t>
        </is>
      </c>
      <c r="F2" s="2" t="inlineStr">
        <is>
          <t>FCST RN</t>
        </is>
      </c>
      <c r="G2" s="2" t="inlineStr">
        <is>
          <t>FCST ADR</t>
        </is>
      </c>
      <c r="H2" s="2" t="inlineStr">
        <is>
          <t>FCST 매출(백만)</t>
        </is>
      </c>
      <c r="I2" s="2" t="inlineStr">
        <is>
          <t>FCST/예산</t>
        </is>
      </c>
      <c r="J2" s="2" t="inlineStr">
        <is>
          <t>차이 RN</t>
        </is>
      </c>
    </row>
    <row r="3">
      <c r="A3" s="3" t="inlineStr">
        <is>
          <t>01.벨비발디</t>
        </is>
      </c>
      <c r="B3" s="9" t="inlineStr">
        <is>
          <t>OTA</t>
        </is>
      </c>
      <c r="C3" s="4" t="n">
        <v>7300</v>
      </c>
      <c r="D3" s="4" t="n">
        <v>139</v>
      </c>
      <c r="E3" s="4" t="n">
        <v>1018</v>
      </c>
      <c r="F3" s="4" t="n">
        <v>7500</v>
      </c>
      <c r="G3" s="4" t="n">
        <v>152</v>
      </c>
      <c r="H3" s="4" t="n">
        <v>1140</v>
      </c>
      <c r="I3" s="5">
        <f>IF(C3=0,0,ROUND(F3/C3*100,1))</f>
        <v/>
      </c>
      <c r="J3" s="4">
        <f>F3-C3</f>
        <v/>
      </c>
    </row>
    <row r="4">
      <c r="A4" s="3" t="inlineStr">
        <is>
          <t>01.벨비발디</t>
        </is>
      </c>
      <c r="B4" s="9" t="inlineStr">
        <is>
          <t>G-OTA</t>
        </is>
      </c>
      <c r="C4" s="4" t="n">
        <v>1100</v>
      </c>
      <c r="D4" s="4" t="n">
        <v>166</v>
      </c>
      <c r="E4" s="4" t="n">
        <v>182</v>
      </c>
      <c r="F4" s="4" t="n">
        <v>1250</v>
      </c>
      <c r="G4" s="4" t="n">
        <v>163</v>
      </c>
      <c r="H4" s="4" t="n">
        <v>204</v>
      </c>
      <c r="I4" s="5">
        <f>IF(C4=0,0,ROUND(F4/C4*100,1))</f>
        <v/>
      </c>
      <c r="J4" s="4">
        <f>F4-C4</f>
        <v/>
      </c>
    </row>
    <row r="5">
      <c r="A5" s="3" t="inlineStr">
        <is>
          <t>01.벨비발디</t>
        </is>
      </c>
      <c r="B5" s="9" t="inlineStr">
        <is>
          <t>Inbound</t>
        </is>
      </c>
      <c r="C5" s="4" t="n">
        <v>50</v>
      </c>
      <c r="D5" s="4" t="n">
        <v>72</v>
      </c>
      <c r="E5" s="4" t="n">
        <v>4</v>
      </c>
      <c r="F5" s="4" t="n">
        <v>80</v>
      </c>
      <c r="G5" s="4" t="n">
        <v>78</v>
      </c>
      <c r="H5" s="4" t="n">
        <v>6</v>
      </c>
      <c r="I5" s="5">
        <f>IF(C5=0,0,ROUND(F5/C5*100,1))</f>
        <v/>
      </c>
      <c r="J5" s="4">
        <f>F5-C5</f>
        <v/>
      </c>
    </row>
    <row r="6">
      <c r="A6" s="3" t="inlineStr">
        <is>
          <t>02.캄비발디</t>
        </is>
      </c>
      <c r="B6" s="9" t="inlineStr">
        <is>
          <t>OTA</t>
        </is>
      </c>
      <c r="C6" s="4" t="n">
        <v>1100</v>
      </c>
      <c r="D6" s="4" t="n">
        <v>215</v>
      </c>
      <c r="E6" s="4" t="n">
        <v>237</v>
      </c>
      <c r="F6" s="4" t="n">
        <v>850</v>
      </c>
      <c r="G6" s="4" t="n">
        <v>244</v>
      </c>
      <c r="H6" s="4" t="n">
        <v>207</v>
      </c>
      <c r="I6" s="5">
        <f>IF(C6=0,0,ROUND(F6/C6*100,1))</f>
        <v/>
      </c>
      <c r="J6" s="4">
        <f>F6-C6</f>
        <v/>
      </c>
    </row>
    <row r="7">
      <c r="A7" s="3" t="inlineStr">
        <is>
          <t>02.캄비발디</t>
        </is>
      </c>
      <c r="B7" s="9" t="inlineStr">
        <is>
          <t>G-OTA</t>
        </is>
      </c>
      <c r="C7" s="4" t="n">
        <v>500</v>
      </c>
      <c r="D7" s="4" t="n">
        <v>224</v>
      </c>
      <c r="E7" s="4" t="n">
        <v>112</v>
      </c>
      <c r="F7" s="4" t="n">
        <v>350</v>
      </c>
      <c r="G7" s="4" t="n">
        <v>236</v>
      </c>
      <c r="H7" s="4" t="n">
        <v>83</v>
      </c>
      <c r="I7" s="5">
        <f>IF(C7=0,0,ROUND(F7/C7*100,1))</f>
        <v/>
      </c>
      <c r="J7" s="4">
        <f>F7-C7</f>
        <v/>
      </c>
    </row>
    <row r="8">
      <c r="A8" s="3" t="inlineStr">
        <is>
          <t>02.캄비발디</t>
        </is>
      </c>
      <c r="B8" s="9" t="inlineStr">
        <is>
          <t>Inbound</t>
        </is>
      </c>
      <c r="C8" s="4" t="n">
        <v>0</v>
      </c>
      <c r="D8" s="4" t="n">
        <v>0</v>
      </c>
      <c r="E8" s="4" t="n">
        <v>0</v>
      </c>
      <c r="F8" s="4" t="n">
        <v>4</v>
      </c>
      <c r="G8" s="4" t="n">
        <v>201</v>
      </c>
      <c r="H8" s="4" t="n">
        <v>1</v>
      </c>
      <c r="I8" s="5">
        <f>IF(C8=0,0,ROUND(F8/C8*100,1))</f>
        <v/>
      </c>
      <c r="J8" s="4">
        <f>F8-C8</f>
        <v/>
      </c>
    </row>
    <row r="9">
      <c r="A9" s="3" t="inlineStr">
        <is>
          <t>03.펫비발디</t>
        </is>
      </c>
      <c r="B9" s="9" t="inlineStr">
        <is>
          <t>OTA</t>
        </is>
      </c>
      <c r="C9" s="4" t="n">
        <v>600</v>
      </c>
      <c r="D9" s="4" t="n">
        <v>282</v>
      </c>
      <c r="E9" s="4" t="n">
        <v>169</v>
      </c>
      <c r="F9" s="4" t="n">
        <v>470</v>
      </c>
      <c r="G9" s="4" t="n">
        <v>299</v>
      </c>
      <c r="H9" s="4" t="n">
        <v>141</v>
      </c>
      <c r="I9" s="5">
        <f>IF(C9=0,0,ROUND(F9/C9*100,1))</f>
        <v/>
      </c>
      <c r="J9" s="4">
        <f>F9-C9</f>
        <v/>
      </c>
    </row>
    <row r="10">
      <c r="A10" s="3" t="inlineStr">
        <is>
          <t>03.펫비발디</t>
        </is>
      </c>
      <c r="B10" s="9" t="inlineStr">
        <is>
          <t>G-OTA</t>
        </is>
      </c>
      <c r="C10" s="4" t="n">
        <v>450</v>
      </c>
      <c r="D10" s="4" t="n">
        <v>288</v>
      </c>
      <c r="E10" s="4" t="n">
        <v>130</v>
      </c>
      <c r="F10" s="4" t="n">
        <v>430</v>
      </c>
      <c r="G10" s="4" t="n">
        <v>303</v>
      </c>
      <c r="H10" s="4" t="n">
        <v>130</v>
      </c>
      <c r="I10" s="5">
        <f>IF(C10=0,0,ROUND(F10/C10*100,1))</f>
        <v/>
      </c>
      <c r="J10" s="4">
        <f>F10-C10</f>
        <v/>
      </c>
    </row>
    <row r="11">
      <c r="A11" s="3" t="inlineStr">
        <is>
          <t>03.펫비발디</t>
        </is>
      </c>
      <c r="B11" s="9" t="inlineStr">
        <is>
          <t>Inbound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5">
        <f>IF(C11=0,0,ROUND(F11/C11*100,1))</f>
        <v/>
      </c>
      <c r="J11" s="4">
        <f>F11-C11</f>
        <v/>
      </c>
    </row>
    <row r="12">
      <c r="A12" s="3" t="inlineStr">
        <is>
          <t>04.펠리체비발디</t>
        </is>
      </c>
      <c r="B12" s="9" t="inlineStr">
        <is>
          <t>OTA</t>
        </is>
      </c>
      <c r="C12" s="4" t="n">
        <v>1300</v>
      </c>
      <c r="D12" s="4" t="n">
        <v>267</v>
      </c>
      <c r="E12" s="4" t="n">
        <v>347</v>
      </c>
      <c r="F12" s="4" t="n">
        <v>1100</v>
      </c>
      <c r="G12" s="4" t="n">
        <v>286</v>
      </c>
      <c r="H12" s="4" t="n">
        <v>315</v>
      </c>
      <c r="I12" s="5">
        <f>IF(C12=0,0,ROUND(F12/C12*100,1))</f>
        <v/>
      </c>
      <c r="J12" s="4">
        <f>F12-C12</f>
        <v/>
      </c>
    </row>
    <row r="13">
      <c r="A13" s="3" t="inlineStr">
        <is>
          <t>04.펠리체비발디</t>
        </is>
      </c>
      <c r="B13" s="9" t="inlineStr">
        <is>
          <t>G-OTA</t>
        </is>
      </c>
      <c r="C13" s="4" t="n">
        <v>600</v>
      </c>
      <c r="D13" s="4" t="n">
        <v>290</v>
      </c>
      <c r="E13" s="4" t="n">
        <v>174</v>
      </c>
      <c r="F13" s="4" t="n">
        <v>800</v>
      </c>
      <c r="G13" s="4" t="n">
        <v>283</v>
      </c>
      <c r="H13" s="4" t="n">
        <v>226</v>
      </c>
      <c r="I13" s="5">
        <f>IF(C13=0,0,ROUND(F13/C13*100,1))</f>
        <v/>
      </c>
      <c r="J13" s="4">
        <f>F13-C13</f>
        <v/>
      </c>
    </row>
    <row r="14">
      <c r="A14" s="3" t="inlineStr">
        <is>
          <t>04.펠리체비발디</t>
        </is>
      </c>
      <c r="B14" s="9" t="inlineStr">
        <is>
          <t>Inbound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>
        <f>IF(C14=0,0,ROUND(F14/C14*100,1))</f>
        <v/>
      </c>
      <c r="J14" s="4">
        <f>F14-C14</f>
        <v/>
      </c>
    </row>
    <row r="15">
      <c r="A15" s="3" t="inlineStr">
        <is>
          <t>05.빌리지비발디</t>
        </is>
      </c>
      <c r="B15" s="9" t="inlineStr">
        <is>
          <t>OTA</t>
        </is>
      </c>
      <c r="C15" s="4" t="n">
        <v>900</v>
      </c>
      <c r="D15" s="4" t="n">
        <v>301</v>
      </c>
      <c r="E15" s="4" t="n">
        <v>271</v>
      </c>
      <c r="F15" s="4" t="n">
        <v>520</v>
      </c>
      <c r="G15" s="4" t="n">
        <v>321</v>
      </c>
      <c r="H15" s="4" t="n">
        <v>167</v>
      </c>
      <c r="I15" s="5">
        <f>IF(C15=0,0,ROUND(F15/C15*100,1))</f>
        <v/>
      </c>
      <c r="J15" s="4">
        <f>F15-C15</f>
        <v/>
      </c>
    </row>
    <row r="16">
      <c r="A16" s="3" t="inlineStr">
        <is>
          <t>05.빌리지비발디</t>
        </is>
      </c>
      <c r="B16" s="9" t="inlineStr">
        <is>
          <t>G-OTA</t>
        </is>
      </c>
      <c r="C16" s="4" t="n">
        <v>300</v>
      </c>
      <c r="D16" s="4" t="n">
        <v>322</v>
      </c>
      <c r="E16" s="4" t="n">
        <v>97</v>
      </c>
      <c r="F16" s="4" t="n">
        <v>360</v>
      </c>
      <c r="G16" s="4" t="n">
        <v>312</v>
      </c>
      <c r="H16" s="4" t="n">
        <v>112</v>
      </c>
      <c r="I16" s="5">
        <f>IF(C16=0,0,ROUND(F16/C16*100,1))</f>
        <v/>
      </c>
      <c r="J16" s="4">
        <f>F16-C16</f>
        <v/>
      </c>
    </row>
    <row r="17">
      <c r="A17" s="3" t="inlineStr">
        <is>
          <t>05.빌리지비발디</t>
        </is>
      </c>
      <c r="B17" s="9" t="inlineStr">
        <is>
          <t>Inbound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>
        <f>IF(C17=0,0,ROUND(F17/C17*100,1))</f>
        <v/>
      </c>
      <c r="J17" s="4">
        <f>F17-C17</f>
        <v/>
      </c>
    </row>
    <row r="18">
      <c r="A18" s="3" t="inlineStr">
        <is>
          <t>06.양평</t>
        </is>
      </c>
      <c r="B18" s="9" t="inlineStr">
        <is>
          <t>OTA</t>
        </is>
      </c>
      <c r="C18" s="4" t="n">
        <v>400</v>
      </c>
      <c r="D18" s="4" t="n">
        <v>143</v>
      </c>
      <c r="E18" s="4" t="n">
        <v>57</v>
      </c>
      <c r="F18" s="4" t="n">
        <v>380</v>
      </c>
      <c r="G18" s="4" t="n">
        <v>145</v>
      </c>
      <c r="H18" s="4" t="n">
        <v>55</v>
      </c>
      <c r="I18" s="5">
        <f>IF(C18=0,0,ROUND(F18/C18*100,1))</f>
        <v/>
      </c>
      <c r="J18" s="4">
        <f>F18-C18</f>
        <v/>
      </c>
    </row>
    <row r="19">
      <c r="A19" s="3" t="inlineStr">
        <is>
          <t>06.양평</t>
        </is>
      </c>
      <c r="B19" s="9" t="inlineStr">
        <is>
          <t>G-OTA</t>
        </is>
      </c>
      <c r="C19" s="4" t="n">
        <v>250</v>
      </c>
      <c r="D19" s="4" t="n">
        <v>138</v>
      </c>
      <c r="E19" s="4" t="n">
        <v>35</v>
      </c>
      <c r="F19" s="4" t="n">
        <v>270</v>
      </c>
      <c r="G19" s="4" t="n">
        <v>134</v>
      </c>
      <c r="H19" s="4" t="n">
        <v>36</v>
      </c>
      <c r="I19" s="5">
        <f>IF(C19=0,0,ROUND(F19/C19*100,1))</f>
        <v/>
      </c>
      <c r="J19" s="4">
        <f>F19-C19</f>
        <v/>
      </c>
    </row>
    <row r="20">
      <c r="A20" s="3" t="inlineStr">
        <is>
          <t>06.양평</t>
        </is>
      </c>
      <c r="B20" s="9" t="inlineStr">
        <is>
          <t>Inbound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>
        <f>IF(C20=0,0,ROUND(F20/C20*100,1))</f>
        <v/>
      </c>
      <c r="J20" s="4">
        <f>F20-C20</f>
        <v/>
      </c>
    </row>
    <row r="21">
      <c r="A21" s="3" t="inlineStr">
        <is>
          <t>07.델피노</t>
        </is>
      </c>
      <c r="B21" s="9" t="inlineStr">
        <is>
          <t>OTA</t>
        </is>
      </c>
      <c r="C21" s="4" t="n">
        <v>3230</v>
      </c>
      <c r="D21" s="4" t="n">
        <v>256</v>
      </c>
      <c r="E21" s="4" t="n">
        <v>827</v>
      </c>
      <c r="F21" s="4" t="n">
        <v>3900</v>
      </c>
      <c r="G21" s="4" t="n">
        <v>245</v>
      </c>
      <c r="H21" s="4" t="n">
        <v>957</v>
      </c>
      <c r="I21" s="5">
        <f>IF(C21=0,0,ROUND(F21/C21*100,1))</f>
        <v/>
      </c>
      <c r="J21" s="4">
        <f>F21-C21</f>
        <v/>
      </c>
    </row>
    <row r="22">
      <c r="A22" s="3" t="inlineStr">
        <is>
          <t>07.델피노</t>
        </is>
      </c>
      <c r="B22" s="9" t="inlineStr">
        <is>
          <t>G-OTA</t>
        </is>
      </c>
      <c r="C22" s="4" t="n">
        <v>2640</v>
      </c>
      <c r="D22" s="4" t="n">
        <v>241</v>
      </c>
      <c r="E22" s="4" t="n">
        <v>637</v>
      </c>
      <c r="F22" s="4" t="n">
        <v>2950</v>
      </c>
      <c r="G22" s="4" t="n">
        <v>240</v>
      </c>
      <c r="H22" s="4" t="n">
        <v>709</v>
      </c>
      <c r="I22" s="5">
        <f>IF(C22=0,0,ROUND(F22/C22*100,1))</f>
        <v/>
      </c>
      <c r="J22" s="4">
        <f>F22-C22</f>
        <v/>
      </c>
    </row>
    <row r="23">
      <c r="A23" s="3" t="inlineStr">
        <is>
          <t>07.델피노</t>
        </is>
      </c>
      <c r="B23" s="9" t="inlineStr">
        <is>
          <t>Inbound</t>
        </is>
      </c>
      <c r="C23" s="4" t="n">
        <v>50</v>
      </c>
      <c r="D23" s="4" t="n">
        <v>80</v>
      </c>
      <c r="E23" s="4" t="n">
        <v>4</v>
      </c>
      <c r="F23" s="4" t="n">
        <v>16</v>
      </c>
      <c r="G23" s="4" t="n">
        <v>68</v>
      </c>
      <c r="H23" s="4" t="n">
        <v>1</v>
      </c>
      <c r="I23" s="5">
        <f>IF(C23=0,0,ROUND(F23/C23*100,1))</f>
        <v/>
      </c>
      <c r="J23" s="4">
        <f>F23-C23</f>
        <v/>
      </c>
    </row>
    <row r="24">
      <c r="A24" s="3" t="inlineStr">
        <is>
          <t>08.쏠비치양양</t>
        </is>
      </c>
      <c r="B24" s="9" t="inlineStr">
        <is>
          <t>OTA</t>
        </is>
      </c>
      <c r="C24" s="4" t="n">
        <v>2100</v>
      </c>
      <c r="D24" s="4" t="n">
        <v>205</v>
      </c>
      <c r="E24" s="4" t="n">
        <v>431</v>
      </c>
      <c r="F24" s="4" t="n">
        <v>1950</v>
      </c>
      <c r="G24" s="4" t="n">
        <v>197</v>
      </c>
      <c r="H24" s="4" t="n">
        <v>384</v>
      </c>
      <c r="I24" s="5">
        <f>IF(C24=0,0,ROUND(F24/C24*100,1))</f>
        <v/>
      </c>
      <c r="J24" s="4">
        <f>F24-C24</f>
        <v/>
      </c>
    </row>
    <row r="25">
      <c r="A25" s="3" t="inlineStr">
        <is>
          <t>08.쏠비치양양</t>
        </is>
      </c>
      <c r="B25" s="9" t="inlineStr">
        <is>
          <t>G-OTA</t>
        </is>
      </c>
      <c r="C25" s="4" t="n">
        <v>1100</v>
      </c>
      <c r="D25" s="4" t="n">
        <v>185</v>
      </c>
      <c r="E25" s="4" t="n">
        <v>204</v>
      </c>
      <c r="F25" s="4" t="n">
        <v>1150</v>
      </c>
      <c r="G25" s="4" t="n">
        <v>182</v>
      </c>
      <c r="H25" s="4" t="n">
        <v>209</v>
      </c>
      <c r="I25" s="5">
        <f>IF(C25=0,0,ROUND(F25/C25*100,1))</f>
        <v/>
      </c>
      <c r="J25" s="4">
        <f>F25-C25</f>
        <v/>
      </c>
    </row>
    <row r="26">
      <c r="A26" s="3" t="inlineStr">
        <is>
          <t>08.쏠비치양양</t>
        </is>
      </c>
      <c r="B26" s="9" t="inlineStr">
        <is>
          <t>Inbound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>
        <f>IF(C26=0,0,ROUND(F26/C26*100,1))</f>
        <v/>
      </c>
      <c r="J26" s="4">
        <f>F26-C26</f>
        <v/>
      </c>
    </row>
    <row r="27">
      <c r="A27" s="3" t="inlineStr">
        <is>
          <t>09.쏠비치삼척</t>
        </is>
      </c>
      <c r="B27" s="9" t="inlineStr">
        <is>
          <t>OTA</t>
        </is>
      </c>
      <c r="C27" s="4" t="n">
        <v>3800</v>
      </c>
      <c r="D27" s="4" t="n">
        <v>218</v>
      </c>
      <c r="E27" s="4" t="n">
        <v>828</v>
      </c>
      <c r="F27" s="4" t="n">
        <v>3550</v>
      </c>
      <c r="G27" s="4" t="n">
        <v>215</v>
      </c>
      <c r="H27" s="4" t="n">
        <v>765</v>
      </c>
      <c r="I27" s="5">
        <f>IF(C27=0,0,ROUND(F27/C27*100,1))</f>
        <v/>
      </c>
      <c r="J27" s="4">
        <f>F27-C27</f>
        <v/>
      </c>
    </row>
    <row r="28">
      <c r="A28" s="3" t="inlineStr">
        <is>
          <t>09.쏠비치삼척</t>
        </is>
      </c>
      <c r="B28" s="9" t="inlineStr">
        <is>
          <t>G-OTA</t>
        </is>
      </c>
      <c r="C28" s="4" t="n">
        <v>3300</v>
      </c>
      <c r="D28" s="4" t="n">
        <v>202</v>
      </c>
      <c r="E28" s="4" t="n">
        <v>667</v>
      </c>
      <c r="F28" s="4" t="n">
        <v>2750</v>
      </c>
      <c r="G28" s="4" t="n">
        <v>199</v>
      </c>
      <c r="H28" s="4" t="n">
        <v>547</v>
      </c>
      <c r="I28" s="5">
        <f>IF(C28=0,0,ROUND(F28/C28*100,1))</f>
        <v/>
      </c>
      <c r="J28" s="4">
        <f>F28-C28</f>
        <v/>
      </c>
    </row>
    <row r="29">
      <c r="A29" s="3" t="inlineStr">
        <is>
          <t>09.쏠비치삼척</t>
        </is>
      </c>
      <c r="B29" s="9" t="inlineStr">
        <is>
          <t>Inbound</t>
        </is>
      </c>
      <c r="C29" s="4" t="n">
        <v>0</v>
      </c>
      <c r="D29" s="4" t="n">
        <v>0</v>
      </c>
      <c r="E29" s="4" t="n">
        <v>0</v>
      </c>
      <c r="F29" s="4" t="n">
        <v>12</v>
      </c>
      <c r="G29" s="4" t="n">
        <v>159</v>
      </c>
      <c r="H29" s="4" t="n">
        <v>2</v>
      </c>
      <c r="I29" s="5">
        <f>IF(C29=0,0,ROUND(F29/C29*100,1))</f>
        <v/>
      </c>
      <c r="J29" s="4">
        <f>F29-C29</f>
        <v/>
      </c>
    </row>
    <row r="30">
      <c r="A30" s="3" t="inlineStr">
        <is>
          <t>10.소노벨단양</t>
        </is>
      </c>
      <c r="B30" s="9" t="inlineStr">
        <is>
          <t>OTA</t>
        </is>
      </c>
      <c r="C30" s="4" t="n">
        <v>3550</v>
      </c>
      <c r="D30" s="4" t="n">
        <v>149</v>
      </c>
      <c r="E30" s="4" t="n">
        <v>527</v>
      </c>
      <c r="F30" s="4" t="n">
        <v>2520</v>
      </c>
      <c r="G30" s="4" t="n">
        <v>156</v>
      </c>
      <c r="H30" s="4" t="n">
        <v>394</v>
      </c>
      <c r="I30" s="5">
        <f>IF(C30=0,0,ROUND(F30/C30*100,1))</f>
        <v/>
      </c>
      <c r="J30" s="4">
        <f>F30-C30</f>
        <v/>
      </c>
    </row>
    <row r="31">
      <c r="A31" s="3" t="inlineStr">
        <is>
          <t>10.소노벨단양</t>
        </is>
      </c>
      <c r="B31" s="9" t="inlineStr">
        <is>
          <t>G-OTA</t>
        </is>
      </c>
      <c r="C31" s="4" t="n">
        <v>1650</v>
      </c>
      <c r="D31" s="4" t="n">
        <v>151</v>
      </c>
      <c r="E31" s="4" t="n">
        <v>248</v>
      </c>
      <c r="F31" s="4" t="n">
        <v>1750</v>
      </c>
      <c r="G31" s="4" t="n">
        <v>141</v>
      </c>
      <c r="H31" s="4" t="n">
        <v>246</v>
      </c>
      <c r="I31" s="5">
        <f>IF(C31=0,0,ROUND(F31/C31*100,1))</f>
        <v/>
      </c>
      <c r="J31" s="4">
        <f>F31-C31</f>
        <v/>
      </c>
    </row>
    <row r="32">
      <c r="A32" s="3" t="inlineStr">
        <is>
          <t>10.소노벨단양</t>
        </is>
      </c>
      <c r="B32" s="9" t="inlineStr">
        <is>
          <t>Inbound</t>
        </is>
      </c>
      <c r="C32" s="4" t="n">
        <v>250</v>
      </c>
      <c r="D32" s="4" t="n">
        <v>77</v>
      </c>
      <c r="E32" s="4" t="n">
        <v>19</v>
      </c>
      <c r="F32" s="4" t="n">
        <v>151</v>
      </c>
      <c r="G32" s="4" t="n">
        <v>60</v>
      </c>
      <c r="H32" s="4" t="n">
        <v>9</v>
      </c>
      <c r="I32" s="5">
        <f>IF(C32=0,0,ROUND(F32/C32*100,1))</f>
        <v/>
      </c>
      <c r="J32" s="4">
        <f>F32-C32</f>
        <v/>
      </c>
    </row>
    <row r="33">
      <c r="A33" s="3" t="inlineStr">
        <is>
          <t>11.소노캄경주</t>
        </is>
      </c>
      <c r="B33" s="9" t="inlineStr">
        <is>
          <t>OTA</t>
        </is>
      </c>
      <c r="C33" s="4" t="n">
        <v>1495</v>
      </c>
      <c r="D33" s="4" t="n">
        <v>265</v>
      </c>
      <c r="E33" s="4" t="n">
        <v>396</v>
      </c>
      <c r="F33" s="4" t="n">
        <v>1600</v>
      </c>
      <c r="G33" s="4" t="n">
        <v>272</v>
      </c>
      <c r="H33" s="4" t="n">
        <v>436</v>
      </c>
      <c r="I33" s="5">
        <f>IF(C33=0,0,ROUND(F33/C33*100,1))</f>
        <v/>
      </c>
      <c r="J33" s="4">
        <f>F33-C33</f>
        <v/>
      </c>
    </row>
    <row r="34">
      <c r="A34" s="3" t="inlineStr">
        <is>
          <t>11.소노캄경주</t>
        </is>
      </c>
      <c r="B34" s="9" t="inlineStr">
        <is>
          <t>G-OTA</t>
        </is>
      </c>
      <c r="C34" s="4" t="n">
        <v>930</v>
      </c>
      <c r="D34" s="4" t="n">
        <v>259</v>
      </c>
      <c r="E34" s="4" t="n">
        <v>241</v>
      </c>
      <c r="F34" s="4" t="n">
        <v>970</v>
      </c>
      <c r="G34" s="4" t="n">
        <v>253</v>
      </c>
      <c r="H34" s="4" t="n">
        <v>245</v>
      </c>
      <c r="I34" s="5">
        <f>IF(C34=0,0,ROUND(F34/C34*100,1))</f>
        <v/>
      </c>
      <c r="J34" s="4">
        <f>F34-C34</f>
        <v/>
      </c>
    </row>
    <row r="35">
      <c r="A35" s="3" t="inlineStr">
        <is>
          <t>11.소노캄경주</t>
        </is>
      </c>
      <c r="B35" s="9" t="inlineStr">
        <is>
          <t>Inbound</t>
        </is>
      </c>
      <c r="C35" s="4" t="n">
        <v>0</v>
      </c>
      <c r="D35" s="4" t="n">
        <v>0</v>
      </c>
      <c r="E35" s="4" t="n">
        <v>0</v>
      </c>
      <c r="F35" s="4" t="n">
        <v>12</v>
      </c>
      <c r="G35" s="4" t="n">
        <v>311</v>
      </c>
      <c r="H35" s="4" t="n">
        <v>4</v>
      </c>
      <c r="I35" s="5">
        <f>IF(C35=0,0,ROUND(F35/C35*100,1))</f>
        <v/>
      </c>
      <c r="J35" s="4">
        <f>F35-C35</f>
        <v/>
      </c>
    </row>
    <row r="36">
      <c r="A36" s="3" t="inlineStr">
        <is>
          <t>12.소노벨청송</t>
        </is>
      </c>
      <c r="B36" s="9" t="inlineStr">
        <is>
          <t>OTA</t>
        </is>
      </c>
      <c r="C36" s="4" t="n">
        <v>1070</v>
      </c>
      <c r="D36" s="4" t="n">
        <v>155</v>
      </c>
      <c r="E36" s="4" t="n">
        <v>166</v>
      </c>
      <c r="F36" s="4" t="n">
        <v>680</v>
      </c>
      <c r="G36" s="4" t="n">
        <v>174</v>
      </c>
      <c r="H36" s="4" t="n">
        <v>119</v>
      </c>
      <c r="I36" s="5">
        <f>IF(C36=0,0,ROUND(F36/C36*100,1))</f>
        <v/>
      </c>
      <c r="J36" s="4">
        <f>F36-C36</f>
        <v/>
      </c>
    </row>
    <row r="37">
      <c r="A37" s="3" t="inlineStr">
        <is>
          <t>12.소노벨청송</t>
        </is>
      </c>
      <c r="B37" s="9" t="inlineStr">
        <is>
          <t>G-OTA</t>
        </is>
      </c>
      <c r="C37" s="4" t="n">
        <v>400</v>
      </c>
      <c r="D37" s="4" t="n">
        <v>150</v>
      </c>
      <c r="E37" s="4" t="n">
        <v>60</v>
      </c>
      <c r="F37" s="4" t="n">
        <v>650</v>
      </c>
      <c r="G37" s="4" t="n">
        <v>167</v>
      </c>
      <c r="H37" s="4" t="n">
        <v>109</v>
      </c>
      <c r="I37" s="5">
        <f>IF(C37=0,0,ROUND(F37/C37*100,1))</f>
        <v/>
      </c>
      <c r="J37" s="4">
        <f>F37-C37</f>
        <v/>
      </c>
    </row>
    <row r="38">
      <c r="A38" s="3" t="inlineStr">
        <is>
          <t>12.소노벨청송</t>
        </is>
      </c>
      <c r="B38" s="9" t="inlineStr">
        <is>
          <t>Inbound</t>
        </is>
      </c>
      <c r="C38" s="4" t="n">
        <v>15</v>
      </c>
      <c r="D38" s="4" t="n">
        <v>221</v>
      </c>
      <c r="E38" s="4" t="n">
        <v>3</v>
      </c>
      <c r="F38" s="4" t="n">
        <v>18</v>
      </c>
      <c r="G38" s="4" t="n">
        <v>132</v>
      </c>
      <c r="H38" s="4" t="n">
        <v>2</v>
      </c>
      <c r="I38" s="5">
        <f>IF(C38=0,0,ROUND(F38/C38*100,1))</f>
        <v/>
      </c>
      <c r="J38" s="4">
        <f>F38-C38</f>
        <v/>
      </c>
    </row>
    <row r="39">
      <c r="A39" s="3" t="inlineStr">
        <is>
          <t>13.소노벨천안</t>
        </is>
      </c>
      <c r="B39" s="9" t="inlineStr">
        <is>
          <t>OTA</t>
        </is>
      </c>
      <c r="C39" s="4" t="n">
        <v>1950</v>
      </c>
      <c r="D39" s="4" t="n">
        <v>167</v>
      </c>
      <c r="E39" s="4" t="n">
        <v>325</v>
      </c>
      <c r="F39" s="4" t="n">
        <v>1800</v>
      </c>
      <c r="G39" s="4" t="n">
        <v>168</v>
      </c>
      <c r="H39" s="4" t="n">
        <v>302</v>
      </c>
      <c r="I39" s="5">
        <f>IF(C39=0,0,ROUND(F39/C39*100,1))</f>
        <v/>
      </c>
      <c r="J39" s="4">
        <f>F39-C39</f>
        <v/>
      </c>
    </row>
    <row r="40">
      <c r="A40" s="3" t="inlineStr">
        <is>
          <t>13.소노벨천안</t>
        </is>
      </c>
      <c r="B40" s="9" t="inlineStr">
        <is>
          <t>G-OTA</t>
        </is>
      </c>
      <c r="C40" s="4" t="n">
        <v>900</v>
      </c>
      <c r="D40" s="4" t="n">
        <v>164</v>
      </c>
      <c r="E40" s="4" t="n">
        <v>148</v>
      </c>
      <c r="F40" s="4" t="n">
        <v>750</v>
      </c>
      <c r="G40" s="4" t="n">
        <v>166</v>
      </c>
      <c r="H40" s="4" t="n">
        <v>125</v>
      </c>
      <c r="I40" s="5">
        <f>IF(C40=0,0,ROUND(F40/C40*100,1))</f>
        <v/>
      </c>
      <c r="J40" s="4">
        <f>F40-C40</f>
        <v/>
      </c>
    </row>
    <row r="41">
      <c r="A41" s="3" t="inlineStr">
        <is>
          <t>13.소노벨천안</t>
        </is>
      </c>
      <c r="B41" s="9" t="inlineStr">
        <is>
          <t>Inbound</t>
        </is>
      </c>
      <c r="C41" s="4" t="n">
        <v>0</v>
      </c>
      <c r="D41" s="4" t="n">
        <v>0</v>
      </c>
      <c r="E41" s="4" t="n">
        <v>0</v>
      </c>
      <c r="F41" s="4" t="n">
        <v>5</v>
      </c>
      <c r="G41" s="4" t="n">
        <v>97</v>
      </c>
      <c r="H41" s="4" t="n">
        <v>0</v>
      </c>
      <c r="I41" s="5">
        <f>IF(C41=0,0,ROUND(F41/C41*100,1))</f>
        <v/>
      </c>
      <c r="J41" s="4">
        <f>F41-C41</f>
        <v/>
      </c>
    </row>
    <row r="42">
      <c r="A42" s="3" t="inlineStr">
        <is>
          <t>14.소노벨변산</t>
        </is>
      </c>
      <c r="B42" s="9" t="inlineStr">
        <is>
          <t>OTA</t>
        </is>
      </c>
      <c r="C42" s="4" t="n">
        <v>1500</v>
      </c>
      <c r="D42" s="4" t="n">
        <v>165</v>
      </c>
      <c r="E42" s="4" t="n">
        <v>248</v>
      </c>
      <c r="F42" s="4" t="n">
        <v>1500</v>
      </c>
      <c r="G42" s="4" t="n">
        <v>175</v>
      </c>
      <c r="H42" s="4" t="n">
        <v>263</v>
      </c>
      <c r="I42" s="5">
        <f>IF(C42=0,0,ROUND(F42/C42*100,1))</f>
        <v/>
      </c>
      <c r="J42" s="4">
        <f>F42-C42</f>
        <v/>
      </c>
    </row>
    <row r="43">
      <c r="A43" s="3" t="inlineStr">
        <is>
          <t>14.소노벨변산</t>
        </is>
      </c>
      <c r="B43" s="9" t="inlineStr">
        <is>
          <t>G-OTA</t>
        </is>
      </c>
      <c r="C43" s="4" t="n">
        <v>1200</v>
      </c>
      <c r="D43" s="4" t="n">
        <v>150</v>
      </c>
      <c r="E43" s="4" t="n">
        <v>180</v>
      </c>
      <c r="F43" s="4" t="n">
        <v>1400</v>
      </c>
      <c r="G43" s="4" t="n">
        <v>163</v>
      </c>
      <c r="H43" s="4" t="n">
        <v>228</v>
      </c>
      <c r="I43" s="5">
        <f>IF(C43=0,0,ROUND(F43/C43*100,1))</f>
        <v/>
      </c>
      <c r="J43" s="4">
        <f>F43-C43</f>
        <v/>
      </c>
    </row>
    <row r="44">
      <c r="A44" s="3" t="inlineStr">
        <is>
          <t>14.소노벨변산</t>
        </is>
      </c>
      <c r="B44" s="9" t="inlineStr">
        <is>
          <t>Inbound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>
        <f>IF(C44=0,0,ROUND(F44/C44*100,1))</f>
        <v/>
      </c>
      <c r="J44" s="4">
        <f>F44-C44</f>
        <v/>
      </c>
    </row>
    <row r="45">
      <c r="A45" s="3" t="inlineStr">
        <is>
          <t>15.소노캄여수</t>
        </is>
      </c>
      <c r="B45" s="9" t="inlineStr">
        <is>
          <t>OTA</t>
        </is>
      </c>
      <c r="C45" s="4" t="n">
        <v>600</v>
      </c>
      <c r="D45" s="4" t="n">
        <v>273</v>
      </c>
      <c r="E45" s="4" t="n">
        <v>164</v>
      </c>
      <c r="F45" s="4" t="n">
        <v>450</v>
      </c>
      <c r="G45" s="4" t="n">
        <v>275</v>
      </c>
      <c r="H45" s="4" t="n">
        <v>124</v>
      </c>
      <c r="I45" s="5">
        <f>IF(C45=0,0,ROUND(F45/C45*100,1))</f>
        <v/>
      </c>
      <c r="J45" s="4">
        <f>F45-C45</f>
        <v/>
      </c>
    </row>
    <row r="46">
      <c r="A46" s="3" t="inlineStr">
        <is>
          <t>15.소노캄여수</t>
        </is>
      </c>
      <c r="B46" s="9" t="inlineStr">
        <is>
          <t>G-OTA</t>
        </is>
      </c>
      <c r="C46" s="4" t="n">
        <v>600</v>
      </c>
      <c r="D46" s="4" t="n">
        <v>266</v>
      </c>
      <c r="E46" s="4" t="n">
        <v>160</v>
      </c>
      <c r="F46" s="4" t="n">
        <v>700</v>
      </c>
      <c r="G46" s="4" t="n">
        <v>271</v>
      </c>
      <c r="H46" s="4" t="n">
        <v>190</v>
      </c>
      <c r="I46" s="5">
        <f>IF(C46=0,0,ROUND(F46/C46*100,1))</f>
        <v/>
      </c>
      <c r="J46" s="4">
        <f>F46-C46</f>
        <v/>
      </c>
    </row>
    <row r="47">
      <c r="A47" s="3" t="inlineStr">
        <is>
          <t>15.소노캄여수</t>
        </is>
      </c>
      <c r="B47" s="9" t="inlineStr">
        <is>
          <t>Inbound</t>
        </is>
      </c>
      <c r="C47" s="4" t="n">
        <v>150</v>
      </c>
      <c r="D47" s="4" t="n">
        <v>157</v>
      </c>
      <c r="E47" s="4" t="n">
        <v>24</v>
      </c>
      <c r="F47" s="4" t="n">
        <v>104</v>
      </c>
      <c r="G47" s="4" t="n">
        <v>121</v>
      </c>
      <c r="H47" s="4" t="n">
        <v>13</v>
      </c>
      <c r="I47" s="5">
        <f>IF(C47=0,0,ROUND(F47/C47*100,1))</f>
        <v/>
      </c>
      <c r="J47" s="4">
        <f>F47-C47</f>
        <v/>
      </c>
    </row>
    <row r="48">
      <c r="A48" s="3" t="inlineStr">
        <is>
          <t>16.소노캄거제</t>
        </is>
      </c>
      <c r="B48" s="9" t="inlineStr">
        <is>
          <t>OTA</t>
        </is>
      </c>
      <c r="C48" s="4" t="n">
        <v>1700</v>
      </c>
      <c r="D48" s="4" t="n">
        <v>215</v>
      </c>
      <c r="E48" s="4" t="n">
        <v>366</v>
      </c>
      <c r="F48" s="4" t="n">
        <v>1450</v>
      </c>
      <c r="G48" s="4" t="n">
        <v>241</v>
      </c>
      <c r="H48" s="4" t="n">
        <v>349</v>
      </c>
      <c r="I48" s="5">
        <f>IF(C48=0,0,ROUND(F48/C48*100,1))</f>
        <v/>
      </c>
      <c r="J48" s="4">
        <f>F48-C48</f>
        <v/>
      </c>
    </row>
    <row r="49">
      <c r="A49" s="3" t="inlineStr">
        <is>
          <t>16.소노캄거제</t>
        </is>
      </c>
      <c r="B49" s="9" t="inlineStr">
        <is>
          <t>G-OTA</t>
        </is>
      </c>
      <c r="C49" s="4" t="n">
        <v>1600</v>
      </c>
      <c r="D49" s="4" t="n">
        <v>203</v>
      </c>
      <c r="E49" s="4" t="n">
        <v>325</v>
      </c>
      <c r="F49" s="4" t="n">
        <v>1400</v>
      </c>
      <c r="G49" s="4" t="n">
        <v>240</v>
      </c>
      <c r="H49" s="4" t="n">
        <v>336</v>
      </c>
      <c r="I49" s="5">
        <f>IF(C49=0,0,ROUND(F49/C49*100,1))</f>
        <v/>
      </c>
      <c r="J49" s="4">
        <f>F49-C49</f>
        <v/>
      </c>
    </row>
    <row r="50">
      <c r="A50" s="3" t="inlineStr">
        <is>
          <t>16.소노캄거제</t>
        </is>
      </c>
      <c r="B50" s="9" t="inlineStr">
        <is>
          <t>Inbound</t>
        </is>
      </c>
      <c r="C50" s="4" t="n">
        <v>0</v>
      </c>
      <c r="D50" s="4" t="n">
        <v>0</v>
      </c>
      <c r="E50" s="4" t="n">
        <v>0</v>
      </c>
      <c r="F50" s="4" t="n">
        <v>2</v>
      </c>
      <c r="G50" s="4" t="n">
        <v>143</v>
      </c>
      <c r="H50" s="4" t="n">
        <v>0</v>
      </c>
      <c r="I50" s="5">
        <f>IF(C50=0,0,ROUND(F50/C50*100,1))</f>
        <v/>
      </c>
      <c r="J50" s="4">
        <f>F50-C50</f>
        <v/>
      </c>
    </row>
    <row r="51">
      <c r="A51" s="3" t="inlineStr">
        <is>
          <t>17.쏠비치진도</t>
        </is>
      </c>
      <c r="B51" s="9" t="inlineStr">
        <is>
          <t>OTA</t>
        </is>
      </c>
      <c r="C51" s="4" t="n">
        <v>2800</v>
      </c>
      <c r="D51" s="4" t="n">
        <v>205</v>
      </c>
      <c r="E51" s="4" t="n">
        <v>574</v>
      </c>
      <c r="F51" s="4" t="n">
        <v>2450</v>
      </c>
      <c r="G51" s="4" t="n">
        <v>198</v>
      </c>
      <c r="H51" s="4" t="n">
        <v>486</v>
      </c>
      <c r="I51" s="5">
        <f>IF(C51=0,0,ROUND(F51/C51*100,1))</f>
        <v/>
      </c>
      <c r="J51" s="4">
        <f>F51-C51</f>
        <v/>
      </c>
    </row>
    <row r="52">
      <c r="A52" s="3" t="inlineStr">
        <is>
          <t>17.쏠비치진도</t>
        </is>
      </c>
      <c r="B52" s="9" t="inlineStr">
        <is>
          <t>G-OTA</t>
        </is>
      </c>
      <c r="C52" s="4" t="n">
        <v>2000</v>
      </c>
      <c r="D52" s="4" t="n">
        <v>194</v>
      </c>
      <c r="E52" s="4" t="n">
        <v>388</v>
      </c>
      <c r="F52" s="4" t="n">
        <v>2020</v>
      </c>
      <c r="G52" s="4" t="n">
        <v>187</v>
      </c>
      <c r="H52" s="4" t="n">
        <v>378</v>
      </c>
      <c r="I52" s="5">
        <f>IF(C52=0,0,ROUND(F52/C52*100,1))</f>
        <v/>
      </c>
      <c r="J52" s="4">
        <f>F52-C52</f>
        <v/>
      </c>
    </row>
    <row r="53">
      <c r="A53" s="3" t="inlineStr">
        <is>
          <t>17.쏠비치진도</t>
        </is>
      </c>
      <c r="B53" s="9" t="inlineStr">
        <is>
          <t>Inbound</t>
        </is>
      </c>
      <c r="C53" s="4" t="n">
        <v>0</v>
      </c>
      <c r="D53" s="4" t="n">
        <v>0</v>
      </c>
      <c r="E53" s="4" t="n">
        <v>0</v>
      </c>
      <c r="F53" s="4" t="n">
        <v>2</v>
      </c>
      <c r="G53" s="4" t="n">
        <v>166</v>
      </c>
      <c r="H53" s="4" t="n">
        <v>0</v>
      </c>
      <c r="I53" s="5">
        <f>IF(C53=0,0,ROUND(F53/C53*100,1))</f>
        <v/>
      </c>
      <c r="J53" s="4">
        <f>F53-C53</f>
        <v/>
      </c>
    </row>
    <row r="54">
      <c r="A54" s="3" t="inlineStr">
        <is>
          <t>18.소노벨제주</t>
        </is>
      </c>
      <c r="B54" s="9" t="inlineStr">
        <is>
          <t>OTA</t>
        </is>
      </c>
      <c r="C54" s="4" t="n">
        <v>900</v>
      </c>
      <c r="D54" s="4" t="n">
        <v>155</v>
      </c>
      <c r="E54" s="4" t="n">
        <v>140</v>
      </c>
      <c r="F54" s="4" t="n">
        <v>920</v>
      </c>
      <c r="G54" s="4" t="n">
        <v>174</v>
      </c>
      <c r="H54" s="4" t="n">
        <v>160</v>
      </c>
      <c r="I54" s="5">
        <f>IF(C54=0,0,ROUND(F54/C54*100,1))</f>
        <v/>
      </c>
      <c r="J54" s="4">
        <f>F54-C54</f>
        <v/>
      </c>
    </row>
    <row r="55">
      <c r="A55" s="3" t="inlineStr">
        <is>
          <t>18.소노벨제주</t>
        </is>
      </c>
      <c r="B55" s="9" t="inlineStr">
        <is>
          <t>G-OTA</t>
        </is>
      </c>
      <c r="C55" s="4" t="n">
        <v>1000</v>
      </c>
      <c r="D55" s="4" t="n">
        <v>152</v>
      </c>
      <c r="E55" s="4" t="n">
        <v>152</v>
      </c>
      <c r="F55" s="4" t="n">
        <v>1580</v>
      </c>
      <c r="G55" s="4" t="n">
        <v>166</v>
      </c>
      <c r="H55" s="4" t="n">
        <v>263</v>
      </c>
      <c r="I55" s="5">
        <f>IF(C55=0,0,ROUND(F55/C55*100,1))</f>
        <v/>
      </c>
      <c r="J55" s="4">
        <f>F55-C55</f>
        <v/>
      </c>
    </row>
    <row r="56">
      <c r="A56" s="3" t="inlineStr">
        <is>
          <t>18.소노벨제주</t>
        </is>
      </c>
      <c r="B56" s="9" t="inlineStr">
        <is>
          <t>Inbound</t>
        </is>
      </c>
      <c r="C56" s="4" t="n">
        <v>100</v>
      </c>
      <c r="D56" s="4" t="n">
        <v>63</v>
      </c>
      <c r="E56" s="4" t="n">
        <v>6</v>
      </c>
      <c r="F56" s="4" t="n">
        <v>94</v>
      </c>
      <c r="G56" s="4" t="n">
        <v>94</v>
      </c>
      <c r="H56" s="4" t="n">
        <v>9</v>
      </c>
      <c r="I56" s="5">
        <f>IF(C56=0,0,ROUND(F56/C56*100,1))</f>
        <v/>
      </c>
      <c r="J56" s="4">
        <f>F56-C56</f>
        <v/>
      </c>
    </row>
    <row r="57">
      <c r="A57" s="3" t="inlineStr">
        <is>
          <t>19.소노캄제주</t>
        </is>
      </c>
      <c r="B57" s="9" t="inlineStr">
        <is>
          <t>OTA</t>
        </is>
      </c>
      <c r="C57" s="4" t="n">
        <v>580</v>
      </c>
      <c r="D57" s="4" t="n">
        <v>243</v>
      </c>
      <c r="E57" s="4" t="n">
        <v>141</v>
      </c>
      <c r="F57" s="4" t="n">
        <v>500</v>
      </c>
      <c r="G57" s="4" t="n">
        <v>206</v>
      </c>
      <c r="H57" s="4" t="n">
        <v>103</v>
      </c>
      <c r="I57" s="5">
        <f>IF(C57=0,0,ROUND(F57/C57*100,1))</f>
        <v/>
      </c>
      <c r="J57" s="4">
        <f>F57-C57</f>
        <v/>
      </c>
    </row>
    <row r="58">
      <c r="A58" s="3" t="inlineStr">
        <is>
          <t>19.소노캄제주</t>
        </is>
      </c>
      <c r="B58" s="9" t="inlineStr">
        <is>
          <t>G-OTA</t>
        </is>
      </c>
      <c r="C58" s="4" t="n">
        <v>720</v>
      </c>
      <c r="D58" s="4" t="n">
        <v>223</v>
      </c>
      <c r="E58" s="4" t="n">
        <v>160</v>
      </c>
      <c r="F58" s="4" t="n">
        <v>830</v>
      </c>
      <c r="G58" s="4" t="n">
        <v>177</v>
      </c>
      <c r="H58" s="4" t="n">
        <v>147</v>
      </c>
      <c r="I58" s="5">
        <f>IF(C58=0,0,ROUND(F58/C58*100,1))</f>
        <v/>
      </c>
      <c r="J58" s="4">
        <f>F58-C58</f>
        <v/>
      </c>
    </row>
    <row r="59">
      <c r="A59" s="3" t="inlineStr">
        <is>
          <t>19.소노캄제주</t>
        </is>
      </c>
      <c r="B59" s="9" t="inlineStr">
        <is>
          <t>Inbound</t>
        </is>
      </c>
      <c r="C59" s="4" t="n">
        <v>0</v>
      </c>
      <c r="D59" s="4" t="n">
        <v>0</v>
      </c>
      <c r="E59" s="4" t="n">
        <v>0</v>
      </c>
      <c r="F59" s="4" t="n">
        <v>20</v>
      </c>
      <c r="G59" s="4" t="n">
        <v>145</v>
      </c>
      <c r="H59" s="4" t="n">
        <v>3</v>
      </c>
      <c r="I59" s="5">
        <f>IF(C59=0,0,ROUND(F59/C59*100,1))</f>
        <v/>
      </c>
      <c r="J59" s="4">
        <f>F59-C59</f>
        <v/>
      </c>
    </row>
    <row r="60">
      <c r="A60" s="3" t="inlineStr">
        <is>
          <t>20.소노캄고양</t>
        </is>
      </c>
      <c r="B60" s="9" t="inlineStr">
        <is>
          <t>OTA</t>
        </is>
      </c>
      <c r="C60" s="4" t="n">
        <v>1100</v>
      </c>
      <c r="D60" s="4" t="n">
        <v>192</v>
      </c>
      <c r="E60" s="4" t="n">
        <v>211</v>
      </c>
      <c r="F60" s="4" t="n">
        <v>850</v>
      </c>
      <c r="G60" s="4" t="n">
        <v>201</v>
      </c>
      <c r="H60" s="4" t="n">
        <v>171</v>
      </c>
      <c r="I60" s="5">
        <f>IF(C60=0,0,ROUND(F60/C60*100,1))</f>
        <v/>
      </c>
      <c r="J60" s="4">
        <f>F60-C60</f>
        <v/>
      </c>
    </row>
    <row r="61">
      <c r="A61" s="3" t="inlineStr">
        <is>
          <t>20.소노캄고양</t>
        </is>
      </c>
      <c r="B61" s="9" t="inlineStr">
        <is>
          <t>G-OTA</t>
        </is>
      </c>
      <c r="C61" s="4" t="n">
        <v>3800</v>
      </c>
      <c r="D61" s="4" t="n">
        <v>191</v>
      </c>
      <c r="E61" s="4" t="n">
        <v>724</v>
      </c>
      <c r="F61" s="4" t="n">
        <v>3250</v>
      </c>
      <c r="G61" s="4" t="n">
        <v>191</v>
      </c>
      <c r="H61" s="4" t="n">
        <v>621</v>
      </c>
      <c r="I61" s="5">
        <f>IF(C61=0,0,ROUND(F61/C61*100,1))</f>
        <v/>
      </c>
      <c r="J61" s="4">
        <f>F61-C61</f>
        <v/>
      </c>
    </row>
    <row r="62">
      <c r="A62" s="3" t="inlineStr">
        <is>
          <t>20.소노캄고양</t>
        </is>
      </c>
      <c r="B62" s="9" t="inlineStr">
        <is>
          <t>Inbound</t>
        </is>
      </c>
      <c r="C62" s="4" t="n">
        <v>3500</v>
      </c>
      <c r="D62" s="4" t="n">
        <v>90</v>
      </c>
      <c r="E62" s="4" t="n">
        <v>315</v>
      </c>
      <c r="F62" s="4" t="n">
        <v>2700</v>
      </c>
      <c r="G62" s="4" t="n">
        <v>91</v>
      </c>
      <c r="H62" s="4" t="n">
        <v>246</v>
      </c>
      <c r="I62" s="5">
        <f>IF(C62=0,0,ROUND(F62/C62*100,1))</f>
        <v/>
      </c>
      <c r="J62" s="4">
        <f>F62-C62</f>
        <v/>
      </c>
    </row>
    <row r="63">
      <c r="A63" s="3" t="inlineStr">
        <is>
          <t>21.소노문해운대</t>
        </is>
      </c>
      <c r="B63" s="9" t="inlineStr">
        <is>
          <t>OTA</t>
        </is>
      </c>
      <c r="C63" s="4" t="n">
        <v>700</v>
      </c>
      <c r="D63" s="4" t="n">
        <v>107</v>
      </c>
      <c r="E63" s="4" t="n">
        <v>75</v>
      </c>
      <c r="F63" s="4" t="n">
        <v>537</v>
      </c>
      <c r="G63" s="4" t="n">
        <v>114</v>
      </c>
      <c r="H63" s="4" t="n">
        <v>61</v>
      </c>
      <c r="I63" s="5">
        <f>IF(C63=0,0,ROUND(F63/C63*100,1))</f>
        <v/>
      </c>
      <c r="J63" s="4">
        <f>F63-C63</f>
        <v/>
      </c>
    </row>
    <row r="64">
      <c r="A64" s="3" t="inlineStr">
        <is>
          <t>21.소노문해운대</t>
        </is>
      </c>
      <c r="B64" s="9" t="inlineStr">
        <is>
          <t>G-OTA</t>
        </is>
      </c>
      <c r="C64" s="4" t="n">
        <v>1000</v>
      </c>
      <c r="D64" s="4" t="n">
        <v>100</v>
      </c>
      <c r="E64" s="4" t="n">
        <v>100</v>
      </c>
      <c r="F64" s="4" t="n">
        <v>1150</v>
      </c>
      <c r="G64" s="4" t="n">
        <v>102</v>
      </c>
      <c r="H64" s="4" t="n">
        <v>118</v>
      </c>
      <c r="I64" s="5">
        <f>IF(C64=0,0,ROUND(F64/C64*100,1))</f>
        <v/>
      </c>
      <c r="J64" s="4">
        <f>F64-C64</f>
        <v/>
      </c>
    </row>
    <row r="65">
      <c r="A65" s="3" t="inlineStr">
        <is>
          <t>21.소노문해운대</t>
        </is>
      </c>
      <c r="B65" s="9" t="inlineStr">
        <is>
          <t>Inbound</t>
        </is>
      </c>
      <c r="C65" s="4" t="n">
        <v>800</v>
      </c>
      <c r="D65" s="4" t="n">
        <v>61</v>
      </c>
      <c r="E65" s="4" t="n">
        <v>49</v>
      </c>
      <c r="F65" s="4" t="n">
        <v>1198</v>
      </c>
      <c r="G65" s="4" t="n">
        <v>63</v>
      </c>
      <c r="H65" s="4" t="n">
        <v>75</v>
      </c>
      <c r="I65" s="5">
        <f>IF(C65=0,0,ROUND(F65/C65*100,1))</f>
        <v/>
      </c>
      <c r="J65" s="4">
        <f>F65-C65</f>
        <v/>
      </c>
    </row>
    <row r="66">
      <c r="A66" s="3" t="inlineStr">
        <is>
          <t>22.쏠비치남해</t>
        </is>
      </c>
      <c r="B66" s="9" t="inlineStr">
        <is>
          <t>OTA</t>
        </is>
      </c>
      <c r="C66" s="4" t="n">
        <v>1850</v>
      </c>
      <c r="D66" s="4" t="n">
        <v>346</v>
      </c>
      <c r="E66" s="4" t="n">
        <v>640</v>
      </c>
      <c r="F66" s="4" t="n">
        <v>1550</v>
      </c>
      <c r="G66" s="4" t="n">
        <v>371</v>
      </c>
      <c r="H66" s="4" t="n">
        <v>575</v>
      </c>
      <c r="I66" s="5">
        <f>IF(C66=0,0,ROUND(F66/C66*100,1))</f>
        <v/>
      </c>
      <c r="J66" s="4">
        <f>F66-C66</f>
        <v/>
      </c>
    </row>
    <row r="67">
      <c r="A67" s="3" t="inlineStr">
        <is>
          <t>22.쏠비치남해</t>
        </is>
      </c>
      <c r="B67" s="9" t="inlineStr">
        <is>
          <t>G-OTA</t>
        </is>
      </c>
      <c r="C67" s="4" t="n">
        <v>910</v>
      </c>
      <c r="D67" s="4" t="n">
        <v>342</v>
      </c>
      <c r="E67" s="4" t="n">
        <v>312</v>
      </c>
      <c r="F67" s="4" t="n">
        <v>1600</v>
      </c>
      <c r="G67" s="4" t="n">
        <v>347</v>
      </c>
      <c r="H67" s="4" t="n">
        <v>555</v>
      </c>
      <c r="I67" s="5">
        <f>IF(C67=0,0,ROUND(F67/C67*100,1))</f>
        <v/>
      </c>
      <c r="J67" s="4">
        <f>F67-C67</f>
        <v/>
      </c>
    </row>
    <row r="68">
      <c r="A68" s="3" t="inlineStr">
        <is>
          <t>22.쏠비치남해</t>
        </is>
      </c>
      <c r="B68" s="9" t="inlineStr">
        <is>
          <t>Inbound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5">
        <f>IF(C68=0,0,ROUND(F68/C68*100,1))</f>
        <v/>
      </c>
      <c r="J68" s="4">
        <f>F68-C68</f>
        <v/>
      </c>
    </row>
    <row r="69">
      <c r="A69" s="3" t="inlineStr">
        <is>
          <t>23.르네블루</t>
        </is>
      </c>
      <c r="B69" s="9" t="inlineStr">
        <is>
          <t>OTA</t>
        </is>
      </c>
      <c r="C69" s="4" t="n">
        <v>525</v>
      </c>
      <c r="D69" s="4" t="n">
        <v>257</v>
      </c>
      <c r="E69" s="4" t="n">
        <v>135</v>
      </c>
      <c r="F69" s="4" t="n">
        <v>680</v>
      </c>
      <c r="G69" s="4" t="n">
        <v>200</v>
      </c>
      <c r="H69" s="4" t="n">
        <v>136</v>
      </c>
      <c r="I69" s="5">
        <f>IF(C69=0,0,ROUND(F69/C69*100,1))</f>
        <v/>
      </c>
      <c r="J69" s="4">
        <f>F69-C69</f>
        <v/>
      </c>
    </row>
    <row r="70">
      <c r="A70" s="3" t="inlineStr">
        <is>
          <t>23.르네블루</t>
        </is>
      </c>
      <c r="B70" s="9" t="inlineStr">
        <is>
          <t>G-OTA</t>
        </is>
      </c>
      <c r="C70" s="4" t="n">
        <v>425</v>
      </c>
      <c r="D70" s="4" t="n">
        <v>259</v>
      </c>
      <c r="E70" s="4" t="n">
        <v>110</v>
      </c>
      <c r="F70" s="4" t="n">
        <v>400</v>
      </c>
      <c r="G70" s="4" t="n">
        <v>179</v>
      </c>
      <c r="H70" s="4" t="n">
        <v>72</v>
      </c>
      <c r="I70" s="5">
        <f>IF(C70=0,0,ROUND(F70/C70*100,1))</f>
        <v/>
      </c>
      <c r="J70" s="4">
        <f>F70-C70</f>
        <v/>
      </c>
    </row>
    <row r="71">
      <c r="A71" s="3" t="inlineStr">
        <is>
          <t>23.르네블루</t>
        </is>
      </c>
      <c r="B71" s="9" t="inlineStr">
        <is>
          <t>Inbound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5">
        <f>IF(C71=0,0,ROUND(F71/C71*100,1))</f>
        <v/>
      </c>
      <c r="J71" s="4">
        <f>F71-C71</f>
        <v/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</cols>
  <sheetData>
    <row r="1">
      <c r="A1" s="10" t="inlineStr">
        <is>
          <t>소스 PDF</t>
        </is>
      </c>
      <c r="B1" s="11" t="inlineStr">
        <is>
          <t>Revenue Meeting_2026.06.01.pdf</t>
        </is>
      </c>
    </row>
    <row r="2">
      <c r="A2" s="10" t="inlineStr">
        <is>
          <t>추출일시</t>
        </is>
      </c>
      <c r="B2" s="11" t="inlineStr">
        <is>
          <t>2026-06-04T11:14:20.579703Z</t>
        </is>
      </c>
    </row>
    <row r="3">
      <c r="A3" s="10" t="inlineStr">
        <is>
          <t>스냅샷일자</t>
        </is>
      </c>
      <c r="B3" s="11" t="inlineStr">
        <is>
          <t>2026.06.01</t>
        </is>
      </c>
    </row>
    <row r="4">
      <c r="A4" s="10" t="inlineStr">
        <is>
          <t>대상월</t>
        </is>
      </c>
      <c r="B4" s="11" t="inlineStr">
        <is>
          <t>2026-06</t>
        </is>
      </c>
    </row>
    <row r="5">
      <c r="A5" s="10" t="inlineStr">
        <is>
          <t>비고</t>
        </is>
      </c>
      <c r="B5" s="11" t="inlineStr">
        <is>
          <t>OTA/G-OTA/Inbound 세그먼트 Forecast (주요지표 2.Forecast[06/01]) / 단위: RN=실, ADR=천원, 매출=백만원, VAT제외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2026-06-04T04:11:57Z</dcterms:created>
  <dcterms:modified xmlns:dcterms="http://purl.org/dc/terms/" xmlns:xsi="http://www.w3.org/2001/XMLSchema-instance" xsi:type="dcterms:W3CDTF">2026-06-04T04:11:57Z</dcterms:modified>
</cp:coreProperties>
</file>