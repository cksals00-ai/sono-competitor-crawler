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ta\"/>
    </mc:Choice>
  </mc:AlternateContent>
  <bookViews>
    <workbookView xWindow="24120" yWindow="0" windowWidth="15090" windowHeight="11040"/>
  </bookViews>
  <sheets>
    <sheet name="샘플" sheetId="1" r:id="rId1"/>
    <sheet name="Sheet1" sheetId="5" r:id="rId2"/>
    <sheet name="db" sheetId="4" r:id="rId3"/>
    <sheet name="table" sheetId="3" r:id="rId4"/>
    <sheet name="2025" sheetId="2" r:id="rId5"/>
  </sheets>
  <definedNames>
    <definedName name="inbound">db!#REF!</definedName>
  </definedName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4" l="1"/>
  <c r="A15" i="4"/>
  <c r="A16" i="4"/>
  <c r="A17" i="4"/>
  <c r="A18" i="4"/>
  <c r="A19" i="4"/>
  <c r="A20" i="4"/>
  <c r="A21" i="4"/>
  <c r="A22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152" i="4"/>
  <c r="A153" i="4"/>
  <c r="A154" i="4"/>
  <c r="A128" i="4"/>
  <c r="A129" i="4"/>
  <c r="A130" i="4"/>
  <c r="A5" i="4"/>
  <c r="A6" i="4"/>
  <c r="A7" i="4"/>
  <c r="A155" i="4"/>
  <c r="A156" i="4"/>
  <c r="A157" i="4"/>
  <c r="A131" i="4"/>
  <c r="A132" i="4"/>
  <c r="A133" i="4"/>
  <c r="A8" i="4"/>
  <c r="A9" i="4"/>
  <c r="A10" i="4"/>
  <c r="A197" i="4"/>
  <c r="A198" i="4"/>
  <c r="A199" i="4"/>
  <c r="A137" i="4"/>
  <c r="A138" i="4"/>
  <c r="A139" i="4"/>
  <c r="A122" i="4"/>
  <c r="A123" i="4"/>
  <c r="A124" i="4"/>
  <c r="A194" i="4"/>
  <c r="A195" i="4"/>
  <c r="A196" i="4"/>
  <c r="A134" i="4"/>
  <c r="A135" i="4"/>
  <c r="A136" i="4"/>
  <c r="A11" i="4"/>
  <c r="A12" i="4"/>
  <c r="A13" i="4"/>
  <c r="H2247" i="1" l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A103" i="4" l="1"/>
  <c r="A31" i="4"/>
  <c r="A151" i="4"/>
  <c r="A76" i="4"/>
  <c r="A184" i="4"/>
  <c r="A40" i="4"/>
  <c r="A193" i="4"/>
  <c r="A247" i="4"/>
  <c r="A148" i="4"/>
  <c r="A211" i="4"/>
  <c r="A49" i="4"/>
  <c r="A94" i="4"/>
  <c r="A238" i="4"/>
  <c r="A85" i="4"/>
  <c r="A121" i="4"/>
  <c r="A112" i="4"/>
  <c r="A220" i="4"/>
  <c r="A175" i="4"/>
  <c r="A229" i="4"/>
  <c r="A166" i="4"/>
  <c r="A102" i="4"/>
  <c r="A30" i="4"/>
  <c r="A127" i="4"/>
  <c r="A75" i="4"/>
  <c r="A183" i="4"/>
  <c r="A39" i="4"/>
  <c r="A192" i="4"/>
  <c r="A246" i="4"/>
  <c r="A147" i="4"/>
  <c r="A210" i="4"/>
  <c r="A48" i="4"/>
  <c r="A93" i="4"/>
  <c r="A237" i="4"/>
  <c r="A84" i="4"/>
  <c r="A120" i="4"/>
  <c r="A111" i="4"/>
  <c r="A219" i="4"/>
  <c r="A174" i="4"/>
  <c r="A228" i="4"/>
  <c r="A165" i="4"/>
  <c r="A101" i="4"/>
  <c r="A29" i="4"/>
  <c r="A202" i="4"/>
  <c r="A74" i="4"/>
  <c r="A182" i="4"/>
  <c r="A38" i="4"/>
  <c r="A191" i="4"/>
  <c r="A245" i="4"/>
  <c r="A146" i="4"/>
  <c r="A209" i="4"/>
  <c r="A47" i="4"/>
  <c r="A92" i="4"/>
  <c r="A236" i="4"/>
  <c r="A83" i="4"/>
  <c r="A119" i="4"/>
  <c r="A110" i="4"/>
  <c r="A218" i="4"/>
  <c r="A173" i="4"/>
  <c r="A227" i="4"/>
  <c r="A164" i="4"/>
  <c r="A100" i="4"/>
  <c r="A28" i="4"/>
  <c r="A150" i="4"/>
  <c r="A73" i="4"/>
  <c r="A181" i="4"/>
  <c r="A37" i="4"/>
  <c r="A190" i="4"/>
  <c r="A244" i="4"/>
  <c r="A145" i="4"/>
  <c r="A208" i="4"/>
  <c r="A46" i="4"/>
  <c r="A91" i="4"/>
  <c r="A235" i="4"/>
  <c r="A82" i="4"/>
  <c r="A118" i="4"/>
  <c r="A109" i="4"/>
  <c r="A217" i="4"/>
  <c r="A172" i="4"/>
  <c r="A226" i="4"/>
  <c r="A163" i="4"/>
  <c r="A99" i="4"/>
  <c r="A27" i="4"/>
  <c r="A126" i="4"/>
  <c r="A72" i="4"/>
  <c r="A180" i="4"/>
  <c r="A36" i="4"/>
  <c r="A189" i="4"/>
  <c r="A243" i="4"/>
  <c r="A144" i="4"/>
  <c r="A207" i="4"/>
  <c r="A45" i="4"/>
  <c r="A90" i="4"/>
  <c r="A234" i="4"/>
  <c r="A81" i="4"/>
  <c r="A117" i="4"/>
  <c r="A108" i="4"/>
  <c r="A216" i="4"/>
  <c r="A171" i="4"/>
  <c r="A225" i="4"/>
  <c r="A162" i="4"/>
  <c r="A98" i="4"/>
  <c r="A26" i="4"/>
  <c r="A201" i="4"/>
  <c r="A71" i="4"/>
  <c r="A179" i="4"/>
  <c r="A35" i="4"/>
  <c r="A188" i="4"/>
  <c r="A242" i="4"/>
  <c r="A143" i="4"/>
  <c r="A206" i="4"/>
  <c r="A44" i="4"/>
  <c r="A89" i="4"/>
  <c r="A233" i="4"/>
  <c r="A80" i="4"/>
  <c r="A116" i="4"/>
  <c r="A107" i="4"/>
  <c r="A215" i="4"/>
  <c r="A170" i="4"/>
  <c r="A224" i="4"/>
  <c r="A161" i="4"/>
  <c r="A160" i="4" l="1"/>
  <c r="A223" i="4"/>
  <c r="A169" i="4"/>
  <c r="A214" i="4"/>
  <c r="A106" i="4"/>
  <c r="A115" i="4"/>
  <c r="A79" i="4"/>
  <c r="A232" i="4"/>
  <c r="A88" i="4"/>
  <c r="A43" i="4"/>
  <c r="A205" i="4"/>
  <c r="A142" i="4"/>
  <c r="A241" i="4"/>
  <c r="A187" i="4"/>
  <c r="A34" i="4"/>
  <c r="A178" i="4"/>
  <c r="A70" i="4"/>
  <c r="A149" i="4"/>
  <c r="A25" i="4"/>
  <c r="A97" i="4"/>
  <c r="A159" i="4"/>
  <c r="A222" i="4"/>
  <c r="A168" i="4"/>
  <c r="A213" i="4"/>
  <c r="A105" i="4"/>
  <c r="A114" i="4"/>
  <c r="A78" i="4"/>
  <c r="A231" i="4"/>
  <c r="A87" i="4"/>
  <c r="A42" i="4"/>
  <c r="A204" i="4"/>
  <c r="A141" i="4"/>
  <c r="A240" i="4"/>
  <c r="A186" i="4"/>
  <c r="A33" i="4"/>
  <c r="A177" i="4"/>
  <c r="A69" i="4"/>
  <c r="A125" i="4"/>
  <c r="A24" i="4"/>
  <c r="A96" i="4"/>
  <c r="A158" i="4"/>
  <c r="A221" i="4"/>
  <c r="A167" i="4"/>
  <c r="A212" i="4"/>
  <c r="A104" i="4"/>
  <c r="A113" i="4"/>
  <c r="A77" i="4"/>
  <c r="A230" i="4"/>
  <c r="A86" i="4"/>
  <c r="A41" i="4"/>
  <c r="A203" i="4"/>
  <c r="A140" i="4"/>
  <c r="A239" i="4"/>
  <c r="A185" i="4"/>
  <c r="A32" i="4"/>
  <c r="A176" i="4"/>
  <c r="A68" i="4"/>
  <c r="A200" i="4"/>
  <c r="A23" i="4"/>
  <c r="A95" i="4"/>
  <c r="G2252" i="1" l="1"/>
  <c r="G2876" i="1"/>
  <c r="G2850" i="1"/>
  <c r="G2764" i="1"/>
  <c r="G2700" i="1"/>
  <c r="G2636" i="1"/>
  <c r="G2572" i="1"/>
  <c r="G2508" i="1"/>
  <c r="G2444" i="1"/>
  <c r="G2380" i="1"/>
  <c r="G2308" i="1"/>
  <c r="G2899" i="1"/>
  <c r="G2835" i="1"/>
  <c r="G2771" i="1"/>
  <c r="G2587" i="1"/>
  <c r="G2866" i="1"/>
  <c r="G2794" i="1"/>
  <c r="G2722" i="1"/>
  <c r="G2658" i="1"/>
  <c r="G2594" i="1"/>
  <c r="G2913" i="1"/>
  <c r="G2849" i="1"/>
  <c r="G2785" i="1"/>
  <c r="G2721" i="1"/>
  <c r="G2657" i="1"/>
  <c r="G2744" i="1"/>
  <c r="G2400" i="1"/>
  <c r="G2871" i="1"/>
  <c r="G2807" i="1"/>
  <c r="G2878" i="1"/>
  <c r="G2814" i="1"/>
  <c r="G2750" i="1"/>
  <c r="G2734" i="1"/>
  <c r="G2670" i="1"/>
  <c r="G2606" i="1"/>
  <c r="G2542" i="1"/>
  <c r="G2478" i="1"/>
  <c r="G2414" i="1"/>
  <c r="G2350" i="1"/>
  <c r="G2286" i="1"/>
  <c r="G2845" i="1"/>
  <c r="G2781" i="1"/>
  <c r="G2717" i="1"/>
  <c r="G2653" i="1"/>
  <c r="G2589" i="1"/>
  <c r="G2525" i="1"/>
  <c r="G2461" i="1"/>
  <c r="G2397" i="1"/>
  <c r="G2333" i="1"/>
  <c r="G2699" i="1"/>
  <c r="G2627" i="1"/>
  <c r="G2555" i="1"/>
  <c r="G2483" i="1"/>
  <c r="G2411" i="1"/>
  <c r="G2347" i="1"/>
  <c r="G2283" i="1"/>
  <c r="G2514" i="1"/>
  <c r="G2442" i="1"/>
  <c r="G2378" i="1"/>
  <c r="G2314" i="1"/>
  <c r="G2625" i="1"/>
  <c r="G2553" i="1"/>
  <c r="G2481" i="1"/>
  <c r="G2409" i="1"/>
  <c r="G2345" i="1"/>
  <c r="G2273" i="1"/>
  <c r="G2872" i="1"/>
  <c r="G2808" i="1"/>
  <c r="G2728" i="1"/>
  <c r="G2656" i="1"/>
  <c r="G2584" i="1"/>
  <c r="G2868" i="1"/>
  <c r="G2786" i="1"/>
  <c r="G2756" i="1"/>
  <c r="G2692" i="1"/>
  <c r="G2628" i="1"/>
  <c r="G2564" i="1"/>
  <c r="G2500" i="1"/>
  <c r="G2436" i="1"/>
  <c r="G2372" i="1"/>
  <c r="G2300" i="1"/>
  <c r="G2891" i="1"/>
  <c r="G2827" i="1"/>
  <c r="G2763" i="1"/>
  <c r="G2523" i="1"/>
  <c r="G2858" i="1"/>
  <c r="G2778" i="1"/>
  <c r="G2714" i="1"/>
  <c r="G2650" i="1"/>
  <c r="G2586" i="1"/>
  <c r="G2905" i="1"/>
  <c r="G2841" i="1"/>
  <c r="G2777" i="1"/>
  <c r="G2713" i="1"/>
  <c r="G2649" i="1"/>
  <c r="G2712" i="1"/>
  <c r="G2368" i="1"/>
  <c r="G2863" i="1"/>
  <c r="G2799" i="1"/>
  <c r="G2870" i="1"/>
  <c r="G2806" i="1"/>
  <c r="G2917" i="1"/>
  <c r="G2726" i="1"/>
  <c r="G2662" i="1"/>
  <c r="G2598" i="1"/>
  <c r="G2534" i="1"/>
  <c r="G2470" i="1"/>
  <c r="G2406" i="1"/>
  <c r="G2342" i="1"/>
  <c r="G2278" i="1"/>
  <c r="G2837" i="1"/>
  <c r="G2773" i="1"/>
  <c r="G2709" i="1"/>
  <c r="G2645" i="1"/>
  <c r="G2581" i="1"/>
  <c r="G2517" i="1"/>
  <c r="G2453" i="1"/>
  <c r="G2389" i="1"/>
  <c r="G2325" i="1"/>
  <c r="G2691" i="1"/>
  <c r="G2619" i="1"/>
  <c r="G2547" i="1"/>
  <c r="G2475" i="1"/>
  <c r="G2403" i="1"/>
  <c r="G2339" i="1"/>
  <c r="G2275" i="1"/>
  <c r="G2506" i="1"/>
  <c r="G2434" i="1"/>
  <c r="G2370" i="1"/>
  <c r="G2306" i="1"/>
  <c r="G2617" i="1"/>
  <c r="G2545" i="1"/>
  <c r="G2465" i="1"/>
  <c r="G2401" i="1"/>
  <c r="G2337" i="1"/>
  <c r="G2265" i="1"/>
  <c r="G2864" i="1"/>
  <c r="G2336" i="1"/>
  <c r="G2860" i="1"/>
  <c r="G2812" i="1"/>
  <c r="G2748" i="1"/>
  <c r="G2684" i="1"/>
  <c r="G2620" i="1"/>
  <c r="G2556" i="1"/>
  <c r="G2492" i="1"/>
  <c r="G2428" i="1"/>
  <c r="G2364" i="1"/>
  <c r="G2292" i="1"/>
  <c r="G2883" i="1"/>
  <c r="G2819" i="1"/>
  <c r="G2755" i="1"/>
  <c r="G2459" i="1"/>
  <c r="G2842" i="1"/>
  <c r="G2770" i="1"/>
  <c r="G2706" i="1"/>
  <c r="G2642" i="1"/>
  <c r="G2578" i="1"/>
  <c r="G2897" i="1"/>
  <c r="G2833" i="1"/>
  <c r="G2769" i="1"/>
  <c r="G2705" i="1"/>
  <c r="G2641" i="1"/>
  <c r="G2640" i="1"/>
  <c r="G2352" i="1"/>
  <c r="G2855" i="1"/>
  <c r="G2791" i="1"/>
  <c r="G2862" i="1"/>
  <c r="G2798" i="1"/>
  <c r="G2909" i="1"/>
  <c r="G2718" i="1"/>
  <c r="G2654" i="1"/>
  <c r="G2590" i="1"/>
  <c r="G2526" i="1"/>
  <c r="G2462" i="1"/>
  <c r="G2398" i="1"/>
  <c r="G2334" i="1"/>
  <c r="G2270" i="1"/>
  <c r="G2829" i="1"/>
  <c r="G2765" i="1"/>
  <c r="G2701" i="1"/>
  <c r="G2637" i="1"/>
  <c r="G2573" i="1"/>
  <c r="G2509" i="1"/>
  <c r="G2445" i="1"/>
  <c r="G2381" i="1"/>
  <c r="G2317" i="1"/>
  <c r="G2683" i="1"/>
  <c r="G2611" i="1"/>
  <c r="G2539" i="1"/>
  <c r="G2467" i="1"/>
  <c r="G2395" i="1"/>
  <c r="G2331" i="1"/>
  <c r="G2267" i="1"/>
  <c r="G2490" i="1"/>
  <c r="G2426" i="1"/>
  <c r="G2362" i="1"/>
  <c r="G2298" i="1"/>
  <c r="G2609" i="1"/>
  <c r="G2529" i="1"/>
  <c r="G2457" i="1"/>
  <c r="G2393" i="1"/>
  <c r="G2329" i="1"/>
  <c r="G2257" i="1"/>
  <c r="G2856" i="1"/>
  <c r="G2792" i="1"/>
  <c r="G2704" i="1"/>
  <c r="G2632" i="1"/>
  <c r="G2560" i="1"/>
  <c r="G2488" i="1"/>
  <c r="G2392" i="1"/>
  <c r="G2296" i="1"/>
  <c r="G2914" i="1"/>
  <c r="G2916" i="1"/>
  <c r="G2852" i="1"/>
  <c r="G2804" i="1"/>
  <c r="G2740" i="1"/>
  <c r="G2676" i="1"/>
  <c r="G2612" i="1"/>
  <c r="G2548" i="1"/>
  <c r="G2484" i="1"/>
  <c r="G2420" i="1"/>
  <c r="G2356" i="1"/>
  <c r="G2284" i="1"/>
  <c r="G2875" i="1"/>
  <c r="G2811" i="1"/>
  <c r="G2747" i="1"/>
  <c r="G2906" i="1"/>
  <c r="G2834" i="1"/>
  <c r="G2762" i="1"/>
  <c r="G2698" i="1"/>
  <c r="G2634" i="1"/>
  <c r="G2570" i="1"/>
  <c r="G2889" i="1"/>
  <c r="G2825" i="1"/>
  <c r="G2761" i="1"/>
  <c r="G2697" i="1"/>
  <c r="G2537" i="1"/>
  <c r="G2576" i="1"/>
  <c r="G2911" i="1"/>
  <c r="G2847" i="1"/>
  <c r="G2783" i="1"/>
  <c r="G2854" i="1"/>
  <c r="G2790" i="1"/>
  <c r="G2901" i="1"/>
  <c r="G2710" i="1"/>
  <c r="G2646" i="1"/>
  <c r="G2582" i="1"/>
  <c r="G2518" i="1"/>
  <c r="G2454" i="1"/>
  <c r="G2390" i="1"/>
  <c r="G2326" i="1"/>
  <c r="G2262" i="1"/>
  <c r="G2821" i="1"/>
  <c r="G2757" i="1"/>
  <c r="G2693" i="1"/>
  <c r="G2629" i="1"/>
  <c r="G2565" i="1"/>
  <c r="G2501" i="1"/>
  <c r="G2437" i="1"/>
  <c r="G2373" i="1"/>
  <c r="G2309" i="1"/>
  <c r="G2675" i="1"/>
  <c r="G2603" i="1"/>
  <c r="G2531" i="1"/>
  <c r="G2451" i="1"/>
  <c r="G2387" i="1"/>
  <c r="G2323" i="1"/>
  <c r="G2259" i="1"/>
  <c r="G2482" i="1"/>
  <c r="G2418" i="1"/>
  <c r="G2354" i="1"/>
  <c r="G2290" i="1"/>
  <c r="G2593" i="1"/>
  <c r="G2521" i="1"/>
  <c r="G2449" i="1"/>
  <c r="G2385" i="1"/>
  <c r="G2321" i="1"/>
  <c r="G2249" i="1"/>
  <c r="G2912" i="1"/>
  <c r="G2848" i="1"/>
  <c r="G2784" i="1"/>
  <c r="G2696" i="1"/>
  <c r="G2624" i="1"/>
  <c r="G2552" i="1"/>
  <c r="G2480" i="1"/>
  <c r="G2376" i="1"/>
  <c r="G2288" i="1"/>
  <c r="G2384" i="1"/>
  <c r="G2908" i="1"/>
  <c r="G2844" i="1"/>
  <c r="G2796" i="1"/>
  <c r="G2732" i="1"/>
  <c r="G2668" i="1"/>
  <c r="G2604" i="1"/>
  <c r="G2540" i="1"/>
  <c r="G2476" i="1"/>
  <c r="G2412" i="1"/>
  <c r="G2348" i="1"/>
  <c r="G2276" i="1"/>
  <c r="G2867" i="1"/>
  <c r="G2803" i="1"/>
  <c r="G2739" i="1"/>
  <c r="G2898" i="1"/>
  <c r="G2826" i="1"/>
  <c r="G2754" i="1"/>
  <c r="G2690" i="1"/>
  <c r="G2626" i="1"/>
  <c r="G2562" i="1"/>
  <c r="G2881" i="1"/>
  <c r="G2817" i="1"/>
  <c r="G2753" i="1"/>
  <c r="G2689" i="1"/>
  <c r="G2473" i="1"/>
  <c r="G2512" i="1"/>
  <c r="G2903" i="1"/>
  <c r="G2839" i="1"/>
  <c r="G2910" i="1"/>
  <c r="G2846" i="1"/>
  <c r="G2782" i="1"/>
  <c r="G2893" i="1"/>
  <c r="G2702" i="1"/>
  <c r="G2638" i="1"/>
  <c r="G2574" i="1"/>
  <c r="G2510" i="1"/>
  <c r="G2446" i="1"/>
  <c r="G2382" i="1"/>
  <c r="G2318" i="1"/>
  <c r="G2254" i="1"/>
  <c r="G2813" i="1"/>
  <c r="G2749" i="1"/>
  <c r="G2685" i="1"/>
  <c r="G2621" i="1"/>
  <c r="G2557" i="1"/>
  <c r="G2493" i="1"/>
  <c r="G2429" i="1"/>
  <c r="G2365" i="1"/>
  <c r="G2301" i="1"/>
  <c r="G2667" i="1"/>
  <c r="G2595" i="1"/>
  <c r="G2515" i="1"/>
  <c r="G2443" i="1"/>
  <c r="G2379" i="1"/>
  <c r="G2315" i="1"/>
  <c r="G2251" i="1"/>
  <c r="G2546" i="1"/>
  <c r="G2474" i="1"/>
  <c r="G2410" i="1"/>
  <c r="G2346" i="1"/>
  <c r="G2282" i="1"/>
  <c r="G2585" i="1"/>
  <c r="G2513" i="1"/>
  <c r="G2498" i="1"/>
  <c r="G2900" i="1"/>
  <c r="G2836" i="1"/>
  <c r="G2788" i="1"/>
  <c r="G2724" i="1"/>
  <c r="G2660" i="1"/>
  <c r="G2596" i="1"/>
  <c r="G2532" i="1"/>
  <c r="G2468" i="1"/>
  <c r="G2404" i="1"/>
  <c r="G2340" i="1"/>
  <c r="G2268" i="1"/>
  <c r="G2859" i="1"/>
  <c r="G2795" i="1"/>
  <c r="G2731" i="1"/>
  <c r="G2890" i="1"/>
  <c r="G2818" i="1"/>
  <c r="G2746" i="1"/>
  <c r="G2682" i="1"/>
  <c r="G2618" i="1"/>
  <c r="G2554" i="1"/>
  <c r="G2873" i="1"/>
  <c r="G2809" i="1"/>
  <c r="G2745" i="1"/>
  <c r="G2681" i="1"/>
  <c r="G2297" i="1"/>
  <c r="G2448" i="1"/>
  <c r="G2895" i="1"/>
  <c r="G2831" i="1"/>
  <c r="G2902" i="1"/>
  <c r="G2838" i="1"/>
  <c r="G2774" i="1"/>
  <c r="G2885" i="1"/>
  <c r="G2694" i="1"/>
  <c r="G2630" i="1"/>
  <c r="G2566" i="1"/>
  <c r="G2502" i="1"/>
  <c r="G2438" i="1"/>
  <c r="G2374" i="1"/>
  <c r="G2310" i="1"/>
  <c r="G2869" i="1"/>
  <c r="G2805" i="1"/>
  <c r="G2741" i="1"/>
  <c r="G2677" i="1"/>
  <c r="G2613" i="1"/>
  <c r="G2549" i="1"/>
  <c r="G2485" i="1"/>
  <c r="G2421" i="1"/>
  <c r="G2357" i="1"/>
  <c r="G2293" i="1"/>
  <c r="G2659" i="1"/>
  <c r="G2579" i="1"/>
  <c r="G2507" i="1"/>
  <c r="G2435" i="1"/>
  <c r="G2371" i="1"/>
  <c r="G2307" i="1"/>
  <c r="G2538" i="1"/>
  <c r="G2466" i="1"/>
  <c r="G2402" i="1"/>
  <c r="G2338" i="1"/>
  <c r="G2266" i="1"/>
  <c r="G2577" i="1"/>
  <c r="G2505" i="1"/>
  <c r="G2433" i="1"/>
  <c r="G2369" i="1"/>
  <c r="G2305" i="1"/>
  <c r="G2896" i="1"/>
  <c r="G2832" i="1"/>
  <c r="G2760" i="1"/>
  <c r="G2680" i="1"/>
  <c r="G2608" i="1"/>
  <c r="G2536" i="1"/>
  <c r="G2464" i="1"/>
  <c r="G2344" i="1"/>
  <c r="G2767" i="1"/>
  <c r="G2601" i="1"/>
  <c r="G2892" i="1"/>
  <c r="G2828" i="1"/>
  <c r="G2780" i="1"/>
  <c r="G2716" i="1"/>
  <c r="G2652" i="1"/>
  <c r="G2588" i="1"/>
  <c r="G2524" i="1"/>
  <c r="G2460" i="1"/>
  <c r="G2396" i="1"/>
  <c r="G2332" i="1"/>
  <c r="G2260" i="1"/>
  <c r="G2915" i="1"/>
  <c r="G2851" i="1"/>
  <c r="G2787" i="1"/>
  <c r="G2723" i="1"/>
  <c r="G2882" i="1"/>
  <c r="G2810" i="1"/>
  <c r="G2738" i="1"/>
  <c r="G2674" i="1"/>
  <c r="G2610" i="1"/>
  <c r="G2274" i="1"/>
  <c r="G2865" i="1"/>
  <c r="G2801" i="1"/>
  <c r="G2737" i="1"/>
  <c r="G2673" i="1"/>
  <c r="G2432" i="1"/>
  <c r="G2887" i="1"/>
  <c r="G2823" i="1"/>
  <c r="G2894" i="1"/>
  <c r="G2830" i="1"/>
  <c r="G2766" i="1"/>
  <c r="G2877" i="1"/>
  <c r="G2686" i="1"/>
  <c r="G2622" i="1"/>
  <c r="G2558" i="1"/>
  <c r="G2494" i="1"/>
  <c r="G2430" i="1"/>
  <c r="G2366" i="1"/>
  <c r="G2302" i="1"/>
  <c r="G2861" i="1"/>
  <c r="G2797" i="1"/>
  <c r="G2733" i="1"/>
  <c r="G2669" i="1"/>
  <c r="G2605" i="1"/>
  <c r="G2541" i="1"/>
  <c r="G2477" i="1"/>
  <c r="G2413" i="1"/>
  <c r="G2349" i="1"/>
  <c r="G2715" i="1"/>
  <c r="G2643" i="1"/>
  <c r="G2571" i="1"/>
  <c r="G2499" i="1"/>
  <c r="G2427" i="1"/>
  <c r="G2363" i="1"/>
  <c r="G2299" i="1"/>
  <c r="G2530" i="1"/>
  <c r="G2458" i="1"/>
  <c r="G2394" i="1"/>
  <c r="G2330" i="1"/>
  <c r="G2258" i="1"/>
  <c r="G2569" i="1"/>
  <c r="G2497" i="1"/>
  <c r="G2425" i="1"/>
  <c r="G2361" i="1"/>
  <c r="G2289" i="1"/>
  <c r="G2888" i="1"/>
  <c r="G2824" i="1"/>
  <c r="G2316" i="1"/>
  <c r="G2452" i="1"/>
  <c r="G2651" i="1"/>
  <c r="G2793" i="1"/>
  <c r="G2822" i="1"/>
  <c r="G2358" i="1"/>
  <c r="G2597" i="1"/>
  <c r="G2491" i="1"/>
  <c r="G2386" i="1"/>
  <c r="G2417" i="1"/>
  <c r="G2736" i="1"/>
  <c r="G2592" i="1"/>
  <c r="G2456" i="1"/>
  <c r="G2304" i="1"/>
  <c r="G2711" i="1"/>
  <c r="G2647" i="1"/>
  <c r="G2583" i="1"/>
  <c r="G2519" i="1"/>
  <c r="G2455" i="1"/>
  <c r="G2391" i="1"/>
  <c r="G2327" i="1"/>
  <c r="G2263" i="1"/>
  <c r="G2264" i="1"/>
  <c r="G2269" i="1"/>
  <c r="G2422" i="1"/>
  <c r="G2271" i="1"/>
  <c r="G2884" i="1"/>
  <c r="G2388" i="1"/>
  <c r="G2874" i="1"/>
  <c r="G2729" i="1"/>
  <c r="G2758" i="1"/>
  <c r="G2294" i="1"/>
  <c r="G2533" i="1"/>
  <c r="G2419" i="1"/>
  <c r="G2322" i="1"/>
  <c r="G2377" i="1"/>
  <c r="G2904" i="1"/>
  <c r="G2720" i="1"/>
  <c r="G2568" i="1"/>
  <c r="G2440" i="1"/>
  <c r="G2775" i="1"/>
  <c r="G2703" i="1"/>
  <c r="G2639" i="1"/>
  <c r="G2575" i="1"/>
  <c r="G2511" i="1"/>
  <c r="G2447" i="1"/>
  <c r="G2383" i="1"/>
  <c r="G2319" i="1"/>
  <c r="G2255" i="1"/>
  <c r="G2256" i="1"/>
  <c r="G2261" i="1"/>
  <c r="G2661" i="1"/>
  <c r="G2399" i="1"/>
  <c r="G2820" i="1"/>
  <c r="G2324" i="1"/>
  <c r="G2802" i="1"/>
  <c r="G2665" i="1"/>
  <c r="G2742" i="1"/>
  <c r="G2469" i="1"/>
  <c r="G2355" i="1"/>
  <c r="G2250" i="1"/>
  <c r="G2353" i="1"/>
  <c r="G2880" i="1"/>
  <c r="G2688" i="1"/>
  <c r="G2544" i="1"/>
  <c r="G2424" i="1"/>
  <c r="G2759" i="1"/>
  <c r="G2695" i="1"/>
  <c r="G2631" i="1"/>
  <c r="G2567" i="1"/>
  <c r="G2503" i="1"/>
  <c r="G2439" i="1"/>
  <c r="G2375" i="1"/>
  <c r="G2311" i="1"/>
  <c r="G2247" i="1"/>
  <c r="G2248" i="1"/>
  <c r="G2253" i="1"/>
  <c r="G2857" i="1"/>
  <c r="G2655" i="1"/>
  <c r="G2335" i="1"/>
  <c r="G2772" i="1"/>
  <c r="G2730" i="1"/>
  <c r="G2776" i="1"/>
  <c r="G2678" i="1"/>
  <c r="G2405" i="1"/>
  <c r="G2291" i="1"/>
  <c r="G2313" i="1"/>
  <c r="G2840" i="1"/>
  <c r="G2672" i="1"/>
  <c r="G2528" i="1"/>
  <c r="G2408" i="1"/>
  <c r="G2751" i="1"/>
  <c r="G2687" i="1"/>
  <c r="G2623" i="1"/>
  <c r="G2559" i="1"/>
  <c r="G2495" i="1"/>
  <c r="G2431" i="1"/>
  <c r="G2367" i="1"/>
  <c r="G2303" i="1"/>
  <c r="G2441" i="1"/>
  <c r="G2719" i="1"/>
  <c r="G2708" i="1"/>
  <c r="G2666" i="1"/>
  <c r="G2416" i="1"/>
  <c r="G2614" i="1"/>
  <c r="G2853" i="1"/>
  <c r="G2341" i="1"/>
  <c r="G2633" i="1"/>
  <c r="G2281" i="1"/>
  <c r="G2816" i="1"/>
  <c r="G2664" i="1"/>
  <c r="G2520" i="1"/>
  <c r="G2360" i="1"/>
  <c r="G2743" i="1"/>
  <c r="G2679" i="1"/>
  <c r="G2615" i="1"/>
  <c r="G2551" i="1"/>
  <c r="G2487" i="1"/>
  <c r="G2423" i="1"/>
  <c r="G2359" i="1"/>
  <c r="G2295" i="1"/>
  <c r="G2563" i="1"/>
  <c r="G2591" i="1"/>
  <c r="G2644" i="1"/>
  <c r="G2907" i="1"/>
  <c r="G2602" i="1"/>
  <c r="G2879" i="1"/>
  <c r="G2550" i="1"/>
  <c r="G2789" i="1"/>
  <c r="G2707" i="1"/>
  <c r="G2561" i="1"/>
  <c r="G2800" i="1"/>
  <c r="G2648" i="1"/>
  <c r="G2504" i="1"/>
  <c r="G2328" i="1"/>
  <c r="G2735" i="1"/>
  <c r="G2671" i="1"/>
  <c r="G2607" i="1"/>
  <c r="G2543" i="1"/>
  <c r="G2479" i="1"/>
  <c r="G2415" i="1"/>
  <c r="G2351" i="1"/>
  <c r="G2287" i="1"/>
  <c r="G2779" i="1"/>
  <c r="G2527" i="1"/>
  <c r="G2580" i="1"/>
  <c r="G2843" i="1"/>
  <c r="G2815" i="1"/>
  <c r="G2486" i="1"/>
  <c r="G2725" i="1"/>
  <c r="G2635" i="1"/>
  <c r="G2522" i="1"/>
  <c r="G2489" i="1"/>
  <c r="G2768" i="1"/>
  <c r="G2616" i="1"/>
  <c r="G2496" i="1"/>
  <c r="G2320" i="1"/>
  <c r="G2727" i="1"/>
  <c r="G2663" i="1"/>
  <c r="G2599" i="1"/>
  <c r="G2535" i="1"/>
  <c r="G2471" i="1"/>
  <c r="G2407" i="1"/>
  <c r="G2343" i="1"/>
  <c r="G2279" i="1"/>
  <c r="G2280" i="1"/>
  <c r="G2285" i="1"/>
  <c r="G2516" i="1"/>
  <c r="G2886" i="1"/>
  <c r="G2450" i="1"/>
  <c r="G2752" i="1"/>
  <c r="G2600" i="1"/>
  <c r="G2472" i="1"/>
  <c r="G2312" i="1"/>
  <c r="G2463" i="1"/>
  <c r="G2272" i="1"/>
  <c r="G2277" i="1"/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</calcChain>
</file>

<file path=xl/sharedStrings.xml><?xml version="1.0" encoding="utf-8"?>
<sst xmlns="http://schemas.openxmlformats.org/spreadsheetml/2006/main" count="18188" uniqueCount="431">
  <si>
    <t>목표구분(BU : BUDGET, FG : FCST GS, FP : FCST PRM)</t>
    <phoneticPr fontId="3" type="noConversion"/>
  </si>
  <si>
    <t>목표구분 (REV, RNS, ADR)</t>
  </si>
  <si>
    <t>목표수치</t>
    <phoneticPr fontId="3" type="noConversion"/>
  </si>
  <si>
    <t>영업장코드(예약 영업장 코드)</t>
    <phoneticPr fontId="3" type="noConversion"/>
  </si>
  <si>
    <t>지역코드(영업장 지역 코드)</t>
    <phoneticPr fontId="3" type="noConversion"/>
  </si>
  <si>
    <t>년월(XXXX-XX 형식)</t>
    <phoneticPr fontId="3" type="noConversion"/>
  </si>
  <si>
    <t>비발디</t>
    <phoneticPr fontId="3" type="noConversion"/>
  </si>
  <si>
    <t>캄비발디</t>
    <phoneticPr fontId="3" type="noConversion"/>
  </si>
  <si>
    <t>소펠비발디</t>
    <phoneticPr fontId="3" type="noConversion"/>
  </si>
  <si>
    <t>소펠빌리지</t>
    <phoneticPr fontId="3" type="noConversion"/>
  </si>
  <si>
    <t>소노펫비발디</t>
    <phoneticPr fontId="6" type="noConversion"/>
  </si>
  <si>
    <t>양 평</t>
    <phoneticPr fontId="3" type="noConversion"/>
  </si>
  <si>
    <t>델피노(문)</t>
    <phoneticPr fontId="3" type="noConversion"/>
  </si>
  <si>
    <t>델피노(벨)</t>
    <phoneticPr fontId="6" type="noConversion"/>
  </si>
  <si>
    <t>델피노(캄)</t>
    <phoneticPr fontId="3" type="noConversion"/>
  </si>
  <si>
    <t>소펠빌델피노</t>
    <phoneticPr fontId="3" type="noConversion"/>
  </si>
  <si>
    <t>소펠델피노</t>
    <phoneticPr fontId="6" type="noConversion"/>
  </si>
  <si>
    <t>양 양</t>
    <phoneticPr fontId="3" type="noConversion"/>
  </si>
  <si>
    <t>삼 척</t>
    <phoneticPr fontId="3" type="noConversion"/>
  </si>
  <si>
    <t>경 주</t>
    <phoneticPr fontId="3" type="noConversion"/>
  </si>
  <si>
    <t>청 송</t>
    <phoneticPr fontId="3" type="noConversion"/>
  </si>
  <si>
    <t>단 양</t>
    <phoneticPr fontId="3" type="noConversion"/>
  </si>
  <si>
    <t>천 안</t>
    <phoneticPr fontId="3" type="noConversion"/>
  </si>
  <si>
    <t>변 산</t>
    <phoneticPr fontId="3" type="noConversion"/>
  </si>
  <si>
    <t>거 제</t>
    <phoneticPr fontId="3" type="noConversion"/>
  </si>
  <si>
    <t>여 수</t>
    <phoneticPr fontId="3" type="noConversion"/>
  </si>
  <si>
    <t>진 도</t>
    <phoneticPr fontId="3" type="noConversion"/>
  </si>
  <si>
    <t>제주(캄)</t>
    <phoneticPr fontId="3" type="noConversion"/>
  </si>
  <si>
    <t>제주(벨)</t>
    <phoneticPr fontId="3" type="noConversion"/>
  </si>
  <si>
    <t>고 양</t>
    <phoneticPr fontId="3" type="noConversion"/>
  </si>
  <si>
    <t>쏠비치 남해</t>
    <phoneticPr fontId="3" type="noConversion"/>
  </si>
  <si>
    <t>해운대</t>
    <phoneticPr fontId="6" type="noConversion"/>
  </si>
  <si>
    <t>르네블루</t>
    <phoneticPr fontId="6" type="noConversion"/>
  </si>
  <si>
    <t>key</t>
    <phoneticPr fontId="6" type="noConversion"/>
  </si>
  <si>
    <t>chanel</t>
    <phoneticPr fontId="6" type="noConversion"/>
  </si>
  <si>
    <t>category</t>
    <phoneticPr fontId="6" type="noConversion"/>
  </si>
  <si>
    <t>month</t>
    <phoneticPr fontId="6" type="noConversion"/>
  </si>
  <si>
    <t>TOTAL</t>
    <phoneticPr fontId="6" type="noConversion"/>
  </si>
  <si>
    <t>02</t>
    <phoneticPr fontId="6" type="noConversion"/>
  </si>
  <si>
    <t>07</t>
    <phoneticPr fontId="6" type="noConversion"/>
  </si>
  <si>
    <t>19</t>
    <phoneticPr fontId="6" type="noConversion"/>
  </si>
  <si>
    <t>50</t>
    <phoneticPr fontId="6" type="noConversion"/>
  </si>
  <si>
    <t>08</t>
    <phoneticPr fontId="6" type="noConversion"/>
  </si>
  <si>
    <t>03</t>
    <phoneticPr fontId="6" type="noConversion"/>
  </si>
  <si>
    <t>01</t>
    <phoneticPr fontId="6" type="noConversion"/>
  </si>
  <si>
    <t>70</t>
    <phoneticPr fontId="6" type="noConversion"/>
  </si>
  <si>
    <t>25</t>
    <phoneticPr fontId="6" type="noConversion"/>
  </si>
  <si>
    <t>27</t>
    <phoneticPr fontId="6" type="noConversion"/>
  </si>
  <si>
    <t>46</t>
    <phoneticPr fontId="6" type="noConversion"/>
  </si>
  <si>
    <t>10</t>
    <phoneticPr fontId="6" type="noConversion"/>
  </si>
  <si>
    <t>61</t>
    <phoneticPr fontId="6" type="noConversion"/>
  </si>
  <si>
    <t>05</t>
    <phoneticPr fontId="6" type="noConversion"/>
  </si>
  <si>
    <t>66</t>
    <phoneticPr fontId="6" type="noConversion"/>
  </si>
  <si>
    <t>06</t>
    <phoneticPr fontId="6" type="noConversion"/>
  </si>
  <si>
    <t>73</t>
    <phoneticPr fontId="6" type="noConversion"/>
  </si>
  <si>
    <t>16</t>
    <phoneticPr fontId="6" type="noConversion"/>
  </si>
  <si>
    <t>24</t>
    <phoneticPr fontId="6" type="noConversion"/>
  </si>
  <si>
    <t>22</t>
    <phoneticPr fontId="6" type="noConversion"/>
  </si>
  <si>
    <t>77</t>
    <phoneticPr fontId="6" type="noConversion"/>
  </si>
  <si>
    <t>87</t>
    <phoneticPr fontId="6" type="noConversion"/>
  </si>
  <si>
    <t>15</t>
    <phoneticPr fontId="6" type="noConversion"/>
  </si>
  <si>
    <t>29</t>
    <phoneticPr fontId="6" type="noConversion"/>
  </si>
  <si>
    <t>85</t>
    <phoneticPr fontId="6" type="noConversion"/>
  </si>
  <si>
    <t>58</t>
    <phoneticPr fontId="6" type="noConversion"/>
  </si>
  <si>
    <t>94</t>
    <phoneticPr fontId="6" type="noConversion"/>
  </si>
  <si>
    <t>28</t>
    <phoneticPr fontId="6" type="noConversion"/>
  </si>
  <si>
    <t>OTA</t>
    <phoneticPr fontId="6" type="noConversion"/>
  </si>
  <si>
    <t>RNs</t>
    <phoneticPr fontId="6" type="noConversion"/>
  </si>
  <si>
    <t>ADR</t>
    <phoneticPr fontId="6" type="noConversion"/>
  </si>
  <si>
    <t>REV</t>
    <phoneticPr fontId="6" type="noConversion"/>
  </si>
  <si>
    <t>10</t>
    <phoneticPr fontId="6" type="noConversion"/>
  </si>
  <si>
    <t>영업장코드</t>
    <phoneticPr fontId="6" type="noConversion"/>
  </si>
  <si>
    <t>순번</t>
    <phoneticPr fontId="6" type="noConversion"/>
  </si>
  <si>
    <t>영업장</t>
    <phoneticPr fontId="6" type="noConversion"/>
  </si>
  <si>
    <t>지역코드</t>
    <phoneticPr fontId="6" type="noConversion"/>
  </si>
  <si>
    <t>01</t>
  </si>
  <si>
    <t>소노벨 델피노 West</t>
  </si>
  <si>
    <t>01</t>
    <phoneticPr fontId="6" type="noConversion"/>
  </si>
  <si>
    <t>02</t>
  </si>
  <si>
    <t>소노벨 비발디파크 B · C</t>
  </si>
  <si>
    <t>02</t>
    <phoneticPr fontId="6" type="noConversion"/>
  </si>
  <si>
    <t>03</t>
  </si>
  <si>
    <t>소노벨 양평</t>
  </si>
  <si>
    <t>03</t>
    <phoneticPr fontId="6" type="noConversion"/>
  </si>
  <si>
    <t>06</t>
  </si>
  <si>
    <t>소노벨 단양 West</t>
  </si>
  <si>
    <t>07</t>
  </si>
  <si>
    <t>소노캄 비발디파크</t>
  </si>
  <si>
    <t>08</t>
  </si>
  <si>
    <t>소노펫 비발디파크</t>
  </si>
  <si>
    <t>09</t>
  </si>
  <si>
    <t>소노벨 비발디파크 A</t>
  </si>
  <si>
    <t>10</t>
  </si>
  <si>
    <t>쏠비치 양양 리조트</t>
  </si>
  <si>
    <t>13</t>
  </si>
  <si>
    <t>쏠비치 양양 호텔</t>
  </si>
  <si>
    <t>15</t>
  </si>
  <si>
    <t>소노벨 제주</t>
  </si>
  <si>
    <t>15</t>
    <phoneticPr fontId="6" type="noConversion"/>
  </si>
  <si>
    <t>16</t>
  </si>
  <si>
    <t>소노벨 변산 리조트</t>
  </si>
  <si>
    <t>17</t>
  </si>
  <si>
    <t>소노벨 변산 호텔</t>
  </si>
  <si>
    <t>18</t>
  </si>
  <si>
    <t>소노벨 변산 노블리안</t>
  </si>
  <si>
    <t>19</t>
  </si>
  <si>
    <t>소노펠리체 비발디파크</t>
  </si>
  <si>
    <t>22</t>
  </si>
  <si>
    <t>소노캄 여수</t>
  </si>
  <si>
    <t>17</t>
    <phoneticPr fontId="6" type="noConversion"/>
  </si>
  <si>
    <t>24</t>
  </si>
  <si>
    <t>소노캄 거제</t>
  </si>
  <si>
    <t>18</t>
    <phoneticPr fontId="6" type="noConversion"/>
  </si>
  <si>
    <t>25</t>
  </si>
  <si>
    <t>소노캄 델피노 A · B</t>
  </si>
  <si>
    <t>26</t>
  </si>
  <si>
    <t>소노캄 델피노 C</t>
  </si>
  <si>
    <t>27</t>
  </si>
  <si>
    <t>소노펠리체 빌리지 델피노</t>
  </si>
  <si>
    <t>29</t>
  </si>
  <si>
    <t>소노캄 고양</t>
  </si>
  <si>
    <t>19</t>
    <phoneticPr fontId="6" type="noConversion"/>
  </si>
  <si>
    <t>46</t>
  </si>
  <si>
    <t>소노펠리체 델피노</t>
  </si>
  <si>
    <t>50</t>
  </si>
  <si>
    <t>소노펠리체 빌리지 비발디파크</t>
  </si>
  <si>
    <t>54</t>
  </si>
  <si>
    <t>소노벨 비발디파크 D (호텔)</t>
  </si>
  <si>
    <t>58</t>
  </si>
  <si>
    <t>소노문 해운대</t>
  </si>
  <si>
    <t>81</t>
    <phoneticPr fontId="6" type="noConversion"/>
  </si>
  <si>
    <t>61</t>
  </si>
  <si>
    <t>쏠비치 삼척 리조트</t>
  </si>
  <si>
    <t>62</t>
  </si>
  <si>
    <t>쏠비치 삼척 D (노블리안)</t>
  </si>
  <si>
    <t>63</t>
  </si>
  <si>
    <t>쏠비치 삼척 C (호텔)</t>
  </si>
  <si>
    <t>66</t>
  </si>
  <si>
    <t>소노벨 청송</t>
  </si>
  <si>
    <t>67</t>
  </si>
  <si>
    <t>한바이소노</t>
  </si>
  <si>
    <t>70</t>
  </si>
  <si>
    <t>소노벨 델피노 East</t>
  </si>
  <si>
    <t>73</t>
  </si>
  <si>
    <t>소노벨 천안 West</t>
  </si>
  <si>
    <t>74</t>
  </si>
  <si>
    <t>소노벨 천안 East</t>
  </si>
  <si>
    <t>77</t>
  </si>
  <si>
    <t xml:space="preserve">쏠비치 진도 리조트 </t>
  </si>
  <si>
    <t>35</t>
    <phoneticPr fontId="6" type="noConversion"/>
  </si>
  <si>
    <t>78</t>
  </si>
  <si>
    <t>쏠비치 진도 호텔</t>
  </si>
  <si>
    <t>85</t>
  </si>
  <si>
    <t>쏠비치 남해 호텔</t>
  </si>
  <si>
    <t>83</t>
    <phoneticPr fontId="6" type="noConversion"/>
  </si>
  <si>
    <t>86</t>
  </si>
  <si>
    <t>소노벨 단양 East</t>
  </si>
  <si>
    <t>87</t>
  </si>
  <si>
    <t>소노캄 제주</t>
  </si>
  <si>
    <t>76</t>
    <phoneticPr fontId="6" type="noConversion"/>
  </si>
  <si>
    <t>경주</t>
    <phoneticPr fontId="6" type="noConversion"/>
  </si>
  <si>
    <t>지역</t>
    <phoneticPr fontId="6" type="noConversion"/>
  </si>
  <si>
    <t>델피노</t>
    <phoneticPr fontId="6" type="noConversion"/>
  </si>
  <si>
    <t>비발디파크</t>
    <phoneticPr fontId="6" type="noConversion"/>
  </si>
  <si>
    <t>양평</t>
    <phoneticPr fontId="6" type="noConversion"/>
  </si>
  <si>
    <t>단양</t>
    <phoneticPr fontId="6" type="noConversion"/>
  </si>
  <si>
    <t>양양</t>
    <phoneticPr fontId="6" type="noConversion"/>
  </si>
  <si>
    <t>벨제주</t>
    <phoneticPr fontId="6" type="noConversion"/>
  </si>
  <si>
    <t>변산</t>
    <phoneticPr fontId="6" type="noConversion"/>
  </si>
  <si>
    <t>여수</t>
    <phoneticPr fontId="6" type="noConversion"/>
  </si>
  <si>
    <t>거제</t>
    <phoneticPr fontId="6" type="noConversion"/>
  </si>
  <si>
    <t>고양</t>
    <phoneticPr fontId="6" type="noConversion"/>
  </si>
  <si>
    <t>삼척</t>
    <phoneticPr fontId="6" type="noConversion"/>
  </si>
  <si>
    <t>청송</t>
    <phoneticPr fontId="6" type="noConversion"/>
  </si>
  <si>
    <t>진도</t>
    <phoneticPr fontId="6" type="noConversion"/>
  </si>
  <si>
    <t>천안</t>
    <phoneticPr fontId="6" type="noConversion"/>
  </si>
  <si>
    <t>캄제주</t>
    <phoneticPr fontId="6" type="noConversion"/>
  </si>
  <si>
    <t>남해</t>
    <phoneticPr fontId="6" type="noConversion"/>
  </si>
  <si>
    <t>94</t>
  </si>
  <si>
    <t>94</t>
    <phoneticPr fontId="3" type="noConversion"/>
  </si>
  <si>
    <t>05</t>
  </si>
  <si>
    <t>28</t>
  </si>
  <si>
    <t>35</t>
  </si>
  <si>
    <t>76</t>
  </si>
  <si>
    <t>83</t>
  </si>
  <si>
    <t>81</t>
  </si>
  <si>
    <t>구분</t>
    <phoneticPr fontId="3" type="noConversion"/>
  </si>
  <si>
    <t>구분1</t>
    <phoneticPr fontId="3" type="noConversion"/>
  </si>
  <si>
    <t>OTA</t>
  </si>
  <si>
    <t>세그먼트 (OTA , GOTA, IB[IB])</t>
    <phoneticPr fontId="3" type="noConversion"/>
  </si>
  <si>
    <t>BU</t>
  </si>
  <si>
    <t>RNS</t>
  </si>
  <si>
    <t>ADR</t>
  </si>
  <si>
    <t>REV</t>
  </si>
  <si>
    <t>남해</t>
    <phoneticPr fontId="3" type="noConversion"/>
  </si>
  <si>
    <t>GOTA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</si>
  <si>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</si>
  <si>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</si>
  <si>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</si>
  <si>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</si>
  <si>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</si>
  <si>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</si>
  <si>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</si>
  <si>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</si>
  <si>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</si>
  <si>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IB</t>
  </si>
  <si>
    <t>구분</t>
    <phoneticPr fontId="6" type="noConversion"/>
  </si>
  <si>
    <t>채널</t>
    <phoneticPr fontId="6" type="noConversion"/>
  </si>
  <si>
    <t>구분2</t>
    <phoneticPr fontId="6" type="noConversion"/>
  </si>
  <si>
    <t>사업장</t>
    <phoneticPr fontId="6" type="noConversion"/>
  </si>
  <si>
    <t>Total</t>
    <phoneticPr fontId="6" type="noConversion"/>
  </si>
  <si>
    <t>11</t>
  </si>
  <si>
    <t>12</t>
  </si>
  <si>
    <t>RNS</t>
    <phoneticPr fontId="6" type="noConversion"/>
  </si>
  <si>
    <t>캄바빌디</t>
    <phoneticPr fontId="3" type="noConversion"/>
  </si>
  <si>
    <t>양평</t>
    <phoneticPr fontId="3" type="noConversion"/>
  </si>
  <si>
    <t>델피노</t>
    <phoneticPr fontId="3" type="noConversion"/>
  </si>
  <si>
    <t>소펠빌비발디</t>
    <phoneticPr fontId="3" type="noConversion"/>
  </si>
  <si>
    <t>19</t>
    <phoneticPr fontId="3" type="noConversion"/>
  </si>
  <si>
    <t>03</t>
    <phoneticPr fontId="3" type="noConversion"/>
  </si>
  <si>
    <t>50</t>
    <phoneticPr fontId="3" type="noConversion"/>
  </si>
  <si>
    <t>70</t>
    <phoneticPr fontId="3" type="noConversion"/>
  </si>
  <si>
    <t>70</t>
    <phoneticPr fontId="3" type="noConversion"/>
  </si>
  <si>
    <t>46</t>
    <phoneticPr fontId="3" type="noConversion"/>
  </si>
  <si>
    <t>07</t>
    <phoneticPr fontId="3" type="noConversion"/>
  </si>
  <si>
    <t>08</t>
    <phoneticPr fontId="3" type="noConversion"/>
  </si>
  <si>
    <t>25</t>
    <phoneticPr fontId="3" type="noConversion"/>
  </si>
  <si>
    <t>27</t>
    <phoneticPr fontId="3" type="noConversion"/>
  </si>
  <si>
    <t>캄비발디</t>
    <phoneticPr fontId="3" type="noConversion"/>
  </si>
  <si>
    <t>펫비발디</t>
    <phoneticPr fontId="3" type="noConversion"/>
  </si>
  <si>
    <t>캄델피노</t>
    <phoneticPr fontId="3" type="noConversion"/>
  </si>
  <si>
    <t>펠리체빌리지델피노</t>
    <phoneticPr fontId="3" type="noConversion"/>
  </si>
  <si>
    <t>펠리체델피노</t>
    <phoneticPr fontId="3" type="noConversion"/>
  </si>
  <si>
    <t/>
  </si>
  <si>
    <t>ADR</t>
    <phoneticPr fontId="3" type="noConversion"/>
  </si>
  <si>
    <t>행 레이블</t>
  </si>
  <si>
    <t>총합계</t>
  </si>
  <si>
    <t>개수 : 구분</t>
  </si>
  <si>
    <t>INBOUND</t>
  </si>
  <si>
    <t>BU</t>
    <phoneticPr fontId="3" type="noConversion"/>
  </si>
  <si>
    <t>OTARNS01</t>
  </si>
  <si>
    <t>GOTARNS01</t>
  </si>
  <si>
    <t>RNS</t>
    <phoneticPr fontId="3" type="noConversion"/>
  </si>
  <si>
    <t>OTAREV01</t>
  </si>
  <si>
    <t>GOTAREV01</t>
  </si>
  <si>
    <t>OTAADR01</t>
  </si>
  <si>
    <t>IBRNS01</t>
  </si>
  <si>
    <t>GOTAADR01</t>
  </si>
  <si>
    <t>IBADR01</t>
  </si>
  <si>
    <t>IBREV01</t>
  </si>
  <si>
    <t>OTARNS02</t>
  </si>
  <si>
    <t>GOTARNS02</t>
  </si>
  <si>
    <t>IBRNS02</t>
  </si>
  <si>
    <t>OTAREV02</t>
  </si>
  <si>
    <t>GOTAREV02</t>
  </si>
  <si>
    <t>IBREV02</t>
  </si>
  <si>
    <t>GOTAADR02</t>
  </si>
  <si>
    <t>OTAADR02</t>
  </si>
  <si>
    <t>IBADR02</t>
  </si>
  <si>
    <t>OTARNS03</t>
  </si>
  <si>
    <t>GOTARNS03</t>
  </si>
  <si>
    <t>IBRNS03</t>
  </si>
  <si>
    <t>OTAADR03</t>
  </si>
  <si>
    <t>GOTAADR03</t>
  </si>
  <si>
    <t>OTAREV03</t>
  </si>
  <si>
    <t>IBADR03</t>
  </si>
  <si>
    <t>GOTAREV03</t>
  </si>
  <si>
    <t>IBREV03</t>
  </si>
  <si>
    <t>OTARNS05</t>
  </si>
  <si>
    <t>GOTARNS05</t>
  </si>
  <si>
    <t>OTAREV05</t>
  </si>
  <si>
    <t>GOTAREV05</t>
  </si>
  <si>
    <t>GOTAADR05</t>
  </si>
  <si>
    <t>OTAADR05</t>
  </si>
  <si>
    <t>OTARNS06</t>
  </si>
  <si>
    <t>GOTARNS06</t>
  </si>
  <si>
    <t>OTAREV06</t>
  </si>
  <si>
    <t>GOTAREV06</t>
  </si>
  <si>
    <t>IBRNS06</t>
  </si>
  <si>
    <t>OTAADR06</t>
  </si>
  <si>
    <t>GOTAADR06</t>
  </si>
  <si>
    <t>IBADR06</t>
  </si>
  <si>
    <t>IBREV06</t>
  </si>
  <si>
    <t>OTARNS07</t>
  </si>
  <si>
    <t>GOTARNS07</t>
  </si>
  <si>
    <t>OTAREV07</t>
  </si>
  <si>
    <t>GOTAREV07</t>
  </si>
  <si>
    <t>GOTAADR07</t>
  </si>
  <si>
    <t>OTAADR07</t>
  </si>
  <si>
    <t>OTARNS08</t>
  </si>
  <si>
    <t>GOTARNS08</t>
  </si>
  <si>
    <t>OTAREV08</t>
  </si>
  <si>
    <t>GOTAADR08</t>
  </si>
  <si>
    <t>GOTAREV08</t>
  </si>
  <si>
    <t>OTAADR08</t>
  </si>
  <si>
    <t>OTARNS10</t>
  </si>
  <si>
    <t>GOTARNS10</t>
  </si>
  <si>
    <t>OTAREV10</t>
  </si>
  <si>
    <t>GOTAREV10</t>
  </si>
  <si>
    <t>OTAADR10</t>
  </si>
  <si>
    <t>GOTAADR10</t>
  </si>
  <si>
    <t>GOTARNS15</t>
  </si>
  <si>
    <t>OTARNS15</t>
  </si>
  <si>
    <t>GOTAREV15</t>
  </si>
  <si>
    <t>OTAREV15</t>
  </si>
  <si>
    <t>OTAADR15</t>
  </si>
  <si>
    <t>GOTAADR15</t>
  </si>
  <si>
    <t>IBRNS15</t>
  </si>
  <si>
    <t>IBADR15</t>
  </si>
  <si>
    <t>IBREV15</t>
  </si>
  <si>
    <t>OTARNS16</t>
  </si>
  <si>
    <t>GOTARNS16</t>
  </si>
  <si>
    <t>OTAREV16</t>
  </si>
  <si>
    <t>GOTAREV16</t>
  </si>
  <si>
    <t>OTAADR16</t>
  </si>
  <si>
    <t>GOTAADR16</t>
  </si>
  <si>
    <t>IBRNS16</t>
  </si>
  <si>
    <t>IBADR16</t>
  </si>
  <si>
    <t>IBREV16</t>
  </si>
  <si>
    <t>OTARNS19</t>
  </si>
  <si>
    <t>GOTARNS19</t>
  </si>
  <si>
    <t>OTAREV19</t>
  </si>
  <si>
    <t>GOTAREV19</t>
  </si>
  <si>
    <t>OTAADR19</t>
  </si>
  <si>
    <t>GOTAADR19</t>
  </si>
  <si>
    <t>GOTARNS22</t>
  </si>
  <si>
    <t>OTARNS22</t>
  </si>
  <si>
    <t>OTAADR22</t>
  </si>
  <si>
    <t>GOTAADR22</t>
  </si>
  <si>
    <t>GOTAREV22</t>
  </si>
  <si>
    <t>OTAREV22</t>
  </si>
  <si>
    <t>IBRNS22</t>
  </si>
  <si>
    <t>IBADR22</t>
  </si>
  <si>
    <t>IBREV22</t>
  </si>
  <si>
    <t>OTARNS24</t>
  </si>
  <si>
    <t>GOTARNS24</t>
  </si>
  <si>
    <t>OTAREV24</t>
  </si>
  <si>
    <t>GOTAREV24</t>
  </si>
  <si>
    <t>OTAADR24</t>
  </si>
  <si>
    <t>GOTAADR24</t>
  </si>
  <si>
    <t>OTARNS25</t>
  </si>
  <si>
    <t>GOTARNS25</t>
  </si>
  <si>
    <t>OTAREV25</t>
  </si>
  <si>
    <t>OTAADR25</t>
  </si>
  <si>
    <t>GOTAADR25</t>
  </si>
  <si>
    <t>GOTAREV25</t>
  </si>
  <si>
    <t>GOTARNS27</t>
  </si>
  <si>
    <t>OTARNS27</t>
  </si>
  <si>
    <t>OTAREV27</t>
  </si>
  <si>
    <t>GOTAREV27</t>
  </si>
  <si>
    <t>OTAADR27</t>
  </si>
  <si>
    <t>GOTAADR27</t>
  </si>
  <si>
    <t>GOTARNS29</t>
  </si>
  <si>
    <t>IBRNS29</t>
  </si>
  <si>
    <t>OTARNS29</t>
  </si>
  <si>
    <t>GOTAREV29</t>
  </si>
  <si>
    <t>IBREV29</t>
  </si>
  <si>
    <t>OTAREV29</t>
  </si>
  <si>
    <t>GOTAADR29</t>
  </si>
  <si>
    <t>OTAADR29</t>
  </si>
  <si>
    <t>IBADR29</t>
  </si>
  <si>
    <t>OTAADR46</t>
  </si>
  <si>
    <t>GOTAADR46</t>
  </si>
  <si>
    <t>OTARNS46</t>
  </si>
  <si>
    <t>OTAREV46</t>
  </si>
  <si>
    <t>GOTARNS46</t>
  </si>
  <si>
    <t>GOTAREV46</t>
  </si>
  <si>
    <t>OTARNS50</t>
  </si>
  <si>
    <t>GOTARNS50</t>
  </si>
  <si>
    <t>OTAREV50</t>
  </si>
  <si>
    <t>OTAADR50</t>
  </si>
  <si>
    <t>GOTAADR50</t>
  </si>
  <si>
    <t>GOTAREV50</t>
  </si>
  <si>
    <t>GOTARNS58</t>
  </si>
  <si>
    <t>IBRNS58</t>
  </si>
  <si>
    <t>OTARNS58</t>
  </si>
  <si>
    <t>GOTAREV58</t>
  </si>
  <si>
    <t>OTAADR58</t>
  </si>
  <si>
    <t>GOTAADR58</t>
  </si>
  <si>
    <t>OTAREV58</t>
  </si>
  <si>
    <t>IBADR58</t>
  </si>
  <si>
    <t>IBREV58</t>
  </si>
  <si>
    <t>OTARNS61</t>
  </si>
  <si>
    <t>GOTARNS61</t>
  </si>
  <si>
    <t>OTAREV61</t>
  </si>
  <si>
    <t>GOTAREV61</t>
  </si>
  <si>
    <t>OTAADR61</t>
  </si>
  <si>
    <t>GOTAADR61</t>
  </si>
  <si>
    <t>OTARNS66</t>
  </si>
  <si>
    <t>GOTARNS66</t>
  </si>
  <si>
    <t>OTAREV66</t>
  </si>
  <si>
    <t>IBADR66</t>
  </si>
  <si>
    <t>OTAADR66</t>
  </si>
  <si>
    <t>GOTAREV66</t>
  </si>
  <si>
    <t>GOTAADR66</t>
  </si>
  <si>
    <t>IBRNS66</t>
  </si>
  <si>
    <t>IBREV66</t>
  </si>
  <si>
    <t>OTARNS73</t>
  </si>
  <si>
    <t>GOTARNS73</t>
  </si>
  <si>
    <t>OTAREV73</t>
  </si>
  <si>
    <t>GOTAREV73</t>
  </si>
  <si>
    <t>OTAADR73</t>
  </si>
  <si>
    <t>GOTAADR73</t>
  </si>
  <si>
    <t>IBRNS73</t>
  </si>
  <si>
    <t>IBADR73</t>
  </si>
  <si>
    <t>IBREV73</t>
  </si>
  <si>
    <t>OTARNS77</t>
  </si>
  <si>
    <t>GOTARNS77</t>
  </si>
  <si>
    <t>OTAREV77</t>
  </si>
  <si>
    <t>GOTAREV77</t>
  </si>
  <si>
    <t>OTAADR77</t>
  </si>
  <si>
    <t>GOTAADR77</t>
  </si>
  <si>
    <t>OTARNS85</t>
  </si>
  <si>
    <t>GOTARNS85</t>
  </si>
  <si>
    <t>OTAREV85</t>
  </si>
  <si>
    <t>OTAADR85</t>
  </si>
  <si>
    <t>GOTAADR85</t>
  </si>
  <si>
    <t>GOTAREV85</t>
  </si>
  <si>
    <t>GOTARNS87</t>
  </si>
  <si>
    <t>OTARNS87</t>
  </si>
  <si>
    <t>OTAADR87</t>
  </si>
  <si>
    <t>GOTAADR87</t>
  </si>
  <si>
    <t>GOTAREV87</t>
  </si>
  <si>
    <t>OTAREV87</t>
  </si>
  <si>
    <t>OTARNS94</t>
  </si>
  <si>
    <t>GOTARNS94</t>
  </si>
  <si>
    <t>GOTAADR94</t>
  </si>
  <si>
    <t>OTAADR94</t>
  </si>
  <si>
    <t>OTAREV94</t>
  </si>
  <si>
    <t>GOTAREV94</t>
  </si>
  <si>
    <t>OTARNS70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</si>
</sst>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m&quot;월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대명체 보통"/>
      <family val="2"/>
      <charset val="129"/>
    </font>
    <font>
      <sz val="11"/>
      <color theme="1"/>
      <name val="대명체 보통"/>
      <family val="2"/>
      <charset val="129"/>
    </font>
    <font>
      <sz val="8"/>
      <name val="맑은 고딕"/>
      <family val="2"/>
      <charset val="129"/>
      <scheme val="minor"/>
    </font>
    <font>
      <b/>
      <sz val="11"/>
      <color theme="0"/>
      <name val="대명체 보통"/>
      <family val="2"/>
      <charset val="129"/>
    </font>
    <font>
      <sz val="10"/>
      <color theme="1"/>
      <name val="대명체 보통"/>
      <family val="3"/>
      <charset val="129"/>
    </font>
    <font>
      <sz val="8"/>
      <name val="대명체 보통"/>
      <family val="2"/>
      <charset val="129"/>
    </font>
    <font>
      <sz val="11"/>
      <color theme="1"/>
      <name val="대명체 보통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대명체 굵게"/>
      <family val="3"/>
      <charset val="129"/>
    </font>
    <font>
      <sz val="10"/>
      <color theme="1" tint="0.249977111117893"/>
      <name val="대명체 보통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4" tint="0.39997558519241921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4" tint="0.3999755851924192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4" tint="0.39997558519241921"/>
      </bottom>
      <diagonal/>
    </border>
    <border>
      <left style="thin">
        <color theme="0" tint="-0.2499465926084170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4659260841701"/>
      </left>
      <right/>
      <top/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2" fillId="0" borderId="0" xfId="1" quotePrefix="1">
      <alignment vertical="center"/>
    </xf>
    <xf numFmtId="41" fontId="5" fillId="0" borderId="4" xfId="2" applyFont="1" applyBorder="1" applyAlignment="1">
      <alignment vertical="center"/>
    </xf>
    <xf numFmtId="176" fontId="5" fillId="0" borderId="0" xfId="1" applyNumberFormat="1" applyFont="1">
      <alignment vertical="center"/>
    </xf>
    <xf numFmtId="41" fontId="5" fillId="0" borderId="4" xfId="2" quotePrefix="1" applyFont="1" applyBorder="1" applyAlignment="1">
      <alignment vertical="center"/>
    </xf>
    <xf numFmtId="41" fontId="0" fillId="0" borderId="0" xfId="2" applyFont="1">
      <alignment vertical="center"/>
    </xf>
    <xf numFmtId="0" fontId="2" fillId="3" borderId="5" xfId="1" applyFont="1" applyFill="1" applyBorder="1">
      <alignment vertical="center"/>
    </xf>
    <xf numFmtId="0" fontId="2" fillId="0" borderId="5" xfId="1" applyFont="1" applyBorder="1">
      <alignment vertical="center"/>
    </xf>
    <xf numFmtId="41" fontId="5" fillId="0" borderId="6" xfId="2" applyFont="1" applyBorder="1" applyAlignment="1">
      <alignment vertical="center"/>
    </xf>
    <xf numFmtId="176" fontId="5" fillId="0" borderId="7" xfId="1" applyNumberFormat="1" applyFont="1" applyBorder="1">
      <alignment vertical="center"/>
    </xf>
    <xf numFmtId="0" fontId="2" fillId="0" borderId="7" xfId="1" applyBorder="1">
      <alignment vertical="center"/>
    </xf>
    <xf numFmtId="41" fontId="0" fillId="0" borderId="7" xfId="2" applyFont="1" applyBorder="1">
      <alignment vertical="center"/>
    </xf>
    <xf numFmtId="41" fontId="5" fillId="0" borderId="0" xfId="2" applyFont="1" applyBorder="1" applyAlignment="1">
      <alignment vertical="center"/>
    </xf>
    <xf numFmtId="0" fontId="2" fillId="0" borderId="0" xfId="1" applyFont="1" applyBorder="1">
      <alignment vertical="center"/>
    </xf>
    <xf numFmtId="0" fontId="4" fillId="5" borderId="9" xfId="0" applyFont="1" applyFill="1" applyBorder="1">
      <alignment vertical="center"/>
    </xf>
    <xf numFmtId="0" fontId="4" fillId="5" borderId="5" xfId="0" applyFont="1" applyFill="1" applyBorder="1">
      <alignment vertical="center"/>
    </xf>
    <xf numFmtId="0" fontId="4" fillId="5" borderId="10" xfId="0" applyFont="1" applyFill="1" applyBorder="1">
      <alignment vertical="center"/>
    </xf>
    <xf numFmtId="49" fontId="0" fillId="3" borderId="9" xfId="0" applyNumberFormat="1" applyFont="1" applyFill="1" applyBorder="1">
      <alignment vertical="center"/>
    </xf>
    <xf numFmtId="49" fontId="0" fillId="3" borderId="5" xfId="0" applyNumberFormat="1" applyFont="1" applyFill="1" applyBorder="1">
      <alignment vertical="center"/>
    </xf>
    <xf numFmtId="49" fontId="7" fillId="3" borderId="10" xfId="0" quotePrefix="1" applyNumberFormat="1" applyFont="1" applyFill="1" applyBorder="1">
      <alignment vertical="center"/>
    </xf>
    <xf numFmtId="49" fontId="0" fillId="0" borderId="9" xfId="0" applyNumberFormat="1" applyFont="1" applyBorder="1">
      <alignment vertical="center"/>
    </xf>
    <xf numFmtId="49" fontId="0" fillId="0" borderId="5" xfId="0" applyNumberFormat="1" applyFont="1" applyBorder="1">
      <alignment vertical="center"/>
    </xf>
    <xf numFmtId="49" fontId="7" fillId="0" borderId="10" xfId="0" quotePrefix="1" applyNumberFormat="1" applyFont="1" applyBorder="1">
      <alignment vertical="center"/>
    </xf>
    <xf numFmtId="49" fontId="7" fillId="0" borderId="9" xfId="0" quotePrefix="1" applyNumberFormat="1" applyFont="1" applyBorder="1">
      <alignment vertical="center"/>
    </xf>
    <xf numFmtId="49" fontId="7" fillId="0" borderId="5" xfId="0" applyNumberFormat="1" applyFont="1" applyBorder="1">
      <alignment vertical="center"/>
    </xf>
    <xf numFmtId="49" fontId="7" fillId="3" borderId="5" xfId="0" applyNumberFormat="1" applyFont="1" applyFill="1" applyBorder="1">
      <alignment vertical="center"/>
    </xf>
    <xf numFmtId="0" fontId="0" fillId="3" borderId="9" xfId="0" quotePrefix="1" applyFont="1" applyFill="1" applyBorder="1">
      <alignment vertical="center"/>
    </xf>
    <xf numFmtId="0" fontId="0" fillId="0" borderId="9" xfId="0" quotePrefix="1" applyFont="1" applyBorder="1">
      <alignment vertical="center"/>
    </xf>
    <xf numFmtId="49" fontId="7" fillId="3" borderId="9" xfId="0" quotePrefix="1" applyNumberFormat="1" applyFont="1" applyFill="1" applyBorder="1">
      <alignment vertical="center"/>
    </xf>
    <xf numFmtId="41" fontId="0" fillId="0" borderId="0" xfId="3" applyFont="1">
      <alignment vertical="center"/>
    </xf>
    <xf numFmtId="41" fontId="0" fillId="3" borderId="5" xfId="3" applyFont="1" applyFill="1" applyBorder="1">
      <alignment vertical="center"/>
    </xf>
    <xf numFmtId="41" fontId="2" fillId="0" borderId="0" xfId="3" applyFont="1">
      <alignment vertical="center"/>
    </xf>
    <xf numFmtId="41" fontId="0" fillId="0" borderId="5" xfId="3" applyFont="1" applyBorder="1">
      <alignment vertical="center"/>
    </xf>
    <xf numFmtId="41" fontId="0" fillId="4" borderId="0" xfId="3" applyFont="1" applyFill="1">
      <alignment vertical="center"/>
    </xf>
    <xf numFmtId="41" fontId="0" fillId="4" borderId="5" xfId="3" applyFont="1" applyFill="1" applyBorder="1">
      <alignment vertical="center"/>
    </xf>
    <xf numFmtId="41" fontId="0" fillId="0" borderId="7" xfId="3" applyFont="1" applyBorder="1">
      <alignment vertical="center"/>
    </xf>
    <xf numFmtId="41" fontId="0" fillId="0" borderId="8" xfId="3" applyFont="1" applyBorder="1">
      <alignment vertical="center"/>
    </xf>
    <xf numFmtId="41" fontId="2" fillId="3" borderId="5" xfId="3" applyFont="1" applyFill="1" applyBorder="1">
      <alignment vertical="center"/>
    </xf>
    <xf numFmtId="41" fontId="2" fillId="0" borderId="5" xfId="3" applyFont="1" applyBorder="1">
      <alignment vertical="center"/>
    </xf>
    <xf numFmtId="41" fontId="2" fillId="0" borderId="0" xfId="3" quotePrefix="1" applyFont="1">
      <alignment vertical="center"/>
    </xf>
    <xf numFmtId="0" fontId="0" fillId="3" borderId="5" xfId="0" applyFont="1" applyFill="1" applyBorder="1">
      <alignment vertical="center"/>
    </xf>
    <xf numFmtId="0" fontId="0" fillId="0" borderId="5" xfId="0" applyFont="1" applyBorder="1">
      <alignment vertical="center"/>
    </xf>
    <xf numFmtId="41" fontId="5" fillId="0" borderId="4" xfId="3" applyFont="1" applyBorder="1" applyAlignment="1">
      <alignment vertical="center"/>
    </xf>
    <xf numFmtId="176" fontId="5" fillId="0" borderId="0" xfId="0" applyNumberFormat="1" applyFont="1">
      <alignment vertical="center"/>
    </xf>
    <xf numFmtId="41" fontId="7" fillId="6" borderId="11" xfId="3" applyFont="1" applyFill="1" applyBorder="1">
      <alignment vertical="center"/>
    </xf>
    <xf numFmtId="41" fontId="7" fillId="0" borderId="11" xfId="3" applyFont="1" applyFill="1" applyBorder="1">
      <alignment vertical="center"/>
    </xf>
    <xf numFmtId="41" fontId="7" fillId="7" borderId="11" xfId="3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9" fillId="3" borderId="9" xfId="0" quotePrefix="1" applyFont="1" applyFill="1" applyBorder="1">
      <alignment vertical="center"/>
    </xf>
    <xf numFmtId="0" fontId="0" fillId="0" borderId="0" xfId="0" quotePrefix="1" applyBorder="1">
      <alignment vertical="center"/>
    </xf>
    <xf numFmtId="0" fontId="9" fillId="3" borderId="12" xfId="0" quotePrefix="1" applyFont="1" applyFill="1" applyBorder="1">
      <alignment vertical="center"/>
    </xf>
    <xf numFmtId="0" fontId="9" fillId="3" borderId="9" xfId="0" applyFont="1" applyFill="1" applyBorder="1">
      <alignment vertical="center"/>
    </xf>
    <xf numFmtId="0" fontId="0" fillId="0" borderId="0" xfId="0" applyNumberFormat="1">
      <alignment vertical="center"/>
    </xf>
    <xf numFmtId="0" fontId="0" fillId="4" borderId="0" xfId="0" applyFill="1">
      <alignment vertical="center"/>
    </xf>
    <xf numFmtId="0" fontId="2" fillId="4" borderId="0" xfId="1" applyFill="1">
      <alignment vertical="center"/>
    </xf>
    <xf numFmtId="41" fontId="2" fillId="4" borderId="0" xfId="3" applyFont="1" applyFill="1">
      <alignment vertical="center"/>
    </xf>
    <xf numFmtId="41" fontId="2" fillId="4" borderId="5" xfId="3" applyFont="1" applyFill="1" applyBorder="1">
      <alignment vertical="center"/>
    </xf>
    <xf numFmtId="0" fontId="1" fillId="0" borderId="0" xfId="4">
      <alignment vertical="center"/>
    </xf>
    <xf numFmtId="0" fontId="4" fillId="5" borderId="0" xfId="4" applyNumberFormat="1" applyFont="1" applyFill="1" applyBorder="1" applyAlignment="1">
      <alignment vertical="center"/>
    </xf>
    <xf numFmtId="0" fontId="1" fillId="3" borderId="13" xfId="4" applyNumberFormat="1" applyFont="1" applyFill="1" applyBorder="1" applyAlignment="1">
      <alignment vertical="center"/>
    </xf>
    <xf numFmtId="0" fontId="1" fillId="0" borderId="13" xfId="4" applyNumberFormat="1" applyFont="1" applyBorder="1" applyAlignment="1">
      <alignment vertical="center"/>
    </xf>
    <xf numFmtId="0" fontId="7" fillId="0" borderId="13" xfId="4" applyNumberFormat="1" applyFont="1" applyFill="1" applyBorder="1" applyAlignment="1">
      <alignment vertical="center"/>
    </xf>
    <xf numFmtId="41" fontId="11" fillId="8" borderId="0" xfId="3" applyFont="1" applyFill="1" applyAlignment="1">
      <alignment horizontal="center" vertical="center"/>
    </xf>
    <xf numFmtId="41" fontId="10" fillId="3" borderId="16" xfId="5" applyNumberFormat="1" applyFont="1" applyFill="1" applyBorder="1" applyAlignment="1">
      <alignment horizontal="center" vertical="center"/>
    </xf>
    <xf numFmtId="41" fontId="10" fillId="0" borderId="16" xfId="5" applyNumberFormat="1" applyFont="1" applyBorder="1" applyAlignment="1">
      <alignment horizontal="center" vertical="center"/>
    </xf>
    <xf numFmtId="41" fontId="5" fillId="0" borderId="16" xfId="5" applyNumberFormat="1" applyFont="1" applyBorder="1" applyAlignment="1">
      <alignment horizontal="center" vertical="center"/>
    </xf>
    <xf numFmtId="0" fontId="7" fillId="3" borderId="13" xfId="4" applyNumberFormat="1" applyFont="1" applyFill="1" applyBorder="1" applyAlignment="1">
      <alignment vertical="center"/>
    </xf>
    <xf numFmtId="41" fontId="10" fillId="3" borderId="14" xfId="5" quotePrefix="1" applyNumberFormat="1" applyFont="1" applyFill="1" applyBorder="1" applyAlignment="1">
      <alignment horizontal="center" vertical="center"/>
    </xf>
    <xf numFmtId="41" fontId="10" fillId="0" borderId="14" xfId="5" quotePrefix="1" applyNumberFormat="1" applyFont="1" applyBorder="1" applyAlignment="1">
      <alignment horizontal="center" vertical="center"/>
    </xf>
    <xf numFmtId="41" fontId="5" fillId="0" borderId="14" xfId="5" quotePrefix="1" applyNumberFormat="1" applyFont="1" applyBorder="1" applyAlignment="1">
      <alignment horizontal="center" vertical="center"/>
    </xf>
    <xf numFmtId="0" fontId="7" fillId="0" borderId="13" xfId="1" applyNumberFormat="1" applyFont="1" applyFill="1" applyBorder="1" applyAlignment="1">
      <alignment vertical="center"/>
    </xf>
    <xf numFmtId="41" fontId="0" fillId="0" borderId="0" xfId="3" applyFont="1" applyBorder="1">
      <alignment vertical="center"/>
    </xf>
    <xf numFmtId="0" fontId="7" fillId="3" borderId="0" xfId="4" applyNumberFormat="1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vertical="center"/>
    </xf>
    <xf numFmtId="41" fontId="10" fillId="3" borderId="16" xfId="2" applyNumberFormat="1" applyFont="1" applyFill="1" applyBorder="1" applyAlignment="1">
      <alignment horizontal="center" vertical="center"/>
    </xf>
    <xf numFmtId="41" fontId="10" fillId="0" borderId="16" xfId="2" applyNumberFormat="1" applyFont="1" applyBorder="1" applyAlignment="1">
      <alignment horizontal="center" vertical="center"/>
    </xf>
    <xf numFmtId="41" fontId="10" fillId="3" borderId="14" xfId="2" applyNumberFormat="1" applyFont="1" applyFill="1" applyBorder="1" applyAlignment="1">
      <alignment horizontal="center" vertical="center"/>
    </xf>
    <xf numFmtId="41" fontId="10" fillId="0" borderId="14" xfId="2" applyNumberFormat="1" applyFont="1" applyBorder="1" applyAlignment="1">
      <alignment horizontal="center" vertical="center"/>
    </xf>
    <xf numFmtId="41" fontId="7" fillId="0" borderId="18" xfId="3" applyFont="1" applyFill="1" applyBorder="1" applyAlignment="1">
      <alignment vertical="center"/>
    </xf>
    <xf numFmtId="41" fontId="7" fillId="0" borderId="0" xfId="3" applyFont="1" applyFill="1" applyBorder="1" applyAlignment="1">
      <alignment vertical="center"/>
    </xf>
    <xf numFmtId="41" fontId="10" fillId="3" borderId="14" xfId="2" quotePrefix="1" applyNumberFormat="1" applyFont="1" applyFill="1" applyBorder="1" applyAlignment="1">
      <alignment horizontal="center" vertical="center"/>
    </xf>
    <xf numFmtId="41" fontId="7" fillId="0" borderId="15" xfId="3" applyFont="1" applyBorder="1" applyAlignment="1">
      <alignment vertical="center"/>
    </xf>
    <xf numFmtId="41" fontId="7" fillId="0" borderId="18" xfId="3" applyFont="1" applyBorder="1" applyAlignment="1">
      <alignment vertical="center"/>
    </xf>
    <xf numFmtId="41" fontId="7" fillId="0" borderId="13" xfId="3" applyFont="1" applyBorder="1" applyAlignment="1">
      <alignment vertical="center"/>
    </xf>
    <xf numFmtId="41" fontId="7" fillId="0" borderId="0" xfId="3" applyFont="1" applyBorder="1" applyAlignment="1">
      <alignment vertical="center"/>
    </xf>
    <xf numFmtId="41" fontId="7" fillId="0" borderId="17" xfId="3" applyFont="1" applyBorder="1" applyAlignment="1">
      <alignment vertical="center"/>
    </xf>
    <xf numFmtId="41" fontId="7" fillId="0" borderId="5" xfId="3" applyFont="1" applyBorder="1" applyAlignment="1">
      <alignment vertical="center"/>
    </xf>
    <xf numFmtId="41" fontId="10" fillId="3" borderId="16" xfId="2" quotePrefix="1" applyNumberFormat="1" applyFont="1" applyFill="1" applyBorder="1" applyAlignment="1">
      <alignment horizontal="center" vertical="center"/>
    </xf>
    <xf numFmtId="0" fontId="1" fillId="3" borderId="0" xfId="4" applyNumberFormat="1" applyFont="1" applyFill="1" applyBorder="1" applyAlignment="1">
      <alignment vertical="center"/>
    </xf>
    <xf numFmtId="0" fontId="1" fillId="0" borderId="0" xfId="4" applyNumberFormat="1" applyFont="1" applyBorder="1" applyAlignment="1">
      <alignment vertical="center"/>
    </xf>
    <xf numFmtId="0" fontId="7" fillId="0" borderId="0" xfId="4" applyNumberFormat="1" applyFont="1" applyFill="1" applyBorder="1" applyAlignment="1">
      <alignment vertical="center"/>
    </xf>
    <xf numFmtId="41" fontId="10" fillId="0" borderId="16" xfId="5" quotePrefix="1" applyNumberFormat="1" applyFont="1" applyBorder="1" applyAlignment="1">
      <alignment horizontal="center" vertical="center"/>
    </xf>
    <xf numFmtId="41" fontId="10" fillId="0" borderId="16" xfId="2" quotePrefix="1" applyNumberFormat="1" applyFont="1" applyBorder="1" applyAlignment="1">
      <alignment horizontal="center" vertical="center"/>
    </xf>
    <xf numFmtId="41" fontId="10" fillId="3" borderId="16" xfId="5" quotePrefix="1" applyNumberFormat="1" applyFont="1" applyFill="1" applyBorder="1" applyAlignment="1">
      <alignment horizontal="center" vertical="center"/>
    </xf>
    <xf numFmtId="41" fontId="7" fillId="8" borderId="15" xfId="3" applyFont="1" applyFill="1" applyBorder="1" applyAlignment="1">
      <alignment vertical="center"/>
    </xf>
    <xf numFmtId="41" fontId="1" fillId="0" borderId="17" xfId="3" applyFont="1" applyBorder="1" applyAlignment="1">
      <alignment vertical="center"/>
    </xf>
    <xf numFmtId="41" fontId="7" fillId="3" borderId="18" xfId="3" applyFont="1" applyFill="1" applyBorder="1" applyAlignment="1">
      <alignment vertical="center"/>
    </xf>
    <xf numFmtId="41" fontId="7" fillId="0" borderId="17" xfId="3" applyFont="1" applyFill="1" applyBorder="1" applyAlignment="1">
      <alignment vertical="center"/>
    </xf>
    <xf numFmtId="41" fontId="11" fillId="8" borderId="18" xfId="3" applyFont="1" applyFill="1" applyBorder="1" applyAlignment="1">
      <alignment horizontal="center" vertical="center"/>
    </xf>
    <xf numFmtId="41" fontId="7" fillId="8" borderId="0" xfId="3" applyFont="1" applyFill="1" applyBorder="1" applyAlignment="1">
      <alignment vertical="center"/>
    </xf>
    <xf numFmtId="41" fontId="1" fillId="0" borderId="18" xfId="3" applyFont="1" applyBorder="1" applyAlignment="1">
      <alignment vertical="center"/>
    </xf>
    <xf numFmtId="41" fontId="7" fillId="3" borderId="15" xfId="3" applyFont="1" applyFill="1" applyBorder="1" applyAlignment="1">
      <alignment vertical="center"/>
    </xf>
    <xf numFmtId="41" fontId="1" fillId="3" borderId="17" xfId="3" applyFont="1" applyFill="1" applyBorder="1" applyAlignment="1">
      <alignment vertical="center"/>
    </xf>
    <xf numFmtId="41" fontId="1" fillId="3" borderId="18" xfId="3" applyFont="1" applyFill="1" applyBorder="1" applyAlignment="1">
      <alignment vertical="center"/>
    </xf>
    <xf numFmtId="41" fontId="7" fillId="8" borderId="13" xfId="3" applyFont="1" applyFill="1" applyBorder="1" applyAlignment="1">
      <alignment vertical="center"/>
    </xf>
    <xf numFmtId="41" fontId="1" fillId="0" borderId="5" xfId="3" applyFont="1" applyBorder="1" applyAlignment="1">
      <alignment vertical="center"/>
    </xf>
    <xf numFmtId="41" fontId="7" fillId="3" borderId="0" xfId="3" applyFont="1" applyFill="1" applyBorder="1" applyAlignment="1">
      <alignment vertical="center"/>
    </xf>
    <xf numFmtId="41" fontId="7" fillId="0" borderId="5" xfId="3" applyFont="1" applyFill="1" applyBorder="1" applyAlignment="1">
      <alignment vertical="center"/>
    </xf>
    <xf numFmtId="41" fontId="1" fillId="0" borderId="0" xfId="3" applyFont="1" applyBorder="1" applyAlignment="1">
      <alignment vertical="center"/>
    </xf>
    <xf numFmtId="41" fontId="7" fillId="3" borderId="13" xfId="3" applyFont="1" applyFill="1" applyBorder="1" applyAlignment="1">
      <alignment vertical="center"/>
    </xf>
    <xf numFmtId="41" fontId="1" fillId="3" borderId="5" xfId="3" applyFont="1" applyFill="1" applyBorder="1" applyAlignment="1">
      <alignment vertical="center"/>
    </xf>
    <xf numFmtId="41" fontId="1" fillId="3" borderId="0" xfId="3" applyFont="1" applyFill="1" applyBorder="1" applyAlignme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1" fontId="10" fillId="0" borderId="14" xfId="2" quotePrefix="1" applyNumberFormat="1" applyFont="1" applyBorder="1" applyAlignment="1">
      <alignment horizontal="center" vertical="center"/>
    </xf>
    <xf numFmtId="41" fontId="7" fillId="8" borderId="18" xfId="3" applyFont="1" applyFill="1" applyBorder="1" applyAlignment="1">
      <alignment vertical="center"/>
    </xf>
    <xf numFmtId="41" fontId="7" fillId="3" borderId="17" xfId="3" applyFont="1" applyFill="1" applyBorder="1" applyAlignment="1">
      <alignment vertical="center"/>
    </xf>
    <xf numFmtId="41" fontId="7" fillId="3" borderId="5" xfId="3" applyFont="1" applyFill="1" applyBorder="1" applyAlignment="1">
      <alignment vertical="center"/>
    </xf>
    <xf numFmtId="0" fontId="0" fillId="0" borderId="0" xfId="3" applyNumberFormat="1" applyFont="1">
      <alignment vertical="center"/>
    </xf>
    <xf numFmtId="0" fontId="9" fillId="3" borderId="12" xfId="0" applyFont="1" applyFill="1" applyBorder="1">
      <alignment vertical="center"/>
    </xf>
  </cellXfs>
  <cellStyles count="6">
    <cellStyle name="쉼표 [0]" xfId="3" builtinId="6"/>
    <cellStyle name="쉼표 [0] 2" xfId="2"/>
    <cellStyle name="쉼표 [0] 2 2" xfId="5"/>
    <cellStyle name="표준" xfId="0" builtinId="0"/>
    <cellStyle name="표준 2" xfId="1"/>
    <cellStyle name="표준 2 2" xfId="4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 style="hair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대명체 보통"/>
        <scheme val="none"/>
      </font>
      <numFmt numFmtId="176" formatCode="mm&quot;월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대명체 보통"/>
        <scheme val="none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 style="hair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굵게"/>
        <scheme val="none"/>
      </font>
      <numFmt numFmtId="33" formatCode="_-* #,##0_-;\-* #,##0_-;_-* &quot;-&quot;_-;_-@_-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대명체 보통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대명체 보통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nmin" refreshedDate="45987.221427893521" createdVersion="6" refreshedVersion="6" minRefreshableVersion="3" recordCount="243">
  <cacheSource type="worksheet">
    <worksheetSource name="ota_rns"/>
  </cacheSource>
  <cacheFields count="17">
    <cacheField name="구분" numFmtId="0">
      <sharedItems/>
    </cacheField>
    <cacheField name="채널" numFmtId="0">
      <sharedItems/>
    </cacheField>
    <cacheField name="구분2" numFmtId="0">
      <sharedItems/>
    </cacheField>
    <cacheField name="사업장" numFmtId="41">
      <sharedItems count="27">
        <s v="01"/>
        <s v="02"/>
        <s v="03"/>
        <s v="05"/>
        <s v="06"/>
        <s v="07"/>
        <s v="08"/>
        <s v="10"/>
        <s v="15"/>
        <s v="16"/>
        <s v="19"/>
        <s v="22"/>
        <s v="24"/>
        <s v="25"/>
        <s v="27"/>
        <s v="29"/>
        <s v="46"/>
        <s v="50"/>
        <s v="58"/>
        <s v="61"/>
        <s v="66"/>
        <s v="70"/>
        <s v="73"/>
        <s v="77"/>
        <s v="85"/>
        <s v="87"/>
        <s v="94"/>
      </sharedItems>
    </cacheField>
    <cacheField name="Total" numFmtId="41">
      <sharedItems containsBlank="1" containsMixedTypes="1" containsNumber="1" minValue="0" maxValue="69600"/>
    </cacheField>
    <cacheField name="1" numFmtId="41">
      <sharedItems containsBlank="1" containsMixedTypes="1" containsNumber="1" minValue="0" maxValue="6500"/>
    </cacheField>
    <cacheField name="2" numFmtId="41">
      <sharedItems containsBlank="1" containsMixedTypes="1" containsNumber="1" minValue="0" maxValue="6450"/>
    </cacheField>
    <cacheField name="3" numFmtId="41">
      <sharedItems containsBlank="1" containsMixedTypes="1" containsNumber="1" minValue="0" maxValue="3400"/>
    </cacheField>
    <cacheField name="4" numFmtId="41">
      <sharedItems containsBlank="1" containsMixedTypes="1" containsNumber="1" minValue="0" maxValue="4500"/>
    </cacheField>
    <cacheField name="5" numFmtId="41">
      <sharedItems containsBlank="1" containsMixedTypes="1" containsNumber="1" minValue="0" maxValue="4200"/>
    </cacheField>
    <cacheField name="6" numFmtId="41">
      <sharedItems containsBlank="1" containsMixedTypes="1" containsNumber="1" minValue="0" maxValue="7300"/>
    </cacheField>
    <cacheField name="7" numFmtId="41">
      <sharedItems containsBlank="1" containsMixedTypes="1" containsNumber="1" minValue="0" maxValue="8800"/>
    </cacheField>
    <cacheField name="8" numFmtId="41">
      <sharedItems containsBlank="1" containsMixedTypes="1" containsNumber="1" minValue="0" maxValue="11500"/>
    </cacheField>
    <cacheField name="9" numFmtId="41">
      <sharedItems containsBlank="1" containsMixedTypes="1" containsNumber="1" minValue="0" maxValue="4350"/>
    </cacheField>
    <cacheField name="10" numFmtId="41">
      <sharedItems containsBlank="1" containsMixedTypes="1" containsNumber="1" minValue="0" maxValue="5140"/>
    </cacheField>
    <cacheField name="11" numFmtId="41">
      <sharedItems containsBlank="1" containsMixedTypes="1" containsNumber="1" minValue="0" maxValue="3550"/>
    </cacheField>
    <cacheField name="12" numFmtId="41">
      <sharedItems containsBlank="1" containsMixedTypes="1" containsNumber="1" minValue="0" maxValue="5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3">
  <r>
    <s v="OTARNS01"/>
    <s v="OTA"/>
    <s v="RNS"/>
    <x v="0"/>
    <n v="17680"/>
    <n v="1630"/>
    <n v="1350"/>
    <n v="800"/>
    <n v="750"/>
    <n v="1000"/>
    <n v="1300"/>
    <n v="2000"/>
    <n v="2950"/>
    <n v="1300"/>
    <n v="2000"/>
    <n v="1100"/>
    <n v="1500"/>
  </r>
  <r>
    <s v="GOTARNS01"/>
    <s v="GOTA"/>
    <s v="RNS"/>
    <x v="0"/>
    <n v="15450"/>
    <n v="1700"/>
    <n v="1450"/>
    <n v="650"/>
    <n v="800"/>
    <n v="1100"/>
    <n v="1200"/>
    <n v="1900"/>
    <n v="2450"/>
    <n v="1300"/>
    <n v="1000"/>
    <n v="700"/>
    <n v="1200"/>
  </r>
  <r>
    <s v="IBRNS01"/>
    <s v="IB"/>
    <s v="RNS"/>
    <x v="0"/>
    <n v="890"/>
    <n v="20"/>
    <n v="50"/>
    <n v="100"/>
    <n v="100"/>
    <n v="50"/>
    <n v="50"/>
    <n v="50"/>
    <n v="20"/>
    <n v="50"/>
    <n v="200"/>
    <n v="100"/>
    <n v="100"/>
  </r>
  <r>
    <s v="OTAREV01"/>
    <s v="OTA"/>
    <s v="REV"/>
    <x v="0"/>
    <n v="3251.5976000000001"/>
    <n v="252.65"/>
    <n v="222.75"/>
    <n v="147.99760000000001"/>
    <n v="120"/>
    <n v="194"/>
    <n v="218.4"/>
    <n v="400"/>
    <n v="619.5"/>
    <n v="253.5"/>
    <n v="370"/>
    <n v="190.3"/>
    <n v="262.5"/>
  </r>
  <r>
    <s v="GOTAREV01"/>
    <s v="GOTA"/>
    <s v="REV"/>
    <x v="0"/>
    <n v="2619.8841600000001"/>
    <n v="252.08415999999997"/>
    <n v="232"/>
    <n v="102.7"/>
    <n v="117.6"/>
    <n v="195.8"/>
    <n v="182.4"/>
    <n v="357.2"/>
    <n v="480.2"/>
    <n v="227.5"/>
    <n v="167"/>
    <n v="113.4"/>
    <n v="192"/>
  </r>
  <r>
    <s v="IBREV01"/>
    <s v="IB"/>
    <s v="REV"/>
    <x v="0"/>
    <n v="76.140500000000003"/>
    <n v="1.8"/>
    <n v="3.75"/>
    <n v="7.5"/>
    <n v="7"/>
    <n v="4.25"/>
    <n v="4"/>
    <n v="4.25"/>
    <n v="2.34"/>
    <n v="4.75"/>
    <n v="19"/>
    <n v="8.8000000000000007"/>
    <n v="8.7004999999999999"/>
  </r>
  <r>
    <s v="OTAADR01"/>
    <s v="OTA"/>
    <s v="ADR"/>
    <x v="0"/>
    <n v="183.91389140271494"/>
    <n v="155"/>
    <n v="165"/>
    <n v="184.99700000000001"/>
    <n v="160"/>
    <n v="194"/>
    <n v="168"/>
    <n v="200"/>
    <n v="210"/>
    <n v="195"/>
    <n v="185"/>
    <n v="173"/>
    <n v="175"/>
  </r>
  <r>
    <s v="GOTAADR01"/>
    <s v="GOTA"/>
    <s v="ADR"/>
    <x v="0"/>
    <n v="169.57179029126215"/>
    <n v="148.28479999999999"/>
    <n v="160"/>
    <n v="158"/>
    <n v="147"/>
    <n v="178"/>
    <n v="152"/>
    <n v="188"/>
    <n v="196"/>
    <n v="175"/>
    <n v="167"/>
    <n v="162"/>
    <n v="160"/>
  </r>
  <r>
    <s v="IBADR01"/>
    <s v="IB"/>
    <s v="ADR"/>
    <x v="0"/>
    <n v="85.551123595505615"/>
    <n v="90"/>
    <n v="75"/>
    <n v="75"/>
    <n v="70"/>
    <n v="85"/>
    <n v="80"/>
    <n v="85"/>
    <n v="117"/>
    <n v="95"/>
    <n v="95"/>
    <n v="88"/>
    <n v="87.004999999999995"/>
  </r>
  <r>
    <s v="OTARNS02"/>
    <s v="OTA"/>
    <s v="RNS"/>
    <x v="1"/>
    <n v="69600"/>
    <n v="6500"/>
    <n v="6450"/>
    <n v="3400"/>
    <n v="4500"/>
    <n v="4200"/>
    <n v="7300"/>
    <n v="8800"/>
    <n v="11500"/>
    <n v="4350"/>
    <n v="4200"/>
    <n v="2800"/>
    <n v="5600"/>
  </r>
  <r>
    <s v="GOTARNS02"/>
    <s v="GOTA"/>
    <s v="RNS"/>
    <x v="1"/>
    <n v="25100"/>
    <n v="4000"/>
    <n v="4300"/>
    <n v="900"/>
    <n v="600"/>
    <n v="1000"/>
    <n v="1100"/>
    <n v="2700"/>
    <n v="2800"/>
    <n v="1500"/>
    <n v="1800"/>
    <n v="1100"/>
    <n v="3300"/>
  </r>
  <r>
    <s v="IBRNS02"/>
    <s v="IB"/>
    <s v="RNS"/>
    <x v="1"/>
    <n v="7550"/>
    <n v="1500"/>
    <n v="2000"/>
    <n v="50"/>
    <n v="200"/>
    <n v="50"/>
    <n v="50"/>
    <n v="300"/>
    <n v="300"/>
    <n v="200"/>
    <n v="200"/>
    <n v="200"/>
    <n v="2500"/>
  </r>
  <r>
    <s v="OTAREV02"/>
    <s v="OTA"/>
    <s v="REV"/>
    <x v="1"/>
    <n v="12285.258889146533"/>
    <n v="1404"/>
    <n v="1125.9994101913746"/>
    <n v="508.63242422690286"/>
    <n v="571.5"/>
    <n v="671.90465974831466"/>
    <n v="1018.2721347388436"/>
    <n v="1690.2002602410971"/>
    <n v="2357.5"/>
    <n v="691.65"/>
    <n v="903"/>
    <n v="357"/>
    <n v="985.6"/>
  </r>
  <r>
    <s v="GOTAREV02"/>
    <s v="GOTA"/>
    <s v="REV"/>
    <x v="1"/>
    <n v="4703.7034769905631"/>
    <n v="832"/>
    <n v="758.95975835643742"/>
    <n v="168.01204909090501"/>
    <n v="89.4"/>
    <n v="173.58948271777001"/>
    <n v="182.08186874669221"/>
    <n v="599.15631807875798"/>
    <n v="574"/>
    <n v="235.5"/>
    <n v="365.4"/>
    <n v="148.10400000000004"/>
    <n v="577.5"/>
  </r>
  <r>
    <s v="IBREV02"/>
    <s v="IB"/>
    <s v="REV"/>
    <x v="1"/>
    <n v="1116.3274312272083"/>
    <n v="282.83438163779522"/>
    <n v="239.00469402061856"/>
    <n v="4.3499999999999996"/>
    <n v="12"/>
    <n v="5.6512068666666657"/>
    <n v="3.5956584255319148"/>
    <n v="43.899490276595742"/>
    <n v="43.451999999999998"/>
    <n v="16.399999999999999"/>
    <n v="17.34"/>
    <n v="15.3"/>
    <n v="432.5"/>
  </r>
  <r>
    <s v="OTAADR02"/>
    <s v="OTA"/>
    <s v="ADR"/>
    <x v="1"/>
    <n v="176.51234036130077"/>
    <n v="216"/>
    <n v="174.57355196765496"/>
    <n v="149.597771831442"/>
    <n v="127"/>
    <n v="159.97729994007491"/>
    <n v="139.489333525869"/>
    <n v="192.06821139103377"/>
    <n v="205"/>
    <n v="159"/>
    <n v="215"/>
    <n v="127.5"/>
    <n v="176"/>
  </r>
  <r>
    <s v="GOTAADR02"/>
    <s v="GOTA"/>
    <s v="ADR"/>
    <x v="1"/>
    <n v="187.39854490002242"/>
    <n v="208"/>
    <n v="176.502269385218"/>
    <n v="186.68005454544999"/>
    <n v="149"/>
    <n v="173.58948271777001"/>
    <n v="165.52897158790199"/>
    <n v="221.90974743657702"/>
    <n v="205"/>
    <n v="157"/>
    <n v="203"/>
    <n v="134.64000000000001"/>
    <n v="175"/>
  </r>
  <r>
    <s v="IBADR02"/>
    <s v="IB"/>
    <s v="ADR"/>
    <x v="1"/>
    <n v="147.85793791088852"/>
    <n v="188.55625442519684"/>
    <n v="119.50234701030928"/>
    <n v="87"/>
    <n v="60"/>
    <n v="113.02413733333331"/>
    <n v="71.9131685106383"/>
    <n v="146.33163425531916"/>
    <n v="144.84"/>
    <n v="82"/>
    <n v="86.7"/>
    <n v="76.5"/>
    <n v="173"/>
  </r>
  <r>
    <s v="OTARNS03"/>
    <s v="OTA"/>
    <s v="RNS"/>
    <x v="2"/>
    <n v="5330"/>
    <n v="400"/>
    <n v="470"/>
    <n v="300"/>
    <n v="450"/>
    <n v="410"/>
    <n v="400"/>
    <n v="400"/>
    <n v="450"/>
    <n v="450"/>
    <n v="600"/>
    <n v="500"/>
    <n v="500"/>
  </r>
  <r>
    <s v="OTAADR03"/>
    <s v="OTA"/>
    <s v="ADR"/>
    <x v="2"/>
    <n v="150.36062232874247"/>
    <n v="133.31348"/>
    <n v="151.06033025247501"/>
    <n v="151.537314904943"/>
    <n v="131.543528847185"/>
    <n v="140.16259917808199"/>
    <n v="142.52990708791199"/>
    <n v="178.20064710659898"/>
    <n v="182.64"/>
    <n v="167.47"/>
    <n v="163.61199999999999"/>
    <n v="128.49700000000001"/>
    <n v="133.43700000000001"/>
  </r>
  <r>
    <s v="OTAREV03"/>
    <s v="OTA"/>
    <s v="REV"/>
    <x v="2"/>
    <n v="801.42211701219742"/>
    <n v="53.325392000000001"/>
    <n v="70.998355218663264"/>
    <n v="45.461194471482898"/>
    <n v="59.194587981233248"/>
    <n v="57.466665663013615"/>
    <n v="57.011962835164802"/>
    <n v="71.280258842639597"/>
    <n v="82.188000000000002"/>
    <n v="75.361500000000007"/>
    <n v="98.167199999999994"/>
    <n v="64.248500000000007"/>
    <n v="66.718500000000006"/>
  </r>
  <r>
    <s v="GOTARNS03"/>
    <s v="GOTA"/>
    <s v="RNS"/>
    <x v="2"/>
    <n v="3530"/>
    <n v="240"/>
    <n v="360"/>
    <n v="200"/>
    <n v="250"/>
    <n v="330"/>
    <n v="250"/>
    <n v="350"/>
    <n v="315"/>
    <n v="300"/>
    <n v="355"/>
    <n v="280"/>
    <n v="300"/>
  </r>
  <r>
    <s v="GOTAADR03"/>
    <s v="GOTA"/>
    <s v="ADR"/>
    <x v="2"/>
    <n v="146.69453807697596"/>
    <n v="124.11691846153801"/>
    <n v="143.030997419355"/>
    <n v="138.59236315217399"/>
    <n v="117.66321672413794"/>
    <n v="133.101143589744"/>
    <n v="138.087359897959"/>
    <n v="179.532730684039"/>
    <n v="175.42"/>
    <n v="165.1"/>
    <n v="162.15"/>
    <n v="127.2"/>
    <n v="133.9"/>
  </r>
  <r>
    <s v="GOTAREV03"/>
    <s v="GOTA"/>
    <s v="REV"/>
    <x v="2"/>
    <n v="517.83171941172509"/>
    <n v="29.788060430769121"/>
    <n v="51.491159070967797"/>
    <n v="27.718472630434796"/>
    <n v="29.415804181034485"/>
    <n v="43.923377384615513"/>
    <n v="34.521839974489751"/>
    <n v="62.836455739413651"/>
    <n v="55.257299999999994"/>
    <n v="49.53"/>
    <n v="57.563249999999996"/>
    <n v="35.616"/>
    <n v="40.17"/>
  </r>
  <r>
    <s v="IBRNS03"/>
    <s v="IB"/>
    <s v="RNS"/>
    <x v="2"/>
    <n v="530"/>
    <n v="350"/>
    <n v="35"/>
    <n v="0"/>
    <n v="0"/>
    <n v="50"/>
    <n v="0"/>
    <n v="20"/>
    <n v="20"/>
    <n v="0"/>
    <n v="55"/>
    <n v="0"/>
    <n v="0"/>
  </r>
  <r>
    <s v="IBADR03"/>
    <s v="IB"/>
    <s v="ADR"/>
    <x v="2"/>
    <n v="68.754716981132077"/>
    <n v="70"/>
    <n v="70"/>
    <s v=""/>
    <s v=""/>
    <n v="65"/>
    <s v=""/>
    <n v="60"/>
    <n v="65"/>
    <s v=""/>
    <n v="68"/>
    <s v=""/>
    <s v=""/>
  </r>
  <r>
    <s v="IBREV03"/>
    <s v="IB"/>
    <s v="REV"/>
    <x v="2"/>
    <n v="36.44"/>
    <n v="24.5"/>
    <n v="2.4500000000000002"/>
    <n v="0"/>
    <n v="0"/>
    <n v="3.25"/>
    <n v="0"/>
    <n v="1.2"/>
    <n v="1.3"/>
    <n v="0"/>
    <n v="3.74"/>
    <n v="0"/>
    <n v="0"/>
  </r>
  <r>
    <s v="OTARNS05"/>
    <s v="OTA"/>
    <s v="RNS"/>
    <x v="3"/>
    <n v="17785"/>
    <n v="1480"/>
    <n v="1550"/>
    <n v="1105"/>
    <n v="1490"/>
    <n v="1435"/>
    <n v="1495"/>
    <n v="1670"/>
    <n v="1725"/>
    <n v="1460"/>
    <n v="1450"/>
    <n v="1385"/>
    <n v="1540"/>
  </r>
  <r>
    <s v="OTAADR05"/>
    <s v="OTA"/>
    <s v="ADR"/>
    <x v="3"/>
    <n v="262.70488347927989"/>
    <n v="246.85048462255338"/>
    <n v="255.28610571222879"/>
    <n v="233.90438771227937"/>
    <n v="242.21293573154361"/>
    <n v="269.55889033017741"/>
    <n v="264.92245380793656"/>
    <n v="291.74146928306669"/>
    <n v="301.19024298907487"/>
    <n v="265.15084562776025"/>
    <n v="260.88430754948695"/>
    <n v="239.94826131080507"/>
    <n v="262.62612176447641"/>
  </r>
  <r>
    <s v="OTAREV05"/>
    <s v="OTA"/>
    <s v="REV"/>
    <x v="3"/>
    <n v="4672.2063526789925"/>
    <n v="365.33871724137902"/>
    <n v="395.69346385395465"/>
    <n v="258.46434842206867"/>
    <n v="360.89727424"/>
    <n v="386.81700762380456"/>
    <n v="396.05906844286517"/>
    <n v="487.20825370272138"/>
    <n v="519.55316915615413"/>
    <n v="387.12023461652996"/>
    <n v="378.28224594675612"/>
    <n v="332.32834191546505"/>
    <n v="404.44422751729365"/>
  </r>
  <r>
    <s v="GOTARNS05"/>
    <s v="GOTA"/>
    <s v="RNS"/>
    <x v="3"/>
    <n v="12050"/>
    <n v="1020"/>
    <n v="1290"/>
    <n v="835"/>
    <n v="1080"/>
    <n v="875"/>
    <n v="930"/>
    <n v="1125"/>
    <n v="1165"/>
    <n v="970"/>
    <n v="940"/>
    <n v="880"/>
    <n v="940"/>
  </r>
  <r>
    <s v="GOTAADR05"/>
    <s v="GOTA"/>
    <s v="ADR"/>
    <x v="3"/>
    <n v="262.62669986620079"/>
    <n v="252.02482412812441"/>
    <n v="249.73385218717777"/>
    <n v="228.32693785345356"/>
    <n v="245.76212120306781"/>
    <n v="269.7786760559444"/>
    <n v="258.67950543188067"/>
    <n v="289.48777435322859"/>
    <n v="301.79105814842535"/>
    <n v="266.82038800561605"/>
    <n v="266.41341311407632"/>
    <n v="244.12741578088892"/>
    <n v="267.43461529560335"/>
  </r>
  <r>
    <s v="GOTAREV05"/>
    <s v="GOTA"/>
    <s v="REV"/>
    <x v="3"/>
    <n v="3164.65173338772"/>
    <n v="257.06532061068691"/>
    <n v="322.15666932145933"/>
    <n v="190.65299310763373"/>
    <n v="265.42309089931319"/>
    <n v="236.05634154895137"/>
    <n v="240.57194005164899"/>
    <n v="325.67374614738219"/>
    <n v="351.58658274291554"/>
    <n v="258.81577636544756"/>
    <n v="250.42860832723173"/>
    <n v="214.83212588718226"/>
    <n v="251.38853837786715"/>
  </r>
  <r>
    <s v="IBRNS05"/>
    <s v="IB"/>
    <s v="RNS"/>
    <x v="3"/>
    <m/>
    <m/>
    <m/>
    <m/>
    <m/>
    <m/>
    <m/>
    <m/>
    <m/>
    <m/>
    <m/>
    <m/>
    <m/>
  </r>
  <r>
    <s v="IBADR05"/>
    <s v="IB"/>
    <s v="ADR"/>
    <x v="3"/>
    <s v=""/>
    <s v=""/>
    <s v=""/>
    <s v=""/>
    <s v=""/>
    <s v=""/>
    <s v=""/>
    <s v=""/>
    <s v=""/>
    <s v=""/>
    <s v=""/>
    <s v=""/>
    <s v=""/>
  </r>
  <r>
    <s v="IBREV05"/>
    <s v="IB"/>
    <s v="REV"/>
    <x v="3"/>
    <n v="0"/>
    <n v="0"/>
    <n v="0"/>
    <n v="0"/>
    <n v="0"/>
    <n v="0"/>
    <n v="0"/>
    <n v="0"/>
    <n v="0"/>
    <n v="0"/>
    <n v="0"/>
    <n v="0"/>
    <n v="0"/>
  </r>
  <r>
    <s v="OTARNS06"/>
    <s v="OTA"/>
    <s v="RNS"/>
    <x v="4"/>
    <n v="40800"/>
    <n v="2800"/>
    <n v="3750"/>
    <n v="2050"/>
    <n v="2350"/>
    <n v="2450"/>
    <n v="3550"/>
    <n v="4250"/>
    <n v="5150"/>
    <n v="3700"/>
    <n v="5050"/>
    <n v="3550"/>
    <n v="2150"/>
  </r>
  <r>
    <s v="OTAADR06"/>
    <s v="OTA"/>
    <s v="ADR"/>
    <x v="4"/>
    <n v="167.52355147058825"/>
    <n v="159.4"/>
    <n v="135.32"/>
    <n v="159.69512195121951"/>
    <n v="136.9"/>
    <n v="167.3"/>
    <n v="148.55000000000001"/>
    <n v="188.1"/>
    <n v="197.6"/>
    <n v="176.2"/>
    <n v="172.78800000000001"/>
    <n v="167.75183098591549"/>
    <n v="166.4"/>
  </r>
  <r>
    <s v="OTAREV06"/>
    <s v="OTA"/>
    <s v="REV"/>
    <x v="4"/>
    <n v="6834.9609"/>
    <n v="446.32"/>
    <n v="507.45"/>
    <n v="327.375"/>
    <n v="321.71499999999997"/>
    <n v="409.88499999999999"/>
    <n v="527.35249999999996"/>
    <n v="799.42499999999995"/>
    <n v="1017.64"/>
    <n v="651.94000000000005"/>
    <n v="872.57940000000008"/>
    <n v="595.51900000000001"/>
    <n v="357.76"/>
  </r>
  <r>
    <s v="GOTARNS06"/>
    <s v="GOTA"/>
    <s v="RNS"/>
    <x v="4"/>
    <n v="19690"/>
    <n v="1700"/>
    <n v="1150"/>
    <n v="750"/>
    <n v="1150"/>
    <n v="1250"/>
    <n v="1650"/>
    <n v="2200"/>
    <n v="3000"/>
    <n v="2050"/>
    <n v="2200"/>
    <n v="1700"/>
    <n v="890"/>
  </r>
  <r>
    <s v="GOTAADR06"/>
    <s v="GOTA"/>
    <s v="ADR"/>
    <x v="4"/>
    <n v="165.13407821229049"/>
    <n v="155.4"/>
    <n v="143.32"/>
    <n v="154.28"/>
    <n v="135.6"/>
    <n v="159.69999999999999"/>
    <n v="150.6"/>
    <n v="182.3"/>
    <n v="189.37"/>
    <n v="172.2"/>
    <n v="159.9"/>
    <n v="161.75"/>
    <n v="172.8"/>
  </r>
  <r>
    <s v="GOTAREV06"/>
    <s v="GOTA"/>
    <s v="REV"/>
    <x v="4"/>
    <n v="3251.49"/>
    <n v="264.18"/>
    <n v="164.81800000000001"/>
    <n v="115.71"/>
    <n v="155.94"/>
    <n v="199.625"/>
    <n v="248.49"/>
    <n v="401.06"/>
    <n v="568.11"/>
    <n v="353.01"/>
    <n v="351.78"/>
    <n v="274.97500000000002"/>
    <n v="153.792"/>
  </r>
  <r>
    <s v="IBRNS06"/>
    <s v="IB"/>
    <s v="RNS"/>
    <x v="4"/>
    <n v="2699"/>
    <n v="250"/>
    <n v="255"/>
    <n v="184"/>
    <n v="250"/>
    <n v="300"/>
    <n v="250"/>
    <n v="80"/>
    <n v="100"/>
    <n v="200"/>
    <n v="480"/>
    <n v="200"/>
    <n v="150"/>
  </r>
  <r>
    <s v="IBADR06"/>
    <s v="IB"/>
    <s v="ADR"/>
    <x v="4"/>
    <n v="80.509375424231209"/>
    <n v="89.5"/>
    <n v="78.17647058823529"/>
    <n v="72.173926739130437"/>
    <n v="62.800007000000008"/>
    <n v="68.44"/>
    <n v="76.8"/>
    <n v="83.15"/>
    <n v="101"/>
    <n v="78.22"/>
    <n v="90.56"/>
    <n v="91.5"/>
    <n v="80.72"/>
  </r>
  <r>
    <s v="IBREV06"/>
    <s v="IB"/>
    <s v="REV"/>
    <x v="4"/>
    <n v="217.29480427000001"/>
    <n v="22.375"/>
    <n v="19.934999999999999"/>
    <n v="13.28000252"/>
    <n v="15.700001750000002"/>
    <n v="20.532"/>
    <n v="19.2"/>
    <n v="6.6520000000000001"/>
    <n v="10.1"/>
    <n v="15.644"/>
    <n v="43.468800000000002"/>
    <n v="18.3"/>
    <n v="12.108000000000001"/>
  </r>
  <r>
    <s v="OTARNS07"/>
    <s v="OTA"/>
    <s v="RNS"/>
    <x v="5"/>
    <n v="14480"/>
    <n v="1470"/>
    <n v="1340"/>
    <n v="450"/>
    <n v="450"/>
    <n v="1120"/>
    <n v="1100"/>
    <n v="2050"/>
    <n v="2060"/>
    <n v="920"/>
    <n v="1090"/>
    <n v="630"/>
    <n v="1800"/>
  </r>
  <r>
    <s v="GOTARNS07"/>
    <s v="GOTA"/>
    <s v="RNS"/>
    <x v="5"/>
    <n v="9350"/>
    <n v="1530"/>
    <n v="1100"/>
    <n v="250"/>
    <n v="220"/>
    <n v="510"/>
    <n v="500"/>
    <n v="860"/>
    <n v="1010"/>
    <n v="710"/>
    <n v="640"/>
    <n v="310"/>
    <n v="1710"/>
  </r>
  <r>
    <s v="IBRNS07"/>
    <s v="IB"/>
    <s v="RNS"/>
    <x v="5"/>
    <n v="0"/>
    <n v="0"/>
    <n v="0"/>
    <n v="0"/>
    <n v="0"/>
    <n v="0"/>
    <n v="0"/>
    <n v="0"/>
    <n v="0"/>
    <n v="0"/>
    <n v="0"/>
    <n v="0"/>
    <n v="0"/>
  </r>
  <r>
    <s v="OTAREV07"/>
    <s v="OTA"/>
    <s v="REV"/>
    <x v="5"/>
    <n v="3856.8924946523025"/>
    <n v="446.05"/>
    <n v="347.97445962266755"/>
    <n v="118.6346022784866"/>
    <n v="94.5"/>
    <n v="259.15015301174634"/>
    <n v="236.5"/>
    <n v="520.82868674707845"/>
    <n v="611.93459299232347"/>
    <n v="231.22"/>
    <n v="366.74"/>
    <n v="133.4"/>
    <n v="489.96"/>
  </r>
  <r>
    <s v="GOTAREV07"/>
    <s v="GOTA"/>
    <s v="REV"/>
    <x v="5"/>
    <n v="2573.4253801289587"/>
    <n v="476.59"/>
    <n v="283.95852818801438"/>
    <n v="74.788502957186068"/>
    <n v="47.734179635654783"/>
    <n v="126.24628662040666"/>
    <n v="112"/>
    <n v="242.34199680138633"/>
    <n v="303.14352272727268"/>
    <n v="186.6"/>
    <n v="216.4"/>
    <n v="65.45"/>
    <n v="438.17236319903799"/>
  </r>
  <r>
    <s v="IBREV07"/>
    <s v="IB"/>
    <s v="REV"/>
    <x v="5"/>
    <n v="0"/>
    <m/>
    <m/>
    <m/>
    <m/>
    <m/>
    <m/>
    <m/>
    <m/>
    <m/>
    <m/>
    <m/>
    <m/>
  </r>
  <r>
    <s v="OTAADR07"/>
    <s v="OTA"/>
    <s v="ADR"/>
    <x v="5"/>
    <n v="266.35997891245182"/>
    <n v="303.43537414965988"/>
    <n v="259.68243255422954"/>
    <n v="263.63244950774799"/>
    <n v="210"/>
    <n v="231.38406518905921"/>
    <n v="215"/>
    <n v="254.0627740229651"/>
    <n v="297.05562766617641"/>
    <n v="251.32608695652175"/>
    <n v="336.45871559633025"/>
    <n v="211.74603174603175"/>
    <n v="272.2"/>
  </r>
  <r>
    <s v="GOTAADR07"/>
    <s v="GOTA"/>
    <s v="ADR"/>
    <x v="5"/>
    <n v="275.23266097635923"/>
    <n v="311.49673202614377"/>
    <n v="258.14411653455852"/>
    <n v="299.15401182874427"/>
    <n v="216.97354379843085"/>
    <n v="247.54173847138563"/>
    <n v="224"/>
    <n v="281.79301953649571"/>
    <n v="300.142101710171"/>
    <n v="262.81690140845069"/>
    <n v="338.125"/>
    <n v="211.12903225806451"/>
    <n v="256.24114806961285"/>
  </r>
  <r>
    <s v="IBADR07"/>
    <s v="IB"/>
    <s v="ADR"/>
    <x v="5"/>
    <m/>
    <m/>
    <m/>
    <m/>
    <m/>
    <m/>
    <m/>
    <m/>
    <m/>
    <m/>
    <m/>
    <m/>
    <m/>
  </r>
  <r>
    <s v="OTARNS08"/>
    <s v="OTA"/>
    <s v="RNS"/>
    <x v="6"/>
    <n v="8850"/>
    <n v="950"/>
    <n v="900"/>
    <n v="350"/>
    <n v="400"/>
    <n v="600"/>
    <n v="600"/>
    <n v="800"/>
    <n v="1150"/>
    <n v="650"/>
    <n v="700"/>
    <n v="750"/>
    <n v="1000"/>
  </r>
  <r>
    <s v="GOTARNS08"/>
    <s v="GOTA"/>
    <s v="RNS"/>
    <x v="6"/>
    <n v="6500"/>
    <n v="700"/>
    <n v="700"/>
    <n v="280"/>
    <n v="350"/>
    <n v="500"/>
    <n v="450"/>
    <n v="820"/>
    <n v="950"/>
    <n v="400"/>
    <n v="550"/>
    <n v="300"/>
    <n v="500"/>
  </r>
  <r>
    <s v="IBRNS08"/>
    <s v="IB"/>
    <s v="RNS"/>
    <x v="6"/>
    <n v="0"/>
    <n v="0"/>
    <n v="0"/>
    <n v="0"/>
    <n v="0"/>
    <n v="0"/>
    <n v="0"/>
    <n v="0"/>
    <n v="0"/>
    <n v="0"/>
    <n v="0"/>
    <n v="0"/>
    <n v="0"/>
  </r>
  <r>
    <s v="OTAREV08"/>
    <s v="OTA"/>
    <s v="REV"/>
    <x v="6"/>
    <n v="2894.42"/>
    <n v="311.60000000000002"/>
    <n v="283.77"/>
    <n v="116.9"/>
    <n v="106.8"/>
    <n v="193.8"/>
    <n v="169.2"/>
    <n v="301.60000000000002"/>
    <n v="424.35"/>
    <n v="234"/>
    <n v="249.9"/>
    <n v="202.5"/>
    <n v="300"/>
  </r>
  <r>
    <s v="GOTAREV08"/>
    <s v="GOTA"/>
    <s v="REV"/>
    <x v="6"/>
    <n v="2203.0525000000002"/>
    <n v="231.7"/>
    <n v="227.5"/>
    <n v="92.68"/>
    <n v="96.95"/>
    <n v="157.5"/>
    <n v="129.6"/>
    <n v="323.89999999999998"/>
    <n v="380"/>
    <n v="140"/>
    <n v="189.75"/>
    <n v="85.8"/>
    <n v="147.67250000000001"/>
  </r>
  <r>
    <s v="IBREV08"/>
    <s v="IB"/>
    <s v="REV"/>
    <x v="6"/>
    <m/>
    <m/>
    <m/>
    <m/>
    <m/>
    <m/>
    <m/>
    <m/>
    <m/>
    <m/>
    <m/>
    <m/>
    <m/>
  </r>
  <r>
    <s v="OTAADR08"/>
    <s v="OTA"/>
    <s v="ADR"/>
    <x v="6"/>
    <n v="327.05310734463279"/>
    <n v="328"/>
    <n v="315.3"/>
    <n v="334"/>
    <n v="267"/>
    <n v="323"/>
    <n v="282"/>
    <n v="377"/>
    <n v="369"/>
    <n v="360"/>
    <n v="357"/>
    <n v="270"/>
    <n v="300"/>
  </r>
  <r>
    <s v="GOTAADR08"/>
    <s v="GOTA"/>
    <s v="ADR"/>
    <x v="6"/>
    <n v="338.9311538461539"/>
    <n v="331"/>
    <n v="325"/>
    <n v="331"/>
    <n v="277"/>
    <n v="315"/>
    <n v="288"/>
    <n v="395"/>
    <n v="400"/>
    <n v="350"/>
    <n v="345"/>
    <n v="286"/>
    <n v="295.34500000000003"/>
  </r>
  <r>
    <s v="IBADR08"/>
    <s v="IB"/>
    <s v="ADR"/>
    <x v="6"/>
    <m/>
    <m/>
    <m/>
    <m/>
    <m/>
    <m/>
    <m/>
    <m/>
    <m/>
    <m/>
    <m/>
    <m/>
    <m/>
  </r>
  <r>
    <s v="OTARNS10"/>
    <s v="OTA"/>
    <s v="RNS"/>
    <x v="7"/>
    <n v="19270"/>
    <n v="1200"/>
    <n v="1350"/>
    <n v="750"/>
    <n v="1300"/>
    <n v="1800"/>
    <n v="2100"/>
    <n v="2420"/>
    <n v="2050"/>
    <n v="1650"/>
    <n v="1750"/>
    <n v="1400"/>
    <n v="1500"/>
  </r>
  <r>
    <s v="OTAADR10"/>
    <s v="OTA"/>
    <s v="ADR"/>
    <x v="7"/>
    <n v="216.20827711468604"/>
    <n v="211"/>
    <n v="201"/>
    <n v="223"/>
    <n v="185"/>
    <n v="212"/>
    <n v="205.4"/>
    <n v="238.4"/>
    <n v="264.39999999999998"/>
    <n v="194"/>
    <n v="235"/>
    <n v="193"/>
    <n v="200.39699999999999"/>
  </r>
  <r>
    <s v="OTAREV10"/>
    <s v="OTA"/>
    <s v="REV"/>
    <x v="7"/>
    <n v="4166.3334999999997"/>
    <n v="253.2"/>
    <n v="271.35000000000002"/>
    <n v="167.25"/>
    <n v="240.5"/>
    <n v="381.6"/>
    <n v="431.34"/>
    <n v="576.928"/>
    <n v="542.02"/>
    <n v="320.10000000000002"/>
    <n v="411.25"/>
    <n v="270.2"/>
    <n v="300.59550000000002"/>
  </r>
  <r>
    <s v="GOTARNS10"/>
    <s v="GOTA"/>
    <s v="RNS"/>
    <x v="7"/>
    <n v="13700"/>
    <n v="1150"/>
    <n v="1250"/>
    <n v="750"/>
    <n v="1000"/>
    <n v="1300"/>
    <n v="1100"/>
    <n v="1350"/>
    <n v="1200"/>
    <n v="1550"/>
    <n v="1050"/>
    <n v="900"/>
    <n v="1100"/>
  </r>
  <r>
    <s v="GOTAADR10"/>
    <s v="GOTA"/>
    <s v="ADR"/>
    <x v="7"/>
    <n v="187.57624087591242"/>
    <n v="182"/>
    <n v="183.4"/>
    <n v="172"/>
    <n v="164"/>
    <n v="187"/>
    <n v="185.4"/>
    <n v="214.4"/>
    <n v="225.3"/>
    <n v="182"/>
    <n v="185"/>
    <n v="175"/>
    <n v="179.595"/>
  </r>
  <r>
    <s v="GOTAREV10"/>
    <s v="GOTA"/>
    <s v="REV"/>
    <x v="7"/>
    <n v="2569.7945"/>
    <n v="209.3"/>
    <n v="229.25"/>
    <n v="129"/>
    <n v="164"/>
    <n v="243.1"/>
    <n v="203.94"/>
    <n v="289.44"/>
    <n v="270.36"/>
    <n v="282.10000000000002"/>
    <n v="194.25"/>
    <n v="157.5"/>
    <n v="197.55449999999999"/>
  </r>
  <r>
    <s v="IBRNS10"/>
    <s v="IB"/>
    <s v="RNS"/>
    <x v="7"/>
    <m/>
    <m/>
    <m/>
    <m/>
    <m/>
    <m/>
    <m/>
    <m/>
    <m/>
    <m/>
    <m/>
    <m/>
    <m/>
  </r>
  <r>
    <s v="IBADR10"/>
    <s v="IB"/>
    <s v="ADR"/>
    <x v="7"/>
    <s v=""/>
    <s v=""/>
    <s v=""/>
    <s v=""/>
    <s v=""/>
    <s v=""/>
    <s v=""/>
    <s v=""/>
    <s v=""/>
    <s v=""/>
    <s v=""/>
    <s v=""/>
    <s v=""/>
  </r>
  <r>
    <s v="IBREV10"/>
    <s v="IB"/>
    <s v="REV"/>
    <x v="7"/>
    <n v="0"/>
    <n v="0"/>
    <n v="0"/>
    <n v="0"/>
    <n v="0"/>
    <n v="0"/>
    <n v="0"/>
    <n v="0"/>
    <n v="0"/>
    <n v="0"/>
    <n v="0"/>
    <n v="0"/>
    <n v="0"/>
  </r>
  <r>
    <s v="OTARNS15"/>
    <s v="OTA"/>
    <s v="RNS"/>
    <x v="8"/>
    <n v="8600"/>
    <n v="350"/>
    <n v="450"/>
    <n v="400"/>
    <n v="650"/>
    <n v="700"/>
    <n v="900"/>
    <n v="1100"/>
    <n v="1200"/>
    <n v="900"/>
    <n v="900"/>
    <n v="550"/>
    <n v="500"/>
  </r>
  <r>
    <s v="OTAADR15"/>
    <s v="OTA"/>
    <s v="ADR"/>
    <x v="8"/>
    <n v="181.48488372093024"/>
    <n v="160"/>
    <n v="164"/>
    <n v="165"/>
    <n v="161"/>
    <n v="182.7"/>
    <n v="155"/>
    <n v="192"/>
    <n v="214"/>
    <n v="184"/>
    <n v="197.7"/>
    <n v="168"/>
    <n v="178"/>
  </r>
  <r>
    <s v="OTAREV15"/>
    <s v="OTA"/>
    <s v="REV"/>
    <x v="8"/>
    <n v="1560.77"/>
    <n v="56"/>
    <n v="73.8"/>
    <n v="66"/>
    <n v="104.65"/>
    <n v="127.88999999999999"/>
    <n v="139.5"/>
    <n v="211.2"/>
    <n v="256.8"/>
    <n v="165.6"/>
    <n v="177.93"/>
    <n v="92.4"/>
    <n v="89"/>
  </r>
  <r>
    <s v="GOTARNS15"/>
    <s v="GOTA"/>
    <s v="RNS"/>
    <x v="8"/>
    <n v="13160"/>
    <n v="500"/>
    <n v="600"/>
    <n v="480"/>
    <n v="850"/>
    <n v="850"/>
    <n v="1000"/>
    <n v="2200"/>
    <n v="2300"/>
    <n v="1550"/>
    <n v="1500"/>
    <n v="730"/>
    <n v="600"/>
  </r>
  <r>
    <s v="GOTAADR15"/>
    <s v="GOTA"/>
    <s v="ADR"/>
    <x v="8"/>
    <n v="182.59498480243161"/>
    <n v="152"/>
    <n v="163"/>
    <n v="149"/>
    <n v="147"/>
    <n v="184.8"/>
    <n v="152"/>
    <n v="197"/>
    <n v="210"/>
    <n v="177"/>
    <n v="200.5"/>
    <n v="170"/>
    <n v="180"/>
  </r>
  <r>
    <s v="GOTAREV15"/>
    <s v="GOTA"/>
    <s v="REV"/>
    <x v="8"/>
    <n v="2402.9499999999998"/>
    <n v="76"/>
    <n v="97.8"/>
    <n v="71.52"/>
    <n v="124.95"/>
    <n v="157.08000000000001"/>
    <n v="152"/>
    <n v="433.4"/>
    <n v="483"/>
    <n v="274.35000000000002"/>
    <n v="300.75"/>
    <n v="124.1"/>
    <n v="108"/>
  </r>
  <r>
    <s v="IBRNS15"/>
    <s v="IB"/>
    <s v="RNS"/>
    <x v="8"/>
    <n v="700"/>
    <n v="0"/>
    <n v="0"/>
    <n v="100"/>
    <n v="100"/>
    <n v="100"/>
    <n v="100"/>
    <n v="0"/>
    <n v="0"/>
    <n v="100"/>
    <n v="100"/>
    <n v="100"/>
    <n v="0"/>
  </r>
  <r>
    <s v="IBADR15"/>
    <s v="IB"/>
    <s v="ADR"/>
    <x v="8"/>
    <n v="63"/>
    <s v=""/>
    <s v=""/>
    <n v="63"/>
    <n v="63"/>
    <n v="63"/>
    <n v="63"/>
    <s v=""/>
    <s v=""/>
    <n v="63"/>
    <n v="63"/>
    <n v="63"/>
    <s v=""/>
  </r>
  <r>
    <s v="IBREV15"/>
    <s v="IB"/>
    <s v="REV"/>
    <x v="8"/>
    <n v="44.1"/>
    <n v="0"/>
    <n v="0"/>
    <n v="6.3"/>
    <n v="6.3"/>
    <n v="6.3"/>
    <n v="6.3"/>
    <n v="0"/>
    <n v="0"/>
    <n v="6.3"/>
    <n v="6.3"/>
    <n v="6.3"/>
    <n v="0"/>
  </r>
  <r>
    <s v="OTARNS16"/>
    <s v="OTA"/>
    <s v="RNS"/>
    <x v="9"/>
    <n v="19500"/>
    <n v="1700"/>
    <n v="1650"/>
    <n v="1100"/>
    <n v="1250"/>
    <n v="1300"/>
    <n v="1500"/>
    <n v="2200"/>
    <n v="2600"/>
    <n v="1500"/>
    <n v="1500"/>
    <n v="1400"/>
    <n v="1800"/>
  </r>
  <r>
    <s v="OTAADR16"/>
    <s v="OTA"/>
    <s v="ADR"/>
    <x v="9"/>
    <n v="179.1645117948718"/>
    <n v="161.4"/>
    <n v="155"/>
    <n v="180"/>
    <n v="158"/>
    <n v="178"/>
    <n v="165"/>
    <n v="199.4"/>
    <n v="222"/>
    <n v="179.5"/>
    <n v="181.05"/>
    <n v="161"/>
    <n v="170.59610000000004"/>
  </r>
  <r>
    <s v="OTAREV16"/>
    <s v="OTA"/>
    <s v="REV"/>
    <x v="9"/>
    <n v="3493.7079800000001"/>
    <n v="274.38"/>
    <n v="255.75"/>
    <n v="198"/>
    <n v="197.5"/>
    <n v="231.4"/>
    <n v="247.5"/>
    <n v="438.68"/>
    <n v="577.20000000000005"/>
    <n v="269.25"/>
    <n v="271.57499999999999"/>
    <n v="225.4"/>
    <n v="307.07298000000003"/>
  </r>
  <r>
    <s v="GOTARNS16"/>
    <s v="GOTA"/>
    <s v="RNS"/>
    <x v="9"/>
    <n v="14250"/>
    <n v="1500"/>
    <n v="1200"/>
    <n v="850"/>
    <n v="1200"/>
    <n v="1300"/>
    <n v="1200"/>
    <n v="1600"/>
    <n v="1450"/>
    <n v="1000"/>
    <n v="950"/>
    <n v="950"/>
    <n v="1050"/>
  </r>
  <r>
    <s v="GOTAADR16"/>
    <s v="GOTA"/>
    <s v="ADR"/>
    <x v="9"/>
    <n v="165.68771929824561"/>
    <n v="149.4"/>
    <n v="148"/>
    <n v="160"/>
    <n v="149"/>
    <n v="179"/>
    <n v="150"/>
    <n v="187"/>
    <n v="207"/>
    <n v="168"/>
    <n v="166"/>
    <n v="145"/>
    <n v="161"/>
  </r>
  <r>
    <s v="GOTAREV16"/>
    <s v="GOTA"/>
    <s v="REV"/>
    <x v="9"/>
    <n v="2361.0500000000002"/>
    <n v="224.1"/>
    <n v="177.6"/>
    <n v="136"/>
    <n v="178.8"/>
    <n v="232.7"/>
    <n v="180"/>
    <n v="299.2"/>
    <n v="300.14999999999998"/>
    <n v="168"/>
    <n v="157.69999999999999"/>
    <n v="137.75"/>
    <n v="169.05"/>
  </r>
  <r>
    <s v="IBRNS16"/>
    <s v="IB"/>
    <s v="RNS"/>
    <x v="9"/>
    <n v="200"/>
    <n v="0"/>
    <n v="0"/>
    <n v="0"/>
    <n v="50"/>
    <n v="0"/>
    <n v="0"/>
    <n v="0"/>
    <n v="0"/>
    <n v="0"/>
    <n v="50"/>
    <n v="100"/>
    <n v="0"/>
  </r>
  <r>
    <s v="IBADR16"/>
    <s v="IB"/>
    <s v="ADR"/>
    <x v="9"/>
    <n v="60"/>
    <s v=""/>
    <s v=""/>
    <s v=""/>
    <n v="0"/>
    <s v=""/>
    <s v=""/>
    <s v=""/>
    <s v=""/>
    <s v=""/>
    <n v="80"/>
    <n v="80"/>
    <s v=""/>
  </r>
  <r>
    <s v="IBREV16"/>
    <s v="IB"/>
    <s v="REV"/>
    <x v="9"/>
    <n v="12"/>
    <n v="0"/>
    <n v="0"/>
    <n v="0"/>
    <n v="0"/>
    <n v="0"/>
    <n v="0"/>
    <n v="0"/>
    <n v="0"/>
    <n v="0"/>
    <n v="4"/>
    <n v="8"/>
    <n v="0"/>
  </r>
  <r>
    <s v="OTARNS19"/>
    <s v="OTA"/>
    <s v="RNS"/>
    <x v="10"/>
    <n v="16100"/>
    <n v="1450"/>
    <n v="1500"/>
    <n v="550"/>
    <n v="870"/>
    <n v="1000"/>
    <n v="1300"/>
    <n v="2080"/>
    <n v="2400"/>
    <n v="950"/>
    <n v="1300"/>
    <n v="900"/>
    <n v="1800"/>
  </r>
  <r>
    <s v="OTAADR19"/>
    <s v="OTA"/>
    <s v="ADR"/>
    <x v="10"/>
    <n v="311.91595900621115"/>
    <n v="375"/>
    <n v="290"/>
    <n v="313"/>
    <n v="244.34599999999998"/>
    <n v="281"/>
    <n v="267"/>
    <n v="332.72399999999999"/>
    <n v="347"/>
    <n v="280"/>
    <n v="367"/>
    <n v="265"/>
    <n v="291"/>
  </r>
  <r>
    <s v="OTAREV19"/>
    <s v="OTA"/>
    <s v="REV"/>
    <x v="10"/>
    <n v="5021.8469399999994"/>
    <n v="543.75"/>
    <n v="435"/>
    <n v="172.15"/>
    <n v="212.58102"/>
    <n v="281"/>
    <n v="347.1"/>
    <n v="692.06591999999989"/>
    <n v="832.8"/>
    <n v="266"/>
    <n v="477.1"/>
    <n v="238.5"/>
    <n v="523.79999999999995"/>
  </r>
  <r>
    <s v="GOTARNS19"/>
    <s v="GOTA"/>
    <s v="RNS"/>
    <x v="10"/>
    <n v="11280"/>
    <n v="1300"/>
    <n v="1400"/>
    <n v="400"/>
    <n v="360"/>
    <n v="800"/>
    <n v="600"/>
    <n v="1420"/>
    <n v="1600"/>
    <n v="700"/>
    <n v="900"/>
    <n v="500"/>
    <n v="1300"/>
  </r>
  <r>
    <s v="GOTAADR19"/>
    <s v="GOTA"/>
    <s v="ADR"/>
    <x v="10"/>
    <n v="320.32367198581562"/>
    <n v="370"/>
    <n v="290"/>
    <n v="339"/>
    <n v="258.60599999999999"/>
    <n v="300"/>
    <n v="290"/>
    <n v="359.33300000000003"/>
    <n v="344"/>
    <n v="284"/>
    <n v="361"/>
    <n v="260"/>
    <n v="284"/>
  </r>
  <r>
    <s v="GOTAREV19"/>
    <s v="GOTA"/>
    <s v="REV"/>
    <x v="10"/>
    <n v="3613.2510200000002"/>
    <n v="481"/>
    <n v="406"/>
    <n v="135.6"/>
    <n v="93.098160000000007"/>
    <n v="240"/>
    <n v="174"/>
    <n v="510.25286000000006"/>
    <n v="550.4"/>
    <n v="198.8"/>
    <n v="324.89999999999998"/>
    <n v="130"/>
    <n v="369.2"/>
  </r>
  <r>
    <s v="IBRNS19"/>
    <s v="IB"/>
    <s v="RNS"/>
    <x v="10"/>
    <m/>
    <m/>
    <m/>
    <m/>
    <m/>
    <m/>
    <m/>
    <m/>
    <m/>
    <m/>
    <m/>
    <m/>
    <m/>
  </r>
  <r>
    <s v="IBADR19"/>
    <s v="IB"/>
    <s v="ADR"/>
    <x v="10"/>
    <s v=""/>
    <s v=""/>
    <s v=""/>
    <s v=""/>
    <s v=""/>
    <s v=""/>
    <s v=""/>
    <s v=""/>
    <s v=""/>
    <s v=""/>
    <s v=""/>
    <s v=""/>
    <s v=""/>
  </r>
  <r>
    <s v="IBREV19"/>
    <s v="IB"/>
    <s v="REV"/>
    <x v="10"/>
    <n v="0"/>
    <n v="0"/>
    <n v="0"/>
    <n v="0"/>
    <n v="0"/>
    <n v="0"/>
    <n v="0"/>
    <n v="0"/>
    <n v="0"/>
    <n v="0"/>
    <n v="0"/>
    <n v="0"/>
    <n v="0"/>
  </r>
  <r>
    <s v="OTARNS22"/>
    <s v="OTA"/>
    <s v="RNS"/>
    <x v="11"/>
    <n v="8580"/>
    <n v="800"/>
    <n v="850"/>
    <n v="700"/>
    <n v="650"/>
    <n v="600"/>
    <n v="600"/>
    <n v="550"/>
    <n v="750"/>
    <n v="500"/>
    <n v="800"/>
    <n v="880"/>
    <n v="900"/>
  </r>
  <r>
    <s v="OTAADR22"/>
    <s v="OTA"/>
    <s v="ADR"/>
    <x v="11"/>
    <n v="275.78729603729602"/>
    <n v="281"/>
    <n v="262.5"/>
    <n v="271"/>
    <n v="261"/>
    <n v="300"/>
    <n v="273"/>
    <n v="321"/>
    <n v="333"/>
    <n v="266"/>
    <n v="271.3"/>
    <n v="243"/>
    <n v="250"/>
  </r>
  <r>
    <s v="OTAREV22"/>
    <s v="OTA"/>
    <s v="REV"/>
    <x v="11"/>
    <n v="2366.2550000000001"/>
    <n v="224.8"/>
    <n v="223.125"/>
    <n v="189.7"/>
    <n v="169.65"/>
    <n v="180"/>
    <n v="163.80000000000001"/>
    <n v="176.55"/>
    <n v="249.75"/>
    <n v="133"/>
    <n v="217.04"/>
    <n v="213.84"/>
    <n v="225"/>
  </r>
  <r>
    <s v="GOTARNS22"/>
    <s v="GOTA"/>
    <s v="RNS"/>
    <x v="11"/>
    <n v="9900"/>
    <n v="900"/>
    <n v="850"/>
    <n v="750"/>
    <n v="900"/>
    <n v="700"/>
    <n v="600"/>
    <n v="800"/>
    <n v="1000"/>
    <n v="700"/>
    <n v="900"/>
    <n v="900"/>
    <n v="900"/>
  </r>
  <r>
    <s v="GOTAADR22"/>
    <s v="GOTA"/>
    <s v="ADR"/>
    <x v="11"/>
    <n v="268.45252525252528"/>
    <n v="267"/>
    <n v="240"/>
    <n v="243"/>
    <n v="243.5"/>
    <n v="295.39999999999998"/>
    <n v="266"/>
    <n v="323"/>
    <n v="333"/>
    <n v="256"/>
    <n v="262"/>
    <n v="242"/>
    <n v="246"/>
  </r>
  <r>
    <s v="GOTAREV22"/>
    <s v="GOTA"/>
    <s v="REV"/>
    <x v="11"/>
    <n v="2657.68"/>
    <n v="240.3"/>
    <n v="204"/>
    <n v="182.25"/>
    <n v="219.15"/>
    <n v="206.77999999999997"/>
    <n v="159.6"/>
    <n v="258.39999999999998"/>
    <n v="333"/>
    <n v="179.2"/>
    <n v="235.8"/>
    <n v="217.8"/>
    <n v="221.4"/>
  </r>
  <r>
    <s v="IBRNS22"/>
    <s v="IB"/>
    <s v="RNS"/>
    <x v="11"/>
    <n v="1200"/>
    <n v="0"/>
    <n v="0"/>
    <n v="200"/>
    <n v="200"/>
    <n v="150"/>
    <n v="150"/>
    <n v="0"/>
    <n v="0"/>
    <n v="190"/>
    <n v="150"/>
    <n v="160"/>
    <n v="0"/>
  </r>
  <r>
    <s v="IBADR22"/>
    <s v="IB"/>
    <s v="ADR"/>
    <x v="11"/>
    <n v="155.75"/>
    <s v=""/>
    <s v=""/>
    <n v="147"/>
    <n v="149"/>
    <n v="151"/>
    <n v="157"/>
    <s v=""/>
    <s v=""/>
    <n v="145"/>
    <n v="189"/>
    <n v="160"/>
    <s v=""/>
  </r>
  <r>
    <s v="IBREV22"/>
    <s v="IB"/>
    <s v="REV"/>
    <x v="11"/>
    <n v="186.9"/>
    <n v="0"/>
    <n v="0"/>
    <n v="29.4"/>
    <n v="29.8"/>
    <n v="22.65"/>
    <n v="23.55"/>
    <n v="0"/>
    <n v="0"/>
    <n v="27.55"/>
    <n v="28.35"/>
    <n v="25.6"/>
    <n v="0"/>
  </r>
  <r>
    <s v="OTARNS24"/>
    <s v="OTA"/>
    <s v="RNS"/>
    <x v="12"/>
    <n v="19700"/>
    <n v="1900"/>
    <n v="2000"/>
    <n v="1200"/>
    <n v="1500"/>
    <n v="1500"/>
    <n v="1700"/>
    <n v="2200"/>
    <n v="2400"/>
    <n v="1300"/>
    <n v="1300"/>
    <n v="1100"/>
    <n v="1600"/>
  </r>
  <r>
    <s v="OTAADR24"/>
    <s v="OTA"/>
    <s v="ADR"/>
    <x v="12"/>
    <n v="230.77055837563452"/>
    <n v="215"/>
    <n v="191"/>
    <n v="224.4"/>
    <n v="208"/>
    <n v="242"/>
    <n v="215"/>
    <n v="257"/>
    <n v="285"/>
    <n v="235"/>
    <n v="226"/>
    <n v="220"/>
    <n v="222"/>
  </r>
  <r>
    <s v="OTAREV24"/>
    <s v="OTA"/>
    <s v="REV"/>
    <x v="12"/>
    <n v="4546.18"/>
    <n v="408.5"/>
    <n v="382"/>
    <n v="269.27999999999997"/>
    <n v="312"/>
    <n v="363"/>
    <n v="365.5"/>
    <n v="565.4"/>
    <n v="684"/>
    <n v="305.5"/>
    <n v="293.8"/>
    <n v="242"/>
    <n v="355.2"/>
  </r>
  <r>
    <s v="GOTARNS24"/>
    <s v="GOTA"/>
    <s v="RNS"/>
    <x v="12"/>
    <n v="14700"/>
    <n v="1650"/>
    <n v="1400"/>
    <n v="750"/>
    <n v="1000"/>
    <n v="800"/>
    <n v="1600"/>
    <n v="1500"/>
    <n v="1750"/>
    <n v="1020"/>
    <n v="1330"/>
    <n v="900"/>
    <n v="1000"/>
  </r>
  <r>
    <s v="GOTAADR24"/>
    <s v="GOTA"/>
    <s v="ADR"/>
    <x v="12"/>
    <n v="222.61768707482995"/>
    <n v="212"/>
    <n v="189.75"/>
    <n v="202"/>
    <n v="206"/>
    <n v="228"/>
    <n v="203"/>
    <n v="248"/>
    <n v="279"/>
    <n v="234"/>
    <n v="218"/>
    <n v="211"/>
    <n v="213.56"/>
  </r>
  <r>
    <s v="GOTAREV24"/>
    <s v="GOTA"/>
    <s v="REV"/>
    <x v="12"/>
    <n v="3272.48"/>
    <n v="349.8"/>
    <n v="265.64999999999998"/>
    <n v="151.5"/>
    <n v="206"/>
    <n v="182.4"/>
    <n v="324.8"/>
    <n v="372"/>
    <n v="488.25"/>
    <n v="238.68"/>
    <n v="289.94"/>
    <n v="189.9"/>
    <n v="213.56"/>
  </r>
  <r>
    <s v="IBRNS24"/>
    <s v="IB"/>
    <s v="RNS"/>
    <x v="12"/>
    <m/>
    <m/>
    <m/>
    <m/>
    <m/>
    <m/>
    <m/>
    <m/>
    <m/>
    <m/>
    <m/>
    <m/>
    <m/>
  </r>
  <r>
    <s v="IBADR24"/>
    <s v="IB"/>
    <s v="ADR"/>
    <x v="12"/>
    <s v=""/>
    <s v=""/>
    <s v=""/>
    <s v=""/>
    <s v=""/>
    <s v=""/>
    <s v=""/>
    <s v=""/>
    <s v=""/>
    <s v=""/>
    <s v=""/>
    <s v=""/>
    <s v=""/>
  </r>
  <r>
    <s v="IBREV24"/>
    <s v="IB"/>
    <s v="REV"/>
    <x v="12"/>
    <n v="0"/>
    <n v="0"/>
    <n v="0"/>
    <n v="0"/>
    <n v="0"/>
    <n v="0"/>
    <n v="0"/>
    <n v="0"/>
    <n v="0"/>
    <n v="0"/>
    <n v="0"/>
    <n v="0"/>
    <n v="0"/>
  </r>
  <r>
    <s v="OTARNS25"/>
    <s v="OTA"/>
    <s v="RNS"/>
    <x v="13"/>
    <n v="11120"/>
    <n v="1300"/>
    <n v="1200"/>
    <n v="600"/>
    <n v="700"/>
    <n v="600"/>
    <n v="750"/>
    <n v="900"/>
    <n v="1100"/>
    <n v="950"/>
    <n v="1400"/>
    <n v="650"/>
    <n v="970"/>
  </r>
  <r>
    <s v="GOTARNS25"/>
    <s v="GOTA"/>
    <s v="RNS"/>
    <x v="13"/>
    <n v="6750"/>
    <n v="1000"/>
    <n v="650"/>
    <n v="400"/>
    <n v="300"/>
    <n v="300"/>
    <n v="350"/>
    <n v="700"/>
    <n v="600"/>
    <n v="700"/>
    <n v="500"/>
    <n v="550"/>
    <n v="700"/>
  </r>
  <r>
    <s v="IBRNS25"/>
    <s v="IB"/>
    <s v="RNS"/>
    <x v="13"/>
    <n v="0"/>
    <n v="0"/>
    <n v="0"/>
    <n v="0"/>
    <n v="0"/>
    <n v="0"/>
    <n v="0"/>
    <n v="0"/>
    <n v="0"/>
    <n v="0"/>
    <n v="0"/>
    <n v="0"/>
    <n v="0"/>
  </r>
  <r>
    <s v="OTAREV25"/>
    <s v="OTA"/>
    <s v="REV"/>
    <x v="13"/>
    <n v="2394.7560000000003"/>
    <n v="253.65600000000001"/>
    <n v="237.6"/>
    <n v="141"/>
    <n v="136.5"/>
    <n v="151.19999999999999"/>
    <n v="165"/>
    <n v="218.7"/>
    <n v="280.5"/>
    <n v="192.85"/>
    <n v="282.8"/>
    <n v="121.55"/>
    <n v="213.4"/>
  </r>
  <r>
    <s v="GOTAREV25"/>
    <s v="GOTA"/>
    <s v="REV"/>
    <x v="13"/>
    <n v="1355.6999999999998"/>
    <n v="185"/>
    <n v="122.2"/>
    <n v="84"/>
    <n v="54.9"/>
    <n v="69.599999999999994"/>
    <n v="72.099999999999994"/>
    <n v="156.1"/>
    <n v="148.80000000000001"/>
    <n v="127.4"/>
    <n v="97.5"/>
    <n v="94.6"/>
    <n v="143.5"/>
  </r>
  <r>
    <s v="IBREV25"/>
    <s v="IB"/>
    <s v="REV"/>
    <x v="13"/>
    <n v="0"/>
    <n v="0"/>
    <n v="0"/>
    <n v="0"/>
    <n v="0"/>
    <n v="0"/>
    <n v="0"/>
    <n v="0"/>
    <n v="0"/>
    <n v="0"/>
    <n v="0"/>
    <n v="0"/>
    <n v="0"/>
  </r>
  <r>
    <s v="OTAADR25"/>
    <s v="OTA"/>
    <s v="ADR"/>
    <x v="13"/>
    <n v="215.3557553956835"/>
    <n v="195.12"/>
    <n v="198"/>
    <n v="235"/>
    <n v="195"/>
    <n v="252"/>
    <n v="220"/>
    <n v="243"/>
    <n v="255"/>
    <n v="203"/>
    <n v="202"/>
    <n v="187"/>
    <n v="220"/>
  </r>
  <r>
    <s v="GOTAADR25"/>
    <s v="GOTA"/>
    <s v="ADR"/>
    <x v="13"/>
    <n v="200.84444444444441"/>
    <n v="185"/>
    <n v="188"/>
    <n v="210"/>
    <n v="183"/>
    <n v="232"/>
    <n v="206"/>
    <n v="223"/>
    <n v="248"/>
    <n v="182"/>
    <n v="195"/>
    <n v="172"/>
    <n v="205"/>
  </r>
  <r>
    <s v="IBADR25"/>
    <s v="IB"/>
    <s v="ADR"/>
    <x v="13"/>
    <m/>
    <m/>
    <m/>
    <m/>
    <m/>
    <m/>
    <m/>
    <m/>
    <m/>
    <m/>
    <m/>
    <m/>
    <m/>
  </r>
  <r>
    <s v="OTARNS27"/>
    <s v="OTA"/>
    <s v="RNS"/>
    <x v="14"/>
    <n v="13580"/>
    <n v="1500"/>
    <n v="1400"/>
    <n v="700"/>
    <n v="750"/>
    <n v="850"/>
    <n v="950"/>
    <n v="1150"/>
    <n v="1250"/>
    <n v="1250"/>
    <n v="1400"/>
    <n v="1300"/>
    <n v="1080"/>
  </r>
  <r>
    <s v="GOTARNS27"/>
    <s v="GOTA"/>
    <s v="RNS"/>
    <x v="14"/>
    <n v="11430"/>
    <n v="1300"/>
    <n v="1550"/>
    <n v="800"/>
    <n v="850"/>
    <n v="950"/>
    <n v="1050"/>
    <n v="1000"/>
    <n v="600"/>
    <n v="780"/>
    <n v="1000"/>
    <n v="900"/>
    <n v="650"/>
  </r>
  <r>
    <s v="IBRNS27"/>
    <s v="IB"/>
    <s v="RNS"/>
    <x v="14"/>
    <n v="0"/>
    <n v="0"/>
    <n v="0"/>
    <n v="0"/>
    <n v="0"/>
    <n v="0"/>
    <n v="0"/>
    <n v="0"/>
    <n v="0"/>
    <n v="0"/>
    <n v="0"/>
    <n v="0"/>
    <n v="0"/>
  </r>
  <r>
    <s v="OTAREV27"/>
    <s v="OTA"/>
    <s v="REV"/>
    <x v="14"/>
    <n v="5329.4000000000005"/>
    <n v="574.5"/>
    <n v="515.20000000000005"/>
    <n v="283.5"/>
    <n v="273.75"/>
    <n v="354.45"/>
    <n v="367.65"/>
    <n v="488.75"/>
    <n v="590"/>
    <n v="477.5"/>
    <n v="532"/>
    <n v="456.3"/>
    <n v="415.8"/>
  </r>
  <r>
    <s v="GOTAREV27"/>
    <s v="GOTA"/>
    <s v="REV"/>
    <x v="14"/>
    <n v="4144.0599999999995"/>
    <n v="448.5"/>
    <n v="567.29999999999995"/>
    <n v="308"/>
    <n v="306"/>
    <n v="358.15"/>
    <n v="370.65"/>
    <n v="415"/>
    <n v="279"/>
    <n v="258.95999999999998"/>
    <n v="310"/>
    <n v="301.5"/>
    <n v="221"/>
  </r>
  <r>
    <s v="IBREV27"/>
    <s v="IB"/>
    <s v="REV"/>
    <x v="14"/>
    <n v="0"/>
    <n v="0"/>
    <n v="0"/>
    <n v="0"/>
    <n v="0"/>
    <n v="0"/>
    <n v="0"/>
    <n v="0"/>
    <n v="0"/>
    <n v="0"/>
    <n v="0"/>
    <n v="0"/>
    <n v="0"/>
  </r>
  <r>
    <s v="OTAADR27"/>
    <s v="OTA"/>
    <s v="ADR"/>
    <x v="14"/>
    <n v="392.4447717231223"/>
    <n v="383"/>
    <n v="368.00000000000006"/>
    <n v="405"/>
    <n v="365"/>
    <n v="417"/>
    <n v="387"/>
    <n v="425"/>
    <n v="472"/>
    <n v="382"/>
    <n v="380"/>
    <n v="351"/>
    <n v="385"/>
  </r>
  <r>
    <s v="GOTAADR27"/>
    <s v="GOTA"/>
    <s v="ADR"/>
    <x v="14"/>
    <n v="362.55993000874889"/>
    <n v="345"/>
    <n v="366"/>
    <n v="385"/>
    <n v="360"/>
    <n v="377"/>
    <n v="353"/>
    <n v="415"/>
    <n v="465"/>
    <n v="331.99999999999994"/>
    <n v="310"/>
    <n v="335"/>
    <n v="340"/>
  </r>
  <r>
    <s v="IBADR27"/>
    <s v="IB"/>
    <s v="ADR"/>
    <x v="14"/>
    <m/>
    <m/>
    <m/>
    <m/>
    <m/>
    <m/>
    <m/>
    <m/>
    <m/>
    <m/>
    <m/>
    <m/>
    <m/>
  </r>
  <r>
    <s v="OTARNS29"/>
    <s v="OTA"/>
    <s v="RNS"/>
    <x v="15"/>
    <n v="16000"/>
    <n v="950"/>
    <n v="1100"/>
    <n v="1150"/>
    <n v="1800"/>
    <n v="1300"/>
    <n v="1100"/>
    <n v="1050"/>
    <n v="1700"/>
    <n v="1400"/>
    <n v="1450"/>
    <n v="1300"/>
    <n v="1700"/>
  </r>
  <r>
    <s v="OTAADR29"/>
    <s v="OTA"/>
    <s v="ADR"/>
    <x v="15"/>
    <n v="180.18023749999998"/>
    <n v="179.32499999999999"/>
    <n v="185"/>
    <n v="182"/>
    <n v="176"/>
    <n v="185"/>
    <n v="192.1"/>
    <n v="183.3"/>
    <n v="189.5"/>
    <n v="186"/>
    <n v="171"/>
    <n v="169"/>
    <n v="169.6765"/>
  </r>
  <r>
    <s v="OTAREV29"/>
    <s v="OTA"/>
    <s v="REV"/>
    <x v="15"/>
    <n v="2882.8837999999996"/>
    <n v="170.35874999999999"/>
    <n v="203.5"/>
    <n v="209.3"/>
    <n v="316.8"/>
    <n v="240.5"/>
    <n v="211.31"/>
    <n v="192.465"/>
    <n v="322.14999999999998"/>
    <n v="260.39999999999998"/>
    <n v="247.95"/>
    <n v="219.7"/>
    <n v="288.45004999999998"/>
  </r>
  <r>
    <s v="GOTARNS29"/>
    <s v="GOTA"/>
    <s v="RNS"/>
    <x v="15"/>
    <n v="30100"/>
    <n v="1150"/>
    <n v="1650"/>
    <n v="3000"/>
    <n v="3100"/>
    <n v="2300"/>
    <n v="3800"/>
    <n v="2700"/>
    <n v="2500"/>
    <n v="2800"/>
    <n v="2600"/>
    <n v="2200"/>
    <n v="2300"/>
  </r>
  <r>
    <s v="GOTAADR29"/>
    <s v="GOTA"/>
    <s v="ADR"/>
    <x v="15"/>
    <n v="180.90103986710963"/>
    <n v="179.45"/>
    <n v="198"/>
    <n v="175"/>
    <n v="176"/>
    <n v="187"/>
    <n v="190.50299999999999"/>
    <n v="183.21199999999999"/>
    <n v="188.5"/>
    <n v="184"/>
    <n v="168.5"/>
    <n v="170"/>
    <n v="171.4"/>
  </r>
  <r>
    <s v="GOTAREV29"/>
    <s v="GOTA"/>
    <s v="REV"/>
    <x v="15"/>
    <n v="5445.1212999999998"/>
    <n v="206.36750000000001"/>
    <n v="326.7"/>
    <n v="525"/>
    <n v="545.6"/>
    <n v="430.1"/>
    <n v="723.91139999999996"/>
    <n v="494.67239999999998"/>
    <n v="471.25"/>
    <n v="515.20000000000005"/>
    <n v="438.1"/>
    <n v="374"/>
    <n v="394.22"/>
  </r>
  <r>
    <s v="IBRNS29"/>
    <s v="IB"/>
    <s v="RNS"/>
    <x v="15"/>
    <n v="35400"/>
    <n v="2100"/>
    <n v="2500"/>
    <n v="2200"/>
    <n v="3500"/>
    <n v="3000"/>
    <n v="3500"/>
    <n v="3600"/>
    <n v="3000"/>
    <n v="3000"/>
    <n v="3500"/>
    <n v="3000"/>
    <n v="2500"/>
  </r>
  <r>
    <s v="IBADR29"/>
    <s v="IB"/>
    <s v="ADR"/>
    <x v="15"/>
    <n v="91"/>
    <n v="92"/>
    <n v="90"/>
    <n v="90"/>
    <n v="90"/>
    <n v="90"/>
    <n v="90"/>
    <n v="92"/>
    <n v="92"/>
    <n v="92"/>
    <n v="92"/>
    <n v="90"/>
    <n v="92"/>
  </r>
  <r>
    <s v="IBREV29"/>
    <s v="IB"/>
    <s v="REV"/>
    <x v="15"/>
    <n v="3221.4"/>
    <n v="193.2"/>
    <n v="225"/>
    <n v="198"/>
    <n v="315"/>
    <n v="270"/>
    <n v="315"/>
    <n v="331.2"/>
    <n v="276"/>
    <n v="276"/>
    <n v="322"/>
    <n v="270"/>
    <n v="230"/>
  </r>
  <r>
    <s v="OTARNS46"/>
    <s v="OTA"/>
    <s v="RNS"/>
    <x v="16"/>
    <n v="3040"/>
    <n v="320"/>
    <n v="300"/>
    <n v="140"/>
    <n v="130"/>
    <n v="170"/>
    <n v="230"/>
    <n v="300"/>
    <n v="310"/>
    <n v="250"/>
    <n v="340"/>
    <n v="250"/>
    <n v="300"/>
  </r>
  <r>
    <s v="GOTARNS46"/>
    <s v="GOTA"/>
    <s v="RNS"/>
    <x v="16"/>
    <n v="790"/>
    <n v="100"/>
    <n v="80"/>
    <n v="20"/>
    <n v="40"/>
    <n v="30"/>
    <n v="40"/>
    <n v="70"/>
    <n v="50"/>
    <n v="120"/>
    <n v="80"/>
    <n v="80"/>
    <n v="80"/>
  </r>
  <r>
    <s v="IBRNS46"/>
    <s v="IB"/>
    <s v="RNS"/>
    <x v="16"/>
    <n v="0"/>
    <n v="0"/>
    <n v="0"/>
    <n v="0"/>
    <n v="0"/>
    <n v="0"/>
    <n v="0"/>
    <n v="0"/>
    <n v="0"/>
    <n v="0"/>
    <n v="0"/>
    <n v="0"/>
    <n v="0"/>
  </r>
  <r>
    <s v="OTAREV46"/>
    <s v="OTA"/>
    <s v="REV"/>
    <x v="16"/>
    <n v="1038.58"/>
    <n v="106.24"/>
    <n v="96"/>
    <n v="50.68"/>
    <n v="42.51"/>
    <n v="63.75"/>
    <n v="75.67"/>
    <n v="109.8"/>
    <n v="123.38"/>
    <n v="85"/>
    <n v="113.9"/>
    <n v="76.25"/>
    <n v="95.4"/>
  </r>
  <r>
    <s v="GOTAREV46"/>
    <s v="GOTA"/>
    <s v="REV"/>
    <x v="16"/>
    <n v="243.733"/>
    <n v="27.7"/>
    <n v="24"/>
    <n v="5.74"/>
    <n v="11.08"/>
    <n v="8.4"/>
    <n v="11.714600000000001"/>
    <n v="27.3"/>
    <n v="17"/>
    <n v="38.4"/>
    <n v="25.6"/>
    <n v="21.76"/>
    <n v="25.038400000000003"/>
  </r>
  <r>
    <s v="IBREV46"/>
    <s v="IB"/>
    <s v="REV"/>
    <x v="16"/>
    <n v="0"/>
    <n v="0"/>
    <n v="0"/>
    <n v="0"/>
    <n v="0"/>
    <n v="0"/>
    <n v="0"/>
    <n v="0"/>
    <n v="0"/>
    <n v="0"/>
    <n v="0"/>
    <n v="0"/>
    <n v="0"/>
  </r>
  <r>
    <s v="OTAADR46"/>
    <s v="OTA"/>
    <s v="ADR"/>
    <x v="16"/>
    <n v="341.63815789473682"/>
    <n v="332"/>
    <n v="320"/>
    <n v="362"/>
    <n v="327"/>
    <n v="375"/>
    <n v="329"/>
    <n v="366"/>
    <n v="398"/>
    <n v="340"/>
    <n v="335"/>
    <n v="305"/>
    <n v="318"/>
  </r>
  <r>
    <s v="GOTAADR46"/>
    <s v="GOTA"/>
    <s v="ADR"/>
    <x v="16"/>
    <n v="308.52278481012661"/>
    <n v="277"/>
    <n v="300"/>
    <n v="287"/>
    <n v="277"/>
    <n v="280"/>
    <n v="292.86500000000001"/>
    <n v="390"/>
    <n v="340"/>
    <n v="320"/>
    <n v="320"/>
    <n v="272"/>
    <n v="312.98"/>
  </r>
  <r>
    <s v="IBADR46"/>
    <s v="IB"/>
    <s v="ADR"/>
    <x v="16"/>
    <m/>
    <m/>
    <m/>
    <m/>
    <m/>
    <m/>
    <m/>
    <m/>
    <m/>
    <m/>
    <m/>
    <m/>
    <m/>
  </r>
  <r>
    <s v="OTARNS50"/>
    <s v="OTA"/>
    <s v="RNS"/>
    <x v="17"/>
    <n v="8150"/>
    <n v="700"/>
    <n v="600"/>
    <n v="280"/>
    <n v="520"/>
    <n v="750"/>
    <n v="900"/>
    <n v="800"/>
    <n v="1150"/>
    <n v="600"/>
    <n v="600"/>
    <n v="500"/>
    <n v="750"/>
  </r>
  <r>
    <s v="OTAADR50"/>
    <s v="OTA"/>
    <s v="ADR"/>
    <x v="17"/>
    <n v="353.31656441717797"/>
    <n v="425"/>
    <n v="368.4"/>
    <n v="358"/>
    <n v="285"/>
    <n v="317"/>
    <n v="301"/>
    <n v="377"/>
    <n v="392"/>
    <n v="340"/>
    <n v="385"/>
    <n v="305"/>
    <n v="352"/>
  </r>
  <r>
    <s v="OTAREV50"/>
    <s v="OTA"/>
    <s v="REV"/>
    <x v="17"/>
    <n v="2879.53"/>
    <n v="297.5"/>
    <n v="221.04"/>
    <n v="100.24"/>
    <n v="148.19999999999999"/>
    <n v="237.75"/>
    <n v="270.89999999999998"/>
    <n v="301.60000000000002"/>
    <n v="450.8"/>
    <n v="204"/>
    <n v="231"/>
    <n v="152.5"/>
    <n v="264"/>
  </r>
  <r>
    <s v="GOTARNS50"/>
    <s v="GOTA"/>
    <s v="RNS"/>
    <x v="17"/>
    <n v="5300"/>
    <n v="550"/>
    <n v="500"/>
    <n v="200"/>
    <n v="380"/>
    <n v="400"/>
    <n v="300"/>
    <n v="600"/>
    <n v="700"/>
    <n v="420"/>
    <n v="400"/>
    <n v="300"/>
    <n v="550"/>
  </r>
  <r>
    <s v="GOTAADR50"/>
    <s v="GOTA"/>
    <s v="ADR"/>
    <x v="17"/>
    <n v="356.50188679245281"/>
    <n v="423"/>
    <n v="377"/>
    <n v="380"/>
    <n v="303"/>
    <n v="325"/>
    <n v="322"/>
    <n v="391"/>
    <n v="380"/>
    <n v="336"/>
    <n v="345"/>
    <n v="285"/>
    <n v="337"/>
  </r>
  <r>
    <s v="GOTAREV50"/>
    <s v="GOTA"/>
    <s v="REV"/>
    <x v="17"/>
    <n v="1889.46"/>
    <n v="232.65"/>
    <n v="188.5"/>
    <n v="76"/>
    <n v="115.14"/>
    <n v="130"/>
    <n v="96.6"/>
    <n v="234.6"/>
    <n v="266"/>
    <n v="141.12"/>
    <n v="138"/>
    <n v="85.5"/>
    <n v="185.35"/>
  </r>
  <r>
    <s v="IBRNS50"/>
    <s v="IB"/>
    <s v="RNS"/>
    <x v="17"/>
    <m/>
    <m/>
    <m/>
    <m/>
    <m/>
    <m/>
    <m/>
    <m/>
    <m/>
    <m/>
    <m/>
    <m/>
    <m/>
  </r>
  <r>
    <s v="IBADR50"/>
    <s v="IB"/>
    <s v="ADR"/>
    <x v="17"/>
    <s v=""/>
    <s v=""/>
    <s v=""/>
    <s v=""/>
    <s v=""/>
    <s v=""/>
    <s v=""/>
    <s v=""/>
    <s v=""/>
    <s v=""/>
    <s v=""/>
    <s v=""/>
    <s v=""/>
  </r>
  <r>
    <s v="IBREV50"/>
    <s v="IB"/>
    <s v="REV"/>
    <x v="17"/>
    <n v="0"/>
    <n v="0"/>
    <n v="0"/>
    <n v="0"/>
    <n v="0"/>
    <n v="0"/>
    <n v="0"/>
    <n v="0"/>
    <n v="0"/>
    <n v="0"/>
    <n v="0"/>
    <n v="0"/>
    <n v="0"/>
  </r>
  <r>
    <s v="OTARNS58"/>
    <s v="OTA"/>
    <s v="RNS"/>
    <x v="18"/>
    <n v="8000"/>
    <n v="660"/>
    <n v="600"/>
    <n v="600"/>
    <n v="500"/>
    <n v="500"/>
    <n v="700"/>
    <n v="850"/>
    <n v="800"/>
    <n v="700"/>
    <n v="810"/>
    <n v="740"/>
    <n v="540"/>
  </r>
  <r>
    <s v="OTAADR58"/>
    <s v="OTA"/>
    <s v="ADR"/>
    <x v="18"/>
    <n v="101.98875"/>
    <n v="85"/>
    <n v="83"/>
    <n v="89.5"/>
    <n v="85"/>
    <n v="113"/>
    <n v="107"/>
    <n v="122"/>
    <n v="133"/>
    <n v="96"/>
    <n v="105"/>
    <n v="90"/>
    <n v="99"/>
  </r>
  <r>
    <s v="OTAREV58"/>
    <s v="OTA"/>
    <s v="REV"/>
    <x v="18"/>
    <n v="815.91"/>
    <n v="56.1"/>
    <n v="49.8"/>
    <n v="53.7"/>
    <n v="42.5"/>
    <n v="56.5"/>
    <n v="74.900000000000006"/>
    <n v="103.7"/>
    <n v="106.4"/>
    <n v="67.2"/>
    <n v="85.05"/>
    <n v="66.599999999999994"/>
    <n v="53.46"/>
  </r>
  <r>
    <s v="GOTARNS58"/>
    <s v="GOTA"/>
    <s v="RNS"/>
    <x v="18"/>
    <n v="13200"/>
    <n v="1000"/>
    <n v="1100"/>
    <n v="1000"/>
    <n v="1000"/>
    <n v="1100"/>
    <n v="1000"/>
    <n v="1200"/>
    <n v="1500"/>
    <n v="1100"/>
    <n v="1000"/>
    <n v="1200"/>
    <n v="1000"/>
  </r>
  <r>
    <s v="GOTAADR58"/>
    <s v="GOTA"/>
    <s v="ADR"/>
    <x v="18"/>
    <n v="98.9"/>
    <n v="83"/>
    <n v="82"/>
    <n v="84"/>
    <n v="81"/>
    <n v="97"/>
    <n v="100"/>
    <n v="126"/>
    <n v="133"/>
    <n v="93"/>
    <n v="102"/>
    <n v="90.4"/>
    <n v="97.1"/>
  </r>
  <r>
    <s v="GOTAREV58"/>
    <s v="GOTA"/>
    <s v="REV"/>
    <x v="18"/>
    <n v="1305.48"/>
    <n v="83"/>
    <n v="90.2"/>
    <n v="84"/>
    <n v="81"/>
    <n v="106.7"/>
    <n v="100"/>
    <n v="151.19999999999999"/>
    <n v="199.5"/>
    <n v="102.3"/>
    <n v="102"/>
    <n v="108.48"/>
    <n v="97.1"/>
  </r>
  <r>
    <s v="IBRNS58"/>
    <s v="IB"/>
    <s v="RNS"/>
    <x v="18"/>
    <n v="8600"/>
    <n v="500"/>
    <n v="450"/>
    <n v="800"/>
    <n v="1000"/>
    <n v="700"/>
    <n v="800"/>
    <n v="600"/>
    <n v="700"/>
    <n v="800"/>
    <n v="800"/>
    <n v="800"/>
    <n v="650"/>
  </r>
  <r>
    <s v="IBADR58"/>
    <s v="IB"/>
    <s v="ADR"/>
    <x v="18"/>
    <n v="68.058139534883722"/>
    <n v="55"/>
    <n v="80"/>
    <n v="55"/>
    <n v="55.6"/>
    <n v="60"/>
    <n v="61"/>
    <n v="79"/>
    <n v="87"/>
    <n v="70"/>
    <n v="77"/>
    <n v="75"/>
    <n v="70"/>
  </r>
  <r>
    <s v="IBREV58"/>
    <s v="IB"/>
    <s v="REV"/>
    <x v="18"/>
    <n v="585.29999999999995"/>
    <n v="27.5"/>
    <n v="36"/>
    <n v="44"/>
    <n v="55.6"/>
    <n v="42"/>
    <n v="48.8"/>
    <n v="47.4"/>
    <n v="60.9"/>
    <n v="56"/>
    <n v="61.6"/>
    <n v="60"/>
    <n v="45.5"/>
  </r>
  <r>
    <s v="OTARNS61"/>
    <s v="OTA"/>
    <s v="RNS"/>
    <x v="19"/>
    <n v="37800"/>
    <n v="2900"/>
    <n v="3100"/>
    <n v="2100"/>
    <n v="2800"/>
    <n v="3300"/>
    <n v="3800"/>
    <n v="3500"/>
    <n v="3000"/>
    <n v="3600"/>
    <n v="3500"/>
    <n v="2700"/>
    <n v="3500"/>
  </r>
  <r>
    <s v="OTAADR61"/>
    <s v="OTA"/>
    <s v="ADR"/>
    <x v="19"/>
    <n v="225.2890529100529"/>
    <n v="217"/>
    <n v="210"/>
    <n v="225"/>
    <n v="200"/>
    <n v="232"/>
    <n v="217.84899999999999"/>
    <n v="250"/>
    <n v="282"/>
    <n v="222"/>
    <n v="225"/>
    <n v="210"/>
    <n v="210"/>
  </r>
  <r>
    <s v="OTAREV61"/>
    <s v="OTA"/>
    <s v="REV"/>
    <x v="19"/>
    <n v="8515.9261999999999"/>
    <n v="629.29999999999995"/>
    <n v="651"/>
    <n v="472.5"/>
    <n v="560"/>
    <n v="765.6"/>
    <n v="827.82619999999997"/>
    <n v="875"/>
    <n v="846"/>
    <n v="799.2"/>
    <n v="787.5"/>
    <n v="567"/>
    <n v="735"/>
  </r>
  <r>
    <s v="GOTARNS61"/>
    <s v="GOTA"/>
    <s v="RNS"/>
    <x v="19"/>
    <n v="23500"/>
    <n v="1700"/>
    <n v="2100"/>
    <n v="1100"/>
    <n v="1600"/>
    <n v="2100"/>
    <n v="3300"/>
    <n v="2900"/>
    <n v="1400"/>
    <n v="2400"/>
    <n v="1600"/>
    <n v="1800"/>
    <n v="1500"/>
  </r>
  <r>
    <s v="GOTAADR61"/>
    <s v="GOTA"/>
    <s v="ADR"/>
    <x v="19"/>
    <n v="212.37324255319149"/>
    <n v="190"/>
    <n v="212"/>
    <n v="210"/>
    <n v="195"/>
    <n v="212"/>
    <n v="202"/>
    <n v="238"/>
    <n v="280"/>
    <n v="215"/>
    <n v="206.982"/>
    <n v="188"/>
    <n v="200"/>
  </r>
  <r>
    <s v="GOTAREV61"/>
    <s v="GOTA"/>
    <s v="REV"/>
    <x v="19"/>
    <n v="4990.7712000000001"/>
    <n v="323"/>
    <n v="445.2"/>
    <n v="231"/>
    <n v="312"/>
    <n v="445.2"/>
    <n v="666.6"/>
    <n v="690.2"/>
    <n v="392"/>
    <n v="516"/>
    <n v="331.1712"/>
    <n v="338.4"/>
    <n v="300"/>
  </r>
  <r>
    <s v="IBRNS61"/>
    <s v="IB"/>
    <s v="RNS"/>
    <x v="19"/>
    <m/>
    <m/>
    <m/>
    <m/>
    <m/>
    <m/>
    <m/>
    <m/>
    <m/>
    <m/>
    <m/>
    <m/>
    <m/>
  </r>
  <r>
    <s v="IBADR61"/>
    <s v="IB"/>
    <s v="ADR"/>
    <x v="19"/>
    <s v=""/>
    <s v=""/>
    <s v=""/>
    <s v=""/>
    <s v=""/>
    <s v=""/>
    <s v=""/>
    <s v=""/>
    <s v=""/>
    <s v=""/>
    <s v=""/>
    <s v=""/>
    <s v=""/>
  </r>
  <r>
    <s v="IBREV61"/>
    <s v="IB"/>
    <s v="REV"/>
    <x v="19"/>
    <n v="0"/>
    <n v="0"/>
    <n v="0"/>
    <n v="0"/>
    <n v="0"/>
    <n v="0"/>
    <n v="0"/>
    <n v="0"/>
    <n v="0"/>
    <n v="0"/>
    <n v="0"/>
    <n v="0"/>
    <n v="0"/>
  </r>
  <r>
    <s v="OTARNS66"/>
    <s v="OTA"/>
    <s v="RNS"/>
    <x v="20"/>
    <n v="14460"/>
    <n v="1605"/>
    <n v="1590"/>
    <n v="860"/>
    <n v="605"/>
    <n v="815"/>
    <n v="1070"/>
    <n v="1165"/>
    <n v="1175"/>
    <n v="985"/>
    <n v="1320"/>
    <n v="1645"/>
    <n v="1625"/>
  </r>
  <r>
    <s v="OTAADR66"/>
    <s v="OTA"/>
    <s v="ADR"/>
    <x v="20"/>
    <n v="172.38769017980636"/>
    <n v="175.74143302180684"/>
    <n v="173.36603773584906"/>
    <n v="163.04651162790697"/>
    <n v="148.47107438016528"/>
    <n v="157.68711656441718"/>
    <n v="155.3177570093458"/>
    <n v="180.04721030042919"/>
    <n v="201.97872340425531"/>
    <n v="167.04974619289339"/>
    <n v="194.89393939393941"/>
    <n v="173.28267477203647"/>
    <n v="157.73846153846154"/>
  </r>
  <r>
    <s v="OTAREV66"/>
    <s v="OTA"/>
    <s v="REV"/>
    <x v="20"/>
    <n v="2492.7260000000001"/>
    <n v="282.065"/>
    <n v="275.65199999999999"/>
    <n v="140.22"/>
    <n v="89.825000000000003"/>
    <n v="128.51499999999999"/>
    <n v="166.19"/>
    <n v="209.755"/>
    <n v="237.32499999999999"/>
    <n v="164.54400000000001"/>
    <n v="257.26"/>
    <n v="285.05"/>
    <n v="256.32499999999999"/>
  </r>
  <r>
    <s v="GOTARNS66"/>
    <s v="GOTA"/>
    <s v="RNS"/>
    <x v="20"/>
    <n v="8350"/>
    <n v="1150"/>
    <n v="1000"/>
    <n v="450"/>
    <n v="450"/>
    <n v="470"/>
    <n v="400"/>
    <n v="600"/>
    <n v="730"/>
    <n v="600"/>
    <n v="900"/>
    <n v="700"/>
    <n v="900"/>
  </r>
  <r>
    <s v="GOTAADR66"/>
    <s v="GOTA"/>
    <s v="ADR"/>
    <x v="20"/>
    <n v="164.26011976047903"/>
    <n v="174"/>
    <n v="170"/>
    <n v="153"/>
    <n v="138"/>
    <n v="148.6"/>
    <n v="150"/>
    <n v="186"/>
    <n v="198"/>
    <n v="154.4"/>
    <n v="181"/>
    <n v="142"/>
    <n v="144"/>
  </r>
  <r>
    <s v="GOTAREV66"/>
    <s v="GOTA"/>
    <s v="REV"/>
    <x v="20"/>
    <n v="1371.5719999999999"/>
    <n v="200.1"/>
    <n v="170"/>
    <n v="68.849999999999994"/>
    <n v="62.1"/>
    <n v="69.841999999999999"/>
    <n v="60"/>
    <n v="111.6"/>
    <n v="144.54"/>
    <n v="92.64"/>
    <n v="162.9"/>
    <n v="99.4"/>
    <n v="129.6"/>
  </r>
  <r>
    <s v="IBRNS66"/>
    <s v="IB"/>
    <s v="RNS"/>
    <x v="20"/>
    <n v="110"/>
    <n v="0"/>
    <n v="0"/>
    <n v="0"/>
    <n v="0"/>
    <n v="10"/>
    <n v="15"/>
    <n v="20"/>
    <n v="20"/>
    <n v="0"/>
    <n v="45"/>
    <n v="0"/>
    <n v="0"/>
  </r>
  <r>
    <s v="IBADR66"/>
    <s v="IB"/>
    <s v="ADR"/>
    <x v="20"/>
    <n v="186.36363636363637"/>
    <s v=""/>
    <s v=""/>
    <s v=""/>
    <s v=""/>
    <n v="130"/>
    <n v="221"/>
    <n v="222"/>
    <n v="237"/>
    <s v=""/>
    <n v="149"/>
    <s v=""/>
    <s v=""/>
  </r>
  <r>
    <s v="IBREV66"/>
    <s v="IB"/>
    <s v="REV"/>
    <x v="20"/>
    <n v="20.5"/>
    <n v="0"/>
    <n v="0"/>
    <n v="0"/>
    <n v="0"/>
    <n v="1.3"/>
    <n v="3.3149999999999999"/>
    <n v="4.4400000000000004"/>
    <n v="4.74"/>
    <n v="0"/>
    <n v="6.7050000000000001"/>
    <n v="0"/>
    <n v="0"/>
  </r>
  <r>
    <s v="OTARNS70"/>
    <s v="OTA"/>
    <s v="RNS"/>
    <x v="21"/>
    <n v="45420"/>
    <n v="4750"/>
    <n v="4250"/>
    <n v="2240"/>
    <n v="2330"/>
    <n v="2620"/>
    <n v="3230"/>
    <n v="4350"/>
    <n v="5610"/>
    <n v="3750"/>
    <n v="5140"/>
    <n v="3300"/>
    <n v="3850"/>
  </r>
  <r>
    <s v="OTAADR70"/>
    <s v="OTA"/>
    <s v="ADR"/>
    <x v="21"/>
    <n v="264.51637164244823"/>
    <n v="249.90442105263159"/>
    <n v="252.12941176470588"/>
    <n v="278.20428571428573"/>
    <n v="245.8197424892704"/>
    <n v="291.37404580152673"/>
    <n v="255.95046439628484"/>
    <n v="279.82758620689657"/>
    <n v="287.59001782531192"/>
    <n v="269.02666666666664"/>
    <n v="252.66536964980546"/>
    <n v="255.87878787878788"/>
    <n v="256.38961038961037"/>
  </r>
  <r>
    <s v="OTAREV70"/>
    <s v="OTA"/>
    <s v="REV"/>
    <x v="21"/>
    <n v="12014.3336"/>
    <n v="1187.046"/>
    <n v="1071.55"/>
    <n v="623.17759999999998"/>
    <n v="572.76"/>
    <n v="763.4"/>
    <n v="826.72"/>
    <n v="1217.25"/>
    <n v="1613.38"/>
    <n v="1008.85"/>
    <n v="1298.7"/>
    <n v="844.4"/>
    <n v="987.1"/>
  </r>
  <r>
    <s v="GOTARNS70"/>
    <s v="GOTA"/>
    <s v="RNS"/>
    <x v="21"/>
    <n v="34420"/>
    <n v="4100"/>
    <n v="3730"/>
    <n v="1870"/>
    <n v="1990"/>
    <n v="2380"/>
    <n v="2640"/>
    <n v="3670"/>
    <n v="3700"/>
    <n v="2900"/>
    <n v="2580"/>
    <n v="2230"/>
    <n v="2630"/>
  </r>
  <r>
    <s v="GOTAADR70"/>
    <s v="GOTA"/>
    <s v="ADR"/>
    <x v="21"/>
    <n v="242.98016153399186"/>
    <n v="222.75223414634144"/>
    <n v="253.48525469168902"/>
    <n v="267.61497326203209"/>
    <n v="246.02010050251258"/>
    <n v="265.52521008403363"/>
    <n v="241.23659090909089"/>
    <n v="260.38147138964575"/>
    <n v="250"/>
    <n v="224.91724137931035"/>
    <n v="232.59689922480621"/>
    <n v="238.23318385650225"/>
    <n v="221.11726235741446"/>
  </r>
  <r>
    <s v="GOTAREV70"/>
    <s v="GOTA"/>
    <s v="REV"/>
    <x v="21"/>
    <n v="8363.37716"/>
    <n v="913.28415999999993"/>
    <n v="945.5"/>
    <n v="500.44"/>
    <n v="489.58"/>
    <n v="631.95000000000005"/>
    <n v="636.8646"/>
    <n v="955.6"/>
    <n v="925"/>
    <n v="652.26"/>
    <n v="600.1"/>
    <n v="531.26"/>
    <n v="581.53840000000002"/>
  </r>
  <r>
    <s v="IBRNS70"/>
    <s v="IB"/>
    <s v="RNS"/>
    <x v="21"/>
    <n v="890"/>
    <n v="20"/>
    <n v="50"/>
    <n v="100"/>
    <n v="100"/>
    <n v="50"/>
    <n v="50"/>
    <n v="50"/>
    <n v="20"/>
    <n v="50"/>
    <n v="200"/>
    <n v="100"/>
    <n v="100"/>
  </r>
  <r>
    <s v="IBADR70"/>
    <s v="IB"/>
    <s v="ADR"/>
    <x v="21"/>
    <n v="85.551123595505615"/>
    <n v="90"/>
    <n v="75"/>
    <n v="75"/>
    <n v="70"/>
    <n v="85"/>
    <n v="80"/>
    <n v="85"/>
    <n v="117"/>
    <n v="95"/>
    <n v="95"/>
    <n v="88"/>
    <n v="87.004999999999995"/>
  </r>
  <r>
    <s v="IBREV70"/>
    <s v="IB"/>
    <s v="REV"/>
    <x v="21"/>
    <n v="76.140500000000003"/>
    <n v="1.8"/>
    <n v="3.75"/>
    <n v="7.5"/>
    <n v="7"/>
    <n v="4.25"/>
    <n v="4"/>
    <n v="4.25"/>
    <n v="2.34"/>
    <n v="4.75"/>
    <n v="19"/>
    <n v="8.8000000000000007"/>
    <n v="8.7004999999999999"/>
  </r>
  <r>
    <s v="OTARNS73"/>
    <s v="OTA"/>
    <s v="RNS"/>
    <x v="22"/>
    <n v="27100"/>
    <n v="3450"/>
    <n v="3450"/>
    <n v="1350"/>
    <n v="1650"/>
    <n v="1700"/>
    <n v="1950"/>
    <n v="2750"/>
    <n v="3450"/>
    <n v="1650"/>
    <n v="2250"/>
    <n v="1400"/>
    <n v="2050"/>
  </r>
  <r>
    <s v="OTAADR73"/>
    <s v="OTA"/>
    <s v="ADR"/>
    <x v="22"/>
    <n v="176.97232472324723"/>
    <n v="156.82608695652175"/>
    <n v="157.78260869565219"/>
    <n v="167"/>
    <n v="163.06060606060606"/>
    <n v="185.55882352941177"/>
    <n v="166.66666666666666"/>
    <n v="199.45454545454547"/>
    <n v="208.47826086956522"/>
    <n v="187.45454545454547"/>
    <n v="179.6"/>
    <n v="176.17857142857142"/>
    <n v="169.65853658536585"/>
  </r>
  <r>
    <s v="OTAREV73"/>
    <s v="OTA"/>
    <s v="REV"/>
    <x v="22"/>
    <n v="4795.95"/>
    <n v="541.04999999999995"/>
    <n v="544.35"/>
    <n v="225.45"/>
    <n v="269.05"/>
    <n v="315.45"/>
    <n v="325"/>
    <n v="548.5"/>
    <n v="719.25"/>
    <n v="309.3"/>
    <n v="404.1"/>
    <n v="246.65"/>
    <n v="347.8"/>
  </r>
  <r>
    <s v="GOTARNS73"/>
    <s v="GOTA"/>
    <s v="RNS"/>
    <x v="22"/>
    <n v="12350"/>
    <n v="1700"/>
    <n v="1300"/>
    <n v="550"/>
    <n v="450"/>
    <n v="600"/>
    <n v="900"/>
    <n v="1400"/>
    <n v="1500"/>
    <n v="950"/>
    <n v="1100"/>
    <n v="750"/>
    <n v="1150"/>
  </r>
  <r>
    <s v="GOTAADR73"/>
    <s v="GOTA"/>
    <s v="ADR"/>
    <x v="22"/>
    <n v="176.09063967611334"/>
    <n v="166.32647058823528"/>
    <n v="159.61538461538461"/>
    <n v="165.72727272727272"/>
    <n v="160.24444444444444"/>
    <n v="182.5"/>
    <n v="164.3"/>
    <n v="197.85714285714286"/>
    <n v="204"/>
    <n v="187.15789473684211"/>
    <n v="173.72727272727272"/>
    <n v="167.97919999999999"/>
    <n v="161.69565217391303"/>
  </r>
  <r>
    <s v="GOTAREV73"/>
    <s v="GOTA"/>
    <s v="REV"/>
    <x v="22"/>
    <n v="2174.7194"/>
    <n v="282.755"/>
    <n v="207.5"/>
    <n v="91.15"/>
    <n v="72.11"/>
    <n v="109.5"/>
    <n v="147.87"/>
    <n v="277"/>
    <n v="306"/>
    <n v="177.8"/>
    <n v="191.1"/>
    <n v="125.98439999999999"/>
    <n v="185.95"/>
  </r>
  <r>
    <s v="IBRNS73"/>
    <s v="IB"/>
    <s v="RNS"/>
    <x v="22"/>
    <n v="350"/>
    <n v="0"/>
    <n v="0"/>
    <n v="100"/>
    <n v="0"/>
    <n v="0"/>
    <n v="0"/>
    <n v="0"/>
    <n v="0"/>
    <n v="0"/>
    <n v="100"/>
    <n v="150"/>
    <n v="0"/>
  </r>
  <r>
    <s v="IBADR73"/>
    <s v="IB"/>
    <s v="ADR"/>
    <x v="22"/>
    <n v="77.142857142857139"/>
    <s v=""/>
    <s v=""/>
    <n v="70"/>
    <s v=""/>
    <s v=""/>
    <s v=""/>
    <s v=""/>
    <s v=""/>
    <s v=""/>
    <n v="70"/>
    <n v="86.666666666666671"/>
    <s v=""/>
  </r>
  <r>
    <s v="IBREV73"/>
    <s v="IB"/>
    <s v="REV"/>
    <x v="22"/>
    <n v="27"/>
    <n v="0"/>
    <n v="0"/>
    <n v="7"/>
    <n v="0"/>
    <n v="0"/>
    <n v="0"/>
    <n v="0"/>
    <n v="0"/>
    <n v="0"/>
    <n v="7"/>
    <n v="13"/>
    <n v="0"/>
  </r>
  <r>
    <s v="OTARNS77"/>
    <s v="OTA"/>
    <s v="RNS"/>
    <x v="23"/>
    <n v="33550"/>
    <n v="3700"/>
    <n v="3300"/>
    <n v="1900"/>
    <n v="2200"/>
    <n v="2300"/>
    <n v="2800"/>
    <n v="3450"/>
    <n v="3300"/>
    <n v="2500"/>
    <n v="2500"/>
    <n v="2400"/>
    <n v="3200"/>
  </r>
  <r>
    <s v="OTAADR77"/>
    <s v="OTA"/>
    <s v="ADR"/>
    <x v="23"/>
    <n v="217.42874649180328"/>
    <n v="200"/>
    <n v="185"/>
    <n v="212"/>
    <n v="193"/>
    <n v="217"/>
    <n v="205"/>
    <n v="233"/>
    <n v="270"/>
    <n v="217"/>
    <n v="233"/>
    <n v="225.95185200000003"/>
    <n v="213"/>
  </r>
  <r>
    <s v="OTAREV77"/>
    <s v="OTA"/>
    <s v="REV"/>
    <x v="23"/>
    <n v="7294.7344447999994"/>
    <n v="740"/>
    <n v="610.5"/>
    <n v="402.8"/>
    <n v="424.6"/>
    <n v="499.1"/>
    <n v="574"/>
    <n v="803.85"/>
    <n v="891"/>
    <n v="542.5"/>
    <n v="582.5"/>
    <n v="542.28444480000007"/>
    <n v="681.6"/>
  </r>
  <r>
    <s v="GOTARNS77"/>
    <s v="GOTA"/>
    <s v="RNS"/>
    <x v="23"/>
    <n v="21300"/>
    <n v="2000"/>
    <n v="1800"/>
    <n v="1100"/>
    <n v="1400"/>
    <n v="1500"/>
    <n v="2000"/>
    <n v="2800"/>
    <n v="2600"/>
    <n v="1500"/>
    <n v="1500"/>
    <n v="1500"/>
    <n v="1600"/>
  </r>
  <r>
    <s v="GOTAADR77"/>
    <s v="GOTA"/>
    <s v="ADR"/>
    <x v="23"/>
    <n v="210.02112676056339"/>
    <n v="190"/>
    <n v="179"/>
    <n v="191"/>
    <n v="191"/>
    <n v="211"/>
    <n v="194"/>
    <n v="224"/>
    <n v="261.5"/>
    <n v="199"/>
    <n v="215"/>
    <n v="222.1"/>
    <n v="205"/>
  </r>
  <r>
    <s v="GOTAREV77"/>
    <s v="GOTA"/>
    <s v="REV"/>
    <x v="23"/>
    <n v="4473.45"/>
    <n v="380"/>
    <n v="322.2"/>
    <n v="210.1"/>
    <n v="267.39999999999998"/>
    <n v="316.5"/>
    <n v="388"/>
    <n v="627.20000000000005"/>
    <n v="679.9"/>
    <n v="298.5"/>
    <n v="322.5"/>
    <n v="333.15"/>
    <n v="328"/>
  </r>
  <r>
    <s v="IBRNS77"/>
    <s v="IB"/>
    <s v="RNS"/>
    <x v="23"/>
    <m/>
    <m/>
    <m/>
    <m/>
    <m/>
    <m/>
    <m/>
    <m/>
    <m/>
    <m/>
    <m/>
    <m/>
    <m/>
  </r>
  <r>
    <s v="IBADR77"/>
    <s v="IB"/>
    <s v="ADR"/>
    <x v="23"/>
    <s v=""/>
    <s v=""/>
    <s v=""/>
    <s v=""/>
    <s v=""/>
    <s v=""/>
    <s v=""/>
    <s v=""/>
    <s v=""/>
    <s v=""/>
    <s v=""/>
    <s v=""/>
    <s v=""/>
  </r>
  <r>
    <s v="IBREV77"/>
    <s v="IB"/>
    <s v="REV"/>
    <x v="23"/>
    <n v="0"/>
    <n v="0"/>
    <n v="0"/>
    <n v="0"/>
    <n v="0"/>
    <n v="0"/>
    <n v="0"/>
    <n v="0"/>
    <n v="0"/>
    <n v="0"/>
    <n v="0"/>
    <n v="0"/>
    <n v="0"/>
  </r>
  <r>
    <s v="OTARNS85"/>
    <s v="OTA"/>
    <s v="RNS"/>
    <x v="24"/>
    <n v="22180"/>
    <n v="1900"/>
    <n v="1730"/>
    <n v="1830"/>
    <n v="1950"/>
    <n v="1900"/>
    <n v="1850"/>
    <n v="1930"/>
    <n v="1860"/>
    <n v="1780"/>
    <n v="1790"/>
    <n v="1740"/>
    <n v="1920"/>
  </r>
  <r>
    <s v="OTAADR85"/>
    <s v="OTA"/>
    <s v="ADR"/>
    <x v="24"/>
    <n v="355.72995142383428"/>
    <n v="325.76315789473682"/>
    <n v="340.99421965317919"/>
    <n v="330.13114754098359"/>
    <n v="332.93333333333334"/>
    <n v="361.68947368421055"/>
    <n v="345.97837837837835"/>
    <n v="388.45077720207252"/>
    <n v="425.29032258064518"/>
    <n v="357.84269662921349"/>
    <n v="361.32402234636874"/>
    <n v="347.91397849462362"/>
    <n v="349.34375"/>
  </r>
  <r>
    <s v="OTAREV85"/>
    <s v="OTA"/>
    <s v="REV"/>
    <x v="24"/>
    <n v="7890.0903225806451"/>
    <n v="618.95000000000005"/>
    <n v="589.91999999999996"/>
    <n v="604.14"/>
    <n v="649.22"/>
    <n v="687.21"/>
    <n v="640.05999999999995"/>
    <n v="749.71"/>
    <n v="791.04"/>
    <n v="636.96"/>
    <n v="646.77"/>
    <n v="605.37032258064505"/>
    <n v="670.74"/>
  </r>
  <r>
    <s v="GOTARNS85"/>
    <s v="GOTA"/>
    <s v="RNS"/>
    <x v="24"/>
    <n v="11370"/>
    <n v="960"/>
    <n v="870"/>
    <n v="820"/>
    <n v="960"/>
    <n v="1030"/>
    <n v="910"/>
    <n v="1040"/>
    <n v="980"/>
    <n v="970"/>
    <n v="900"/>
    <n v="900"/>
    <n v="1030"/>
  </r>
  <r>
    <s v="GOTAADR85"/>
    <s v="GOTA"/>
    <s v="ADR"/>
    <x v="24"/>
    <n v="354.94283201407211"/>
    <n v="331.08333333333331"/>
    <n v="331.58620689655174"/>
    <n v="313.3780487804878"/>
    <n v="326.33333333333331"/>
    <n v="360.33980582524271"/>
    <n v="342.41758241758242"/>
    <n v="396.26923076923077"/>
    <n v="421.20408163265307"/>
    <n v="360.63917525773195"/>
    <n v="362.24444444444447"/>
    <n v="351.33333333333331"/>
    <n v="348.97087378640776"/>
  </r>
  <r>
    <s v="GOTAREV85"/>
    <s v="GOTA"/>
    <s v="REV"/>
    <x v="24"/>
    <n v="4035.7"/>
    <n v="317.83999999999997"/>
    <n v="288.48"/>
    <n v="256.97000000000003"/>
    <n v="313.27999999999997"/>
    <n v="371.15"/>
    <n v="311.60000000000002"/>
    <n v="412.12"/>
    <n v="412.78"/>
    <n v="349.82"/>
    <n v="326.02"/>
    <n v="316.2"/>
    <n v="359.44"/>
  </r>
  <r>
    <s v="IBRNS85"/>
    <s v="IB"/>
    <s v="RNS"/>
    <x v="24"/>
    <m/>
    <m/>
    <m/>
    <m/>
    <m/>
    <m/>
    <m/>
    <m/>
    <m/>
    <m/>
    <m/>
    <m/>
    <m/>
  </r>
  <r>
    <s v="IBADR85"/>
    <s v="IB"/>
    <s v="ADR"/>
    <x v="24"/>
    <s v=""/>
    <s v=""/>
    <s v=""/>
    <s v=""/>
    <s v=""/>
    <s v=""/>
    <s v=""/>
    <s v=""/>
    <s v=""/>
    <s v=""/>
    <s v=""/>
    <s v=""/>
    <s v=""/>
  </r>
  <r>
    <s v="IBREV85"/>
    <s v="IB"/>
    <s v="REV"/>
    <x v="24"/>
    <n v="0"/>
    <n v="0"/>
    <n v="0"/>
    <n v="0"/>
    <n v="0"/>
    <n v="0"/>
    <n v="0"/>
    <n v="0"/>
    <n v="0"/>
    <n v="0"/>
    <n v="0"/>
    <n v="0"/>
    <n v="0"/>
  </r>
  <r>
    <s v="OTARNS87"/>
    <s v="OTA"/>
    <s v="RNS"/>
    <x v="25"/>
    <n v="7070"/>
    <n v="500"/>
    <n v="570"/>
    <n v="480"/>
    <n v="600"/>
    <n v="680"/>
    <n v="580"/>
    <n v="580"/>
    <n v="570"/>
    <n v="650"/>
    <n v="760"/>
    <n v="520"/>
    <n v="580"/>
  </r>
  <r>
    <s v="OTAADR87"/>
    <s v="OTA"/>
    <s v="ADR"/>
    <x v="25"/>
    <n v="256.74115983026871"/>
    <n v="219.6"/>
    <n v="230.57894736842104"/>
    <n v="262.66666666666669"/>
    <n v="253"/>
    <n v="253.70588235294119"/>
    <n v="242.68965517241378"/>
    <n v="260.24137931034483"/>
    <n v="293.05263157894734"/>
    <n v="250.07692307692307"/>
    <n v="257.94736842105266"/>
    <n v="280.46153846153845"/>
    <n v="276.48275862068965"/>
  </r>
  <r>
    <s v="OTAREV87"/>
    <s v="OTA"/>
    <s v="REV"/>
    <x v="25"/>
    <n v="1815.16"/>
    <n v="109.8"/>
    <n v="131.43"/>
    <n v="126.08"/>
    <n v="151.80000000000001"/>
    <n v="172.52"/>
    <n v="140.76"/>
    <n v="150.94"/>
    <n v="167.04"/>
    <n v="162.55000000000001"/>
    <n v="196.04"/>
    <n v="145.84"/>
    <n v="160.36000000000001"/>
  </r>
  <r>
    <s v="GOTARNS87"/>
    <s v="GOTA"/>
    <s v="RNS"/>
    <x v="25"/>
    <n v="8560"/>
    <n v="650"/>
    <n v="730"/>
    <n v="620"/>
    <n v="770"/>
    <n v="770"/>
    <n v="720"/>
    <n v="690"/>
    <n v="680"/>
    <n v="710"/>
    <n v="870"/>
    <n v="680"/>
    <n v="670"/>
  </r>
  <r>
    <s v="GOTAADR87"/>
    <s v="GOTA"/>
    <s v="ADR"/>
    <x v="25"/>
    <n v="245.33820093457945"/>
    <n v="220.46153846153845"/>
    <n v="237.01369863013699"/>
    <n v="249.25806451612902"/>
    <n v="236.05194805194805"/>
    <n v="249.67532467532467"/>
    <n v="222.83333333333334"/>
    <n v="244.71739130434781"/>
    <n v="283.75"/>
    <n v="245.25352112676057"/>
    <n v="246.32183908045977"/>
    <n v="253.48529411764707"/>
    <n v="256.9850746268657"/>
  </r>
  <r>
    <s v="GOTAREV87"/>
    <s v="GOTA"/>
    <s v="REV"/>
    <x v="25"/>
    <n v="2100.0949999999998"/>
    <n v="143.30000000000001"/>
    <n v="173.02"/>
    <n v="154.54"/>
    <n v="181.76"/>
    <n v="192.25"/>
    <n v="160.44"/>
    <n v="168.85499999999999"/>
    <n v="192.95"/>
    <n v="174.13"/>
    <n v="214.3"/>
    <n v="172.37"/>
    <n v="172.18"/>
  </r>
  <r>
    <s v="IBRNS87"/>
    <s v="IB"/>
    <s v="RNS"/>
    <x v="25"/>
    <m/>
    <m/>
    <m/>
    <m/>
    <m/>
    <m/>
    <m/>
    <m/>
    <m/>
    <m/>
    <m/>
    <m/>
    <m/>
  </r>
  <r>
    <s v="IBADR87"/>
    <s v="IB"/>
    <s v="ADR"/>
    <x v="25"/>
    <s v=""/>
    <s v=""/>
    <s v=""/>
    <s v=""/>
    <s v=""/>
    <s v=""/>
    <s v=""/>
    <s v=""/>
    <s v=""/>
    <s v=""/>
    <s v=""/>
    <s v=""/>
    <s v=""/>
  </r>
  <r>
    <s v="IBREV87"/>
    <s v="IB"/>
    <s v="REV"/>
    <x v="25"/>
    <n v="0"/>
    <n v="0"/>
    <n v="0"/>
    <n v="0"/>
    <n v="0"/>
    <n v="0"/>
    <n v="0"/>
    <n v="0"/>
    <n v="0"/>
    <n v="0"/>
    <n v="0"/>
    <n v="0"/>
    <n v="0"/>
  </r>
  <r>
    <s v="OTARNS94"/>
    <s v="OTA"/>
    <s v="RNS"/>
    <x v="26"/>
    <n v="6870"/>
    <n v="600"/>
    <n v="510"/>
    <n v="385"/>
    <n v="500"/>
    <n v="600"/>
    <n v="525"/>
    <n v="700"/>
    <n v="800"/>
    <n v="500"/>
    <n v="580"/>
    <n v="520"/>
    <n v="650"/>
  </r>
  <r>
    <s v="OTAADR94"/>
    <s v="OTA"/>
    <s v="ADR"/>
    <x v="26"/>
    <n v="270.94593813682678"/>
    <n v="216.5"/>
    <n v="266.2"/>
    <n v="207"/>
    <n v="202.10410999999999"/>
    <n v="269"/>
    <n v="257"/>
    <n v="343.5"/>
    <n v="379.5"/>
    <n v="273"/>
    <n v="269"/>
    <n v="224.99199999999999"/>
    <n v="253.99799999999996"/>
  </r>
  <r>
    <s v="OTAREV94"/>
    <s v="OTA"/>
    <s v="REV"/>
    <x v="26"/>
    <n v="1861.3985949999999"/>
    <n v="129.9"/>
    <n v="135.762"/>
    <n v="79.694999999999993"/>
    <n v="101.052055"/>
    <n v="161.4"/>
    <n v="134.92500000000001"/>
    <n v="240.45"/>
    <n v="303.60000000000002"/>
    <n v="136.5"/>
    <n v="156.02000000000001"/>
    <n v="116.99584"/>
    <n v="165.09869999999998"/>
  </r>
  <r>
    <s v="GOTARNS94"/>
    <s v="GOTA"/>
    <s v="RNS"/>
    <x v="26"/>
    <n v="4625"/>
    <n v="380"/>
    <n v="350"/>
    <n v="250"/>
    <n v="350"/>
    <n v="350"/>
    <n v="425"/>
    <n v="530"/>
    <n v="550"/>
    <n v="355"/>
    <n v="365"/>
    <n v="320"/>
    <n v="400"/>
  </r>
  <r>
    <s v="GOTAADR94"/>
    <s v="GOTA"/>
    <s v="ADR"/>
    <x v="26"/>
    <n v="273.10059459459461"/>
    <n v="218"/>
    <n v="266.2"/>
    <n v="208"/>
    <n v="204.27099999999999"/>
    <n v="268"/>
    <n v="259"/>
    <n v="343"/>
    <n v="381"/>
    <n v="272"/>
    <n v="268"/>
    <n v="227.46999999999997"/>
    <n v="253"/>
  </r>
  <r>
    <s v="GOTAREV94"/>
    <s v="GOTA"/>
    <s v="REV"/>
    <x v="26"/>
    <n v="1263.09025"/>
    <n v="82.84"/>
    <n v="93.17"/>
    <n v="52"/>
    <n v="71.494849999999985"/>
    <n v="93.8"/>
    <n v="110.075"/>
    <n v="181.79"/>
    <n v="209.55"/>
    <n v="96.56"/>
    <n v="97.82"/>
    <n v="72.790399999999991"/>
    <n v="101.2"/>
  </r>
  <r>
    <s v="IBRNS94"/>
    <s v="IB"/>
    <s v="RNS"/>
    <x v="26"/>
    <m/>
    <m/>
    <m/>
    <m/>
    <m/>
    <m/>
    <m/>
    <m/>
    <m/>
    <m/>
    <m/>
    <m/>
    <m/>
  </r>
  <r>
    <s v="IBADR94"/>
    <s v="IB"/>
    <s v="ADR"/>
    <x v="26"/>
    <s v=""/>
    <s v=""/>
    <s v=""/>
    <s v=""/>
    <s v=""/>
    <s v=""/>
    <s v=""/>
    <s v=""/>
    <s v=""/>
    <s v=""/>
    <s v=""/>
    <s v=""/>
    <s v=""/>
  </r>
  <r>
    <s v="IBREV94"/>
    <s v="IB"/>
    <s v="REV"/>
    <x v="26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B31" firstHeaderRow="1" firstDataRow="1" firstDataCol="1"/>
  <pivotFields count="17">
    <pivotField dataField="1"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개수 : 구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표4" displayName="표4" ref="A1:I2917" totalsRowShown="0">
  <autoFilter ref="A1:I2917"/>
  <sortState ref="A2:I2917">
    <sortCondition ref="G1:G2917"/>
  </sortState>
  <tableColumns count="9">
    <tableColumn id="1" name="년월(XXXX-XX 형식)"/>
    <tableColumn id="2" name="목표구분(BU : BUDGET, FG : FCST GS, FP : FCST PRM)"/>
    <tableColumn id="3" name="목표구분 (REV, RNS, ADR)"/>
    <tableColumn id="4" name="세그먼트 (OTA , GOTA, IB[IB])"/>
    <tableColumn id="5" name="지역코드(영업장 지역 코드)"/>
    <tableColumn id="6" name="영업장코드(예약 영업장 코드)" dataDxfId="25"/>
    <tableColumn id="7" name="목표수치" dataCellStyle="쉼표 [0]">
      <calculatedColumnFormula>VLOOKUP(표4[[#This Row],[구분]],ota_rns[#All],표4[[#This Row],[구분1]]+5,FALSE)</calculatedColumnFormula>
    </tableColumn>
    <tableColumn id="8" name="구분" dataDxfId="24">
      <calculatedColumnFormula>CONCATENATE(표4[[#This Row],[세그먼트 (OTA , GOTA, IB'[IB'])]],표4[[#This Row],[목표구분 (REV, RNS, ADR)]],표4[[#This Row],[영업장코드(예약 영업장 코드)]])</calculatedColumnFormula>
    </tableColumn>
    <tableColumn id="9" name="구분1" dataCellStyle="쉼표 [0]">
      <calculatedColumnFormula>RIGHT(표4[[#This Row],[년월(XXXX-XX 형식)]],2)*1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ota_rns" displayName="ota_rns" ref="A4:Q247" totalsRowShown="0" headerRowDxfId="23" dataDxfId="22" tableBorderDxfId="21" headerRowCellStyle="표준 2" dataCellStyle="표준 2">
  <autoFilter ref="A4:Q247">
    <filterColumn colId="3">
      <filters>
        <filter val="01"/>
        <filter val="25"/>
        <filter val="27"/>
        <filter val="46"/>
        <filter val="70"/>
      </filters>
    </filterColumn>
  </autoFilter>
  <sortState ref="A5:Q202">
    <sortCondition ref="C4:C247"/>
  </sortState>
  <tableColumns count="17">
    <tableColumn id="1" name="구분" dataDxfId="20" dataCellStyle="표준 2 2">
      <calculatedColumnFormula>CONCATENATE(ota_rns[[#This Row],[채널]],ota_rns[[#This Row],[구분2]],ota_rns[[#This Row],[사업장]])</calculatedColumnFormula>
    </tableColumn>
    <tableColumn id="2" name="채널" dataDxfId="19" dataCellStyle="표준 2"/>
    <tableColumn id="3" name="구분2" dataDxfId="18" dataCellStyle="표준 2"/>
    <tableColumn id="4" name="사업장" dataDxfId="17" dataCellStyle="쉼표 [0] 2"/>
    <tableColumn id="5" name="Total" dataDxfId="16" dataCellStyle="쉼표 [0]"/>
    <tableColumn id="6" name="1" dataDxfId="15" dataCellStyle="쉼표 [0]"/>
    <tableColumn id="7" name="2" dataDxfId="14" dataCellStyle="쉼표 [0]"/>
    <tableColumn id="8" name="3" dataDxfId="13" dataCellStyle="쉼표 [0]"/>
    <tableColumn id="9" name="4" dataDxfId="12" dataCellStyle="쉼표 [0]"/>
    <tableColumn id="10" name="5" dataDxfId="11" dataCellStyle="쉼표 [0]"/>
    <tableColumn id="11" name="6" dataDxfId="10" dataCellStyle="쉼표 [0]"/>
    <tableColumn id="12" name="7" dataDxfId="9" dataCellStyle="쉼표 [0]"/>
    <tableColumn id="13" name="8" dataDxfId="8" dataCellStyle="쉼표 [0]"/>
    <tableColumn id="14" name="9" dataDxfId="7" dataCellStyle="쉼표 [0]"/>
    <tableColumn id="15" name="10" dataDxfId="6" dataCellStyle="쉼표 [0]"/>
    <tableColumn id="16" name="11" dataDxfId="5" dataCellStyle="쉼표 [0]"/>
    <tableColumn id="17" name="12" dataDxfId="4" dataCellStyle="쉼표 [0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proper" displayName="proper" ref="C2:D29" totalsRowShown="0">
  <autoFilter ref="C2:D29"/>
  <tableColumns count="2">
    <tableColumn id="1" name="영업장코드"/>
    <tableColumn id="2" name="순번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표3" displayName="표3" ref="L2:M21" totalsRowShown="0">
  <autoFilter ref="L2:M21"/>
  <tableColumns count="2">
    <tableColumn id="1" name="지역코드"/>
    <tableColumn id="2" name="지역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buda" displayName="buda" ref="A3:AF111" totalsRowShown="0">
  <autoFilter ref="A3:AF111"/>
  <tableColumns count="32">
    <tableColumn id="1" name="key" dataDxfId="3">
      <calculatedColumnFormula>buda[[#This Row],[month]]&amp;buda[[#This Row],[chanel]]&amp;buda[[#This Row],[category]]</calculatedColumnFormula>
    </tableColumn>
    <tableColumn id="2" name="chanel" dataDxfId="2"/>
    <tableColumn id="3" name="category"/>
    <tableColumn id="4" name="month" dataDxfId="1"/>
    <tableColumn id="5" name="TOTAL"/>
    <tableColumn id="6" name="02" dataCellStyle="쉼표 [0]"/>
    <tableColumn id="7" name="07" dataCellStyle="쉼표 [0]"/>
    <tableColumn id="8" name="19" dataCellStyle="쉼표 [0]"/>
    <tableColumn id="9" name="50" dataCellStyle="쉼표 [0]"/>
    <tableColumn id="33" name="08" dataCellStyle="쉼표 [0]"/>
    <tableColumn id="10" name="03" dataCellStyle="쉼표 [0]"/>
    <tableColumn id="11" name="01" dataCellStyle="쉼표 [0]"/>
    <tableColumn id="29" name="70" dataCellStyle="쉼표 [0]"/>
    <tableColumn id="12" name="25" dataCellStyle="쉼표 [0]"/>
    <tableColumn id="13" name="27" dataCellStyle="쉼표 [0]"/>
    <tableColumn id="28" name="46" dataCellStyle="쉼표 [0]"/>
    <tableColumn id="14" name="10" dataCellStyle="쉼표 [0]"/>
    <tableColumn id="15" name="61" dataCellStyle="쉼표 [0]"/>
    <tableColumn id="16" name="05" dataCellStyle="쉼표 [0]"/>
    <tableColumn id="17" name="66" dataCellStyle="쉼표 [0]"/>
    <tableColumn id="18" name="06" dataCellStyle="쉼표 [0]"/>
    <tableColumn id="19" name="73" dataCellStyle="쉼표 [0]"/>
    <tableColumn id="20" name="16" dataCellStyle="쉼표 [0]"/>
    <tableColumn id="21" name="24" dataCellStyle="쉼표 [0]"/>
    <tableColumn id="22" name="22" dataCellStyle="쉼표 [0]"/>
    <tableColumn id="23" name="77" dataCellStyle="쉼표 [0]"/>
    <tableColumn id="24" name="87" dataCellStyle="쉼표 [0]"/>
    <tableColumn id="25" name="15" dataCellStyle="쉼표 [0]"/>
    <tableColumn id="26" name="29" dataDxfId="0" dataCellStyle="쉼표 [0]"/>
    <tableColumn id="30" name="85" dataCellStyle="쉼표 [0]"/>
    <tableColumn id="27" name="58" dataCellStyle="쉼표 [0]"/>
    <tableColumn id="31" name="94" dataCellStyle="쉼표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17"/>
  <sheetViews>
    <sheetView tabSelected="1" zoomScale="112" zoomScaleNormal="112" workbookViewId="0">
      <selection activeCell="B6" sqref="B6"/>
    </sheetView>
  </sheetViews>
  <sheetFormatPr defaultRowHeight="16.5" x14ac:dyDescent="0.3"/>
  <cols>
    <col min="1" max="1" width="20.375" customWidth="1"/>
    <col min="2" max="2" width="50.125" customWidth="1"/>
    <col min="3" max="3" width="25.625" customWidth="1"/>
    <col min="4" max="4" width="36.625" customWidth="1"/>
    <col min="5" max="5" width="26.25" bestFit="1" customWidth="1"/>
    <col min="6" max="6" width="27.75" customWidth="1"/>
    <col min="7" max="7" width="10.25" customWidth="1"/>
    <col min="8" max="8" width="19.25" customWidth="1"/>
    <col min="9" max="9" width="10.375" customWidth="1"/>
    <col min="10" max="10" width="22.875" customWidth="1"/>
    <col min="11" max="11" width="24" customWidth="1"/>
    <col min="13" max="13" width="23.625" customWidth="1"/>
    <col min="14" max="14" width="19.75" customWidth="1"/>
    <col min="15" max="15" width="9" bestFit="1" customWidth="1"/>
  </cols>
  <sheetData>
    <row r="1" spans="1:12" x14ac:dyDescent="0.3">
      <c r="A1" t="s">
        <v>5</v>
      </c>
      <c r="B1" t="s">
        <v>0</v>
      </c>
      <c r="C1" t="s">
        <v>1</v>
      </c>
      <c r="D1" t="s">
        <v>189</v>
      </c>
      <c r="E1" t="s">
        <v>4</v>
      </c>
      <c r="F1" t="s">
        <v>3</v>
      </c>
      <c r="G1" t="s">
        <v>2</v>
      </c>
      <c r="H1" t="s">
        <v>186</v>
      </c>
      <c r="I1" t="s">
        <v>187</v>
      </c>
    </row>
    <row r="2" spans="1:12" x14ac:dyDescent="0.3">
      <c r="A2">
        <v>8</v>
      </c>
      <c r="B2" t="s">
        <v>239</v>
      </c>
      <c r="C2" t="s">
        <v>191</v>
      </c>
      <c r="D2" t="s">
        <v>188</v>
      </c>
      <c r="E2" t="s">
        <v>75</v>
      </c>
      <c r="F2" s="57" t="s">
        <v>75</v>
      </c>
      <c r="G2" s="124">
        <v>2950</v>
      </c>
      <c r="H2" t="s">
        <v>240</v>
      </c>
      <c r="I2" s="34">
        <v>8</v>
      </c>
    </row>
    <row r="3" spans="1:12" x14ac:dyDescent="0.3">
      <c r="A3">
        <v>8</v>
      </c>
      <c r="B3" t="s">
        <v>239</v>
      </c>
      <c r="C3" t="s">
        <v>191</v>
      </c>
      <c r="D3" t="s">
        <v>195</v>
      </c>
      <c r="E3" t="s">
        <v>75</v>
      </c>
      <c r="F3" s="57" t="s">
        <v>75</v>
      </c>
      <c r="G3" s="124">
        <v>2450</v>
      </c>
      <c r="H3" t="s">
        <v>241</v>
      </c>
      <c r="I3" s="34">
        <v>8</v>
      </c>
      <c r="K3" s="1" t="s">
        <v>224</v>
      </c>
      <c r="L3" t="s">
        <v>228</v>
      </c>
    </row>
    <row r="4" spans="1:12" x14ac:dyDescent="0.3">
      <c r="A4">
        <v>7</v>
      </c>
      <c r="B4" t="s">
        <v>239</v>
      </c>
      <c r="C4" t="s">
        <v>191</v>
      </c>
      <c r="D4" t="s">
        <v>188</v>
      </c>
      <c r="E4" t="s">
        <v>75</v>
      </c>
      <c r="F4" s="57" t="s">
        <v>75</v>
      </c>
      <c r="G4" s="124">
        <v>2000</v>
      </c>
      <c r="H4" t="s">
        <v>240</v>
      </c>
      <c r="I4" s="34">
        <v>7</v>
      </c>
      <c r="K4" s="1" t="s">
        <v>225</v>
      </c>
      <c r="L4" t="s">
        <v>229</v>
      </c>
    </row>
    <row r="5" spans="1:12" x14ac:dyDescent="0.3">
      <c r="A5">
        <v>10</v>
      </c>
      <c r="B5" t="s">
        <v>239</v>
      </c>
      <c r="C5" t="s">
        <v>191</v>
      </c>
      <c r="D5" t="s">
        <v>188</v>
      </c>
      <c r="E5" t="s">
        <v>75</v>
      </c>
      <c r="F5" s="57" t="s">
        <v>75</v>
      </c>
      <c r="G5" s="124">
        <v>2000</v>
      </c>
      <c r="H5" s="53" t="s">
        <v>240</v>
      </c>
      <c r="I5" s="77">
        <v>10</v>
      </c>
      <c r="K5" s="1" t="s">
        <v>226</v>
      </c>
      <c r="L5" t="s">
        <v>230</v>
      </c>
    </row>
    <row r="6" spans="1:12" x14ac:dyDescent="0.3">
      <c r="A6">
        <v>7</v>
      </c>
      <c r="B6" t="s">
        <v>239</v>
      </c>
      <c r="C6" t="s">
        <v>191</v>
      </c>
      <c r="D6" t="s">
        <v>195</v>
      </c>
      <c r="E6" t="s">
        <v>75</v>
      </c>
      <c r="F6" s="57" t="s">
        <v>75</v>
      </c>
      <c r="G6" s="124">
        <v>1900</v>
      </c>
      <c r="H6" t="s">
        <v>241</v>
      </c>
      <c r="I6" s="34">
        <v>7</v>
      </c>
      <c r="K6" s="1" t="s">
        <v>227</v>
      </c>
      <c r="L6" t="s">
        <v>231</v>
      </c>
    </row>
    <row r="7" spans="1:12" x14ac:dyDescent="0.3">
      <c r="A7">
        <v>1</v>
      </c>
      <c r="B7" t="s">
        <v>239</v>
      </c>
      <c r="C7" t="s">
        <v>191</v>
      </c>
      <c r="D7" t="s">
        <v>195</v>
      </c>
      <c r="E7" s="1" t="s">
        <v>75</v>
      </c>
      <c r="F7" s="32" t="s">
        <v>75</v>
      </c>
      <c r="G7" s="124">
        <v>1700</v>
      </c>
      <c r="H7" t="s">
        <v>241</v>
      </c>
      <c r="I7" s="34">
        <v>1</v>
      </c>
      <c r="K7" s="1" t="s">
        <v>223</v>
      </c>
      <c r="L7" t="s">
        <v>232</v>
      </c>
    </row>
    <row r="8" spans="1:12" x14ac:dyDescent="0.3">
      <c r="A8">
        <v>1</v>
      </c>
      <c r="B8" t="s">
        <v>239</v>
      </c>
      <c r="C8" t="s">
        <v>191</v>
      </c>
      <c r="D8" t="s">
        <v>188</v>
      </c>
      <c r="E8" s="1" t="s">
        <v>75</v>
      </c>
      <c r="F8" s="32" t="s">
        <v>75</v>
      </c>
      <c r="G8" s="124">
        <v>1630</v>
      </c>
      <c r="H8" t="s">
        <v>240</v>
      </c>
      <c r="I8" s="34">
        <v>1</v>
      </c>
    </row>
    <row r="9" spans="1:12" x14ac:dyDescent="0.3">
      <c r="A9">
        <v>12</v>
      </c>
      <c r="B9" t="s">
        <v>239</v>
      </c>
      <c r="C9" t="s">
        <v>191</v>
      </c>
      <c r="D9" t="s">
        <v>188</v>
      </c>
      <c r="E9" t="s">
        <v>75</v>
      </c>
      <c r="F9" s="57" t="s">
        <v>75</v>
      </c>
      <c r="G9" s="124">
        <v>1500</v>
      </c>
      <c r="H9" s="53" t="s">
        <v>240</v>
      </c>
      <c r="I9" s="77">
        <v>12</v>
      </c>
    </row>
    <row r="10" spans="1:12" x14ac:dyDescent="0.3">
      <c r="A10">
        <v>2</v>
      </c>
      <c r="B10" t="s">
        <v>239</v>
      </c>
      <c r="C10" t="s">
        <v>191</v>
      </c>
      <c r="D10" t="s">
        <v>195</v>
      </c>
      <c r="E10" s="1" t="s">
        <v>75</v>
      </c>
      <c r="F10" s="31" t="s">
        <v>75</v>
      </c>
      <c r="G10" s="124">
        <v>1450</v>
      </c>
      <c r="H10" t="s">
        <v>241</v>
      </c>
      <c r="I10" s="34">
        <v>2</v>
      </c>
    </row>
    <row r="11" spans="1:12" x14ac:dyDescent="0.3">
      <c r="A11">
        <v>2</v>
      </c>
      <c r="B11" t="s">
        <v>239</v>
      </c>
      <c r="C11" t="s">
        <v>191</v>
      </c>
      <c r="D11" t="s">
        <v>188</v>
      </c>
      <c r="E11" s="1" t="s">
        <v>75</v>
      </c>
      <c r="F11" s="31" t="s">
        <v>75</v>
      </c>
      <c r="G11" s="124">
        <v>1350</v>
      </c>
      <c r="H11" t="s">
        <v>240</v>
      </c>
      <c r="I11" s="34">
        <v>2</v>
      </c>
    </row>
    <row r="12" spans="1:12" x14ac:dyDescent="0.3">
      <c r="A12">
        <v>6</v>
      </c>
      <c r="B12" t="s">
        <v>239</v>
      </c>
      <c r="C12" t="s">
        <v>191</v>
      </c>
      <c r="D12" t="s">
        <v>188</v>
      </c>
      <c r="E12" t="s">
        <v>75</v>
      </c>
      <c r="F12" s="57" t="s">
        <v>75</v>
      </c>
      <c r="G12" s="124">
        <v>1300</v>
      </c>
      <c r="H12" t="s">
        <v>240</v>
      </c>
      <c r="I12" s="34">
        <v>6</v>
      </c>
    </row>
    <row r="13" spans="1:12" x14ac:dyDescent="0.3">
      <c r="A13">
        <v>9</v>
      </c>
      <c r="B13" t="s">
        <v>239</v>
      </c>
      <c r="C13" t="s">
        <v>191</v>
      </c>
      <c r="D13" t="s">
        <v>188</v>
      </c>
      <c r="E13" t="s">
        <v>75</v>
      </c>
      <c r="F13" s="57" t="s">
        <v>75</v>
      </c>
      <c r="G13" s="124">
        <v>1300</v>
      </c>
      <c r="H13" s="53" t="s">
        <v>240</v>
      </c>
      <c r="I13" s="77">
        <v>9</v>
      </c>
    </row>
    <row r="14" spans="1:12" x14ac:dyDescent="0.3">
      <c r="A14">
        <v>9</v>
      </c>
      <c r="B14" t="s">
        <v>239</v>
      </c>
      <c r="C14" t="s">
        <v>242</v>
      </c>
      <c r="D14" t="s">
        <v>195</v>
      </c>
      <c r="E14" t="s">
        <v>75</v>
      </c>
      <c r="F14" s="57" t="s">
        <v>75</v>
      </c>
      <c r="G14" s="124">
        <v>1300</v>
      </c>
      <c r="H14" t="s">
        <v>241</v>
      </c>
      <c r="I14" s="34">
        <v>9</v>
      </c>
    </row>
    <row r="15" spans="1:12" x14ac:dyDescent="0.3">
      <c r="A15">
        <v>6</v>
      </c>
      <c r="B15" t="s">
        <v>239</v>
      </c>
      <c r="C15" t="s">
        <v>191</v>
      </c>
      <c r="D15" t="s">
        <v>195</v>
      </c>
      <c r="E15" t="s">
        <v>75</v>
      </c>
      <c r="F15" s="57" t="s">
        <v>75</v>
      </c>
      <c r="G15" s="124">
        <v>1200</v>
      </c>
      <c r="H15" t="s">
        <v>241</v>
      </c>
      <c r="I15" s="34">
        <v>6</v>
      </c>
    </row>
    <row r="16" spans="1:12" x14ac:dyDescent="0.3">
      <c r="A16">
        <v>12</v>
      </c>
      <c r="B16" t="s">
        <v>239</v>
      </c>
      <c r="C16" t="s">
        <v>191</v>
      </c>
      <c r="D16" t="s">
        <v>195</v>
      </c>
      <c r="E16" t="s">
        <v>75</v>
      </c>
      <c r="F16" s="57" t="s">
        <v>75</v>
      </c>
      <c r="G16" s="124">
        <v>1200</v>
      </c>
      <c r="H16" t="s">
        <v>241</v>
      </c>
      <c r="I16" s="34">
        <v>12</v>
      </c>
    </row>
    <row r="17" spans="1:9" x14ac:dyDescent="0.3">
      <c r="A17" s="53">
        <v>11</v>
      </c>
      <c r="B17" t="s">
        <v>239</v>
      </c>
      <c r="C17" s="53" t="s">
        <v>191</v>
      </c>
      <c r="D17" s="53" t="s">
        <v>188</v>
      </c>
      <c r="E17" s="53" t="s">
        <v>75</v>
      </c>
      <c r="F17" s="57" t="s">
        <v>75</v>
      </c>
      <c r="G17" s="124">
        <v>1100</v>
      </c>
      <c r="H17" s="53" t="s">
        <v>240</v>
      </c>
      <c r="I17" s="77">
        <v>11</v>
      </c>
    </row>
    <row r="18" spans="1:9" x14ac:dyDescent="0.3">
      <c r="A18" s="53">
        <v>5</v>
      </c>
      <c r="B18" t="s">
        <v>239</v>
      </c>
      <c r="C18" s="53" t="s">
        <v>191</v>
      </c>
      <c r="D18" s="53" t="s">
        <v>195</v>
      </c>
      <c r="E18" s="55" t="s">
        <v>75</v>
      </c>
      <c r="F18" s="54" t="s">
        <v>75</v>
      </c>
      <c r="G18" s="124">
        <v>1100</v>
      </c>
      <c r="H18" t="s">
        <v>241</v>
      </c>
      <c r="I18" s="34">
        <v>5</v>
      </c>
    </row>
    <row r="19" spans="1:9" x14ac:dyDescent="0.3">
      <c r="A19" s="53">
        <v>5</v>
      </c>
      <c r="B19" t="s">
        <v>239</v>
      </c>
      <c r="C19" s="53" t="s">
        <v>191</v>
      </c>
      <c r="D19" s="53" t="s">
        <v>188</v>
      </c>
      <c r="E19" s="55" t="s">
        <v>75</v>
      </c>
      <c r="F19" s="54" t="s">
        <v>75</v>
      </c>
      <c r="G19" s="124">
        <v>1000</v>
      </c>
      <c r="H19" t="s">
        <v>240</v>
      </c>
      <c r="I19" s="34">
        <v>5</v>
      </c>
    </row>
    <row r="20" spans="1:9" x14ac:dyDescent="0.3">
      <c r="A20">
        <v>10</v>
      </c>
      <c r="B20" t="s">
        <v>239</v>
      </c>
      <c r="C20" t="s">
        <v>191</v>
      </c>
      <c r="D20" t="s">
        <v>195</v>
      </c>
      <c r="E20" t="s">
        <v>75</v>
      </c>
      <c r="F20" s="57" t="s">
        <v>75</v>
      </c>
      <c r="G20" s="124">
        <v>1000</v>
      </c>
      <c r="H20" t="s">
        <v>241</v>
      </c>
      <c r="I20" s="34">
        <v>10</v>
      </c>
    </row>
    <row r="21" spans="1:9" x14ac:dyDescent="0.3">
      <c r="A21">
        <v>3</v>
      </c>
      <c r="B21" t="s">
        <v>239</v>
      </c>
      <c r="C21" t="s">
        <v>191</v>
      </c>
      <c r="D21" t="s">
        <v>188</v>
      </c>
      <c r="E21" s="1" t="s">
        <v>75</v>
      </c>
      <c r="F21" s="54" t="s">
        <v>75</v>
      </c>
      <c r="G21" s="124">
        <v>800</v>
      </c>
      <c r="H21" t="s">
        <v>240</v>
      </c>
      <c r="I21" s="34">
        <v>3</v>
      </c>
    </row>
    <row r="22" spans="1:9" x14ac:dyDescent="0.3">
      <c r="A22">
        <v>4</v>
      </c>
      <c r="B22" t="s">
        <v>239</v>
      </c>
      <c r="C22" t="s">
        <v>191</v>
      </c>
      <c r="D22" t="s">
        <v>195</v>
      </c>
      <c r="E22" s="1" t="s">
        <v>75</v>
      </c>
      <c r="F22" s="54" t="s">
        <v>75</v>
      </c>
      <c r="G22" s="124">
        <v>800</v>
      </c>
      <c r="H22" t="s">
        <v>241</v>
      </c>
      <c r="I22" s="34">
        <v>4</v>
      </c>
    </row>
    <row r="23" spans="1:9" x14ac:dyDescent="0.3">
      <c r="A23">
        <v>4</v>
      </c>
      <c r="B23" t="s">
        <v>239</v>
      </c>
      <c r="C23" t="s">
        <v>191</v>
      </c>
      <c r="D23" t="s">
        <v>188</v>
      </c>
      <c r="E23" s="1" t="s">
        <v>75</v>
      </c>
      <c r="F23" s="54" t="s">
        <v>75</v>
      </c>
      <c r="G23" s="124">
        <v>750</v>
      </c>
      <c r="H23" t="s">
        <v>240</v>
      </c>
      <c r="I23" s="34">
        <v>4</v>
      </c>
    </row>
    <row r="24" spans="1:9" x14ac:dyDescent="0.3">
      <c r="A24" s="53">
        <v>11</v>
      </c>
      <c r="B24" t="s">
        <v>239</v>
      </c>
      <c r="C24" s="53" t="s">
        <v>191</v>
      </c>
      <c r="D24" s="53" t="s">
        <v>195</v>
      </c>
      <c r="E24" s="53" t="s">
        <v>75</v>
      </c>
      <c r="F24" s="57" t="s">
        <v>75</v>
      </c>
      <c r="G24" s="124">
        <v>700</v>
      </c>
      <c r="H24" t="s">
        <v>241</v>
      </c>
      <c r="I24" s="34">
        <v>11</v>
      </c>
    </row>
    <row r="25" spans="1:9" x14ac:dyDescent="0.3">
      <c r="A25">
        <v>3</v>
      </c>
      <c r="B25" t="s">
        <v>239</v>
      </c>
      <c r="C25" t="s">
        <v>191</v>
      </c>
      <c r="D25" t="s">
        <v>195</v>
      </c>
      <c r="E25" s="1" t="s">
        <v>75</v>
      </c>
      <c r="F25" s="54" t="s">
        <v>75</v>
      </c>
      <c r="G25" s="124">
        <v>650</v>
      </c>
      <c r="H25" t="s">
        <v>241</v>
      </c>
      <c r="I25" s="34">
        <v>3</v>
      </c>
    </row>
    <row r="26" spans="1:9" x14ac:dyDescent="0.3">
      <c r="A26">
        <v>8</v>
      </c>
      <c r="B26" t="s">
        <v>239</v>
      </c>
      <c r="C26" t="s">
        <v>193</v>
      </c>
      <c r="D26" t="s">
        <v>188</v>
      </c>
      <c r="E26" t="s">
        <v>75</v>
      </c>
      <c r="F26" s="57" t="s">
        <v>75</v>
      </c>
      <c r="G26" s="124">
        <v>619.5</v>
      </c>
      <c r="H26" s="53" t="s">
        <v>243</v>
      </c>
      <c r="I26" s="77">
        <v>8</v>
      </c>
    </row>
    <row r="27" spans="1:9" x14ac:dyDescent="0.3">
      <c r="A27">
        <v>8</v>
      </c>
      <c r="B27" t="s">
        <v>239</v>
      </c>
      <c r="C27" t="s">
        <v>193</v>
      </c>
      <c r="D27" t="s">
        <v>195</v>
      </c>
      <c r="E27" t="s">
        <v>75</v>
      </c>
      <c r="F27" s="57" t="s">
        <v>75</v>
      </c>
      <c r="G27" s="124">
        <v>480.2</v>
      </c>
      <c r="H27" t="s">
        <v>244</v>
      </c>
      <c r="I27" s="34">
        <v>8</v>
      </c>
    </row>
    <row r="28" spans="1:9" x14ac:dyDescent="0.3">
      <c r="A28">
        <v>7</v>
      </c>
      <c r="B28" t="s">
        <v>239</v>
      </c>
      <c r="C28" t="s">
        <v>193</v>
      </c>
      <c r="D28" t="s">
        <v>188</v>
      </c>
      <c r="E28" t="s">
        <v>75</v>
      </c>
      <c r="F28" s="57" t="s">
        <v>75</v>
      </c>
      <c r="G28" s="124">
        <v>400</v>
      </c>
      <c r="H28" t="s">
        <v>243</v>
      </c>
      <c r="I28" s="34">
        <v>7</v>
      </c>
    </row>
    <row r="29" spans="1:9" x14ac:dyDescent="0.3">
      <c r="A29">
        <v>10</v>
      </c>
      <c r="B29" t="s">
        <v>239</v>
      </c>
      <c r="C29" t="s">
        <v>193</v>
      </c>
      <c r="D29" t="s">
        <v>188</v>
      </c>
      <c r="E29" t="s">
        <v>75</v>
      </c>
      <c r="F29" s="57" t="s">
        <v>75</v>
      </c>
      <c r="G29" s="124">
        <v>370</v>
      </c>
      <c r="H29" t="s">
        <v>243</v>
      </c>
      <c r="I29" s="34">
        <v>10</v>
      </c>
    </row>
    <row r="30" spans="1:9" x14ac:dyDescent="0.3">
      <c r="A30">
        <v>7</v>
      </c>
      <c r="B30" t="s">
        <v>239</v>
      </c>
      <c r="C30" t="s">
        <v>193</v>
      </c>
      <c r="D30" t="s">
        <v>195</v>
      </c>
      <c r="E30" t="s">
        <v>75</v>
      </c>
      <c r="F30" s="57" t="s">
        <v>75</v>
      </c>
      <c r="G30" s="124">
        <v>357.2</v>
      </c>
      <c r="H30" t="s">
        <v>244</v>
      </c>
      <c r="I30" s="34">
        <v>7</v>
      </c>
    </row>
    <row r="31" spans="1:9" x14ac:dyDescent="0.3">
      <c r="A31">
        <v>12</v>
      </c>
      <c r="B31" t="s">
        <v>239</v>
      </c>
      <c r="C31" t="s">
        <v>193</v>
      </c>
      <c r="D31" t="s">
        <v>188</v>
      </c>
      <c r="E31" t="s">
        <v>75</v>
      </c>
      <c r="F31" s="57" t="s">
        <v>75</v>
      </c>
      <c r="G31" s="124">
        <v>262.5</v>
      </c>
      <c r="H31" t="s">
        <v>243</v>
      </c>
      <c r="I31" s="34">
        <v>12</v>
      </c>
    </row>
    <row r="32" spans="1:9" x14ac:dyDescent="0.3">
      <c r="A32">
        <v>9</v>
      </c>
      <c r="B32" t="s">
        <v>239</v>
      </c>
      <c r="C32" t="s">
        <v>193</v>
      </c>
      <c r="D32" t="s">
        <v>188</v>
      </c>
      <c r="E32" t="s">
        <v>75</v>
      </c>
      <c r="F32" s="57" t="s">
        <v>75</v>
      </c>
      <c r="G32" s="124">
        <v>253.5</v>
      </c>
      <c r="H32" t="s">
        <v>243</v>
      </c>
      <c r="I32" s="34">
        <v>9</v>
      </c>
    </row>
    <row r="33" spans="1:9" x14ac:dyDescent="0.3">
      <c r="A33">
        <v>1</v>
      </c>
      <c r="B33" t="s">
        <v>239</v>
      </c>
      <c r="C33" t="s">
        <v>193</v>
      </c>
      <c r="D33" t="s">
        <v>188</v>
      </c>
      <c r="E33" s="1" t="s">
        <v>75</v>
      </c>
      <c r="F33" s="31" t="s">
        <v>75</v>
      </c>
      <c r="G33" s="124">
        <v>252.65</v>
      </c>
      <c r="H33" t="s">
        <v>243</v>
      </c>
      <c r="I33" s="34">
        <v>1</v>
      </c>
    </row>
    <row r="34" spans="1:9" x14ac:dyDescent="0.3">
      <c r="A34">
        <v>1</v>
      </c>
      <c r="B34" t="s">
        <v>239</v>
      </c>
      <c r="C34" t="s">
        <v>193</v>
      </c>
      <c r="D34" t="s">
        <v>195</v>
      </c>
      <c r="E34" s="1" t="s">
        <v>75</v>
      </c>
      <c r="F34" s="31" t="s">
        <v>75</v>
      </c>
      <c r="G34" s="124">
        <v>252.08415999999997</v>
      </c>
      <c r="H34" t="s">
        <v>244</v>
      </c>
      <c r="I34" s="34">
        <v>1</v>
      </c>
    </row>
    <row r="35" spans="1:9" x14ac:dyDescent="0.3">
      <c r="A35">
        <v>2</v>
      </c>
      <c r="B35" t="s">
        <v>239</v>
      </c>
      <c r="C35" t="s">
        <v>193</v>
      </c>
      <c r="D35" t="s">
        <v>195</v>
      </c>
      <c r="E35" s="1" t="s">
        <v>75</v>
      </c>
      <c r="F35" s="54" t="s">
        <v>75</v>
      </c>
      <c r="G35" s="124">
        <v>232</v>
      </c>
      <c r="H35" t="s">
        <v>244</v>
      </c>
      <c r="I35" s="34">
        <v>2</v>
      </c>
    </row>
    <row r="36" spans="1:9" x14ac:dyDescent="0.3">
      <c r="A36">
        <v>9</v>
      </c>
      <c r="B36" t="s">
        <v>239</v>
      </c>
      <c r="C36" t="s">
        <v>193</v>
      </c>
      <c r="D36" t="s">
        <v>195</v>
      </c>
      <c r="E36" t="s">
        <v>75</v>
      </c>
      <c r="F36" s="57" t="s">
        <v>75</v>
      </c>
      <c r="G36" s="124">
        <v>227.5</v>
      </c>
      <c r="H36" t="s">
        <v>244</v>
      </c>
      <c r="I36" s="34">
        <v>9</v>
      </c>
    </row>
    <row r="37" spans="1:9" x14ac:dyDescent="0.3">
      <c r="A37">
        <v>2</v>
      </c>
      <c r="B37" t="s">
        <v>239</v>
      </c>
      <c r="C37" t="s">
        <v>193</v>
      </c>
      <c r="D37" t="s">
        <v>188</v>
      </c>
      <c r="E37" s="1" t="s">
        <v>75</v>
      </c>
      <c r="F37" s="54" t="s">
        <v>75</v>
      </c>
      <c r="G37" s="124">
        <v>222.75</v>
      </c>
      <c r="H37" t="s">
        <v>243</v>
      </c>
      <c r="I37" s="34">
        <v>2</v>
      </c>
    </row>
    <row r="38" spans="1:9" x14ac:dyDescent="0.3">
      <c r="A38">
        <v>6</v>
      </c>
      <c r="B38" t="s">
        <v>239</v>
      </c>
      <c r="C38" t="s">
        <v>193</v>
      </c>
      <c r="D38" t="s">
        <v>188</v>
      </c>
      <c r="E38" t="s">
        <v>75</v>
      </c>
      <c r="F38" s="57" t="s">
        <v>75</v>
      </c>
      <c r="G38" s="124">
        <v>218.4</v>
      </c>
      <c r="H38" t="s">
        <v>243</v>
      </c>
      <c r="I38" s="34">
        <v>6</v>
      </c>
    </row>
    <row r="39" spans="1:9" x14ac:dyDescent="0.3">
      <c r="A39">
        <v>8</v>
      </c>
      <c r="B39" t="s">
        <v>239</v>
      </c>
      <c r="C39" t="s">
        <v>192</v>
      </c>
      <c r="D39" t="s">
        <v>188</v>
      </c>
      <c r="E39" t="s">
        <v>75</v>
      </c>
      <c r="F39" s="57" t="s">
        <v>75</v>
      </c>
      <c r="G39" s="124">
        <v>210</v>
      </c>
      <c r="H39" t="s">
        <v>245</v>
      </c>
      <c r="I39" s="34">
        <v>8</v>
      </c>
    </row>
    <row r="40" spans="1:9" x14ac:dyDescent="0.3">
      <c r="A40">
        <v>7</v>
      </c>
      <c r="B40" t="s">
        <v>239</v>
      </c>
      <c r="C40" t="s">
        <v>192</v>
      </c>
      <c r="D40" t="s">
        <v>188</v>
      </c>
      <c r="E40" t="s">
        <v>75</v>
      </c>
      <c r="F40" s="57" t="s">
        <v>75</v>
      </c>
      <c r="G40" s="124">
        <v>200</v>
      </c>
      <c r="H40" t="s">
        <v>245</v>
      </c>
      <c r="I40" s="34">
        <v>7</v>
      </c>
    </row>
    <row r="41" spans="1:9" x14ac:dyDescent="0.3">
      <c r="A41">
        <v>10</v>
      </c>
      <c r="B41" t="s">
        <v>239</v>
      </c>
      <c r="C41" t="s">
        <v>191</v>
      </c>
      <c r="D41" t="s">
        <v>238</v>
      </c>
      <c r="E41" t="s">
        <v>75</v>
      </c>
      <c r="F41" s="57" t="s">
        <v>75</v>
      </c>
      <c r="G41" s="124">
        <v>200</v>
      </c>
      <c r="H41" t="s">
        <v>246</v>
      </c>
      <c r="I41" s="34">
        <v>10</v>
      </c>
    </row>
    <row r="42" spans="1:9" x14ac:dyDescent="0.3">
      <c r="A42">
        <v>8</v>
      </c>
      <c r="B42" t="s">
        <v>239</v>
      </c>
      <c r="C42" t="s">
        <v>192</v>
      </c>
      <c r="D42" t="s">
        <v>195</v>
      </c>
      <c r="E42" t="s">
        <v>75</v>
      </c>
      <c r="F42" s="57" t="s">
        <v>75</v>
      </c>
      <c r="G42" s="124">
        <v>196</v>
      </c>
      <c r="H42" t="s">
        <v>247</v>
      </c>
      <c r="I42" s="34">
        <v>8</v>
      </c>
    </row>
    <row r="43" spans="1:9" x14ac:dyDescent="0.3">
      <c r="A43">
        <v>5</v>
      </c>
      <c r="B43" t="s">
        <v>239</v>
      </c>
      <c r="C43" t="s">
        <v>193</v>
      </c>
      <c r="D43" t="s">
        <v>195</v>
      </c>
      <c r="E43" t="s">
        <v>75</v>
      </c>
      <c r="F43" s="57" t="s">
        <v>75</v>
      </c>
      <c r="G43" s="124">
        <v>195.8</v>
      </c>
      <c r="H43" t="s">
        <v>244</v>
      </c>
      <c r="I43" s="34">
        <v>5</v>
      </c>
    </row>
    <row r="44" spans="1:9" x14ac:dyDescent="0.3">
      <c r="A44">
        <v>9</v>
      </c>
      <c r="B44" t="s">
        <v>239</v>
      </c>
      <c r="C44" t="s">
        <v>192</v>
      </c>
      <c r="D44" t="s">
        <v>188</v>
      </c>
      <c r="E44" t="s">
        <v>75</v>
      </c>
      <c r="F44" s="57" t="s">
        <v>75</v>
      </c>
      <c r="G44" s="124">
        <v>195</v>
      </c>
      <c r="H44" t="s">
        <v>245</v>
      </c>
      <c r="I44" s="34">
        <v>9</v>
      </c>
    </row>
    <row r="45" spans="1:9" x14ac:dyDescent="0.3">
      <c r="A45">
        <v>5</v>
      </c>
      <c r="B45" t="s">
        <v>239</v>
      </c>
      <c r="C45" t="s">
        <v>192</v>
      </c>
      <c r="D45" t="s">
        <v>188</v>
      </c>
      <c r="E45" t="s">
        <v>75</v>
      </c>
      <c r="F45" s="57" t="s">
        <v>75</v>
      </c>
      <c r="G45" s="124">
        <v>194</v>
      </c>
      <c r="H45" t="s">
        <v>245</v>
      </c>
      <c r="I45" s="34">
        <v>5</v>
      </c>
    </row>
    <row r="46" spans="1:9" x14ac:dyDescent="0.3">
      <c r="A46">
        <v>5</v>
      </c>
      <c r="B46" t="s">
        <v>239</v>
      </c>
      <c r="C46" t="s">
        <v>193</v>
      </c>
      <c r="D46" t="s">
        <v>188</v>
      </c>
      <c r="E46" t="s">
        <v>75</v>
      </c>
      <c r="F46" s="57" t="s">
        <v>75</v>
      </c>
      <c r="G46" s="124">
        <v>194</v>
      </c>
      <c r="H46" t="s">
        <v>243</v>
      </c>
      <c r="I46" s="34">
        <v>5</v>
      </c>
    </row>
    <row r="47" spans="1:9" x14ac:dyDescent="0.3">
      <c r="A47">
        <v>12</v>
      </c>
      <c r="B47" t="s">
        <v>239</v>
      </c>
      <c r="C47" t="s">
        <v>193</v>
      </c>
      <c r="D47" t="s">
        <v>195</v>
      </c>
      <c r="E47" t="s">
        <v>75</v>
      </c>
      <c r="F47" s="57" t="s">
        <v>75</v>
      </c>
      <c r="G47" s="124">
        <v>192</v>
      </c>
      <c r="H47" t="s">
        <v>244</v>
      </c>
      <c r="I47" s="34">
        <v>12</v>
      </c>
    </row>
    <row r="48" spans="1:9" x14ac:dyDescent="0.3">
      <c r="A48" s="53">
        <v>11</v>
      </c>
      <c r="B48" t="s">
        <v>239</v>
      </c>
      <c r="C48" s="53" t="s">
        <v>193</v>
      </c>
      <c r="D48" s="53" t="s">
        <v>188</v>
      </c>
      <c r="E48" s="53" t="s">
        <v>75</v>
      </c>
      <c r="F48" s="57" t="s">
        <v>75</v>
      </c>
      <c r="G48" s="124">
        <v>190.3</v>
      </c>
      <c r="H48" s="53" t="s">
        <v>243</v>
      </c>
      <c r="I48" s="77">
        <v>11</v>
      </c>
    </row>
    <row r="49" spans="1:9" x14ac:dyDescent="0.3">
      <c r="A49">
        <v>7</v>
      </c>
      <c r="B49" t="s">
        <v>239</v>
      </c>
      <c r="C49" t="s">
        <v>192</v>
      </c>
      <c r="D49" t="s">
        <v>195</v>
      </c>
      <c r="E49" t="s">
        <v>75</v>
      </c>
      <c r="F49" s="57" t="s">
        <v>75</v>
      </c>
      <c r="G49" s="124">
        <v>188</v>
      </c>
      <c r="H49" t="s">
        <v>247</v>
      </c>
      <c r="I49" s="34">
        <v>7</v>
      </c>
    </row>
    <row r="50" spans="1:9" x14ac:dyDescent="0.3">
      <c r="A50">
        <v>10</v>
      </c>
      <c r="B50" t="s">
        <v>239</v>
      </c>
      <c r="C50" t="s">
        <v>192</v>
      </c>
      <c r="D50" t="s">
        <v>188</v>
      </c>
      <c r="E50" t="s">
        <v>75</v>
      </c>
      <c r="F50" s="57" t="s">
        <v>75</v>
      </c>
      <c r="G50" s="124">
        <v>185</v>
      </c>
      <c r="H50" t="s">
        <v>245</v>
      </c>
      <c r="I50" s="34">
        <v>10</v>
      </c>
    </row>
    <row r="51" spans="1:9" x14ac:dyDescent="0.3">
      <c r="A51">
        <v>3</v>
      </c>
      <c r="B51" t="s">
        <v>239</v>
      </c>
      <c r="C51" t="s">
        <v>192</v>
      </c>
      <c r="D51" t="s">
        <v>188</v>
      </c>
      <c r="E51" s="1" t="s">
        <v>75</v>
      </c>
      <c r="F51" s="54" t="s">
        <v>75</v>
      </c>
      <c r="G51" s="124">
        <v>184.99700000000001</v>
      </c>
      <c r="H51" t="s">
        <v>245</v>
      </c>
      <c r="I51" s="34">
        <v>3</v>
      </c>
    </row>
    <row r="52" spans="1:9" x14ac:dyDescent="0.3">
      <c r="A52">
        <v>6</v>
      </c>
      <c r="B52" t="s">
        <v>239</v>
      </c>
      <c r="C52" t="s">
        <v>193</v>
      </c>
      <c r="D52" t="s">
        <v>195</v>
      </c>
      <c r="E52" t="s">
        <v>75</v>
      </c>
      <c r="F52" s="57" t="s">
        <v>75</v>
      </c>
      <c r="G52" s="124">
        <v>182.4</v>
      </c>
      <c r="H52" t="s">
        <v>244</v>
      </c>
      <c r="I52" s="34">
        <v>6</v>
      </c>
    </row>
    <row r="53" spans="1:9" x14ac:dyDescent="0.3">
      <c r="A53">
        <v>5</v>
      </c>
      <c r="B53" t="s">
        <v>239</v>
      </c>
      <c r="C53" t="s">
        <v>192</v>
      </c>
      <c r="D53" t="s">
        <v>195</v>
      </c>
      <c r="E53" t="s">
        <v>75</v>
      </c>
      <c r="F53" s="57" t="s">
        <v>75</v>
      </c>
      <c r="G53" s="124">
        <v>178</v>
      </c>
      <c r="H53" t="s">
        <v>247</v>
      </c>
      <c r="I53" s="34">
        <v>5</v>
      </c>
    </row>
    <row r="54" spans="1:9" x14ac:dyDescent="0.3">
      <c r="A54">
        <v>12</v>
      </c>
      <c r="B54" t="s">
        <v>239</v>
      </c>
      <c r="C54" t="s">
        <v>192</v>
      </c>
      <c r="D54" t="s">
        <v>188</v>
      </c>
      <c r="E54" t="s">
        <v>75</v>
      </c>
      <c r="F54" s="57" t="s">
        <v>75</v>
      </c>
      <c r="G54" s="124">
        <v>175</v>
      </c>
      <c r="H54" t="s">
        <v>245</v>
      </c>
      <c r="I54" s="34">
        <v>12</v>
      </c>
    </row>
    <row r="55" spans="1:9" x14ac:dyDescent="0.3">
      <c r="A55">
        <v>9</v>
      </c>
      <c r="B55" t="s">
        <v>239</v>
      </c>
      <c r="C55" t="s">
        <v>192</v>
      </c>
      <c r="D55" t="s">
        <v>195</v>
      </c>
      <c r="E55" t="s">
        <v>75</v>
      </c>
      <c r="F55" s="57" t="s">
        <v>75</v>
      </c>
      <c r="G55" s="124">
        <v>175</v>
      </c>
      <c r="H55" t="s">
        <v>247</v>
      </c>
      <c r="I55" s="34">
        <v>9</v>
      </c>
    </row>
    <row r="56" spans="1:9" x14ac:dyDescent="0.3">
      <c r="A56" s="53">
        <v>11</v>
      </c>
      <c r="B56" t="s">
        <v>239</v>
      </c>
      <c r="C56" s="53" t="s">
        <v>192</v>
      </c>
      <c r="D56" s="53" t="s">
        <v>188</v>
      </c>
      <c r="E56" s="53" t="s">
        <v>75</v>
      </c>
      <c r="F56" s="57" t="s">
        <v>75</v>
      </c>
      <c r="G56" s="124">
        <v>173</v>
      </c>
      <c r="H56" s="53" t="s">
        <v>245</v>
      </c>
      <c r="I56" s="77">
        <v>11</v>
      </c>
    </row>
    <row r="57" spans="1:9" x14ac:dyDescent="0.3">
      <c r="A57">
        <v>6</v>
      </c>
      <c r="B57" t="s">
        <v>239</v>
      </c>
      <c r="C57" t="s">
        <v>192</v>
      </c>
      <c r="D57" t="s">
        <v>188</v>
      </c>
      <c r="E57" t="s">
        <v>75</v>
      </c>
      <c r="F57" s="57" t="s">
        <v>75</v>
      </c>
      <c r="G57" s="124">
        <v>168</v>
      </c>
      <c r="H57" t="s">
        <v>245</v>
      </c>
      <c r="I57" s="34">
        <v>6</v>
      </c>
    </row>
    <row r="58" spans="1:9" x14ac:dyDescent="0.3">
      <c r="A58">
        <v>10</v>
      </c>
      <c r="B58" t="s">
        <v>239</v>
      </c>
      <c r="C58" t="s">
        <v>192</v>
      </c>
      <c r="D58" t="s">
        <v>195</v>
      </c>
      <c r="E58" t="s">
        <v>75</v>
      </c>
      <c r="F58" s="57" t="s">
        <v>75</v>
      </c>
      <c r="G58" s="124">
        <v>167</v>
      </c>
      <c r="H58" t="s">
        <v>247</v>
      </c>
      <c r="I58" s="34">
        <v>10</v>
      </c>
    </row>
    <row r="59" spans="1:9" x14ac:dyDescent="0.3">
      <c r="A59">
        <v>10</v>
      </c>
      <c r="B59" t="s">
        <v>239</v>
      </c>
      <c r="C59" t="s">
        <v>193</v>
      </c>
      <c r="D59" t="s">
        <v>195</v>
      </c>
      <c r="E59" t="s">
        <v>75</v>
      </c>
      <c r="F59" s="57" t="s">
        <v>75</v>
      </c>
      <c r="G59" s="124">
        <v>167</v>
      </c>
      <c r="H59" t="s">
        <v>244</v>
      </c>
      <c r="I59" s="34">
        <v>10</v>
      </c>
    </row>
    <row r="60" spans="1:9" x14ac:dyDescent="0.3">
      <c r="A60">
        <v>2</v>
      </c>
      <c r="B60" t="s">
        <v>239</v>
      </c>
      <c r="C60" t="s">
        <v>192</v>
      </c>
      <c r="D60" t="s">
        <v>188</v>
      </c>
      <c r="E60" s="1" t="s">
        <v>75</v>
      </c>
      <c r="F60" s="32" t="s">
        <v>75</v>
      </c>
      <c r="G60" s="124">
        <v>165</v>
      </c>
      <c r="H60" t="s">
        <v>245</v>
      </c>
      <c r="I60" s="34">
        <v>2</v>
      </c>
    </row>
    <row r="61" spans="1:9" x14ac:dyDescent="0.3">
      <c r="A61" s="53">
        <v>11</v>
      </c>
      <c r="B61" t="s">
        <v>239</v>
      </c>
      <c r="C61" s="53" t="s">
        <v>192</v>
      </c>
      <c r="D61" s="53" t="s">
        <v>195</v>
      </c>
      <c r="E61" s="53" t="s">
        <v>75</v>
      </c>
      <c r="F61" s="57" t="s">
        <v>75</v>
      </c>
      <c r="G61" s="124">
        <v>162</v>
      </c>
      <c r="H61" t="s">
        <v>247</v>
      </c>
      <c r="I61" s="34">
        <v>11</v>
      </c>
    </row>
    <row r="62" spans="1:9" x14ac:dyDescent="0.3">
      <c r="A62">
        <v>4</v>
      </c>
      <c r="B62" t="s">
        <v>239</v>
      </c>
      <c r="C62" t="s">
        <v>192</v>
      </c>
      <c r="D62" t="s">
        <v>188</v>
      </c>
      <c r="E62" s="1" t="s">
        <v>75</v>
      </c>
      <c r="F62" s="54" t="s">
        <v>75</v>
      </c>
      <c r="G62" s="124">
        <v>160</v>
      </c>
      <c r="H62" t="s">
        <v>245</v>
      </c>
      <c r="I62" s="34">
        <v>4</v>
      </c>
    </row>
    <row r="63" spans="1:9" x14ac:dyDescent="0.3">
      <c r="A63">
        <v>2</v>
      </c>
      <c r="B63" t="s">
        <v>239</v>
      </c>
      <c r="C63" t="s">
        <v>192</v>
      </c>
      <c r="D63" t="s">
        <v>195</v>
      </c>
      <c r="E63" s="1" t="s">
        <v>75</v>
      </c>
      <c r="F63" s="32" t="s">
        <v>75</v>
      </c>
      <c r="G63" s="124">
        <v>160</v>
      </c>
      <c r="H63" t="s">
        <v>247</v>
      </c>
      <c r="I63" s="34">
        <v>2</v>
      </c>
    </row>
    <row r="64" spans="1:9" x14ac:dyDescent="0.3">
      <c r="A64">
        <v>12</v>
      </c>
      <c r="B64" t="s">
        <v>239</v>
      </c>
      <c r="C64" t="s">
        <v>192</v>
      </c>
      <c r="D64" t="s">
        <v>195</v>
      </c>
      <c r="E64" t="s">
        <v>75</v>
      </c>
      <c r="F64" s="57" t="s">
        <v>75</v>
      </c>
      <c r="G64" s="124">
        <v>160</v>
      </c>
      <c r="H64" t="s">
        <v>247</v>
      </c>
      <c r="I64" s="34">
        <v>12</v>
      </c>
    </row>
    <row r="65" spans="1:9" x14ac:dyDescent="0.3">
      <c r="A65">
        <v>3</v>
      </c>
      <c r="B65" t="s">
        <v>239</v>
      </c>
      <c r="C65" t="s">
        <v>192</v>
      </c>
      <c r="D65" t="s">
        <v>195</v>
      </c>
      <c r="E65" s="1" t="s">
        <v>75</v>
      </c>
      <c r="F65" s="54" t="s">
        <v>75</v>
      </c>
      <c r="G65" s="124">
        <v>158</v>
      </c>
      <c r="H65" t="s">
        <v>247</v>
      </c>
      <c r="I65" s="34">
        <v>3</v>
      </c>
    </row>
    <row r="66" spans="1:9" x14ac:dyDescent="0.3">
      <c r="A66">
        <v>1</v>
      </c>
      <c r="B66" t="s">
        <v>239</v>
      </c>
      <c r="C66" t="s">
        <v>192</v>
      </c>
      <c r="D66" t="s">
        <v>188</v>
      </c>
      <c r="E66" s="1" t="s">
        <v>75</v>
      </c>
      <c r="F66" s="32" t="s">
        <v>75</v>
      </c>
      <c r="G66" s="124">
        <v>155</v>
      </c>
      <c r="H66" t="s">
        <v>245</v>
      </c>
      <c r="I66" s="34">
        <v>1</v>
      </c>
    </row>
    <row r="67" spans="1:9" x14ac:dyDescent="0.3">
      <c r="A67">
        <v>6</v>
      </c>
      <c r="B67" t="s">
        <v>239</v>
      </c>
      <c r="C67" t="s">
        <v>192</v>
      </c>
      <c r="D67" t="s">
        <v>195</v>
      </c>
      <c r="E67" t="s">
        <v>75</v>
      </c>
      <c r="F67" s="57" t="s">
        <v>75</v>
      </c>
      <c r="G67" s="124">
        <v>152</v>
      </c>
      <c r="H67" t="s">
        <v>247</v>
      </c>
      <c r="I67" s="34">
        <v>6</v>
      </c>
    </row>
    <row r="68" spans="1:9" x14ac:dyDescent="0.3">
      <c r="A68">
        <v>1</v>
      </c>
      <c r="B68" t="s">
        <v>239</v>
      </c>
      <c r="C68" t="s">
        <v>192</v>
      </c>
      <c r="D68" t="s">
        <v>195</v>
      </c>
      <c r="E68" s="1" t="s">
        <v>75</v>
      </c>
      <c r="F68" s="32" t="s">
        <v>75</v>
      </c>
      <c r="G68" s="124">
        <v>148.28479999999999</v>
      </c>
      <c r="H68" t="s">
        <v>247</v>
      </c>
      <c r="I68" s="34">
        <v>1</v>
      </c>
    </row>
    <row r="69" spans="1:9" x14ac:dyDescent="0.3">
      <c r="A69">
        <v>3</v>
      </c>
      <c r="B69" t="s">
        <v>239</v>
      </c>
      <c r="C69" t="s">
        <v>193</v>
      </c>
      <c r="D69" t="s">
        <v>188</v>
      </c>
      <c r="E69" s="1" t="s">
        <v>75</v>
      </c>
      <c r="F69" s="32" t="s">
        <v>75</v>
      </c>
      <c r="G69" s="124">
        <v>147.99760000000001</v>
      </c>
      <c r="H69" t="s">
        <v>243</v>
      </c>
      <c r="I69" s="34">
        <v>3</v>
      </c>
    </row>
    <row r="70" spans="1:9" x14ac:dyDescent="0.3">
      <c r="A70">
        <v>4</v>
      </c>
      <c r="B70" t="s">
        <v>239</v>
      </c>
      <c r="C70" t="s">
        <v>192</v>
      </c>
      <c r="D70" t="s">
        <v>195</v>
      </c>
      <c r="E70" s="1" t="s">
        <v>75</v>
      </c>
      <c r="F70" s="54" t="s">
        <v>75</v>
      </c>
      <c r="G70" s="124">
        <v>147</v>
      </c>
      <c r="H70" t="s">
        <v>247</v>
      </c>
      <c r="I70" s="34">
        <v>4</v>
      </c>
    </row>
    <row r="71" spans="1:9" x14ac:dyDescent="0.3">
      <c r="A71">
        <v>4</v>
      </c>
      <c r="B71" t="s">
        <v>239</v>
      </c>
      <c r="C71" t="s">
        <v>193</v>
      </c>
      <c r="D71" t="s">
        <v>188</v>
      </c>
      <c r="E71" s="1" t="s">
        <v>75</v>
      </c>
      <c r="F71" s="54" t="s">
        <v>75</v>
      </c>
      <c r="G71" s="124">
        <v>120</v>
      </c>
      <c r="H71" t="s">
        <v>243</v>
      </c>
      <c r="I71" s="34">
        <v>4</v>
      </c>
    </row>
    <row r="72" spans="1:9" x14ac:dyDescent="0.3">
      <c r="A72">
        <v>4</v>
      </c>
      <c r="B72" t="s">
        <v>239</v>
      </c>
      <c r="C72" t="s">
        <v>193</v>
      </c>
      <c r="D72" t="s">
        <v>195</v>
      </c>
      <c r="E72" s="1" t="s">
        <v>75</v>
      </c>
      <c r="F72" s="54" t="s">
        <v>75</v>
      </c>
      <c r="G72" s="124">
        <v>117.6</v>
      </c>
      <c r="H72" t="s">
        <v>244</v>
      </c>
      <c r="I72" s="34">
        <v>4</v>
      </c>
    </row>
    <row r="73" spans="1:9" x14ac:dyDescent="0.3">
      <c r="A73">
        <v>8</v>
      </c>
      <c r="B73" t="s">
        <v>239</v>
      </c>
      <c r="C73" t="s">
        <v>192</v>
      </c>
      <c r="D73" t="s">
        <v>238</v>
      </c>
      <c r="E73" t="s">
        <v>75</v>
      </c>
      <c r="F73" s="57" t="s">
        <v>75</v>
      </c>
      <c r="G73" s="124">
        <v>117</v>
      </c>
      <c r="H73" t="s">
        <v>248</v>
      </c>
      <c r="I73" s="34">
        <v>8</v>
      </c>
    </row>
    <row r="74" spans="1:9" x14ac:dyDescent="0.3">
      <c r="A74" s="53">
        <v>11</v>
      </c>
      <c r="B74" t="s">
        <v>239</v>
      </c>
      <c r="C74" s="53" t="s">
        <v>193</v>
      </c>
      <c r="D74" s="53" t="s">
        <v>195</v>
      </c>
      <c r="E74" s="53" t="s">
        <v>75</v>
      </c>
      <c r="F74" s="57" t="s">
        <v>75</v>
      </c>
      <c r="G74" s="124">
        <v>113.4</v>
      </c>
      <c r="H74" t="s">
        <v>244</v>
      </c>
      <c r="I74" s="34">
        <v>11</v>
      </c>
    </row>
    <row r="75" spans="1:9" x14ac:dyDescent="0.3">
      <c r="A75">
        <v>3</v>
      </c>
      <c r="B75" t="s">
        <v>239</v>
      </c>
      <c r="C75" t="s">
        <v>193</v>
      </c>
      <c r="D75" t="s">
        <v>195</v>
      </c>
      <c r="E75" s="1" t="s">
        <v>75</v>
      </c>
      <c r="F75" s="32" t="s">
        <v>75</v>
      </c>
      <c r="G75" s="124">
        <v>102.7</v>
      </c>
      <c r="H75" t="s">
        <v>244</v>
      </c>
      <c r="I75" s="34">
        <v>3</v>
      </c>
    </row>
    <row r="76" spans="1:9" x14ac:dyDescent="0.3">
      <c r="A76">
        <v>3</v>
      </c>
      <c r="B76" t="s">
        <v>239</v>
      </c>
      <c r="C76" t="s">
        <v>191</v>
      </c>
      <c r="D76" t="s">
        <v>238</v>
      </c>
      <c r="E76" s="1" t="s">
        <v>75</v>
      </c>
      <c r="F76" s="54" t="s">
        <v>75</v>
      </c>
      <c r="G76" s="124">
        <v>100</v>
      </c>
      <c r="H76" t="s">
        <v>246</v>
      </c>
      <c r="I76" s="34">
        <v>3</v>
      </c>
    </row>
    <row r="77" spans="1:9" x14ac:dyDescent="0.3">
      <c r="A77">
        <v>4</v>
      </c>
      <c r="B77" t="s">
        <v>239</v>
      </c>
      <c r="C77" t="s">
        <v>191</v>
      </c>
      <c r="D77" t="s">
        <v>238</v>
      </c>
      <c r="E77" s="1" t="s">
        <v>75</v>
      </c>
      <c r="F77" s="54" t="s">
        <v>75</v>
      </c>
      <c r="G77" s="124">
        <v>100</v>
      </c>
      <c r="H77" s="53" t="s">
        <v>246</v>
      </c>
      <c r="I77" s="77">
        <v>4</v>
      </c>
    </row>
    <row r="78" spans="1:9" x14ac:dyDescent="0.3">
      <c r="A78" s="53">
        <v>11</v>
      </c>
      <c r="B78" t="s">
        <v>239</v>
      </c>
      <c r="C78" s="53" t="s">
        <v>191</v>
      </c>
      <c r="D78" s="53" t="s">
        <v>238</v>
      </c>
      <c r="E78" s="53" t="s">
        <v>75</v>
      </c>
      <c r="F78" s="57" t="s">
        <v>75</v>
      </c>
      <c r="G78" s="124">
        <v>100</v>
      </c>
      <c r="H78" t="s">
        <v>246</v>
      </c>
      <c r="I78" s="34">
        <v>11</v>
      </c>
    </row>
    <row r="79" spans="1:9" x14ac:dyDescent="0.3">
      <c r="A79">
        <v>12</v>
      </c>
      <c r="B79" t="s">
        <v>239</v>
      </c>
      <c r="C79" t="s">
        <v>191</v>
      </c>
      <c r="D79" t="s">
        <v>238</v>
      </c>
      <c r="E79" t="s">
        <v>75</v>
      </c>
      <c r="F79" s="57" t="s">
        <v>75</v>
      </c>
      <c r="G79" s="124">
        <v>100</v>
      </c>
      <c r="H79" t="s">
        <v>246</v>
      </c>
      <c r="I79" s="34">
        <v>12</v>
      </c>
    </row>
    <row r="80" spans="1:9" x14ac:dyDescent="0.3">
      <c r="A80">
        <v>9</v>
      </c>
      <c r="B80" t="s">
        <v>239</v>
      </c>
      <c r="C80" t="s">
        <v>192</v>
      </c>
      <c r="D80" t="s">
        <v>238</v>
      </c>
      <c r="E80" t="s">
        <v>75</v>
      </c>
      <c r="F80" s="57" t="s">
        <v>75</v>
      </c>
      <c r="G80" s="124">
        <v>95</v>
      </c>
      <c r="H80" t="s">
        <v>248</v>
      </c>
      <c r="I80" s="34">
        <v>9</v>
      </c>
    </row>
    <row r="81" spans="1:9" x14ac:dyDescent="0.3">
      <c r="A81">
        <v>10</v>
      </c>
      <c r="B81" t="s">
        <v>239</v>
      </c>
      <c r="C81" t="s">
        <v>192</v>
      </c>
      <c r="D81" t="s">
        <v>238</v>
      </c>
      <c r="E81" t="s">
        <v>75</v>
      </c>
      <c r="F81" s="57" t="s">
        <v>75</v>
      </c>
      <c r="G81" s="124">
        <v>95</v>
      </c>
      <c r="H81" t="s">
        <v>248</v>
      </c>
      <c r="I81" s="34">
        <v>10</v>
      </c>
    </row>
    <row r="82" spans="1:9" x14ac:dyDescent="0.3">
      <c r="A82">
        <v>1</v>
      </c>
      <c r="B82" t="s">
        <v>239</v>
      </c>
      <c r="C82" t="s">
        <v>192</v>
      </c>
      <c r="D82" t="s">
        <v>238</v>
      </c>
      <c r="E82" s="1" t="s">
        <v>75</v>
      </c>
      <c r="F82" s="32" t="s">
        <v>75</v>
      </c>
      <c r="G82" s="124">
        <v>90</v>
      </c>
      <c r="H82" t="s">
        <v>248</v>
      </c>
      <c r="I82" s="34">
        <v>1</v>
      </c>
    </row>
    <row r="83" spans="1:9" x14ac:dyDescent="0.3">
      <c r="A83" s="53">
        <v>11</v>
      </c>
      <c r="B83" t="s">
        <v>239</v>
      </c>
      <c r="C83" s="53" t="s">
        <v>192</v>
      </c>
      <c r="D83" s="53" t="s">
        <v>238</v>
      </c>
      <c r="E83" s="53" t="s">
        <v>75</v>
      </c>
      <c r="F83" s="57" t="s">
        <v>75</v>
      </c>
      <c r="G83" s="124">
        <v>88</v>
      </c>
      <c r="H83" s="53" t="s">
        <v>248</v>
      </c>
      <c r="I83" s="77">
        <v>11</v>
      </c>
    </row>
    <row r="84" spans="1:9" x14ac:dyDescent="0.3">
      <c r="A84">
        <v>12</v>
      </c>
      <c r="B84" t="s">
        <v>239</v>
      </c>
      <c r="C84" t="s">
        <v>192</v>
      </c>
      <c r="D84" t="s">
        <v>238</v>
      </c>
      <c r="E84" t="s">
        <v>75</v>
      </c>
      <c r="F84" s="57" t="s">
        <v>75</v>
      </c>
      <c r="G84" s="124">
        <v>87.004999999999995</v>
      </c>
      <c r="H84" t="s">
        <v>248</v>
      </c>
      <c r="I84" s="34">
        <v>12</v>
      </c>
    </row>
    <row r="85" spans="1:9" x14ac:dyDescent="0.3">
      <c r="A85">
        <v>5</v>
      </c>
      <c r="B85" t="s">
        <v>239</v>
      </c>
      <c r="C85" t="s">
        <v>192</v>
      </c>
      <c r="D85" t="s">
        <v>238</v>
      </c>
      <c r="E85" t="s">
        <v>75</v>
      </c>
      <c r="F85" s="57" t="s">
        <v>75</v>
      </c>
      <c r="G85" s="124">
        <v>85</v>
      </c>
      <c r="H85" t="s">
        <v>248</v>
      </c>
      <c r="I85" s="34">
        <v>5</v>
      </c>
    </row>
    <row r="86" spans="1:9" x14ac:dyDescent="0.3">
      <c r="A86">
        <v>7</v>
      </c>
      <c r="B86" t="s">
        <v>239</v>
      </c>
      <c r="C86" t="s">
        <v>192</v>
      </c>
      <c r="D86" t="s">
        <v>238</v>
      </c>
      <c r="E86" t="s">
        <v>75</v>
      </c>
      <c r="F86" s="57" t="s">
        <v>75</v>
      </c>
      <c r="G86" s="124">
        <v>85</v>
      </c>
      <c r="H86" t="s">
        <v>248</v>
      </c>
      <c r="I86" s="34">
        <v>7</v>
      </c>
    </row>
    <row r="87" spans="1:9" x14ac:dyDescent="0.3">
      <c r="A87">
        <v>6</v>
      </c>
      <c r="B87" t="s">
        <v>239</v>
      </c>
      <c r="C87" t="s">
        <v>192</v>
      </c>
      <c r="D87" t="s">
        <v>238</v>
      </c>
      <c r="E87" t="s">
        <v>75</v>
      </c>
      <c r="F87" s="57" t="s">
        <v>75</v>
      </c>
      <c r="G87" s="124">
        <v>80</v>
      </c>
      <c r="H87" t="s">
        <v>248</v>
      </c>
      <c r="I87" s="34">
        <v>6</v>
      </c>
    </row>
    <row r="88" spans="1:9" x14ac:dyDescent="0.3">
      <c r="A88">
        <v>2</v>
      </c>
      <c r="B88" t="s">
        <v>239</v>
      </c>
      <c r="C88" t="s">
        <v>192</v>
      </c>
      <c r="D88" t="s">
        <v>238</v>
      </c>
      <c r="E88" s="1" t="s">
        <v>75</v>
      </c>
      <c r="F88" s="32" t="s">
        <v>75</v>
      </c>
      <c r="G88" s="124">
        <v>75</v>
      </c>
      <c r="H88" t="s">
        <v>248</v>
      </c>
      <c r="I88" s="34">
        <v>2</v>
      </c>
    </row>
    <row r="89" spans="1:9" x14ac:dyDescent="0.3">
      <c r="A89">
        <v>3</v>
      </c>
      <c r="B89" t="s">
        <v>239</v>
      </c>
      <c r="C89" t="s">
        <v>192</v>
      </c>
      <c r="D89" t="s">
        <v>238</v>
      </c>
      <c r="E89" s="1" t="s">
        <v>75</v>
      </c>
      <c r="F89" s="54" t="s">
        <v>75</v>
      </c>
      <c r="G89" s="124">
        <v>75</v>
      </c>
      <c r="H89" t="s">
        <v>248</v>
      </c>
      <c r="I89" s="34">
        <v>3</v>
      </c>
    </row>
    <row r="90" spans="1:9" x14ac:dyDescent="0.3">
      <c r="A90">
        <v>4</v>
      </c>
      <c r="B90" t="s">
        <v>239</v>
      </c>
      <c r="C90" t="s">
        <v>192</v>
      </c>
      <c r="D90" t="s">
        <v>238</v>
      </c>
      <c r="E90" s="1" t="s">
        <v>75</v>
      </c>
      <c r="F90" s="54" t="s">
        <v>75</v>
      </c>
      <c r="G90" s="124">
        <v>70</v>
      </c>
      <c r="H90" t="s">
        <v>248</v>
      </c>
      <c r="I90" s="34">
        <v>4</v>
      </c>
    </row>
    <row r="91" spans="1:9" x14ac:dyDescent="0.3">
      <c r="A91">
        <v>2</v>
      </c>
      <c r="B91" t="s">
        <v>239</v>
      </c>
      <c r="C91" t="s">
        <v>191</v>
      </c>
      <c r="D91" t="s">
        <v>238</v>
      </c>
      <c r="E91" s="1" t="s">
        <v>75</v>
      </c>
      <c r="F91" s="31" t="s">
        <v>75</v>
      </c>
      <c r="G91" s="124">
        <v>50</v>
      </c>
      <c r="H91" t="s">
        <v>246</v>
      </c>
      <c r="I91" s="34">
        <v>2</v>
      </c>
    </row>
    <row r="92" spans="1:9" x14ac:dyDescent="0.3">
      <c r="A92" s="53">
        <v>5</v>
      </c>
      <c r="B92" t="s">
        <v>239</v>
      </c>
      <c r="C92" s="53" t="s">
        <v>191</v>
      </c>
      <c r="D92" s="53" t="s">
        <v>238</v>
      </c>
      <c r="E92" s="55" t="s">
        <v>75</v>
      </c>
      <c r="F92" s="54" t="s">
        <v>75</v>
      </c>
      <c r="G92" s="124">
        <v>50</v>
      </c>
      <c r="H92" s="53" t="s">
        <v>246</v>
      </c>
      <c r="I92" s="77">
        <v>5</v>
      </c>
    </row>
    <row r="93" spans="1:9" x14ac:dyDescent="0.3">
      <c r="A93">
        <v>6</v>
      </c>
      <c r="B93" t="s">
        <v>239</v>
      </c>
      <c r="C93" t="s">
        <v>191</v>
      </c>
      <c r="D93" t="s">
        <v>238</v>
      </c>
      <c r="E93" t="s">
        <v>75</v>
      </c>
      <c r="F93" s="57" t="s">
        <v>75</v>
      </c>
      <c r="G93" s="124">
        <v>50</v>
      </c>
      <c r="H93" s="53" t="s">
        <v>246</v>
      </c>
      <c r="I93" s="77">
        <v>6</v>
      </c>
    </row>
    <row r="94" spans="1:9" x14ac:dyDescent="0.3">
      <c r="A94">
        <v>7</v>
      </c>
      <c r="B94" t="s">
        <v>239</v>
      </c>
      <c r="C94" t="s">
        <v>191</v>
      </c>
      <c r="D94" t="s">
        <v>238</v>
      </c>
      <c r="E94" t="s">
        <v>75</v>
      </c>
      <c r="F94" s="57" t="s">
        <v>75</v>
      </c>
      <c r="G94" s="124">
        <v>50</v>
      </c>
      <c r="H94" s="53" t="s">
        <v>246</v>
      </c>
      <c r="I94" s="77">
        <v>7</v>
      </c>
    </row>
    <row r="95" spans="1:9" x14ac:dyDescent="0.3">
      <c r="A95">
        <v>9</v>
      </c>
      <c r="B95" t="s">
        <v>239</v>
      </c>
      <c r="C95" t="s">
        <v>191</v>
      </c>
      <c r="D95" t="s">
        <v>238</v>
      </c>
      <c r="E95" t="s">
        <v>75</v>
      </c>
      <c r="F95" s="57" t="s">
        <v>75</v>
      </c>
      <c r="G95" s="124">
        <v>50</v>
      </c>
      <c r="H95" t="s">
        <v>246</v>
      </c>
      <c r="I95" s="34">
        <v>9</v>
      </c>
    </row>
    <row r="96" spans="1:9" x14ac:dyDescent="0.3">
      <c r="A96">
        <v>1</v>
      </c>
      <c r="B96" t="s">
        <v>239</v>
      </c>
      <c r="C96" t="s">
        <v>191</v>
      </c>
      <c r="D96" t="s">
        <v>238</v>
      </c>
      <c r="E96" s="1" t="s">
        <v>75</v>
      </c>
      <c r="F96" s="32" t="s">
        <v>75</v>
      </c>
      <c r="G96" s="124">
        <v>20</v>
      </c>
      <c r="H96" s="53" t="s">
        <v>246</v>
      </c>
      <c r="I96" s="77">
        <v>1</v>
      </c>
    </row>
    <row r="97" spans="1:9" x14ac:dyDescent="0.3">
      <c r="A97">
        <v>8</v>
      </c>
      <c r="B97" t="s">
        <v>239</v>
      </c>
      <c r="C97" t="s">
        <v>191</v>
      </c>
      <c r="D97" t="s">
        <v>238</v>
      </c>
      <c r="E97" t="s">
        <v>75</v>
      </c>
      <c r="F97" s="57" t="s">
        <v>75</v>
      </c>
      <c r="G97" s="124">
        <v>20</v>
      </c>
      <c r="H97" t="s">
        <v>246</v>
      </c>
      <c r="I97" s="34">
        <v>8</v>
      </c>
    </row>
    <row r="98" spans="1:9" x14ac:dyDescent="0.3">
      <c r="A98">
        <v>10</v>
      </c>
      <c r="B98" t="s">
        <v>239</v>
      </c>
      <c r="C98" t="s">
        <v>193</v>
      </c>
      <c r="D98" t="s">
        <v>238</v>
      </c>
      <c r="E98" t="s">
        <v>75</v>
      </c>
      <c r="F98" s="57" t="s">
        <v>75</v>
      </c>
      <c r="G98" s="124">
        <v>19</v>
      </c>
      <c r="H98" s="53" t="s">
        <v>249</v>
      </c>
      <c r="I98" s="77">
        <v>10</v>
      </c>
    </row>
    <row r="99" spans="1:9" x14ac:dyDescent="0.3">
      <c r="A99" s="53">
        <v>11</v>
      </c>
      <c r="B99" t="s">
        <v>239</v>
      </c>
      <c r="C99" s="53" t="s">
        <v>193</v>
      </c>
      <c r="D99" s="53" t="s">
        <v>238</v>
      </c>
      <c r="E99" s="53" t="s">
        <v>75</v>
      </c>
      <c r="F99" s="57" t="s">
        <v>75</v>
      </c>
      <c r="G99" s="124">
        <v>8.8000000000000007</v>
      </c>
      <c r="H99" t="s">
        <v>249</v>
      </c>
      <c r="I99" s="34">
        <v>11</v>
      </c>
    </row>
    <row r="100" spans="1:9" x14ac:dyDescent="0.3">
      <c r="A100">
        <v>12</v>
      </c>
      <c r="B100" t="s">
        <v>239</v>
      </c>
      <c r="C100" t="s">
        <v>193</v>
      </c>
      <c r="D100" t="s">
        <v>238</v>
      </c>
      <c r="E100" t="s">
        <v>75</v>
      </c>
      <c r="F100" s="57" t="s">
        <v>75</v>
      </c>
      <c r="G100" s="124">
        <v>8.7004999999999999</v>
      </c>
      <c r="H100" t="s">
        <v>249</v>
      </c>
      <c r="I100" s="34">
        <v>12</v>
      </c>
    </row>
    <row r="101" spans="1:9" x14ac:dyDescent="0.3">
      <c r="A101">
        <v>3</v>
      </c>
      <c r="B101" t="s">
        <v>239</v>
      </c>
      <c r="C101" t="s">
        <v>193</v>
      </c>
      <c r="D101" t="s">
        <v>238</v>
      </c>
      <c r="E101" s="1" t="s">
        <v>75</v>
      </c>
      <c r="F101" s="32" t="s">
        <v>75</v>
      </c>
      <c r="G101" s="124">
        <v>7.5</v>
      </c>
      <c r="H101" t="s">
        <v>249</v>
      </c>
      <c r="I101" s="34">
        <v>3</v>
      </c>
    </row>
    <row r="102" spans="1:9" x14ac:dyDescent="0.3">
      <c r="A102">
        <v>4</v>
      </c>
      <c r="B102" t="s">
        <v>239</v>
      </c>
      <c r="C102" t="s">
        <v>193</v>
      </c>
      <c r="D102" t="s">
        <v>238</v>
      </c>
      <c r="E102" s="1" t="s">
        <v>75</v>
      </c>
      <c r="F102" s="54" t="s">
        <v>75</v>
      </c>
      <c r="G102" s="124">
        <v>7</v>
      </c>
      <c r="H102" t="s">
        <v>249</v>
      </c>
      <c r="I102" s="34">
        <v>4</v>
      </c>
    </row>
    <row r="103" spans="1:9" x14ac:dyDescent="0.3">
      <c r="A103">
        <v>9</v>
      </c>
      <c r="B103" t="s">
        <v>239</v>
      </c>
      <c r="C103" t="s">
        <v>193</v>
      </c>
      <c r="D103" t="s">
        <v>238</v>
      </c>
      <c r="E103" t="s">
        <v>75</v>
      </c>
      <c r="F103" s="57" t="s">
        <v>75</v>
      </c>
      <c r="G103" s="124">
        <v>4.75</v>
      </c>
      <c r="H103" t="s">
        <v>249</v>
      </c>
      <c r="I103" s="34">
        <v>9</v>
      </c>
    </row>
    <row r="104" spans="1:9" x14ac:dyDescent="0.3">
      <c r="A104">
        <v>5</v>
      </c>
      <c r="B104" t="s">
        <v>239</v>
      </c>
      <c r="C104" t="s">
        <v>193</v>
      </c>
      <c r="D104" t="s">
        <v>238</v>
      </c>
      <c r="E104" t="s">
        <v>75</v>
      </c>
      <c r="F104" s="57" t="s">
        <v>75</v>
      </c>
      <c r="G104" s="124">
        <v>4.25</v>
      </c>
      <c r="H104" s="53" t="s">
        <v>249</v>
      </c>
      <c r="I104" s="77">
        <v>5</v>
      </c>
    </row>
    <row r="105" spans="1:9" x14ac:dyDescent="0.3">
      <c r="A105">
        <v>7</v>
      </c>
      <c r="B105" t="s">
        <v>239</v>
      </c>
      <c r="C105" t="s">
        <v>193</v>
      </c>
      <c r="D105" t="s">
        <v>238</v>
      </c>
      <c r="E105" t="s">
        <v>75</v>
      </c>
      <c r="F105" s="57" t="s">
        <v>75</v>
      </c>
      <c r="G105" s="124">
        <v>4.25</v>
      </c>
      <c r="H105" s="53" t="s">
        <v>249</v>
      </c>
      <c r="I105" s="77">
        <v>7</v>
      </c>
    </row>
    <row r="106" spans="1:9" x14ac:dyDescent="0.3">
      <c r="A106">
        <v>6</v>
      </c>
      <c r="B106" t="s">
        <v>239</v>
      </c>
      <c r="C106" t="s">
        <v>193</v>
      </c>
      <c r="D106" t="s">
        <v>238</v>
      </c>
      <c r="E106" t="s">
        <v>75</v>
      </c>
      <c r="F106" s="57" t="s">
        <v>75</v>
      </c>
      <c r="G106" s="124">
        <v>4</v>
      </c>
      <c r="H106" t="s">
        <v>249</v>
      </c>
      <c r="I106" s="34">
        <v>6</v>
      </c>
    </row>
    <row r="107" spans="1:9" x14ac:dyDescent="0.3">
      <c r="A107">
        <v>2</v>
      </c>
      <c r="B107" t="s">
        <v>239</v>
      </c>
      <c r="C107" t="s">
        <v>193</v>
      </c>
      <c r="D107" t="s">
        <v>238</v>
      </c>
      <c r="E107" s="1" t="s">
        <v>75</v>
      </c>
      <c r="F107" s="54" t="s">
        <v>75</v>
      </c>
      <c r="G107" s="124">
        <v>3.75</v>
      </c>
      <c r="H107" t="s">
        <v>249</v>
      </c>
      <c r="I107" s="34">
        <v>2</v>
      </c>
    </row>
    <row r="108" spans="1:9" x14ac:dyDescent="0.3">
      <c r="A108">
        <v>8</v>
      </c>
      <c r="B108" t="s">
        <v>239</v>
      </c>
      <c r="C108" t="s">
        <v>193</v>
      </c>
      <c r="D108" t="s">
        <v>238</v>
      </c>
      <c r="E108" t="s">
        <v>75</v>
      </c>
      <c r="F108" s="57" t="s">
        <v>75</v>
      </c>
      <c r="G108" s="124">
        <v>2.34</v>
      </c>
      <c r="H108" t="s">
        <v>249</v>
      </c>
      <c r="I108" s="34">
        <v>8</v>
      </c>
    </row>
    <row r="109" spans="1:9" x14ac:dyDescent="0.3">
      <c r="A109">
        <v>1</v>
      </c>
      <c r="B109" t="s">
        <v>239</v>
      </c>
      <c r="C109" t="s">
        <v>193</v>
      </c>
      <c r="D109" t="s">
        <v>238</v>
      </c>
      <c r="E109" s="1" t="s">
        <v>75</v>
      </c>
      <c r="F109" s="31" t="s">
        <v>75</v>
      </c>
      <c r="G109" s="124">
        <v>1.8</v>
      </c>
      <c r="H109" s="53" t="s">
        <v>249</v>
      </c>
      <c r="I109" s="77">
        <v>1</v>
      </c>
    </row>
    <row r="110" spans="1:9" x14ac:dyDescent="0.3">
      <c r="A110">
        <v>8</v>
      </c>
      <c r="B110" t="s">
        <v>239</v>
      </c>
      <c r="C110" t="s">
        <v>191</v>
      </c>
      <c r="D110" t="s">
        <v>188</v>
      </c>
      <c r="E110" t="s">
        <v>78</v>
      </c>
      <c r="F110" s="57" t="s">
        <v>78</v>
      </c>
      <c r="G110" s="124">
        <v>11500</v>
      </c>
      <c r="H110" s="53" t="s">
        <v>250</v>
      </c>
      <c r="I110" s="77">
        <v>8</v>
      </c>
    </row>
    <row r="111" spans="1:9" x14ac:dyDescent="0.3">
      <c r="A111">
        <v>7</v>
      </c>
      <c r="B111" t="s">
        <v>239</v>
      </c>
      <c r="C111" t="s">
        <v>191</v>
      </c>
      <c r="D111" t="s">
        <v>188</v>
      </c>
      <c r="E111" t="s">
        <v>78</v>
      </c>
      <c r="F111" s="57" t="s">
        <v>78</v>
      </c>
      <c r="G111" s="124">
        <v>8800</v>
      </c>
      <c r="H111" s="53" t="s">
        <v>250</v>
      </c>
      <c r="I111" s="77">
        <v>7</v>
      </c>
    </row>
    <row r="112" spans="1:9" x14ac:dyDescent="0.3">
      <c r="A112">
        <v>6</v>
      </c>
      <c r="B112" t="s">
        <v>239</v>
      </c>
      <c r="C112" t="s">
        <v>191</v>
      </c>
      <c r="D112" t="s">
        <v>188</v>
      </c>
      <c r="E112" t="s">
        <v>78</v>
      </c>
      <c r="F112" s="57" t="s">
        <v>78</v>
      </c>
      <c r="G112" s="124">
        <v>7300</v>
      </c>
      <c r="H112" t="s">
        <v>250</v>
      </c>
      <c r="I112" s="34">
        <v>6</v>
      </c>
    </row>
    <row r="113" spans="1:9" x14ac:dyDescent="0.3">
      <c r="A113">
        <v>1</v>
      </c>
      <c r="B113" t="s">
        <v>239</v>
      </c>
      <c r="C113" t="s">
        <v>191</v>
      </c>
      <c r="D113" t="s">
        <v>188</v>
      </c>
      <c r="E113" s="1" t="s">
        <v>78</v>
      </c>
      <c r="F113" s="54" t="s">
        <v>78</v>
      </c>
      <c r="G113" s="124">
        <v>6500</v>
      </c>
      <c r="H113" t="s">
        <v>250</v>
      </c>
      <c r="I113" s="34">
        <v>1</v>
      </c>
    </row>
    <row r="114" spans="1:9" x14ac:dyDescent="0.3">
      <c r="A114">
        <v>2</v>
      </c>
      <c r="B114" t="s">
        <v>239</v>
      </c>
      <c r="C114" t="s">
        <v>191</v>
      </c>
      <c r="D114" t="s">
        <v>188</v>
      </c>
      <c r="E114" s="1" t="s">
        <v>78</v>
      </c>
      <c r="F114" s="31" t="s">
        <v>78</v>
      </c>
      <c r="G114" s="124">
        <v>6450</v>
      </c>
      <c r="H114" t="s">
        <v>250</v>
      </c>
      <c r="I114" s="34">
        <v>2</v>
      </c>
    </row>
    <row r="115" spans="1:9" x14ac:dyDescent="0.3">
      <c r="A115">
        <v>12</v>
      </c>
      <c r="B115" t="s">
        <v>239</v>
      </c>
      <c r="C115" t="s">
        <v>191</v>
      </c>
      <c r="D115" t="s">
        <v>188</v>
      </c>
      <c r="E115" t="s">
        <v>78</v>
      </c>
      <c r="F115" s="57" t="s">
        <v>78</v>
      </c>
      <c r="G115" s="124">
        <v>5600</v>
      </c>
      <c r="H115" t="s">
        <v>250</v>
      </c>
      <c r="I115" s="34">
        <v>12</v>
      </c>
    </row>
    <row r="116" spans="1:9" x14ac:dyDescent="0.3">
      <c r="A116">
        <v>4</v>
      </c>
      <c r="B116" t="s">
        <v>239</v>
      </c>
      <c r="C116" t="s">
        <v>191</v>
      </c>
      <c r="D116" t="s">
        <v>188</v>
      </c>
      <c r="E116" s="1" t="s">
        <v>78</v>
      </c>
      <c r="F116" s="31" t="s">
        <v>78</v>
      </c>
      <c r="G116" s="124">
        <v>4500</v>
      </c>
      <c r="H116" t="s">
        <v>250</v>
      </c>
      <c r="I116" s="34">
        <v>4</v>
      </c>
    </row>
    <row r="117" spans="1:9" x14ac:dyDescent="0.3">
      <c r="A117">
        <v>9</v>
      </c>
      <c r="B117" t="s">
        <v>239</v>
      </c>
      <c r="C117" t="s">
        <v>191</v>
      </c>
      <c r="D117" t="s">
        <v>188</v>
      </c>
      <c r="E117" t="s">
        <v>78</v>
      </c>
      <c r="F117" s="57" t="s">
        <v>78</v>
      </c>
      <c r="G117" s="124">
        <v>4350</v>
      </c>
      <c r="H117" t="s">
        <v>250</v>
      </c>
      <c r="I117" s="34">
        <v>9</v>
      </c>
    </row>
    <row r="118" spans="1:9" x14ac:dyDescent="0.3">
      <c r="A118">
        <v>2</v>
      </c>
      <c r="B118" t="s">
        <v>239</v>
      </c>
      <c r="C118" t="s">
        <v>191</v>
      </c>
      <c r="D118" t="s">
        <v>195</v>
      </c>
      <c r="E118" s="1" t="s">
        <v>78</v>
      </c>
      <c r="F118" s="31" t="s">
        <v>78</v>
      </c>
      <c r="G118" s="124">
        <v>4300</v>
      </c>
      <c r="H118" t="s">
        <v>251</v>
      </c>
      <c r="I118" s="34">
        <v>2</v>
      </c>
    </row>
    <row r="119" spans="1:9" x14ac:dyDescent="0.3">
      <c r="A119">
        <v>5</v>
      </c>
      <c r="B119" t="s">
        <v>239</v>
      </c>
      <c r="C119" t="s">
        <v>191</v>
      </c>
      <c r="D119" t="s">
        <v>188</v>
      </c>
      <c r="E119" s="1" t="s">
        <v>78</v>
      </c>
      <c r="F119" s="54" t="s">
        <v>78</v>
      </c>
      <c r="G119" s="124">
        <v>4200</v>
      </c>
      <c r="H119" t="s">
        <v>250</v>
      </c>
      <c r="I119" s="34">
        <v>5</v>
      </c>
    </row>
    <row r="120" spans="1:9" x14ac:dyDescent="0.3">
      <c r="A120">
        <v>10</v>
      </c>
      <c r="B120" t="s">
        <v>239</v>
      </c>
      <c r="C120" t="s">
        <v>191</v>
      </c>
      <c r="D120" t="s">
        <v>188</v>
      </c>
      <c r="E120" t="s">
        <v>78</v>
      </c>
      <c r="F120" s="57" t="s">
        <v>78</v>
      </c>
      <c r="G120" s="124">
        <v>4200</v>
      </c>
      <c r="H120" t="s">
        <v>250</v>
      </c>
      <c r="I120" s="34">
        <v>10</v>
      </c>
    </row>
    <row r="121" spans="1:9" x14ac:dyDescent="0.3">
      <c r="A121">
        <v>1</v>
      </c>
      <c r="B121" t="s">
        <v>239</v>
      </c>
      <c r="C121" t="s">
        <v>191</v>
      </c>
      <c r="D121" t="s">
        <v>195</v>
      </c>
      <c r="E121" s="1" t="s">
        <v>78</v>
      </c>
      <c r="F121" s="54" t="s">
        <v>78</v>
      </c>
      <c r="G121" s="124">
        <v>4000</v>
      </c>
      <c r="H121" t="s">
        <v>251</v>
      </c>
      <c r="I121" s="34">
        <v>1</v>
      </c>
    </row>
    <row r="122" spans="1:9" x14ac:dyDescent="0.3">
      <c r="A122">
        <v>3</v>
      </c>
      <c r="B122" t="s">
        <v>239</v>
      </c>
      <c r="C122" t="s">
        <v>191</v>
      </c>
      <c r="D122" t="s">
        <v>188</v>
      </c>
      <c r="E122" s="1" t="s">
        <v>78</v>
      </c>
      <c r="F122" s="54" t="s">
        <v>78</v>
      </c>
      <c r="G122" s="124">
        <v>3400</v>
      </c>
      <c r="H122" t="s">
        <v>250</v>
      </c>
      <c r="I122" s="34">
        <v>3</v>
      </c>
    </row>
    <row r="123" spans="1:9" x14ac:dyDescent="0.3">
      <c r="A123">
        <v>12</v>
      </c>
      <c r="B123" t="s">
        <v>239</v>
      </c>
      <c r="C123" t="s">
        <v>191</v>
      </c>
      <c r="D123" t="s">
        <v>195</v>
      </c>
      <c r="E123" t="s">
        <v>78</v>
      </c>
      <c r="F123" s="57" t="s">
        <v>78</v>
      </c>
      <c r="G123" s="124">
        <v>3300</v>
      </c>
      <c r="H123" t="s">
        <v>251</v>
      </c>
      <c r="I123" s="34">
        <v>12</v>
      </c>
    </row>
    <row r="124" spans="1:9" x14ac:dyDescent="0.3">
      <c r="A124" s="53">
        <v>11</v>
      </c>
      <c r="B124" t="s">
        <v>239</v>
      </c>
      <c r="C124" s="53" t="s">
        <v>191</v>
      </c>
      <c r="D124" s="53" t="s">
        <v>188</v>
      </c>
      <c r="E124" s="53" t="s">
        <v>78</v>
      </c>
      <c r="F124" s="57" t="s">
        <v>78</v>
      </c>
      <c r="G124" s="124">
        <v>2800</v>
      </c>
      <c r="H124" t="s">
        <v>250</v>
      </c>
      <c r="I124" s="34">
        <v>11</v>
      </c>
    </row>
    <row r="125" spans="1:9" x14ac:dyDescent="0.3">
      <c r="A125">
        <v>8</v>
      </c>
      <c r="B125" t="s">
        <v>239</v>
      </c>
      <c r="C125" t="s">
        <v>191</v>
      </c>
      <c r="D125" t="s">
        <v>195</v>
      </c>
      <c r="E125" t="s">
        <v>78</v>
      </c>
      <c r="F125" s="57" t="s">
        <v>78</v>
      </c>
      <c r="G125" s="124">
        <v>2800</v>
      </c>
      <c r="H125" t="s">
        <v>251</v>
      </c>
      <c r="I125" s="34">
        <v>8</v>
      </c>
    </row>
    <row r="126" spans="1:9" x14ac:dyDescent="0.3">
      <c r="A126">
        <v>7</v>
      </c>
      <c r="B126" t="s">
        <v>239</v>
      </c>
      <c r="C126" t="s">
        <v>191</v>
      </c>
      <c r="D126" t="s">
        <v>195</v>
      </c>
      <c r="E126" t="s">
        <v>78</v>
      </c>
      <c r="F126" s="57" t="s">
        <v>78</v>
      </c>
      <c r="G126" s="124">
        <v>2700</v>
      </c>
      <c r="H126" t="s">
        <v>251</v>
      </c>
      <c r="I126" s="34">
        <v>7</v>
      </c>
    </row>
    <row r="127" spans="1:9" x14ac:dyDescent="0.3">
      <c r="A127">
        <v>12</v>
      </c>
      <c r="B127" t="s">
        <v>239</v>
      </c>
      <c r="C127" t="s">
        <v>191</v>
      </c>
      <c r="D127" t="s">
        <v>238</v>
      </c>
      <c r="E127" t="s">
        <v>78</v>
      </c>
      <c r="F127" s="57" t="s">
        <v>78</v>
      </c>
      <c r="G127" s="124">
        <v>2500</v>
      </c>
      <c r="H127" s="53" t="s">
        <v>252</v>
      </c>
      <c r="I127" s="77">
        <v>12</v>
      </c>
    </row>
    <row r="128" spans="1:9" x14ac:dyDescent="0.3">
      <c r="A128">
        <v>8</v>
      </c>
      <c r="B128" t="s">
        <v>239</v>
      </c>
      <c r="C128" t="s">
        <v>193</v>
      </c>
      <c r="D128" t="s">
        <v>188</v>
      </c>
      <c r="E128" t="s">
        <v>78</v>
      </c>
      <c r="F128" s="57" t="s">
        <v>78</v>
      </c>
      <c r="G128" s="124">
        <v>2357.5</v>
      </c>
      <c r="H128" s="53" t="s">
        <v>253</v>
      </c>
      <c r="I128" s="77">
        <v>8</v>
      </c>
    </row>
    <row r="129" spans="1:9" x14ac:dyDescent="0.3">
      <c r="A129">
        <v>2</v>
      </c>
      <c r="B129" t="s">
        <v>239</v>
      </c>
      <c r="C129" t="s">
        <v>191</v>
      </c>
      <c r="D129" t="s">
        <v>238</v>
      </c>
      <c r="E129" s="1" t="s">
        <v>78</v>
      </c>
      <c r="F129" s="31" t="s">
        <v>78</v>
      </c>
      <c r="G129" s="124">
        <v>2000</v>
      </c>
      <c r="H129" t="s">
        <v>252</v>
      </c>
      <c r="I129" s="34">
        <v>2</v>
      </c>
    </row>
    <row r="130" spans="1:9" x14ac:dyDescent="0.3">
      <c r="A130">
        <v>10</v>
      </c>
      <c r="B130" t="s">
        <v>239</v>
      </c>
      <c r="C130" t="s">
        <v>191</v>
      </c>
      <c r="D130" t="s">
        <v>195</v>
      </c>
      <c r="E130" t="s">
        <v>78</v>
      </c>
      <c r="F130" s="57" t="s">
        <v>78</v>
      </c>
      <c r="G130" s="124">
        <v>1800</v>
      </c>
      <c r="H130" t="s">
        <v>251</v>
      </c>
      <c r="I130" s="34">
        <v>10</v>
      </c>
    </row>
    <row r="131" spans="1:9" x14ac:dyDescent="0.3">
      <c r="A131">
        <v>7</v>
      </c>
      <c r="B131" t="s">
        <v>239</v>
      </c>
      <c r="C131" t="s">
        <v>193</v>
      </c>
      <c r="D131" t="s">
        <v>188</v>
      </c>
      <c r="E131" t="s">
        <v>78</v>
      </c>
      <c r="F131" s="57" t="s">
        <v>78</v>
      </c>
      <c r="G131" s="124">
        <v>1690.2002602410971</v>
      </c>
      <c r="H131" t="s">
        <v>253</v>
      </c>
      <c r="I131" s="34">
        <v>7</v>
      </c>
    </row>
    <row r="132" spans="1:9" x14ac:dyDescent="0.3">
      <c r="A132">
        <v>1</v>
      </c>
      <c r="B132" t="s">
        <v>239</v>
      </c>
      <c r="C132" t="s">
        <v>191</v>
      </c>
      <c r="D132" t="s">
        <v>238</v>
      </c>
      <c r="E132" s="1" t="s">
        <v>78</v>
      </c>
      <c r="F132" s="54" t="s">
        <v>78</v>
      </c>
      <c r="G132" s="124">
        <v>1500</v>
      </c>
      <c r="H132" t="s">
        <v>252</v>
      </c>
      <c r="I132" s="34">
        <v>1</v>
      </c>
    </row>
    <row r="133" spans="1:9" x14ac:dyDescent="0.3">
      <c r="A133">
        <v>9</v>
      </c>
      <c r="B133" t="s">
        <v>239</v>
      </c>
      <c r="C133" t="s">
        <v>191</v>
      </c>
      <c r="D133" t="s">
        <v>195</v>
      </c>
      <c r="E133" t="s">
        <v>78</v>
      </c>
      <c r="F133" s="57" t="s">
        <v>78</v>
      </c>
      <c r="G133" s="124">
        <v>1500</v>
      </c>
      <c r="H133" t="s">
        <v>251</v>
      </c>
      <c r="I133" s="34">
        <v>9</v>
      </c>
    </row>
    <row r="134" spans="1:9" x14ac:dyDescent="0.3">
      <c r="A134">
        <v>1</v>
      </c>
      <c r="B134" t="s">
        <v>239</v>
      </c>
      <c r="C134" t="s">
        <v>193</v>
      </c>
      <c r="D134" t="s">
        <v>188</v>
      </c>
      <c r="E134" s="1" t="s">
        <v>78</v>
      </c>
      <c r="F134" s="31" t="s">
        <v>78</v>
      </c>
      <c r="G134" s="124">
        <v>1404</v>
      </c>
      <c r="H134" t="s">
        <v>253</v>
      </c>
      <c r="I134" s="34">
        <v>1</v>
      </c>
    </row>
    <row r="135" spans="1:9" x14ac:dyDescent="0.3">
      <c r="A135">
        <v>2</v>
      </c>
      <c r="B135" t="s">
        <v>239</v>
      </c>
      <c r="C135" t="s">
        <v>193</v>
      </c>
      <c r="D135" t="s">
        <v>188</v>
      </c>
      <c r="E135" s="1" t="s">
        <v>78</v>
      </c>
      <c r="F135" s="54" t="s">
        <v>78</v>
      </c>
      <c r="G135" s="124">
        <v>1125.9994101913746</v>
      </c>
      <c r="H135" t="s">
        <v>253</v>
      </c>
      <c r="I135" s="34">
        <v>2</v>
      </c>
    </row>
    <row r="136" spans="1:9" x14ac:dyDescent="0.3">
      <c r="A136">
        <v>6</v>
      </c>
      <c r="B136" t="s">
        <v>239</v>
      </c>
      <c r="C136" t="s">
        <v>191</v>
      </c>
      <c r="D136" t="s">
        <v>195</v>
      </c>
      <c r="E136" t="s">
        <v>78</v>
      </c>
      <c r="F136" s="57" t="s">
        <v>78</v>
      </c>
      <c r="G136" s="124">
        <v>1100</v>
      </c>
      <c r="H136" t="s">
        <v>251</v>
      </c>
      <c r="I136" s="34">
        <v>6</v>
      </c>
    </row>
    <row r="137" spans="1:9" x14ac:dyDescent="0.3">
      <c r="A137" s="53">
        <v>11</v>
      </c>
      <c r="B137" t="s">
        <v>239</v>
      </c>
      <c r="C137" s="53" t="s">
        <v>191</v>
      </c>
      <c r="D137" s="53" t="s">
        <v>195</v>
      </c>
      <c r="E137" s="53" t="s">
        <v>78</v>
      </c>
      <c r="F137" s="57" t="s">
        <v>78</v>
      </c>
      <c r="G137" s="124">
        <v>1100</v>
      </c>
      <c r="H137" t="s">
        <v>251</v>
      </c>
      <c r="I137" s="34">
        <v>11</v>
      </c>
    </row>
    <row r="138" spans="1:9" x14ac:dyDescent="0.3">
      <c r="A138">
        <v>6</v>
      </c>
      <c r="B138" t="s">
        <v>239</v>
      </c>
      <c r="C138" t="s">
        <v>193</v>
      </c>
      <c r="D138" t="s">
        <v>188</v>
      </c>
      <c r="E138" t="s">
        <v>78</v>
      </c>
      <c r="F138" s="57" t="s">
        <v>78</v>
      </c>
      <c r="G138" s="124">
        <v>1018.2721347388436</v>
      </c>
      <c r="H138" t="s">
        <v>253</v>
      </c>
      <c r="I138" s="34">
        <v>6</v>
      </c>
    </row>
    <row r="139" spans="1:9" x14ac:dyDescent="0.3">
      <c r="A139">
        <v>5</v>
      </c>
      <c r="B139" t="s">
        <v>239</v>
      </c>
      <c r="C139" t="s">
        <v>191</v>
      </c>
      <c r="D139" t="s">
        <v>195</v>
      </c>
      <c r="E139" s="1" t="s">
        <v>78</v>
      </c>
      <c r="F139" s="54" t="s">
        <v>78</v>
      </c>
      <c r="G139" s="124">
        <v>1000</v>
      </c>
      <c r="H139" t="s">
        <v>251</v>
      </c>
      <c r="I139" s="34">
        <v>5</v>
      </c>
    </row>
    <row r="140" spans="1:9" x14ac:dyDescent="0.3">
      <c r="A140">
        <v>12</v>
      </c>
      <c r="B140" t="s">
        <v>239</v>
      </c>
      <c r="C140" t="s">
        <v>193</v>
      </c>
      <c r="D140" t="s">
        <v>188</v>
      </c>
      <c r="E140" t="s">
        <v>78</v>
      </c>
      <c r="F140" s="57" t="s">
        <v>78</v>
      </c>
      <c r="G140" s="124">
        <v>985.6</v>
      </c>
      <c r="H140" t="s">
        <v>253</v>
      </c>
      <c r="I140" s="34">
        <v>12</v>
      </c>
    </row>
    <row r="141" spans="1:9" x14ac:dyDescent="0.3">
      <c r="A141">
        <v>10</v>
      </c>
      <c r="B141" t="s">
        <v>239</v>
      </c>
      <c r="C141" t="s">
        <v>193</v>
      </c>
      <c r="D141" t="s">
        <v>188</v>
      </c>
      <c r="E141" t="s">
        <v>78</v>
      </c>
      <c r="F141" s="57" t="s">
        <v>78</v>
      </c>
      <c r="G141" s="124">
        <v>903</v>
      </c>
      <c r="H141" s="53" t="s">
        <v>253</v>
      </c>
      <c r="I141" s="77">
        <v>10</v>
      </c>
    </row>
    <row r="142" spans="1:9" x14ac:dyDescent="0.3">
      <c r="A142">
        <v>3</v>
      </c>
      <c r="B142" t="s">
        <v>239</v>
      </c>
      <c r="C142" t="s">
        <v>191</v>
      </c>
      <c r="D142" t="s">
        <v>195</v>
      </c>
      <c r="E142" s="1" t="s">
        <v>78</v>
      </c>
      <c r="F142" s="54" t="s">
        <v>78</v>
      </c>
      <c r="G142" s="124">
        <v>900</v>
      </c>
      <c r="H142" t="s">
        <v>251</v>
      </c>
      <c r="I142" s="34">
        <v>3</v>
      </c>
    </row>
    <row r="143" spans="1:9" x14ac:dyDescent="0.3">
      <c r="A143">
        <v>1</v>
      </c>
      <c r="B143" t="s">
        <v>239</v>
      </c>
      <c r="C143" t="s">
        <v>193</v>
      </c>
      <c r="D143" t="s">
        <v>195</v>
      </c>
      <c r="E143" s="1" t="s">
        <v>78</v>
      </c>
      <c r="F143" s="31" t="s">
        <v>78</v>
      </c>
      <c r="G143" s="124">
        <v>832</v>
      </c>
      <c r="H143" t="s">
        <v>254</v>
      </c>
      <c r="I143" s="34">
        <v>1</v>
      </c>
    </row>
    <row r="144" spans="1:9" x14ac:dyDescent="0.3">
      <c r="A144">
        <v>2</v>
      </c>
      <c r="B144" t="s">
        <v>239</v>
      </c>
      <c r="C144" t="s">
        <v>193</v>
      </c>
      <c r="D144" t="s">
        <v>195</v>
      </c>
      <c r="E144" s="1" t="s">
        <v>78</v>
      </c>
      <c r="F144" s="54" t="s">
        <v>78</v>
      </c>
      <c r="G144" s="124">
        <v>758.95975835643742</v>
      </c>
      <c r="H144" s="53" t="s">
        <v>254</v>
      </c>
      <c r="I144" s="77">
        <v>2</v>
      </c>
    </row>
    <row r="145" spans="1:9" x14ac:dyDescent="0.3">
      <c r="A145">
        <v>9</v>
      </c>
      <c r="B145" t="s">
        <v>239</v>
      </c>
      <c r="C145" t="s">
        <v>193</v>
      </c>
      <c r="D145" t="s">
        <v>188</v>
      </c>
      <c r="E145" t="s">
        <v>78</v>
      </c>
      <c r="F145" s="57" t="s">
        <v>78</v>
      </c>
      <c r="G145" s="124">
        <v>691.65</v>
      </c>
      <c r="H145" t="s">
        <v>253</v>
      </c>
      <c r="I145" s="34">
        <v>9</v>
      </c>
    </row>
    <row r="146" spans="1:9" x14ac:dyDescent="0.3">
      <c r="A146">
        <v>5</v>
      </c>
      <c r="B146" t="s">
        <v>239</v>
      </c>
      <c r="C146" t="s">
        <v>193</v>
      </c>
      <c r="D146" t="s">
        <v>188</v>
      </c>
      <c r="E146" t="s">
        <v>78</v>
      </c>
      <c r="F146" s="57" t="s">
        <v>78</v>
      </c>
      <c r="G146" s="124">
        <v>671.90465974831466</v>
      </c>
      <c r="H146" t="s">
        <v>253</v>
      </c>
      <c r="I146" s="34">
        <v>5</v>
      </c>
    </row>
    <row r="147" spans="1:9" x14ac:dyDescent="0.3">
      <c r="A147">
        <v>4</v>
      </c>
      <c r="B147" t="s">
        <v>239</v>
      </c>
      <c r="C147" t="s">
        <v>191</v>
      </c>
      <c r="D147" t="s">
        <v>195</v>
      </c>
      <c r="E147" s="1" t="s">
        <v>78</v>
      </c>
      <c r="F147" s="31" t="s">
        <v>78</v>
      </c>
      <c r="G147" s="124">
        <v>600</v>
      </c>
      <c r="H147" t="s">
        <v>251</v>
      </c>
      <c r="I147" s="34">
        <v>4</v>
      </c>
    </row>
    <row r="148" spans="1:9" x14ac:dyDescent="0.3">
      <c r="A148">
        <v>7</v>
      </c>
      <c r="B148" t="s">
        <v>239</v>
      </c>
      <c r="C148" t="s">
        <v>193</v>
      </c>
      <c r="D148" t="s">
        <v>195</v>
      </c>
      <c r="E148" t="s">
        <v>78</v>
      </c>
      <c r="F148" s="57" t="s">
        <v>78</v>
      </c>
      <c r="G148" s="124">
        <v>599.15631807875798</v>
      </c>
      <c r="H148" t="s">
        <v>254</v>
      </c>
      <c r="I148" s="34">
        <v>7</v>
      </c>
    </row>
    <row r="149" spans="1:9" x14ac:dyDescent="0.3">
      <c r="A149">
        <v>12</v>
      </c>
      <c r="B149" t="s">
        <v>239</v>
      </c>
      <c r="C149" t="s">
        <v>193</v>
      </c>
      <c r="D149" t="s">
        <v>195</v>
      </c>
      <c r="E149" t="s">
        <v>78</v>
      </c>
      <c r="F149" s="57" t="s">
        <v>78</v>
      </c>
      <c r="G149" s="124">
        <v>577.5</v>
      </c>
      <c r="H149" t="s">
        <v>254</v>
      </c>
      <c r="I149" s="34">
        <v>12</v>
      </c>
    </row>
    <row r="150" spans="1:9" x14ac:dyDescent="0.3">
      <c r="A150">
        <v>8</v>
      </c>
      <c r="B150" t="s">
        <v>239</v>
      </c>
      <c r="C150" t="s">
        <v>193</v>
      </c>
      <c r="D150" t="s">
        <v>195</v>
      </c>
      <c r="E150" t="s">
        <v>78</v>
      </c>
      <c r="F150" s="57" t="s">
        <v>78</v>
      </c>
      <c r="G150" s="124">
        <v>574</v>
      </c>
      <c r="H150" t="s">
        <v>254</v>
      </c>
      <c r="I150" s="34">
        <v>8</v>
      </c>
    </row>
    <row r="151" spans="1:9" x14ac:dyDescent="0.3">
      <c r="A151">
        <v>4</v>
      </c>
      <c r="B151" t="s">
        <v>239</v>
      </c>
      <c r="C151" t="s">
        <v>193</v>
      </c>
      <c r="D151" t="s">
        <v>188</v>
      </c>
      <c r="E151" s="1" t="s">
        <v>78</v>
      </c>
      <c r="F151" s="54" t="s">
        <v>78</v>
      </c>
      <c r="G151" s="124">
        <v>571.5</v>
      </c>
      <c r="H151" t="s">
        <v>253</v>
      </c>
      <c r="I151" s="34">
        <v>4</v>
      </c>
    </row>
    <row r="152" spans="1:9" x14ac:dyDescent="0.3">
      <c r="A152">
        <v>3</v>
      </c>
      <c r="B152" t="s">
        <v>239</v>
      </c>
      <c r="C152" t="s">
        <v>193</v>
      </c>
      <c r="D152" t="s">
        <v>188</v>
      </c>
      <c r="E152" s="1" t="s">
        <v>78</v>
      </c>
      <c r="F152" s="54" t="s">
        <v>78</v>
      </c>
      <c r="G152" s="124">
        <v>508.63242422690286</v>
      </c>
      <c r="H152" t="s">
        <v>253</v>
      </c>
      <c r="I152" s="34">
        <v>3</v>
      </c>
    </row>
    <row r="153" spans="1:9" x14ac:dyDescent="0.3">
      <c r="A153">
        <v>12</v>
      </c>
      <c r="B153" t="s">
        <v>239</v>
      </c>
      <c r="C153" t="s">
        <v>193</v>
      </c>
      <c r="D153" t="s">
        <v>238</v>
      </c>
      <c r="E153" t="s">
        <v>78</v>
      </c>
      <c r="F153" s="57" t="s">
        <v>78</v>
      </c>
      <c r="G153" s="124">
        <v>432.5</v>
      </c>
      <c r="H153" s="53" t="s">
        <v>255</v>
      </c>
      <c r="I153" s="77">
        <v>12</v>
      </c>
    </row>
    <row r="154" spans="1:9" x14ac:dyDescent="0.3">
      <c r="A154">
        <v>10</v>
      </c>
      <c r="B154" t="s">
        <v>239</v>
      </c>
      <c r="C154" t="s">
        <v>193</v>
      </c>
      <c r="D154" t="s">
        <v>195</v>
      </c>
      <c r="E154" t="s">
        <v>78</v>
      </c>
      <c r="F154" s="57" t="s">
        <v>78</v>
      </c>
      <c r="G154" s="124">
        <v>365.4</v>
      </c>
      <c r="H154" t="s">
        <v>254</v>
      </c>
      <c r="I154" s="34">
        <v>10</v>
      </c>
    </row>
    <row r="155" spans="1:9" x14ac:dyDescent="0.3">
      <c r="A155" s="53">
        <v>11</v>
      </c>
      <c r="B155" t="s">
        <v>239</v>
      </c>
      <c r="C155" s="53" t="s">
        <v>193</v>
      </c>
      <c r="D155" s="53" t="s">
        <v>188</v>
      </c>
      <c r="E155" s="53" t="s">
        <v>78</v>
      </c>
      <c r="F155" s="57" t="s">
        <v>78</v>
      </c>
      <c r="G155" s="124">
        <v>357</v>
      </c>
      <c r="H155" s="53" t="s">
        <v>253</v>
      </c>
      <c r="I155" s="77">
        <v>11</v>
      </c>
    </row>
    <row r="156" spans="1:9" x14ac:dyDescent="0.3">
      <c r="A156">
        <v>7</v>
      </c>
      <c r="B156" t="s">
        <v>239</v>
      </c>
      <c r="C156" t="s">
        <v>191</v>
      </c>
      <c r="D156" t="s">
        <v>238</v>
      </c>
      <c r="E156" t="s">
        <v>78</v>
      </c>
      <c r="F156" s="57" t="s">
        <v>78</v>
      </c>
      <c r="G156" s="124">
        <v>300</v>
      </c>
      <c r="H156" s="53" t="s">
        <v>252</v>
      </c>
      <c r="I156" s="77">
        <v>7</v>
      </c>
    </row>
    <row r="157" spans="1:9" x14ac:dyDescent="0.3">
      <c r="A157">
        <v>8</v>
      </c>
      <c r="B157" t="s">
        <v>239</v>
      </c>
      <c r="C157" t="s">
        <v>191</v>
      </c>
      <c r="D157" t="s">
        <v>238</v>
      </c>
      <c r="E157" t="s">
        <v>78</v>
      </c>
      <c r="F157" s="57" t="s">
        <v>78</v>
      </c>
      <c r="G157" s="124">
        <v>300</v>
      </c>
      <c r="H157" s="53" t="s">
        <v>252</v>
      </c>
      <c r="I157" s="77">
        <v>8</v>
      </c>
    </row>
    <row r="158" spans="1:9" x14ac:dyDescent="0.3">
      <c r="A158">
        <v>1</v>
      </c>
      <c r="B158" t="s">
        <v>239</v>
      </c>
      <c r="C158" t="s">
        <v>193</v>
      </c>
      <c r="D158" t="s">
        <v>238</v>
      </c>
      <c r="E158" s="1" t="s">
        <v>78</v>
      </c>
      <c r="F158" s="31" t="s">
        <v>78</v>
      </c>
      <c r="G158" s="124">
        <v>282.83438163779522</v>
      </c>
      <c r="H158" t="s">
        <v>255</v>
      </c>
      <c r="I158" s="34">
        <v>1</v>
      </c>
    </row>
    <row r="159" spans="1:9" x14ac:dyDescent="0.3">
      <c r="A159">
        <v>2</v>
      </c>
      <c r="B159" t="s">
        <v>239</v>
      </c>
      <c r="C159" t="s">
        <v>193</v>
      </c>
      <c r="D159" t="s">
        <v>238</v>
      </c>
      <c r="E159" s="1" t="s">
        <v>78</v>
      </c>
      <c r="F159" s="54" t="s">
        <v>78</v>
      </c>
      <c r="G159" s="124">
        <v>239.00469402061856</v>
      </c>
      <c r="H159" t="s">
        <v>255</v>
      </c>
      <c r="I159" s="34">
        <v>2</v>
      </c>
    </row>
    <row r="160" spans="1:9" x14ac:dyDescent="0.3">
      <c r="A160">
        <v>9</v>
      </c>
      <c r="B160" t="s">
        <v>239</v>
      </c>
      <c r="C160" t="s">
        <v>193</v>
      </c>
      <c r="D160" t="s">
        <v>195</v>
      </c>
      <c r="E160" t="s">
        <v>78</v>
      </c>
      <c r="F160" s="57" t="s">
        <v>78</v>
      </c>
      <c r="G160" s="124">
        <v>235.5</v>
      </c>
      <c r="H160" t="s">
        <v>254</v>
      </c>
      <c r="I160" s="34">
        <v>9</v>
      </c>
    </row>
    <row r="161" spans="1:9" x14ac:dyDescent="0.3">
      <c r="A161">
        <v>7</v>
      </c>
      <c r="B161" t="s">
        <v>239</v>
      </c>
      <c r="C161" t="s">
        <v>192</v>
      </c>
      <c r="D161" t="s">
        <v>195</v>
      </c>
      <c r="E161" t="s">
        <v>78</v>
      </c>
      <c r="F161" s="57" t="s">
        <v>78</v>
      </c>
      <c r="G161" s="124">
        <v>221.90974743657702</v>
      </c>
      <c r="H161" t="s">
        <v>256</v>
      </c>
      <c r="I161" s="34">
        <v>7</v>
      </c>
    </row>
    <row r="162" spans="1:9" x14ac:dyDescent="0.3">
      <c r="A162">
        <v>1</v>
      </c>
      <c r="B162" t="s">
        <v>239</v>
      </c>
      <c r="C162" t="s">
        <v>192</v>
      </c>
      <c r="D162" t="s">
        <v>188</v>
      </c>
      <c r="E162" s="1" t="s">
        <v>78</v>
      </c>
      <c r="F162" s="32" t="s">
        <v>78</v>
      </c>
      <c r="G162" s="124">
        <v>216</v>
      </c>
      <c r="H162" t="s">
        <v>257</v>
      </c>
      <c r="I162" s="34">
        <v>1</v>
      </c>
    </row>
    <row r="163" spans="1:9" x14ac:dyDescent="0.3">
      <c r="A163">
        <v>10</v>
      </c>
      <c r="B163" t="s">
        <v>239</v>
      </c>
      <c r="C163" t="s">
        <v>192</v>
      </c>
      <c r="D163" t="s">
        <v>188</v>
      </c>
      <c r="E163" t="s">
        <v>78</v>
      </c>
      <c r="F163" s="57" t="s">
        <v>78</v>
      </c>
      <c r="G163" s="124">
        <v>215</v>
      </c>
      <c r="H163" t="s">
        <v>257</v>
      </c>
      <c r="I163" s="34">
        <v>10</v>
      </c>
    </row>
    <row r="164" spans="1:9" x14ac:dyDescent="0.3">
      <c r="A164">
        <v>1</v>
      </c>
      <c r="B164" t="s">
        <v>239</v>
      </c>
      <c r="C164" t="s">
        <v>192</v>
      </c>
      <c r="D164" t="s">
        <v>195</v>
      </c>
      <c r="E164" s="1" t="s">
        <v>78</v>
      </c>
      <c r="F164" s="32" t="s">
        <v>78</v>
      </c>
      <c r="G164" s="124">
        <v>208</v>
      </c>
      <c r="H164" t="s">
        <v>256</v>
      </c>
      <c r="I164" s="34">
        <v>1</v>
      </c>
    </row>
    <row r="165" spans="1:9" x14ac:dyDescent="0.3">
      <c r="A165">
        <v>8</v>
      </c>
      <c r="B165" t="s">
        <v>239</v>
      </c>
      <c r="C165" t="s">
        <v>192</v>
      </c>
      <c r="D165" t="s">
        <v>188</v>
      </c>
      <c r="E165" t="s">
        <v>78</v>
      </c>
      <c r="F165" s="57" t="s">
        <v>78</v>
      </c>
      <c r="G165" s="124">
        <v>205</v>
      </c>
      <c r="H165" t="s">
        <v>257</v>
      </c>
      <c r="I165" s="34">
        <v>8</v>
      </c>
    </row>
    <row r="166" spans="1:9" x14ac:dyDescent="0.3">
      <c r="A166">
        <v>8</v>
      </c>
      <c r="B166" t="s">
        <v>239</v>
      </c>
      <c r="C166" t="s">
        <v>192</v>
      </c>
      <c r="D166" t="s">
        <v>195</v>
      </c>
      <c r="E166" t="s">
        <v>78</v>
      </c>
      <c r="F166" s="57" t="s">
        <v>78</v>
      </c>
      <c r="G166" s="124">
        <v>205</v>
      </c>
      <c r="H166" t="s">
        <v>256</v>
      </c>
      <c r="I166" s="34">
        <v>8</v>
      </c>
    </row>
    <row r="167" spans="1:9" x14ac:dyDescent="0.3">
      <c r="A167">
        <v>10</v>
      </c>
      <c r="B167" t="s">
        <v>239</v>
      </c>
      <c r="C167" t="s">
        <v>192</v>
      </c>
      <c r="D167" t="s">
        <v>195</v>
      </c>
      <c r="E167" t="s">
        <v>78</v>
      </c>
      <c r="F167" s="57" t="s">
        <v>78</v>
      </c>
      <c r="G167" s="124">
        <v>203</v>
      </c>
      <c r="H167" t="s">
        <v>256</v>
      </c>
      <c r="I167" s="34">
        <v>10</v>
      </c>
    </row>
    <row r="168" spans="1:9" x14ac:dyDescent="0.3">
      <c r="A168">
        <v>4</v>
      </c>
      <c r="B168" t="s">
        <v>239</v>
      </c>
      <c r="C168" t="s">
        <v>191</v>
      </c>
      <c r="D168" t="s">
        <v>238</v>
      </c>
      <c r="E168" s="1" t="s">
        <v>78</v>
      </c>
      <c r="F168" s="31" t="s">
        <v>78</v>
      </c>
      <c r="G168" s="124">
        <v>200</v>
      </c>
      <c r="H168" t="s">
        <v>252</v>
      </c>
      <c r="I168" s="34">
        <v>4</v>
      </c>
    </row>
    <row r="169" spans="1:9" x14ac:dyDescent="0.3">
      <c r="A169">
        <v>9</v>
      </c>
      <c r="B169" t="s">
        <v>239</v>
      </c>
      <c r="C169" t="s">
        <v>191</v>
      </c>
      <c r="D169" t="s">
        <v>238</v>
      </c>
      <c r="E169" t="s">
        <v>78</v>
      </c>
      <c r="F169" s="57" t="s">
        <v>78</v>
      </c>
      <c r="G169" s="124">
        <v>200</v>
      </c>
      <c r="H169" t="s">
        <v>252</v>
      </c>
      <c r="I169" s="34">
        <v>9</v>
      </c>
    </row>
    <row r="170" spans="1:9" x14ac:dyDescent="0.3">
      <c r="A170">
        <v>10</v>
      </c>
      <c r="B170" t="s">
        <v>239</v>
      </c>
      <c r="C170" t="s">
        <v>191</v>
      </c>
      <c r="D170" t="s">
        <v>238</v>
      </c>
      <c r="E170" t="s">
        <v>78</v>
      </c>
      <c r="F170" s="57" t="s">
        <v>78</v>
      </c>
      <c r="G170" s="124">
        <v>200</v>
      </c>
      <c r="H170" t="s">
        <v>252</v>
      </c>
      <c r="I170" s="34">
        <v>10</v>
      </c>
    </row>
    <row r="171" spans="1:9" x14ac:dyDescent="0.3">
      <c r="A171" s="53">
        <v>11</v>
      </c>
      <c r="B171" t="s">
        <v>239</v>
      </c>
      <c r="C171" s="53" t="s">
        <v>191</v>
      </c>
      <c r="D171" s="53" t="s">
        <v>238</v>
      </c>
      <c r="E171" s="53" t="s">
        <v>78</v>
      </c>
      <c r="F171" s="57" t="s">
        <v>78</v>
      </c>
      <c r="G171" s="124">
        <v>200</v>
      </c>
      <c r="H171" s="53" t="s">
        <v>252</v>
      </c>
      <c r="I171" s="77">
        <v>11</v>
      </c>
    </row>
    <row r="172" spans="1:9" x14ac:dyDescent="0.3">
      <c r="A172">
        <v>7</v>
      </c>
      <c r="B172" t="s">
        <v>239</v>
      </c>
      <c r="C172" t="s">
        <v>192</v>
      </c>
      <c r="D172" t="s">
        <v>188</v>
      </c>
      <c r="E172" t="s">
        <v>78</v>
      </c>
      <c r="F172" s="57" t="s">
        <v>78</v>
      </c>
      <c r="G172" s="124">
        <v>192.06821139103377</v>
      </c>
      <c r="H172" t="s">
        <v>257</v>
      </c>
      <c r="I172" s="34">
        <v>7</v>
      </c>
    </row>
    <row r="173" spans="1:9" x14ac:dyDescent="0.3">
      <c r="A173">
        <v>1</v>
      </c>
      <c r="B173" t="s">
        <v>239</v>
      </c>
      <c r="C173" t="s">
        <v>192</v>
      </c>
      <c r="D173" t="s">
        <v>238</v>
      </c>
      <c r="E173" s="1" t="s">
        <v>78</v>
      </c>
      <c r="F173" s="32" t="s">
        <v>78</v>
      </c>
      <c r="G173" s="124">
        <v>188.55625442519684</v>
      </c>
      <c r="H173" s="53" t="s">
        <v>258</v>
      </c>
      <c r="I173" s="77">
        <v>1</v>
      </c>
    </row>
    <row r="174" spans="1:9" x14ac:dyDescent="0.3">
      <c r="A174">
        <v>3</v>
      </c>
      <c r="B174" t="s">
        <v>239</v>
      </c>
      <c r="C174" t="s">
        <v>192</v>
      </c>
      <c r="D174" t="s">
        <v>195</v>
      </c>
      <c r="E174" s="1" t="s">
        <v>78</v>
      </c>
      <c r="F174" s="54" t="s">
        <v>78</v>
      </c>
      <c r="G174" s="124">
        <v>186.68005454544999</v>
      </c>
      <c r="H174" t="s">
        <v>256</v>
      </c>
      <c r="I174" s="34">
        <v>3</v>
      </c>
    </row>
    <row r="175" spans="1:9" x14ac:dyDescent="0.3">
      <c r="A175">
        <v>6</v>
      </c>
      <c r="B175" t="s">
        <v>239</v>
      </c>
      <c r="C175" t="s">
        <v>193</v>
      </c>
      <c r="D175" t="s">
        <v>195</v>
      </c>
      <c r="E175" t="s">
        <v>78</v>
      </c>
      <c r="F175" s="57" t="s">
        <v>78</v>
      </c>
      <c r="G175" s="124">
        <v>182.08186874669221</v>
      </c>
      <c r="H175" t="s">
        <v>254</v>
      </c>
      <c r="I175" s="34">
        <v>6</v>
      </c>
    </row>
    <row r="176" spans="1:9" x14ac:dyDescent="0.3">
      <c r="A176">
        <v>2</v>
      </c>
      <c r="B176" t="s">
        <v>239</v>
      </c>
      <c r="C176" t="s">
        <v>192</v>
      </c>
      <c r="D176" t="s">
        <v>195</v>
      </c>
      <c r="E176" s="1" t="s">
        <v>78</v>
      </c>
      <c r="F176" s="31" t="s">
        <v>78</v>
      </c>
      <c r="G176" s="124">
        <v>176.502269385218</v>
      </c>
      <c r="H176" t="s">
        <v>256</v>
      </c>
      <c r="I176" s="34">
        <v>2</v>
      </c>
    </row>
    <row r="177" spans="1:9" x14ac:dyDescent="0.3">
      <c r="A177">
        <v>12</v>
      </c>
      <c r="B177" t="s">
        <v>239</v>
      </c>
      <c r="C177" t="s">
        <v>192</v>
      </c>
      <c r="D177" t="s">
        <v>188</v>
      </c>
      <c r="E177" t="s">
        <v>78</v>
      </c>
      <c r="F177" s="57" t="s">
        <v>78</v>
      </c>
      <c r="G177" s="124">
        <v>176</v>
      </c>
      <c r="H177" s="53" t="s">
        <v>257</v>
      </c>
      <c r="I177" s="77">
        <v>12</v>
      </c>
    </row>
    <row r="178" spans="1:9" x14ac:dyDescent="0.3">
      <c r="A178">
        <v>12</v>
      </c>
      <c r="B178" t="s">
        <v>239</v>
      </c>
      <c r="C178" t="s">
        <v>192</v>
      </c>
      <c r="D178" t="s">
        <v>195</v>
      </c>
      <c r="E178" t="s">
        <v>78</v>
      </c>
      <c r="F178" s="57" t="s">
        <v>78</v>
      </c>
      <c r="G178" s="124">
        <v>175</v>
      </c>
      <c r="H178" t="s">
        <v>256</v>
      </c>
      <c r="I178" s="34">
        <v>12</v>
      </c>
    </row>
    <row r="179" spans="1:9" x14ac:dyDescent="0.3">
      <c r="A179">
        <v>2</v>
      </c>
      <c r="B179" t="s">
        <v>239</v>
      </c>
      <c r="C179" t="s">
        <v>192</v>
      </c>
      <c r="D179" t="s">
        <v>188</v>
      </c>
      <c r="E179" s="1" t="s">
        <v>78</v>
      </c>
      <c r="F179" s="31" t="s">
        <v>78</v>
      </c>
      <c r="G179" s="124">
        <v>174.57355196765496</v>
      </c>
      <c r="H179" t="s">
        <v>257</v>
      </c>
      <c r="I179" s="34">
        <v>2</v>
      </c>
    </row>
    <row r="180" spans="1:9" x14ac:dyDescent="0.3">
      <c r="A180">
        <v>5</v>
      </c>
      <c r="B180" t="s">
        <v>239</v>
      </c>
      <c r="C180" t="s">
        <v>192</v>
      </c>
      <c r="D180" t="s">
        <v>195</v>
      </c>
      <c r="E180" t="s">
        <v>78</v>
      </c>
      <c r="F180" s="57" t="s">
        <v>78</v>
      </c>
      <c r="G180" s="124">
        <v>173.58948271777001</v>
      </c>
      <c r="H180" t="s">
        <v>256</v>
      </c>
      <c r="I180" s="34">
        <v>5</v>
      </c>
    </row>
    <row r="181" spans="1:9" x14ac:dyDescent="0.3">
      <c r="A181">
        <v>5</v>
      </c>
      <c r="B181" t="s">
        <v>239</v>
      </c>
      <c r="C181" t="s">
        <v>193</v>
      </c>
      <c r="D181" t="s">
        <v>195</v>
      </c>
      <c r="E181" t="s">
        <v>78</v>
      </c>
      <c r="F181" s="57" t="s">
        <v>78</v>
      </c>
      <c r="G181" s="124">
        <v>173.58948271777001</v>
      </c>
      <c r="H181" t="s">
        <v>254</v>
      </c>
      <c r="I181" s="34">
        <v>5</v>
      </c>
    </row>
    <row r="182" spans="1:9" x14ac:dyDescent="0.3">
      <c r="A182">
        <v>12</v>
      </c>
      <c r="B182" t="s">
        <v>239</v>
      </c>
      <c r="C182" t="s">
        <v>192</v>
      </c>
      <c r="D182" t="s">
        <v>238</v>
      </c>
      <c r="E182" t="s">
        <v>78</v>
      </c>
      <c r="F182" s="57" t="s">
        <v>78</v>
      </c>
      <c r="G182" s="124">
        <v>173</v>
      </c>
      <c r="H182" t="s">
        <v>258</v>
      </c>
      <c r="I182" s="34">
        <v>12</v>
      </c>
    </row>
    <row r="183" spans="1:9" x14ac:dyDescent="0.3">
      <c r="A183">
        <v>3</v>
      </c>
      <c r="B183" t="s">
        <v>239</v>
      </c>
      <c r="C183" t="s">
        <v>193</v>
      </c>
      <c r="D183" t="s">
        <v>195</v>
      </c>
      <c r="E183" s="1" t="s">
        <v>78</v>
      </c>
      <c r="F183" s="54" t="s">
        <v>78</v>
      </c>
      <c r="G183" s="124">
        <v>168.01204909090501</v>
      </c>
      <c r="H183" t="s">
        <v>254</v>
      </c>
      <c r="I183" s="34">
        <v>3</v>
      </c>
    </row>
    <row r="184" spans="1:9" x14ac:dyDescent="0.3">
      <c r="A184">
        <v>6</v>
      </c>
      <c r="B184" t="s">
        <v>239</v>
      </c>
      <c r="C184" t="s">
        <v>192</v>
      </c>
      <c r="D184" t="s">
        <v>195</v>
      </c>
      <c r="E184" t="s">
        <v>78</v>
      </c>
      <c r="F184" s="57" t="s">
        <v>78</v>
      </c>
      <c r="G184" s="124">
        <v>165.52897158790199</v>
      </c>
      <c r="H184" t="s">
        <v>256</v>
      </c>
      <c r="I184" s="34">
        <v>6</v>
      </c>
    </row>
    <row r="185" spans="1:9" x14ac:dyDescent="0.3">
      <c r="A185">
        <v>5</v>
      </c>
      <c r="B185" t="s">
        <v>239</v>
      </c>
      <c r="C185" t="s">
        <v>192</v>
      </c>
      <c r="D185" t="s">
        <v>188</v>
      </c>
      <c r="E185" t="s">
        <v>78</v>
      </c>
      <c r="F185" s="57" t="s">
        <v>78</v>
      </c>
      <c r="G185" s="124">
        <v>159.97729994007491</v>
      </c>
      <c r="H185" t="s">
        <v>257</v>
      </c>
      <c r="I185" s="34">
        <v>5</v>
      </c>
    </row>
    <row r="186" spans="1:9" x14ac:dyDescent="0.3">
      <c r="A186">
        <v>9</v>
      </c>
      <c r="B186" t="s">
        <v>239</v>
      </c>
      <c r="C186" t="s">
        <v>192</v>
      </c>
      <c r="D186" t="s">
        <v>188</v>
      </c>
      <c r="E186" t="s">
        <v>78</v>
      </c>
      <c r="F186" s="57" t="s">
        <v>78</v>
      </c>
      <c r="G186" s="124">
        <v>159</v>
      </c>
      <c r="H186" t="s">
        <v>257</v>
      </c>
      <c r="I186" s="34">
        <v>9</v>
      </c>
    </row>
    <row r="187" spans="1:9" x14ac:dyDescent="0.3">
      <c r="A187">
        <v>9</v>
      </c>
      <c r="B187" t="s">
        <v>239</v>
      </c>
      <c r="C187" t="s">
        <v>192</v>
      </c>
      <c r="D187" t="s">
        <v>195</v>
      </c>
      <c r="E187" t="s">
        <v>78</v>
      </c>
      <c r="F187" s="57" t="s">
        <v>78</v>
      </c>
      <c r="G187" s="124">
        <v>157</v>
      </c>
      <c r="H187" t="s">
        <v>256</v>
      </c>
      <c r="I187" s="34">
        <v>9</v>
      </c>
    </row>
    <row r="188" spans="1:9" x14ac:dyDescent="0.3">
      <c r="A188">
        <v>3</v>
      </c>
      <c r="B188" t="s">
        <v>239</v>
      </c>
      <c r="C188" t="s">
        <v>192</v>
      </c>
      <c r="D188" t="s">
        <v>188</v>
      </c>
      <c r="E188" s="1" t="s">
        <v>78</v>
      </c>
      <c r="F188" s="54" t="s">
        <v>78</v>
      </c>
      <c r="G188" s="124">
        <v>149.597771831442</v>
      </c>
      <c r="H188" t="s">
        <v>257</v>
      </c>
      <c r="I188" s="34">
        <v>3</v>
      </c>
    </row>
    <row r="189" spans="1:9" x14ac:dyDescent="0.3">
      <c r="A189">
        <v>4</v>
      </c>
      <c r="B189" t="s">
        <v>239</v>
      </c>
      <c r="C189" t="s">
        <v>192</v>
      </c>
      <c r="D189" t="s">
        <v>195</v>
      </c>
      <c r="E189" s="1" t="s">
        <v>78</v>
      </c>
      <c r="F189" s="31" t="s">
        <v>78</v>
      </c>
      <c r="G189" s="124">
        <v>149</v>
      </c>
      <c r="H189" t="s">
        <v>256</v>
      </c>
      <c r="I189" s="34">
        <v>4</v>
      </c>
    </row>
    <row r="190" spans="1:9" x14ac:dyDescent="0.3">
      <c r="A190" s="53">
        <v>11</v>
      </c>
      <c r="B190" t="s">
        <v>239</v>
      </c>
      <c r="C190" s="53" t="s">
        <v>193</v>
      </c>
      <c r="D190" s="53" t="s">
        <v>195</v>
      </c>
      <c r="E190" s="53" t="s">
        <v>78</v>
      </c>
      <c r="F190" s="57" t="s">
        <v>78</v>
      </c>
      <c r="G190" s="124">
        <v>148.10400000000004</v>
      </c>
      <c r="H190" t="s">
        <v>254</v>
      </c>
      <c r="I190" s="34">
        <v>11</v>
      </c>
    </row>
    <row r="191" spans="1:9" x14ac:dyDescent="0.3">
      <c r="A191">
        <v>7</v>
      </c>
      <c r="B191" t="s">
        <v>239</v>
      </c>
      <c r="C191" t="s">
        <v>192</v>
      </c>
      <c r="D191" t="s">
        <v>238</v>
      </c>
      <c r="E191" t="s">
        <v>78</v>
      </c>
      <c r="F191" s="57" t="s">
        <v>78</v>
      </c>
      <c r="G191" s="124">
        <v>146.33163425531916</v>
      </c>
      <c r="H191" s="53" t="s">
        <v>258</v>
      </c>
      <c r="I191" s="77">
        <v>7</v>
      </c>
    </row>
    <row r="192" spans="1:9" x14ac:dyDescent="0.3">
      <c r="A192">
        <v>8</v>
      </c>
      <c r="B192" t="s">
        <v>239</v>
      </c>
      <c r="C192" t="s">
        <v>192</v>
      </c>
      <c r="D192" t="s">
        <v>238</v>
      </c>
      <c r="E192" t="s">
        <v>78</v>
      </c>
      <c r="F192" s="57" t="s">
        <v>78</v>
      </c>
      <c r="G192" s="124">
        <v>144.84</v>
      </c>
      <c r="H192" s="53" t="s">
        <v>258</v>
      </c>
      <c r="I192" s="77">
        <v>8</v>
      </c>
    </row>
    <row r="193" spans="1:9" x14ac:dyDescent="0.3">
      <c r="A193">
        <v>6</v>
      </c>
      <c r="B193" t="s">
        <v>239</v>
      </c>
      <c r="C193" t="s">
        <v>192</v>
      </c>
      <c r="D193" t="s">
        <v>188</v>
      </c>
      <c r="E193" t="s">
        <v>78</v>
      </c>
      <c r="F193" s="57" t="s">
        <v>78</v>
      </c>
      <c r="G193" s="124">
        <v>139.489333525869</v>
      </c>
      <c r="H193" t="s">
        <v>257</v>
      </c>
      <c r="I193" s="34">
        <v>6</v>
      </c>
    </row>
    <row r="194" spans="1:9" x14ac:dyDescent="0.3">
      <c r="A194" s="53">
        <v>11</v>
      </c>
      <c r="B194" t="s">
        <v>239</v>
      </c>
      <c r="C194" s="53" t="s">
        <v>192</v>
      </c>
      <c r="D194" s="53" t="s">
        <v>195</v>
      </c>
      <c r="E194" s="53" t="s">
        <v>78</v>
      </c>
      <c r="F194" s="57" t="s">
        <v>78</v>
      </c>
      <c r="G194" s="124">
        <v>134.64000000000001</v>
      </c>
      <c r="H194" t="s">
        <v>256</v>
      </c>
      <c r="I194" s="34">
        <v>11</v>
      </c>
    </row>
    <row r="195" spans="1:9" x14ac:dyDescent="0.3">
      <c r="A195" s="53">
        <v>11</v>
      </c>
      <c r="B195" t="s">
        <v>239</v>
      </c>
      <c r="C195" s="53" t="s">
        <v>192</v>
      </c>
      <c r="D195" s="53" t="s">
        <v>188</v>
      </c>
      <c r="E195" s="53" t="s">
        <v>78</v>
      </c>
      <c r="F195" s="57" t="s">
        <v>78</v>
      </c>
      <c r="G195" s="124">
        <v>127.5</v>
      </c>
      <c r="H195" t="s">
        <v>257</v>
      </c>
      <c r="I195" s="34">
        <v>11</v>
      </c>
    </row>
    <row r="196" spans="1:9" x14ac:dyDescent="0.3">
      <c r="A196">
        <v>4</v>
      </c>
      <c r="B196" t="s">
        <v>239</v>
      </c>
      <c r="C196" t="s">
        <v>192</v>
      </c>
      <c r="D196" t="s">
        <v>188</v>
      </c>
      <c r="E196" s="1" t="s">
        <v>78</v>
      </c>
      <c r="F196" s="31" t="s">
        <v>78</v>
      </c>
      <c r="G196" s="124">
        <v>127</v>
      </c>
      <c r="H196" t="s">
        <v>257</v>
      </c>
      <c r="I196" s="34">
        <v>4</v>
      </c>
    </row>
    <row r="197" spans="1:9" x14ac:dyDescent="0.3">
      <c r="A197">
        <v>2</v>
      </c>
      <c r="B197" t="s">
        <v>239</v>
      </c>
      <c r="C197" t="s">
        <v>192</v>
      </c>
      <c r="D197" t="s">
        <v>238</v>
      </c>
      <c r="E197" s="1" t="s">
        <v>78</v>
      </c>
      <c r="F197" s="31" t="s">
        <v>78</v>
      </c>
      <c r="G197" s="124">
        <v>119.50234701030928</v>
      </c>
      <c r="H197" t="s">
        <v>258</v>
      </c>
      <c r="I197" s="34">
        <v>2</v>
      </c>
    </row>
    <row r="198" spans="1:9" x14ac:dyDescent="0.3">
      <c r="A198">
        <v>5</v>
      </c>
      <c r="B198" t="s">
        <v>239</v>
      </c>
      <c r="C198" t="s">
        <v>192</v>
      </c>
      <c r="D198" t="s">
        <v>238</v>
      </c>
      <c r="E198" t="s">
        <v>78</v>
      </c>
      <c r="F198" s="57" t="s">
        <v>78</v>
      </c>
      <c r="G198" s="124">
        <v>113.02413733333331</v>
      </c>
      <c r="H198" t="s">
        <v>258</v>
      </c>
      <c r="I198" s="34">
        <v>5</v>
      </c>
    </row>
    <row r="199" spans="1:9" x14ac:dyDescent="0.3">
      <c r="A199">
        <v>4</v>
      </c>
      <c r="B199" t="s">
        <v>239</v>
      </c>
      <c r="C199" t="s">
        <v>193</v>
      </c>
      <c r="D199" t="s">
        <v>195</v>
      </c>
      <c r="E199" s="1" t="s">
        <v>78</v>
      </c>
      <c r="F199" s="54" t="s">
        <v>78</v>
      </c>
      <c r="G199" s="124">
        <v>89.4</v>
      </c>
      <c r="H199" t="s">
        <v>254</v>
      </c>
      <c r="I199" s="34">
        <v>4</v>
      </c>
    </row>
    <row r="200" spans="1:9" x14ac:dyDescent="0.3">
      <c r="A200">
        <v>3</v>
      </c>
      <c r="B200" t="s">
        <v>239</v>
      </c>
      <c r="C200" t="s">
        <v>192</v>
      </c>
      <c r="D200" t="s">
        <v>238</v>
      </c>
      <c r="E200" s="1" t="s">
        <v>78</v>
      </c>
      <c r="F200" s="54" t="s">
        <v>78</v>
      </c>
      <c r="G200" s="124">
        <v>87</v>
      </c>
      <c r="H200" t="s">
        <v>258</v>
      </c>
      <c r="I200" s="34">
        <v>3</v>
      </c>
    </row>
    <row r="201" spans="1:9" x14ac:dyDescent="0.3">
      <c r="A201">
        <v>10</v>
      </c>
      <c r="B201" t="s">
        <v>239</v>
      </c>
      <c r="C201" t="s">
        <v>192</v>
      </c>
      <c r="D201" t="s">
        <v>238</v>
      </c>
      <c r="E201" t="s">
        <v>78</v>
      </c>
      <c r="F201" s="57" t="s">
        <v>78</v>
      </c>
      <c r="G201" s="124">
        <v>86.7</v>
      </c>
      <c r="H201" s="53" t="s">
        <v>258</v>
      </c>
      <c r="I201" s="77">
        <v>10</v>
      </c>
    </row>
    <row r="202" spans="1:9" x14ac:dyDescent="0.3">
      <c r="A202">
        <v>9</v>
      </c>
      <c r="B202" t="s">
        <v>239</v>
      </c>
      <c r="C202" t="s">
        <v>192</v>
      </c>
      <c r="D202" t="s">
        <v>238</v>
      </c>
      <c r="E202" t="s">
        <v>78</v>
      </c>
      <c r="F202" s="57" t="s">
        <v>78</v>
      </c>
      <c r="G202" s="124">
        <v>82</v>
      </c>
      <c r="H202" t="s">
        <v>258</v>
      </c>
      <c r="I202" s="34">
        <v>9</v>
      </c>
    </row>
    <row r="203" spans="1:9" x14ac:dyDescent="0.3">
      <c r="A203" s="53">
        <v>11</v>
      </c>
      <c r="B203" t="s">
        <v>239</v>
      </c>
      <c r="C203" s="53" t="s">
        <v>192</v>
      </c>
      <c r="D203" s="53" t="s">
        <v>238</v>
      </c>
      <c r="E203" s="53" t="s">
        <v>78</v>
      </c>
      <c r="F203" s="57" t="s">
        <v>78</v>
      </c>
      <c r="G203" s="124">
        <v>76.5</v>
      </c>
      <c r="H203" s="53" t="s">
        <v>258</v>
      </c>
      <c r="I203" s="77">
        <v>11</v>
      </c>
    </row>
    <row r="204" spans="1:9" x14ac:dyDescent="0.3">
      <c r="A204">
        <v>6</v>
      </c>
      <c r="B204" t="s">
        <v>239</v>
      </c>
      <c r="C204" t="s">
        <v>192</v>
      </c>
      <c r="D204" t="s">
        <v>238</v>
      </c>
      <c r="E204" t="s">
        <v>78</v>
      </c>
      <c r="F204" s="57" t="s">
        <v>78</v>
      </c>
      <c r="G204" s="124">
        <v>71.9131685106383</v>
      </c>
      <c r="H204" s="53" t="s">
        <v>258</v>
      </c>
      <c r="I204" s="77">
        <v>6</v>
      </c>
    </row>
    <row r="205" spans="1:9" x14ac:dyDescent="0.3">
      <c r="A205">
        <v>4</v>
      </c>
      <c r="B205" t="s">
        <v>239</v>
      </c>
      <c r="C205" t="s">
        <v>192</v>
      </c>
      <c r="D205" t="s">
        <v>238</v>
      </c>
      <c r="E205" s="1" t="s">
        <v>78</v>
      </c>
      <c r="F205" s="31" t="s">
        <v>78</v>
      </c>
      <c r="G205" s="124">
        <v>60</v>
      </c>
      <c r="H205" t="s">
        <v>258</v>
      </c>
      <c r="I205" s="34">
        <v>4</v>
      </c>
    </row>
    <row r="206" spans="1:9" x14ac:dyDescent="0.3">
      <c r="A206">
        <v>3</v>
      </c>
      <c r="B206" t="s">
        <v>239</v>
      </c>
      <c r="C206" t="s">
        <v>191</v>
      </c>
      <c r="D206" t="s">
        <v>238</v>
      </c>
      <c r="E206" s="1" t="s">
        <v>78</v>
      </c>
      <c r="F206" s="54" t="s">
        <v>78</v>
      </c>
      <c r="G206" s="124">
        <v>50</v>
      </c>
      <c r="H206" t="s">
        <v>252</v>
      </c>
      <c r="I206" s="34">
        <v>3</v>
      </c>
    </row>
    <row r="207" spans="1:9" x14ac:dyDescent="0.3">
      <c r="A207">
        <v>5</v>
      </c>
      <c r="B207" t="s">
        <v>239</v>
      </c>
      <c r="C207" t="s">
        <v>191</v>
      </c>
      <c r="D207" t="s">
        <v>238</v>
      </c>
      <c r="E207" s="1" t="s">
        <v>78</v>
      </c>
      <c r="F207" s="54" t="s">
        <v>78</v>
      </c>
      <c r="G207" s="124">
        <v>50</v>
      </c>
      <c r="H207" s="53" t="s">
        <v>252</v>
      </c>
      <c r="I207" s="77">
        <v>5</v>
      </c>
    </row>
    <row r="208" spans="1:9" x14ac:dyDescent="0.3">
      <c r="A208">
        <v>6</v>
      </c>
      <c r="B208" t="s">
        <v>239</v>
      </c>
      <c r="C208" t="s">
        <v>191</v>
      </c>
      <c r="D208" t="s">
        <v>238</v>
      </c>
      <c r="E208" t="s">
        <v>78</v>
      </c>
      <c r="F208" s="57" t="s">
        <v>78</v>
      </c>
      <c r="G208" s="124">
        <v>50</v>
      </c>
      <c r="H208" t="s">
        <v>252</v>
      </c>
      <c r="I208" s="34">
        <v>6</v>
      </c>
    </row>
    <row r="209" spans="1:9" x14ac:dyDescent="0.3">
      <c r="A209">
        <v>7</v>
      </c>
      <c r="B209" t="s">
        <v>239</v>
      </c>
      <c r="C209" t="s">
        <v>193</v>
      </c>
      <c r="D209" t="s">
        <v>238</v>
      </c>
      <c r="E209" t="s">
        <v>78</v>
      </c>
      <c r="F209" s="57" t="s">
        <v>78</v>
      </c>
      <c r="G209" s="124">
        <v>43.899490276595742</v>
      </c>
      <c r="H209" t="s">
        <v>255</v>
      </c>
      <c r="I209" s="34">
        <v>7</v>
      </c>
    </row>
    <row r="210" spans="1:9" x14ac:dyDescent="0.3">
      <c r="A210">
        <v>8</v>
      </c>
      <c r="B210" t="s">
        <v>239</v>
      </c>
      <c r="C210" t="s">
        <v>193</v>
      </c>
      <c r="D210" t="s">
        <v>238</v>
      </c>
      <c r="E210" t="s">
        <v>78</v>
      </c>
      <c r="F210" s="57" t="s">
        <v>78</v>
      </c>
      <c r="G210" s="124">
        <v>43.451999999999998</v>
      </c>
      <c r="H210" t="s">
        <v>255</v>
      </c>
      <c r="I210" s="34">
        <v>8</v>
      </c>
    </row>
    <row r="211" spans="1:9" x14ac:dyDescent="0.3">
      <c r="A211">
        <v>10</v>
      </c>
      <c r="B211" t="s">
        <v>239</v>
      </c>
      <c r="C211" t="s">
        <v>193</v>
      </c>
      <c r="D211" t="s">
        <v>238</v>
      </c>
      <c r="E211" t="s">
        <v>78</v>
      </c>
      <c r="F211" s="57" t="s">
        <v>78</v>
      </c>
      <c r="G211" s="124">
        <v>17.34</v>
      </c>
      <c r="H211" s="53" t="s">
        <v>255</v>
      </c>
      <c r="I211" s="77">
        <v>10</v>
      </c>
    </row>
    <row r="212" spans="1:9" x14ac:dyDescent="0.3">
      <c r="A212">
        <v>9</v>
      </c>
      <c r="B212" t="s">
        <v>239</v>
      </c>
      <c r="C212" t="s">
        <v>193</v>
      </c>
      <c r="D212" t="s">
        <v>238</v>
      </c>
      <c r="E212" t="s">
        <v>78</v>
      </c>
      <c r="F212" s="57" t="s">
        <v>78</v>
      </c>
      <c r="G212" s="124">
        <v>16.399999999999999</v>
      </c>
      <c r="H212" t="s">
        <v>255</v>
      </c>
      <c r="I212" s="34">
        <v>9</v>
      </c>
    </row>
    <row r="213" spans="1:9" x14ac:dyDescent="0.3">
      <c r="A213" s="53">
        <v>11</v>
      </c>
      <c r="B213" t="s">
        <v>239</v>
      </c>
      <c r="C213" s="53" t="s">
        <v>193</v>
      </c>
      <c r="D213" s="53" t="s">
        <v>238</v>
      </c>
      <c r="E213" s="53" t="s">
        <v>78</v>
      </c>
      <c r="F213" s="57" t="s">
        <v>78</v>
      </c>
      <c r="G213" s="124">
        <v>15.3</v>
      </c>
      <c r="H213" s="53" t="s">
        <v>255</v>
      </c>
      <c r="I213" s="77">
        <v>11</v>
      </c>
    </row>
    <row r="214" spans="1:9" x14ac:dyDescent="0.3">
      <c r="A214">
        <v>4</v>
      </c>
      <c r="B214" t="s">
        <v>239</v>
      </c>
      <c r="C214" t="s">
        <v>193</v>
      </c>
      <c r="D214" t="s">
        <v>238</v>
      </c>
      <c r="E214" s="1" t="s">
        <v>78</v>
      </c>
      <c r="F214" s="54" t="s">
        <v>78</v>
      </c>
      <c r="G214" s="124">
        <v>12</v>
      </c>
      <c r="H214" t="s">
        <v>255</v>
      </c>
      <c r="I214" s="34">
        <v>4</v>
      </c>
    </row>
    <row r="215" spans="1:9" x14ac:dyDescent="0.3">
      <c r="A215">
        <v>5</v>
      </c>
      <c r="B215" t="s">
        <v>239</v>
      </c>
      <c r="C215" t="s">
        <v>193</v>
      </c>
      <c r="D215" t="s">
        <v>238</v>
      </c>
      <c r="E215" t="s">
        <v>78</v>
      </c>
      <c r="F215" s="57" t="s">
        <v>78</v>
      </c>
      <c r="G215" s="124">
        <v>5.6512068666666657</v>
      </c>
      <c r="H215" s="53" t="s">
        <v>255</v>
      </c>
      <c r="I215" s="77">
        <v>5</v>
      </c>
    </row>
    <row r="216" spans="1:9" x14ac:dyDescent="0.3">
      <c r="A216">
        <v>3</v>
      </c>
      <c r="B216" t="s">
        <v>239</v>
      </c>
      <c r="C216" t="s">
        <v>193</v>
      </c>
      <c r="D216" t="s">
        <v>238</v>
      </c>
      <c r="E216" s="1" t="s">
        <v>78</v>
      </c>
      <c r="F216" s="54" t="s">
        <v>78</v>
      </c>
      <c r="G216" s="124">
        <v>4.3499999999999996</v>
      </c>
      <c r="H216" s="53" t="s">
        <v>255</v>
      </c>
      <c r="I216" s="77">
        <v>3</v>
      </c>
    </row>
    <row r="217" spans="1:9" x14ac:dyDescent="0.3">
      <c r="A217">
        <v>6</v>
      </c>
      <c r="B217" t="s">
        <v>239</v>
      </c>
      <c r="C217" t="s">
        <v>193</v>
      </c>
      <c r="D217" t="s">
        <v>238</v>
      </c>
      <c r="E217" t="s">
        <v>78</v>
      </c>
      <c r="F217" s="57" t="s">
        <v>78</v>
      </c>
      <c r="G217" s="124">
        <v>3.5956584255319148</v>
      </c>
      <c r="H217" s="53" t="s">
        <v>255</v>
      </c>
      <c r="I217" s="77">
        <v>6</v>
      </c>
    </row>
    <row r="218" spans="1:9" x14ac:dyDescent="0.3">
      <c r="A218">
        <v>10</v>
      </c>
      <c r="B218" t="s">
        <v>239</v>
      </c>
      <c r="C218" t="s">
        <v>191</v>
      </c>
      <c r="D218" t="s">
        <v>188</v>
      </c>
      <c r="E218" t="s">
        <v>81</v>
      </c>
      <c r="F218" s="57" t="s">
        <v>81</v>
      </c>
      <c r="G218" s="124">
        <v>600</v>
      </c>
      <c r="H218" s="53" t="s">
        <v>259</v>
      </c>
      <c r="I218" s="77">
        <v>10</v>
      </c>
    </row>
    <row r="219" spans="1:9" x14ac:dyDescent="0.3">
      <c r="A219" s="53">
        <v>11</v>
      </c>
      <c r="B219" t="s">
        <v>239</v>
      </c>
      <c r="C219" s="53" t="s">
        <v>191</v>
      </c>
      <c r="D219" s="53" t="s">
        <v>188</v>
      </c>
      <c r="E219" s="53" t="s">
        <v>81</v>
      </c>
      <c r="F219" s="57" t="s">
        <v>81</v>
      </c>
      <c r="G219" s="124">
        <v>500</v>
      </c>
      <c r="H219" t="s">
        <v>259</v>
      </c>
      <c r="I219" s="34">
        <v>11</v>
      </c>
    </row>
    <row r="220" spans="1:9" x14ac:dyDescent="0.3">
      <c r="A220">
        <v>12</v>
      </c>
      <c r="B220" t="s">
        <v>239</v>
      </c>
      <c r="C220" t="s">
        <v>191</v>
      </c>
      <c r="D220" t="s">
        <v>188</v>
      </c>
      <c r="E220" t="s">
        <v>81</v>
      </c>
      <c r="F220" s="57" t="s">
        <v>81</v>
      </c>
      <c r="G220" s="124">
        <v>500</v>
      </c>
      <c r="H220" t="s">
        <v>259</v>
      </c>
      <c r="I220" s="34">
        <v>12</v>
      </c>
    </row>
    <row r="221" spans="1:9" x14ac:dyDescent="0.3">
      <c r="A221">
        <v>2</v>
      </c>
      <c r="B221" t="s">
        <v>239</v>
      </c>
      <c r="C221" t="s">
        <v>191</v>
      </c>
      <c r="D221" t="s">
        <v>188</v>
      </c>
      <c r="E221" s="1" t="s">
        <v>81</v>
      </c>
      <c r="F221" s="31" t="s">
        <v>81</v>
      </c>
      <c r="G221" s="124">
        <v>470</v>
      </c>
      <c r="H221" t="s">
        <v>259</v>
      </c>
      <c r="I221" s="34">
        <v>2</v>
      </c>
    </row>
    <row r="222" spans="1:9" x14ac:dyDescent="0.3">
      <c r="A222">
        <v>4</v>
      </c>
      <c r="B222" t="s">
        <v>239</v>
      </c>
      <c r="C222" t="s">
        <v>191</v>
      </c>
      <c r="D222" t="s">
        <v>188</v>
      </c>
      <c r="E222" s="1" t="s">
        <v>81</v>
      </c>
      <c r="F222" s="54" t="s">
        <v>81</v>
      </c>
      <c r="G222" s="124">
        <v>450</v>
      </c>
      <c r="H222" t="s">
        <v>259</v>
      </c>
      <c r="I222" s="34">
        <v>4</v>
      </c>
    </row>
    <row r="223" spans="1:9" x14ac:dyDescent="0.3">
      <c r="A223">
        <v>8</v>
      </c>
      <c r="B223" t="s">
        <v>239</v>
      </c>
      <c r="C223" t="s">
        <v>191</v>
      </c>
      <c r="D223" t="s">
        <v>188</v>
      </c>
      <c r="E223" t="s">
        <v>81</v>
      </c>
      <c r="F223" s="57" t="s">
        <v>81</v>
      </c>
      <c r="G223" s="124">
        <v>450</v>
      </c>
      <c r="H223" s="53" t="s">
        <v>259</v>
      </c>
      <c r="I223" s="77">
        <v>8</v>
      </c>
    </row>
    <row r="224" spans="1:9" x14ac:dyDescent="0.3">
      <c r="A224">
        <v>9</v>
      </c>
      <c r="B224" t="s">
        <v>239</v>
      </c>
      <c r="C224" t="s">
        <v>191</v>
      </c>
      <c r="D224" t="s">
        <v>188</v>
      </c>
      <c r="E224" t="s">
        <v>81</v>
      </c>
      <c r="F224" s="57" t="s">
        <v>81</v>
      </c>
      <c r="G224" s="124">
        <v>450</v>
      </c>
      <c r="H224" t="s">
        <v>259</v>
      </c>
      <c r="I224" s="34">
        <v>9</v>
      </c>
    </row>
    <row r="225" spans="1:9" x14ac:dyDescent="0.3">
      <c r="A225">
        <v>5</v>
      </c>
      <c r="B225" t="s">
        <v>239</v>
      </c>
      <c r="C225" t="s">
        <v>191</v>
      </c>
      <c r="D225" t="s">
        <v>188</v>
      </c>
      <c r="E225" s="1" t="s">
        <v>81</v>
      </c>
      <c r="F225" s="54" t="s">
        <v>81</v>
      </c>
      <c r="G225" s="124">
        <v>410</v>
      </c>
      <c r="H225" t="s">
        <v>259</v>
      </c>
      <c r="I225" s="34">
        <v>5</v>
      </c>
    </row>
    <row r="226" spans="1:9" x14ac:dyDescent="0.3">
      <c r="A226">
        <v>1</v>
      </c>
      <c r="B226" t="s">
        <v>239</v>
      </c>
      <c r="C226" t="s">
        <v>191</v>
      </c>
      <c r="D226" t="s">
        <v>188</v>
      </c>
      <c r="E226" s="1" t="s">
        <v>81</v>
      </c>
      <c r="F226" s="54" t="s">
        <v>81</v>
      </c>
      <c r="G226" s="124">
        <v>400</v>
      </c>
      <c r="H226" t="s">
        <v>259</v>
      </c>
      <c r="I226" s="34">
        <v>1</v>
      </c>
    </row>
    <row r="227" spans="1:9" x14ac:dyDescent="0.3">
      <c r="A227">
        <v>6</v>
      </c>
      <c r="B227" t="s">
        <v>239</v>
      </c>
      <c r="C227" t="s">
        <v>191</v>
      </c>
      <c r="D227" t="s">
        <v>188</v>
      </c>
      <c r="E227" t="s">
        <v>81</v>
      </c>
      <c r="F227" s="57" t="s">
        <v>81</v>
      </c>
      <c r="G227" s="124">
        <v>400</v>
      </c>
      <c r="H227" t="s">
        <v>259</v>
      </c>
      <c r="I227" s="34">
        <v>6</v>
      </c>
    </row>
    <row r="228" spans="1:9" x14ac:dyDescent="0.3">
      <c r="A228">
        <v>7</v>
      </c>
      <c r="B228" t="s">
        <v>239</v>
      </c>
      <c r="C228" t="s">
        <v>191</v>
      </c>
      <c r="D228" t="s">
        <v>188</v>
      </c>
      <c r="E228" t="s">
        <v>81</v>
      </c>
      <c r="F228" s="57" t="s">
        <v>81</v>
      </c>
      <c r="G228" s="124">
        <v>400</v>
      </c>
      <c r="H228" t="s">
        <v>259</v>
      </c>
      <c r="I228" s="34">
        <v>7</v>
      </c>
    </row>
    <row r="229" spans="1:9" x14ac:dyDescent="0.3">
      <c r="A229">
        <v>2</v>
      </c>
      <c r="B229" t="s">
        <v>239</v>
      </c>
      <c r="C229" t="s">
        <v>191</v>
      </c>
      <c r="D229" t="s">
        <v>195</v>
      </c>
      <c r="E229" s="1" t="s">
        <v>81</v>
      </c>
      <c r="F229" s="31" t="s">
        <v>81</v>
      </c>
      <c r="G229" s="124">
        <v>360</v>
      </c>
      <c r="H229" t="s">
        <v>260</v>
      </c>
      <c r="I229" s="34">
        <v>2</v>
      </c>
    </row>
    <row r="230" spans="1:9" x14ac:dyDescent="0.3">
      <c r="A230">
        <v>10</v>
      </c>
      <c r="B230" t="s">
        <v>239</v>
      </c>
      <c r="C230" t="s">
        <v>191</v>
      </c>
      <c r="D230" t="s">
        <v>195</v>
      </c>
      <c r="E230" t="s">
        <v>81</v>
      </c>
      <c r="F230" s="57" t="s">
        <v>81</v>
      </c>
      <c r="G230" s="124">
        <v>355</v>
      </c>
      <c r="H230" t="s">
        <v>260</v>
      </c>
      <c r="I230" s="34">
        <v>10</v>
      </c>
    </row>
    <row r="231" spans="1:9" x14ac:dyDescent="0.3">
      <c r="A231">
        <v>1</v>
      </c>
      <c r="B231" t="s">
        <v>239</v>
      </c>
      <c r="C231" t="s">
        <v>191</v>
      </c>
      <c r="D231" t="s">
        <v>238</v>
      </c>
      <c r="E231" s="1" t="s">
        <v>81</v>
      </c>
      <c r="F231" s="54" t="s">
        <v>81</v>
      </c>
      <c r="G231" s="124">
        <v>350</v>
      </c>
      <c r="H231" s="53" t="s">
        <v>261</v>
      </c>
      <c r="I231" s="77">
        <v>1</v>
      </c>
    </row>
    <row r="232" spans="1:9" x14ac:dyDescent="0.3">
      <c r="A232">
        <v>7</v>
      </c>
      <c r="B232" t="s">
        <v>239</v>
      </c>
      <c r="C232" t="s">
        <v>191</v>
      </c>
      <c r="D232" t="s">
        <v>195</v>
      </c>
      <c r="E232" t="s">
        <v>81</v>
      </c>
      <c r="F232" s="57" t="s">
        <v>81</v>
      </c>
      <c r="G232" s="124">
        <v>350</v>
      </c>
      <c r="H232" t="s">
        <v>260</v>
      </c>
      <c r="I232" s="34">
        <v>7</v>
      </c>
    </row>
    <row r="233" spans="1:9" x14ac:dyDescent="0.3">
      <c r="A233">
        <v>5</v>
      </c>
      <c r="B233" t="s">
        <v>239</v>
      </c>
      <c r="C233" t="s">
        <v>191</v>
      </c>
      <c r="D233" t="s">
        <v>195</v>
      </c>
      <c r="E233" s="1" t="s">
        <v>81</v>
      </c>
      <c r="F233" s="54" t="s">
        <v>81</v>
      </c>
      <c r="G233" s="124">
        <v>330</v>
      </c>
      <c r="H233" t="s">
        <v>260</v>
      </c>
      <c r="I233" s="34">
        <v>5</v>
      </c>
    </row>
    <row r="234" spans="1:9" x14ac:dyDescent="0.3">
      <c r="A234">
        <v>8</v>
      </c>
      <c r="B234" t="s">
        <v>239</v>
      </c>
      <c r="C234" t="s">
        <v>191</v>
      </c>
      <c r="D234" t="s">
        <v>195</v>
      </c>
      <c r="E234" t="s">
        <v>81</v>
      </c>
      <c r="F234" s="57" t="s">
        <v>81</v>
      </c>
      <c r="G234" s="124">
        <v>315</v>
      </c>
      <c r="H234" t="s">
        <v>260</v>
      </c>
      <c r="I234" s="34">
        <v>8</v>
      </c>
    </row>
    <row r="235" spans="1:9" x14ac:dyDescent="0.3">
      <c r="A235">
        <v>3</v>
      </c>
      <c r="B235" t="s">
        <v>239</v>
      </c>
      <c r="C235" t="s">
        <v>191</v>
      </c>
      <c r="D235" t="s">
        <v>188</v>
      </c>
      <c r="E235" s="1" t="s">
        <v>81</v>
      </c>
      <c r="F235" s="31" t="s">
        <v>81</v>
      </c>
      <c r="G235" s="124">
        <v>300</v>
      </c>
      <c r="H235" t="s">
        <v>259</v>
      </c>
      <c r="I235" s="34">
        <v>3</v>
      </c>
    </row>
    <row r="236" spans="1:9" x14ac:dyDescent="0.3">
      <c r="A236">
        <v>9</v>
      </c>
      <c r="B236" t="s">
        <v>239</v>
      </c>
      <c r="C236" t="s">
        <v>191</v>
      </c>
      <c r="D236" t="s">
        <v>195</v>
      </c>
      <c r="E236" t="s">
        <v>81</v>
      </c>
      <c r="F236" s="57" t="s">
        <v>81</v>
      </c>
      <c r="G236" s="124">
        <v>300</v>
      </c>
      <c r="H236" t="s">
        <v>260</v>
      </c>
      <c r="I236" s="34">
        <v>9</v>
      </c>
    </row>
    <row r="237" spans="1:9" x14ac:dyDescent="0.3">
      <c r="A237">
        <v>12</v>
      </c>
      <c r="B237" t="s">
        <v>239</v>
      </c>
      <c r="C237" t="s">
        <v>191</v>
      </c>
      <c r="D237" t="s">
        <v>195</v>
      </c>
      <c r="E237" t="s">
        <v>81</v>
      </c>
      <c r="F237" s="57" t="s">
        <v>81</v>
      </c>
      <c r="G237" s="124">
        <v>300</v>
      </c>
      <c r="H237" t="s">
        <v>260</v>
      </c>
      <c r="I237" s="34">
        <v>12</v>
      </c>
    </row>
    <row r="238" spans="1:9" x14ac:dyDescent="0.3">
      <c r="A238" s="53">
        <v>11</v>
      </c>
      <c r="B238" t="s">
        <v>239</v>
      </c>
      <c r="C238" s="53" t="s">
        <v>191</v>
      </c>
      <c r="D238" s="53" t="s">
        <v>195</v>
      </c>
      <c r="E238" s="53" t="s">
        <v>81</v>
      </c>
      <c r="F238" s="57" t="s">
        <v>81</v>
      </c>
      <c r="G238" s="124">
        <v>280</v>
      </c>
      <c r="H238" t="s">
        <v>260</v>
      </c>
      <c r="I238" s="34">
        <v>11</v>
      </c>
    </row>
    <row r="239" spans="1:9" x14ac:dyDescent="0.3">
      <c r="A239">
        <v>4</v>
      </c>
      <c r="B239" t="s">
        <v>239</v>
      </c>
      <c r="C239" t="s">
        <v>191</v>
      </c>
      <c r="D239" t="s">
        <v>195</v>
      </c>
      <c r="E239" s="1" t="s">
        <v>81</v>
      </c>
      <c r="F239" s="54" t="s">
        <v>81</v>
      </c>
      <c r="G239" s="124">
        <v>250</v>
      </c>
      <c r="H239" t="s">
        <v>260</v>
      </c>
      <c r="I239" s="34">
        <v>4</v>
      </c>
    </row>
    <row r="240" spans="1:9" x14ac:dyDescent="0.3">
      <c r="A240">
        <v>6</v>
      </c>
      <c r="B240" t="s">
        <v>239</v>
      </c>
      <c r="C240" t="s">
        <v>191</v>
      </c>
      <c r="D240" t="s">
        <v>195</v>
      </c>
      <c r="E240" t="s">
        <v>81</v>
      </c>
      <c r="F240" s="57" t="s">
        <v>81</v>
      </c>
      <c r="G240" s="124">
        <v>250</v>
      </c>
      <c r="H240" t="s">
        <v>260</v>
      </c>
      <c r="I240" s="34">
        <v>6</v>
      </c>
    </row>
    <row r="241" spans="1:9" x14ac:dyDescent="0.3">
      <c r="A241">
        <v>1</v>
      </c>
      <c r="B241" t="s">
        <v>239</v>
      </c>
      <c r="C241" t="s">
        <v>191</v>
      </c>
      <c r="D241" t="s">
        <v>195</v>
      </c>
      <c r="E241" s="1" t="s">
        <v>81</v>
      </c>
      <c r="F241" s="54" t="s">
        <v>81</v>
      </c>
      <c r="G241" s="124">
        <v>240</v>
      </c>
      <c r="H241" t="s">
        <v>260</v>
      </c>
      <c r="I241" s="34">
        <v>1</v>
      </c>
    </row>
    <row r="242" spans="1:9" x14ac:dyDescent="0.3">
      <c r="A242">
        <v>3</v>
      </c>
      <c r="B242" t="s">
        <v>239</v>
      </c>
      <c r="C242" t="s">
        <v>191</v>
      </c>
      <c r="D242" t="s">
        <v>195</v>
      </c>
      <c r="E242" s="1" t="s">
        <v>81</v>
      </c>
      <c r="F242" s="31" t="s">
        <v>81</v>
      </c>
      <c r="G242" s="124">
        <v>200</v>
      </c>
      <c r="H242" t="s">
        <v>260</v>
      </c>
      <c r="I242" s="34">
        <v>3</v>
      </c>
    </row>
    <row r="243" spans="1:9" x14ac:dyDescent="0.3">
      <c r="A243">
        <v>8</v>
      </c>
      <c r="B243" t="s">
        <v>239</v>
      </c>
      <c r="C243" t="s">
        <v>192</v>
      </c>
      <c r="D243" t="s">
        <v>188</v>
      </c>
      <c r="E243" t="s">
        <v>81</v>
      </c>
      <c r="F243" s="57" t="s">
        <v>81</v>
      </c>
      <c r="G243" s="124">
        <v>182.64</v>
      </c>
      <c r="H243" s="53" t="s">
        <v>262</v>
      </c>
      <c r="I243" s="77">
        <v>8</v>
      </c>
    </row>
    <row r="244" spans="1:9" x14ac:dyDescent="0.3">
      <c r="A244">
        <v>7</v>
      </c>
      <c r="B244" t="s">
        <v>239</v>
      </c>
      <c r="C244" t="s">
        <v>192</v>
      </c>
      <c r="D244" t="s">
        <v>195</v>
      </c>
      <c r="E244" t="s">
        <v>81</v>
      </c>
      <c r="F244" s="57" t="s">
        <v>81</v>
      </c>
      <c r="G244" s="124">
        <v>179.532730684039</v>
      </c>
      <c r="H244" t="s">
        <v>263</v>
      </c>
      <c r="I244" s="34">
        <v>7</v>
      </c>
    </row>
    <row r="245" spans="1:9" x14ac:dyDescent="0.3">
      <c r="A245">
        <v>7</v>
      </c>
      <c r="B245" t="s">
        <v>239</v>
      </c>
      <c r="C245" t="s">
        <v>192</v>
      </c>
      <c r="D245" t="s">
        <v>188</v>
      </c>
      <c r="E245" t="s">
        <v>81</v>
      </c>
      <c r="F245" s="57" t="s">
        <v>81</v>
      </c>
      <c r="G245" s="124">
        <v>178.20064710659898</v>
      </c>
      <c r="H245" t="s">
        <v>262</v>
      </c>
      <c r="I245" s="34">
        <v>7</v>
      </c>
    </row>
    <row r="246" spans="1:9" x14ac:dyDescent="0.3">
      <c r="A246">
        <v>8</v>
      </c>
      <c r="B246" t="s">
        <v>239</v>
      </c>
      <c r="C246" t="s">
        <v>192</v>
      </c>
      <c r="D246" t="s">
        <v>195</v>
      </c>
      <c r="E246" t="s">
        <v>81</v>
      </c>
      <c r="F246" s="57" t="s">
        <v>81</v>
      </c>
      <c r="G246" s="124">
        <v>175.42</v>
      </c>
      <c r="H246" t="s">
        <v>263</v>
      </c>
      <c r="I246" s="34">
        <v>8</v>
      </c>
    </row>
    <row r="247" spans="1:9" x14ac:dyDescent="0.3">
      <c r="A247">
        <v>9</v>
      </c>
      <c r="B247" t="s">
        <v>239</v>
      </c>
      <c r="C247" t="s">
        <v>192</v>
      </c>
      <c r="D247" t="s">
        <v>188</v>
      </c>
      <c r="E247" t="s">
        <v>81</v>
      </c>
      <c r="F247" s="57" t="s">
        <v>81</v>
      </c>
      <c r="G247" s="124">
        <v>167.47</v>
      </c>
      <c r="H247" t="s">
        <v>262</v>
      </c>
      <c r="I247" s="34">
        <v>9</v>
      </c>
    </row>
    <row r="248" spans="1:9" x14ac:dyDescent="0.3">
      <c r="A248">
        <v>9</v>
      </c>
      <c r="B248" t="s">
        <v>239</v>
      </c>
      <c r="C248" t="s">
        <v>192</v>
      </c>
      <c r="D248" t="s">
        <v>195</v>
      </c>
      <c r="E248" t="s">
        <v>81</v>
      </c>
      <c r="F248" s="57" t="s">
        <v>81</v>
      </c>
      <c r="G248" s="124">
        <v>165.1</v>
      </c>
      <c r="H248" t="s">
        <v>263</v>
      </c>
      <c r="I248" s="34">
        <v>9</v>
      </c>
    </row>
    <row r="249" spans="1:9" x14ac:dyDescent="0.3">
      <c r="A249">
        <v>10</v>
      </c>
      <c r="B249" t="s">
        <v>239</v>
      </c>
      <c r="C249" t="s">
        <v>192</v>
      </c>
      <c r="D249" t="s">
        <v>188</v>
      </c>
      <c r="E249" t="s">
        <v>81</v>
      </c>
      <c r="F249" s="57" t="s">
        <v>81</v>
      </c>
      <c r="G249" s="124">
        <v>163.61199999999999</v>
      </c>
      <c r="H249" s="53" t="s">
        <v>262</v>
      </c>
      <c r="I249" s="77">
        <v>10</v>
      </c>
    </row>
    <row r="250" spans="1:9" x14ac:dyDescent="0.3">
      <c r="A250">
        <v>10</v>
      </c>
      <c r="B250" t="s">
        <v>239</v>
      </c>
      <c r="C250" t="s">
        <v>192</v>
      </c>
      <c r="D250" t="s">
        <v>195</v>
      </c>
      <c r="E250" t="s">
        <v>81</v>
      </c>
      <c r="F250" s="57" t="s">
        <v>81</v>
      </c>
      <c r="G250" s="124">
        <v>162.15</v>
      </c>
      <c r="H250" t="s">
        <v>263</v>
      </c>
      <c r="I250" s="34">
        <v>10</v>
      </c>
    </row>
    <row r="251" spans="1:9" x14ac:dyDescent="0.3">
      <c r="A251">
        <v>3</v>
      </c>
      <c r="B251" t="s">
        <v>239</v>
      </c>
      <c r="C251" t="s">
        <v>192</v>
      </c>
      <c r="D251" t="s">
        <v>188</v>
      </c>
      <c r="E251" s="1" t="s">
        <v>81</v>
      </c>
      <c r="F251" s="54" t="s">
        <v>81</v>
      </c>
      <c r="G251" s="124">
        <v>151.537314904943</v>
      </c>
      <c r="H251" t="s">
        <v>262</v>
      </c>
      <c r="I251" s="34">
        <v>3</v>
      </c>
    </row>
    <row r="252" spans="1:9" x14ac:dyDescent="0.3">
      <c r="A252">
        <v>2</v>
      </c>
      <c r="B252" t="s">
        <v>239</v>
      </c>
      <c r="C252" t="s">
        <v>192</v>
      </c>
      <c r="D252" t="s">
        <v>188</v>
      </c>
      <c r="E252" s="1" t="s">
        <v>81</v>
      </c>
      <c r="F252" s="54" t="s">
        <v>81</v>
      </c>
      <c r="G252" s="124">
        <v>151.06033025247501</v>
      </c>
      <c r="H252" t="s">
        <v>262</v>
      </c>
      <c r="I252" s="34">
        <v>2</v>
      </c>
    </row>
    <row r="253" spans="1:9" x14ac:dyDescent="0.3">
      <c r="A253">
        <v>2</v>
      </c>
      <c r="B253" t="s">
        <v>239</v>
      </c>
      <c r="C253" t="s">
        <v>192</v>
      </c>
      <c r="D253" t="s">
        <v>195</v>
      </c>
      <c r="E253" s="1" t="s">
        <v>81</v>
      </c>
      <c r="F253" s="54" t="s">
        <v>81</v>
      </c>
      <c r="G253" s="124">
        <v>143.030997419355</v>
      </c>
      <c r="H253" t="s">
        <v>263</v>
      </c>
      <c r="I253" s="34">
        <v>2</v>
      </c>
    </row>
    <row r="254" spans="1:9" x14ac:dyDescent="0.3">
      <c r="A254">
        <v>6</v>
      </c>
      <c r="B254" t="s">
        <v>239</v>
      </c>
      <c r="C254" t="s">
        <v>192</v>
      </c>
      <c r="D254" t="s">
        <v>188</v>
      </c>
      <c r="E254" t="s">
        <v>81</v>
      </c>
      <c r="F254" s="57" t="s">
        <v>81</v>
      </c>
      <c r="G254" s="124">
        <v>142.52990708791199</v>
      </c>
      <c r="H254" t="s">
        <v>262</v>
      </c>
      <c r="I254" s="34">
        <v>6</v>
      </c>
    </row>
    <row r="255" spans="1:9" x14ac:dyDescent="0.3">
      <c r="A255">
        <v>5</v>
      </c>
      <c r="B255" t="s">
        <v>239</v>
      </c>
      <c r="C255" t="s">
        <v>192</v>
      </c>
      <c r="D255" t="s">
        <v>188</v>
      </c>
      <c r="E255" t="s">
        <v>81</v>
      </c>
      <c r="F255" s="57" t="s">
        <v>81</v>
      </c>
      <c r="G255" s="124">
        <v>140.16259917808199</v>
      </c>
      <c r="H255" t="s">
        <v>262</v>
      </c>
      <c r="I255" s="34">
        <v>5</v>
      </c>
    </row>
    <row r="256" spans="1:9" x14ac:dyDescent="0.3">
      <c r="A256">
        <v>3</v>
      </c>
      <c r="B256" t="s">
        <v>239</v>
      </c>
      <c r="C256" t="s">
        <v>192</v>
      </c>
      <c r="D256" t="s">
        <v>195</v>
      </c>
      <c r="E256" s="1" t="s">
        <v>81</v>
      </c>
      <c r="F256" s="54" t="s">
        <v>81</v>
      </c>
      <c r="G256" s="124">
        <v>138.59236315217399</v>
      </c>
      <c r="H256" t="s">
        <v>263</v>
      </c>
      <c r="I256" s="34">
        <v>3</v>
      </c>
    </row>
    <row r="257" spans="1:9" x14ac:dyDescent="0.3">
      <c r="A257">
        <v>6</v>
      </c>
      <c r="B257" t="s">
        <v>239</v>
      </c>
      <c r="C257" t="s">
        <v>192</v>
      </c>
      <c r="D257" t="s">
        <v>195</v>
      </c>
      <c r="E257" t="s">
        <v>81</v>
      </c>
      <c r="F257" s="57" t="s">
        <v>81</v>
      </c>
      <c r="G257" s="124">
        <v>138.087359897959</v>
      </c>
      <c r="H257" t="s">
        <v>263</v>
      </c>
      <c r="I257" s="34">
        <v>6</v>
      </c>
    </row>
    <row r="258" spans="1:9" x14ac:dyDescent="0.3">
      <c r="A258">
        <v>12</v>
      </c>
      <c r="B258" t="s">
        <v>239</v>
      </c>
      <c r="C258" t="s">
        <v>192</v>
      </c>
      <c r="D258" t="s">
        <v>195</v>
      </c>
      <c r="E258" t="s">
        <v>81</v>
      </c>
      <c r="F258" s="57" t="s">
        <v>81</v>
      </c>
      <c r="G258" s="124">
        <v>133.9</v>
      </c>
      <c r="H258" t="s">
        <v>263</v>
      </c>
      <c r="I258" s="34">
        <v>12</v>
      </c>
    </row>
    <row r="259" spans="1:9" x14ac:dyDescent="0.3">
      <c r="A259">
        <v>12</v>
      </c>
      <c r="B259" t="s">
        <v>239</v>
      </c>
      <c r="C259" t="s">
        <v>192</v>
      </c>
      <c r="D259" t="s">
        <v>188</v>
      </c>
      <c r="E259" t="s">
        <v>81</v>
      </c>
      <c r="F259" s="57" t="s">
        <v>81</v>
      </c>
      <c r="G259" s="124">
        <v>133.43700000000001</v>
      </c>
      <c r="H259" s="53" t="s">
        <v>262</v>
      </c>
      <c r="I259" s="77">
        <v>12</v>
      </c>
    </row>
    <row r="260" spans="1:9" x14ac:dyDescent="0.3">
      <c r="A260">
        <v>1</v>
      </c>
      <c r="B260" t="s">
        <v>239</v>
      </c>
      <c r="C260" t="s">
        <v>192</v>
      </c>
      <c r="D260" t="s">
        <v>188</v>
      </c>
      <c r="E260" s="1" t="s">
        <v>81</v>
      </c>
      <c r="F260" s="54" t="s">
        <v>81</v>
      </c>
      <c r="G260" s="124">
        <v>133.31348</v>
      </c>
      <c r="H260" t="s">
        <v>262</v>
      </c>
      <c r="I260" s="34">
        <v>1</v>
      </c>
    </row>
    <row r="261" spans="1:9" x14ac:dyDescent="0.3">
      <c r="A261">
        <v>5</v>
      </c>
      <c r="B261" t="s">
        <v>239</v>
      </c>
      <c r="C261" t="s">
        <v>192</v>
      </c>
      <c r="D261" t="s">
        <v>195</v>
      </c>
      <c r="E261" t="s">
        <v>81</v>
      </c>
      <c r="F261" s="57" t="s">
        <v>81</v>
      </c>
      <c r="G261" s="124">
        <v>133.101143589744</v>
      </c>
      <c r="H261" t="s">
        <v>263</v>
      </c>
      <c r="I261" s="34">
        <v>5</v>
      </c>
    </row>
    <row r="262" spans="1:9" x14ac:dyDescent="0.3">
      <c r="A262">
        <v>4</v>
      </c>
      <c r="B262" t="s">
        <v>239</v>
      </c>
      <c r="C262" t="s">
        <v>192</v>
      </c>
      <c r="D262" t="s">
        <v>188</v>
      </c>
      <c r="E262" s="1" t="s">
        <v>81</v>
      </c>
      <c r="F262" s="31" t="s">
        <v>81</v>
      </c>
      <c r="G262" s="124">
        <v>131.543528847185</v>
      </c>
      <c r="H262" t="s">
        <v>262</v>
      </c>
      <c r="I262" s="34">
        <v>4</v>
      </c>
    </row>
    <row r="263" spans="1:9" x14ac:dyDescent="0.3">
      <c r="A263" s="53">
        <v>11</v>
      </c>
      <c r="B263" t="s">
        <v>239</v>
      </c>
      <c r="C263" s="53" t="s">
        <v>192</v>
      </c>
      <c r="D263" s="53" t="s">
        <v>188</v>
      </c>
      <c r="E263" s="53" t="s">
        <v>81</v>
      </c>
      <c r="F263" s="57" t="s">
        <v>81</v>
      </c>
      <c r="G263" s="124">
        <v>128.49700000000001</v>
      </c>
      <c r="H263" t="s">
        <v>262</v>
      </c>
      <c r="I263" s="34">
        <v>11</v>
      </c>
    </row>
    <row r="264" spans="1:9" x14ac:dyDescent="0.3">
      <c r="A264" s="53">
        <v>11</v>
      </c>
      <c r="B264" t="s">
        <v>239</v>
      </c>
      <c r="C264" s="53" t="s">
        <v>192</v>
      </c>
      <c r="D264" s="53" t="s">
        <v>195</v>
      </c>
      <c r="E264" s="53" t="s">
        <v>81</v>
      </c>
      <c r="F264" s="57" t="s">
        <v>81</v>
      </c>
      <c r="G264" s="124">
        <v>127.2</v>
      </c>
      <c r="H264" t="s">
        <v>263</v>
      </c>
      <c r="I264" s="34">
        <v>11</v>
      </c>
    </row>
    <row r="265" spans="1:9" x14ac:dyDescent="0.3">
      <c r="A265">
        <v>1</v>
      </c>
      <c r="B265" t="s">
        <v>239</v>
      </c>
      <c r="C265" t="s">
        <v>192</v>
      </c>
      <c r="D265" t="s">
        <v>195</v>
      </c>
      <c r="E265" s="1" t="s">
        <v>81</v>
      </c>
      <c r="F265" s="54" t="s">
        <v>81</v>
      </c>
      <c r="G265" s="124">
        <v>124.11691846153801</v>
      </c>
      <c r="H265" t="s">
        <v>263</v>
      </c>
      <c r="I265" s="34">
        <v>1</v>
      </c>
    </row>
    <row r="266" spans="1:9" x14ac:dyDescent="0.3">
      <c r="A266">
        <v>4</v>
      </c>
      <c r="B266" t="s">
        <v>239</v>
      </c>
      <c r="C266" t="s">
        <v>192</v>
      </c>
      <c r="D266" t="s">
        <v>195</v>
      </c>
      <c r="E266" s="1" t="s">
        <v>81</v>
      </c>
      <c r="F266" s="31" t="s">
        <v>81</v>
      </c>
      <c r="G266" s="124">
        <v>117.66321672413794</v>
      </c>
      <c r="H266" t="s">
        <v>263</v>
      </c>
      <c r="I266" s="34">
        <v>4</v>
      </c>
    </row>
    <row r="267" spans="1:9" x14ac:dyDescent="0.3">
      <c r="A267">
        <v>10</v>
      </c>
      <c r="B267" t="s">
        <v>239</v>
      </c>
      <c r="C267" t="s">
        <v>193</v>
      </c>
      <c r="D267" t="s">
        <v>188</v>
      </c>
      <c r="E267" t="s">
        <v>81</v>
      </c>
      <c r="F267" s="57" t="s">
        <v>81</v>
      </c>
      <c r="G267" s="124">
        <v>98.167199999999994</v>
      </c>
      <c r="H267" s="53" t="s">
        <v>264</v>
      </c>
      <c r="I267" s="77">
        <v>10</v>
      </c>
    </row>
    <row r="268" spans="1:9" x14ac:dyDescent="0.3">
      <c r="A268">
        <v>8</v>
      </c>
      <c r="B268" t="s">
        <v>239</v>
      </c>
      <c r="C268" t="s">
        <v>193</v>
      </c>
      <c r="D268" t="s">
        <v>188</v>
      </c>
      <c r="E268" t="s">
        <v>81</v>
      </c>
      <c r="F268" s="57" t="s">
        <v>81</v>
      </c>
      <c r="G268" s="124">
        <v>82.188000000000002</v>
      </c>
      <c r="H268" t="s">
        <v>264</v>
      </c>
      <c r="I268" s="34">
        <v>8</v>
      </c>
    </row>
    <row r="269" spans="1:9" x14ac:dyDescent="0.3">
      <c r="A269">
        <v>9</v>
      </c>
      <c r="B269" t="s">
        <v>239</v>
      </c>
      <c r="C269" t="s">
        <v>193</v>
      </c>
      <c r="D269" t="s">
        <v>188</v>
      </c>
      <c r="E269" t="s">
        <v>81</v>
      </c>
      <c r="F269" s="57" t="s">
        <v>81</v>
      </c>
      <c r="G269" s="124">
        <v>75.361500000000007</v>
      </c>
      <c r="H269" s="53" t="s">
        <v>264</v>
      </c>
      <c r="I269" s="77">
        <v>9</v>
      </c>
    </row>
    <row r="270" spans="1:9" x14ac:dyDescent="0.3">
      <c r="A270">
        <v>7</v>
      </c>
      <c r="B270" t="s">
        <v>239</v>
      </c>
      <c r="C270" t="s">
        <v>193</v>
      </c>
      <c r="D270" t="s">
        <v>188</v>
      </c>
      <c r="E270" t="s">
        <v>81</v>
      </c>
      <c r="F270" s="57" t="s">
        <v>81</v>
      </c>
      <c r="G270" s="124">
        <v>71.280258842639597</v>
      </c>
      <c r="H270" t="s">
        <v>264</v>
      </c>
      <c r="I270" s="34">
        <v>7</v>
      </c>
    </row>
    <row r="271" spans="1:9" x14ac:dyDescent="0.3">
      <c r="A271">
        <v>2</v>
      </c>
      <c r="B271" t="s">
        <v>239</v>
      </c>
      <c r="C271" t="s">
        <v>193</v>
      </c>
      <c r="D271" t="s">
        <v>188</v>
      </c>
      <c r="E271" s="1" t="s">
        <v>81</v>
      </c>
      <c r="F271" s="31" t="s">
        <v>81</v>
      </c>
      <c r="G271" s="124">
        <v>70.998355218663264</v>
      </c>
      <c r="H271" t="s">
        <v>264</v>
      </c>
      <c r="I271" s="34">
        <v>2</v>
      </c>
    </row>
    <row r="272" spans="1:9" x14ac:dyDescent="0.3">
      <c r="A272">
        <v>1</v>
      </c>
      <c r="B272" t="s">
        <v>239</v>
      </c>
      <c r="C272" t="s">
        <v>192</v>
      </c>
      <c r="D272" t="s">
        <v>238</v>
      </c>
      <c r="E272" s="1" t="s">
        <v>81</v>
      </c>
      <c r="F272" s="54" t="s">
        <v>81</v>
      </c>
      <c r="G272" s="124">
        <v>70</v>
      </c>
      <c r="H272" t="s">
        <v>265</v>
      </c>
      <c r="I272" s="34">
        <v>1</v>
      </c>
    </row>
    <row r="273" spans="1:9" x14ac:dyDescent="0.3">
      <c r="A273">
        <v>2</v>
      </c>
      <c r="B273" t="s">
        <v>239</v>
      </c>
      <c r="C273" t="s">
        <v>192</v>
      </c>
      <c r="D273" t="s">
        <v>238</v>
      </c>
      <c r="E273" s="1" t="s">
        <v>81</v>
      </c>
      <c r="F273" s="54" t="s">
        <v>81</v>
      </c>
      <c r="G273" s="124">
        <v>70</v>
      </c>
      <c r="H273" s="53" t="s">
        <v>265</v>
      </c>
      <c r="I273" s="77">
        <v>2</v>
      </c>
    </row>
    <row r="274" spans="1:9" x14ac:dyDescent="0.3">
      <c r="A274">
        <v>10</v>
      </c>
      <c r="B274" t="s">
        <v>239</v>
      </c>
      <c r="C274" t="s">
        <v>192</v>
      </c>
      <c r="D274" t="s">
        <v>238</v>
      </c>
      <c r="E274" t="s">
        <v>81</v>
      </c>
      <c r="F274" s="57" t="s">
        <v>81</v>
      </c>
      <c r="G274" s="124">
        <v>68</v>
      </c>
      <c r="H274" t="s">
        <v>265</v>
      </c>
      <c r="I274" s="34">
        <v>10</v>
      </c>
    </row>
    <row r="275" spans="1:9" x14ac:dyDescent="0.3">
      <c r="A275">
        <v>12</v>
      </c>
      <c r="B275" t="s">
        <v>239</v>
      </c>
      <c r="C275" t="s">
        <v>193</v>
      </c>
      <c r="D275" t="s">
        <v>188</v>
      </c>
      <c r="E275" t="s">
        <v>81</v>
      </c>
      <c r="F275" s="57" t="s">
        <v>81</v>
      </c>
      <c r="G275" s="124">
        <v>66.718500000000006</v>
      </c>
      <c r="H275" t="s">
        <v>264</v>
      </c>
      <c r="I275" s="34">
        <v>12</v>
      </c>
    </row>
    <row r="276" spans="1:9" x14ac:dyDescent="0.3">
      <c r="A276">
        <v>5</v>
      </c>
      <c r="B276" t="s">
        <v>239</v>
      </c>
      <c r="C276" t="s">
        <v>192</v>
      </c>
      <c r="D276" t="s">
        <v>238</v>
      </c>
      <c r="E276" t="s">
        <v>81</v>
      </c>
      <c r="F276" s="57" t="s">
        <v>81</v>
      </c>
      <c r="G276" s="124">
        <v>65</v>
      </c>
      <c r="H276" t="s">
        <v>265</v>
      </c>
      <c r="I276" s="34">
        <v>5</v>
      </c>
    </row>
    <row r="277" spans="1:9" x14ac:dyDescent="0.3">
      <c r="A277">
        <v>8</v>
      </c>
      <c r="B277" t="s">
        <v>239</v>
      </c>
      <c r="C277" t="s">
        <v>192</v>
      </c>
      <c r="D277" t="s">
        <v>238</v>
      </c>
      <c r="E277" t="s">
        <v>81</v>
      </c>
      <c r="F277" s="57" t="s">
        <v>81</v>
      </c>
      <c r="G277" s="124">
        <v>65</v>
      </c>
      <c r="H277" t="s">
        <v>265</v>
      </c>
      <c r="I277" s="34">
        <v>8</v>
      </c>
    </row>
    <row r="278" spans="1:9" x14ac:dyDescent="0.3">
      <c r="A278" s="53">
        <v>11</v>
      </c>
      <c r="B278" t="s">
        <v>239</v>
      </c>
      <c r="C278" s="53" t="s">
        <v>193</v>
      </c>
      <c r="D278" s="53" t="s">
        <v>188</v>
      </c>
      <c r="E278" s="53" t="s">
        <v>81</v>
      </c>
      <c r="F278" s="57" t="s">
        <v>81</v>
      </c>
      <c r="G278" s="124">
        <v>64.248500000000007</v>
      </c>
      <c r="H278" s="53" t="s">
        <v>264</v>
      </c>
      <c r="I278" s="77">
        <v>11</v>
      </c>
    </row>
    <row r="279" spans="1:9" x14ac:dyDescent="0.3">
      <c r="A279">
        <v>7</v>
      </c>
      <c r="B279" t="s">
        <v>239</v>
      </c>
      <c r="C279" t="s">
        <v>193</v>
      </c>
      <c r="D279" t="s">
        <v>195</v>
      </c>
      <c r="E279" t="s">
        <v>81</v>
      </c>
      <c r="F279" s="57" t="s">
        <v>81</v>
      </c>
      <c r="G279" s="124">
        <v>62.836455739413651</v>
      </c>
      <c r="H279" t="s">
        <v>266</v>
      </c>
      <c r="I279" s="34">
        <v>7</v>
      </c>
    </row>
    <row r="280" spans="1:9" x14ac:dyDescent="0.3">
      <c r="A280">
        <v>7</v>
      </c>
      <c r="B280" t="s">
        <v>239</v>
      </c>
      <c r="C280" t="s">
        <v>192</v>
      </c>
      <c r="D280" t="s">
        <v>238</v>
      </c>
      <c r="E280" t="s">
        <v>81</v>
      </c>
      <c r="F280" s="57" t="s">
        <v>81</v>
      </c>
      <c r="G280" s="124">
        <v>60</v>
      </c>
      <c r="H280" s="53" t="s">
        <v>265</v>
      </c>
      <c r="I280" s="77">
        <v>7</v>
      </c>
    </row>
    <row r="281" spans="1:9" x14ac:dyDescent="0.3">
      <c r="A281">
        <v>4</v>
      </c>
      <c r="B281" t="s">
        <v>239</v>
      </c>
      <c r="C281" t="s">
        <v>193</v>
      </c>
      <c r="D281" t="s">
        <v>188</v>
      </c>
      <c r="E281" s="1" t="s">
        <v>81</v>
      </c>
      <c r="F281" s="54" t="s">
        <v>81</v>
      </c>
      <c r="G281" s="124">
        <v>59.194587981233248</v>
      </c>
      <c r="H281" t="s">
        <v>264</v>
      </c>
      <c r="I281" s="34">
        <v>4</v>
      </c>
    </row>
    <row r="282" spans="1:9" x14ac:dyDescent="0.3">
      <c r="A282">
        <v>10</v>
      </c>
      <c r="B282" t="s">
        <v>239</v>
      </c>
      <c r="C282" t="s">
        <v>193</v>
      </c>
      <c r="D282" t="s">
        <v>195</v>
      </c>
      <c r="E282" t="s">
        <v>81</v>
      </c>
      <c r="F282" s="57" t="s">
        <v>81</v>
      </c>
      <c r="G282" s="124">
        <v>57.563249999999996</v>
      </c>
      <c r="H282" t="s">
        <v>266</v>
      </c>
      <c r="I282" s="34">
        <v>10</v>
      </c>
    </row>
    <row r="283" spans="1:9" x14ac:dyDescent="0.3">
      <c r="A283">
        <v>5</v>
      </c>
      <c r="B283" t="s">
        <v>239</v>
      </c>
      <c r="C283" t="s">
        <v>193</v>
      </c>
      <c r="D283" t="s">
        <v>188</v>
      </c>
      <c r="E283" t="s">
        <v>81</v>
      </c>
      <c r="F283" s="57" t="s">
        <v>81</v>
      </c>
      <c r="G283" s="124">
        <v>57.466665663013615</v>
      </c>
      <c r="H283" t="s">
        <v>264</v>
      </c>
      <c r="I283" s="34">
        <v>5</v>
      </c>
    </row>
    <row r="284" spans="1:9" x14ac:dyDescent="0.3">
      <c r="A284">
        <v>6</v>
      </c>
      <c r="B284" t="s">
        <v>239</v>
      </c>
      <c r="C284" t="s">
        <v>193</v>
      </c>
      <c r="D284" t="s">
        <v>188</v>
      </c>
      <c r="E284" t="s">
        <v>81</v>
      </c>
      <c r="F284" s="57" t="s">
        <v>81</v>
      </c>
      <c r="G284" s="124">
        <v>57.011962835164802</v>
      </c>
      <c r="H284" t="s">
        <v>264</v>
      </c>
      <c r="I284" s="34">
        <v>6</v>
      </c>
    </row>
    <row r="285" spans="1:9" x14ac:dyDescent="0.3">
      <c r="A285">
        <v>8</v>
      </c>
      <c r="B285" t="s">
        <v>239</v>
      </c>
      <c r="C285" t="s">
        <v>193</v>
      </c>
      <c r="D285" t="s">
        <v>195</v>
      </c>
      <c r="E285" t="s">
        <v>81</v>
      </c>
      <c r="F285" s="57" t="s">
        <v>81</v>
      </c>
      <c r="G285" s="124">
        <v>55.257299999999994</v>
      </c>
      <c r="H285" t="s">
        <v>266</v>
      </c>
      <c r="I285" s="34">
        <v>8</v>
      </c>
    </row>
    <row r="286" spans="1:9" x14ac:dyDescent="0.3">
      <c r="A286">
        <v>10</v>
      </c>
      <c r="B286" t="s">
        <v>239</v>
      </c>
      <c r="C286" t="s">
        <v>191</v>
      </c>
      <c r="D286" t="s">
        <v>238</v>
      </c>
      <c r="E286" t="s">
        <v>81</v>
      </c>
      <c r="F286" s="57" t="s">
        <v>81</v>
      </c>
      <c r="G286" s="124">
        <v>55</v>
      </c>
      <c r="H286" t="s">
        <v>261</v>
      </c>
      <c r="I286" s="34">
        <v>10</v>
      </c>
    </row>
    <row r="287" spans="1:9" x14ac:dyDescent="0.3">
      <c r="A287">
        <v>1</v>
      </c>
      <c r="B287" t="s">
        <v>239</v>
      </c>
      <c r="C287" t="s">
        <v>193</v>
      </c>
      <c r="D287" t="s">
        <v>188</v>
      </c>
      <c r="E287" s="1" t="s">
        <v>81</v>
      </c>
      <c r="F287" s="54" t="s">
        <v>81</v>
      </c>
      <c r="G287" s="124">
        <v>53.325392000000001</v>
      </c>
      <c r="H287" t="s">
        <v>264</v>
      </c>
      <c r="I287" s="34">
        <v>1</v>
      </c>
    </row>
    <row r="288" spans="1:9" x14ac:dyDescent="0.3">
      <c r="A288">
        <v>2</v>
      </c>
      <c r="B288" t="s">
        <v>239</v>
      </c>
      <c r="C288" t="s">
        <v>193</v>
      </c>
      <c r="D288" t="s">
        <v>195</v>
      </c>
      <c r="E288" s="1" t="s">
        <v>81</v>
      </c>
      <c r="F288" s="31" t="s">
        <v>81</v>
      </c>
      <c r="G288" s="124">
        <v>51.491159070967797</v>
      </c>
      <c r="H288" t="s">
        <v>266</v>
      </c>
      <c r="I288" s="34">
        <v>2</v>
      </c>
    </row>
    <row r="289" spans="1:9" x14ac:dyDescent="0.3">
      <c r="A289">
        <v>5</v>
      </c>
      <c r="B289" t="s">
        <v>239</v>
      </c>
      <c r="C289" t="s">
        <v>191</v>
      </c>
      <c r="D289" t="s">
        <v>238</v>
      </c>
      <c r="E289" s="1" t="s">
        <v>81</v>
      </c>
      <c r="F289" s="54" t="s">
        <v>81</v>
      </c>
      <c r="G289" s="124">
        <v>50</v>
      </c>
      <c r="H289" t="s">
        <v>261</v>
      </c>
      <c r="I289" s="34">
        <v>5</v>
      </c>
    </row>
    <row r="290" spans="1:9" x14ac:dyDescent="0.3">
      <c r="A290">
        <v>9</v>
      </c>
      <c r="B290" t="s">
        <v>239</v>
      </c>
      <c r="C290" t="s">
        <v>193</v>
      </c>
      <c r="D290" t="s">
        <v>195</v>
      </c>
      <c r="E290" t="s">
        <v>81</v>
      </c>
      <c r="F290" s="57" t="s">
        <v>81</v>
      </c>
      <c r="G290" s="124">
        <v>49.53</v>
      </c>
      <c r="H290" t="s">
        <v>266</v>
      </c>
      <c r="I290" s="34">
        <v>9</v>
      </c>
    </row>
    <row r="291" spans="1:9" x14ac:dyDescent="0.3">
      <c r="A291">
        <v>3</v>
      </c>
      <c r="B291" t="s">
        <v>239</v>
      </c>
      <c r="C291" t="s">
        <v>193</v>
      </c>
      <c r="D291" t="s">
        <v>188</v>
      </c>
      <c r="E291" s="1" t="s">
        <v>81</v>
      </c>
      <c r="F291" s="54" t="s">
        <v>81</v>
      </c>
      <c r="G291" s="124">
        <v>45.461194471482898</v>
      </c>
      <c r="H291" t="s">
        <v>264</v>
      </c>
      <c r="I291" s="34">
        <v>3</v>
      </c>
    </row>
    <row r="292" spans="1:9" x14ac:dyDescent="0.3">
      <c r="A292">
        <v>5</v>
      </c>
      <c r="B292" t="s">
        <v>239</v>
      </c>
      <c r="C292" t="s">
        <v>193</v>
      </c>
      <c r="D292" t="s">
        <v>195</v>
      </c>
      <c r="E292" t="s">
        <v>81</v>
      </c>
      <c r="F292" s="57" t="s">
        <v>81</v>
      </c>
      <c r="G292" s="124">
        <v>43.923377384615513</v>
      </c>
      <c r="H292" t="s">
        <v>266</v>
      </c>
      <c r="I292" s="34">
        <v>5</v>
      </c>
    </row>
    <row r="293" spans="1:9" x14ac:dyDescent="0.3">
      <c r="A293">
        <v>12</v>
      </c>
      <c r="B293" t="s">
        <v>239</v>
      </c>
      <c r="C293" t="s">
        <v>193</v>
      </c>
      <c r="D293" t="s">
        <v>195</v>
      </c>
      <c r="E293" t="s">
        <v>81</v>
      </c>
      <c r="F293" s="57" t="s">
        <v>81</v>
      </c>
      <c r="G293" s="124">
        <v>40.17</v>
      </c>
      <c r="H293" t="s">
        <v>266</v>
      </c>
      <c r="I293" s="34">
        <v>12</v>
      </c>
    </row>
    <row r="294" spans="1:9" x14ac:dyDescent="0.3">
      <c r="A294" s="53">
        <v>11</v>
      </c>
      <c r="B294" t="s">
        <v>239</v>
      </c>
      <c r="C294" s="53" t="s">
        <v>193</v>
      </c>
      <c r="D294" s="53" t="s">
        <v>195</v>
      </c>
      <c r="E294" s="53" t="s">
        <v>81</v>
      </c>
      <c r="F294" s="57" t="s">
        <v>81</v>
      </c>
      <c r="G294" s="124">
        <v>35.616</v>
      </c>
      <c r="H294" t="s">
        <v>266</v>
      </c>
      <c r="I294" s="34">
        <v>11</v>
      </c>
    </row>
    <row r="295" spans="1:9" x14ac:dyDescent="0.3">
      <c r="A295">
        <v>2</v>
      </c>
      <c r="B295" t="s">
        <v>239</v>
      </c>
      <c r="C295" t="s">
        <v>191</v>
      </c>
      <c r="D295" t="s">
        <v>238</v>
      </c>
      <c r="E295" s="1" t="s">
        <v>81</v>
      </c>
      <c r="F295" s="31" t="s">
        <v>81</v>
      </c>
      <c r="G295" s="124">
        <v>35</v>
      </c>
      <c r="H295" t="s">
        <v>261</v>
      </c>
      <c r="I295" s="34">
        <v>2</v>
      </c>
    </row>
    <row r="296" spans="1:9" x14ac:dyDescent="0.3">
      <c r="A296">
        <v>6</v>
      </c>
      <c r="B296" t="s">
        <v>239</v>
      </c>
      <c r="C296" t="s">
        <v>193</v>
      </c>
      <c r="D296" t="s">
        <v>195</v>
      </c>
      <c r="E296" t="s">
        <v>81</v>
      </c>
      <c r="F296" s="57" t="s">
        <v>81</v>
      </c>
      <c r="G296" s="124">
        <v>34.521839974489751</v>
      </c>
      <c r="H296" t="s">
        <v>266</v>
      </c>
      <c r="I296" s="34">
        <v>6</v>
      </c>
    </row>
    <row r="297" spans="1:9" x14ac:dyDescent="0.3">
      <c r="A297">
        <v>1</v>
      </c>
      <c r="B297" t="s">
        <v>239</v>
      </c>
      <c r="C297" t="s">
        <v>193</v>
      </c>
      <c r="D297" t="s">
        <v>195</v>
      </c>
      <c r="E297" s="1" t="s">
        <v>81</v>
      </c>
      <c r="F297" s="54" t="s">
        <v>81</v>
      </c>
      <c r="G297" s="124">
        <v>29.788060430769121</v>
      </c>
      <c r="H297" s="53" t="s">
        <v>266</v>
      </c>
      <c r="I297" s="77">
        <v>1</v>
      </c>
    </row>
    <row r="298" spans="1:9" x14ac:dyDescent="0.3">
      <c r="A298">
        <v>4</v>
      </c>
      <c r="B298" t="s">
        <v>239</v>
      </c>
      <c r="C298" t="s">
        <v>193</v>
      </c>
      <c r="D298" t="s">
        <v>195</v>
      </c>
      <c r="E298" s="1" t="s">
        <v>81</v>
      </c>
      <c r="F298" s="54" t="s">
        <v>81</v>
      </c>
      <c r="G298" s="124">
        <v>29.415804181034485</v>
      </c>
      <c r="H298" t="s">
        <v>266</v>
      </c>
      <c r="I298" s="34">
        <v>4</v>
      </c>
    </row>
    <row r="299" spans="1:9" x14ac:dyDescent="0.3">
      <c r="A299">
        <v>3</v>
      </c>
      <c r="B299" t="s">
        <v>239</v>
      </c>
      <c r="C299" t="s">
        <v>193</v>
      </c>
      <c r="D299" t="s">
        <v>195</v>
      </c>
      <c r="E299" s="1" t="s">
        <v>81</v>
      </c>
      <c r="F299" s="54" t="s">
        <v>81</v>
      </c>
      <c r="G299" s="124">
        <v>27.718472630434796</v>
      </c>
      <c r="H299" t="s">
        <v>266</v>
      </c>
      <c r="I299" s="34">
        <v>3</v>
      </c>
    </row>
    <row r="300" spans="1:9" x14ac:dyDescent="0.3">
      <c r="A300">
        <v>1</v>
      </c>
      <c r="B300" t="s">
        <v>239</v>
      </c>
      <c r="C300" t="s">
        <v>193</v>
      </c>
      <c r="D300" t="s">
        <v>238</v>
      </c>
      <c r="E300" s="1" t="s">
        <v>81</v>
      </c>
      <c r="F300" s="54" t="s">
        <v>81</v>
      </c>
      <c r="G300" s="124">
        <v>24.5</v>
      </c>
      <c r="H300" s="53" t="s">
        <v>267</v>
      </c>
      <c r="I300" s="77">
        <v>1</v>
      </c>
    </row>
    <row r="301" spans="1:9" x14ac:dyDescent="0.3">
      <c r="A301">
        <v>7</v>
      </c>
      <c r="B301" t="s">
        <v>239</v>
      </c>
      <c r="C301" t="s">
        <v>191</v>
      </c>
      <c r="D301" t="s">
        <v>238</v>
      </c>
      <c r="E301" t="s">
        <v>81</v>
      </c>
      <c r="F301" s="57" t="s">
        <v>81</v>
      </c>
      <c r="G301" s="124">
        <v>20</v>
      </c>
      <c r="H301" t="s">
        <v>261</v>
      </c>
      <c r="I301" s="34">
        <v>7</v>
      </c>
    </row>
    <row r="302" spans="1:9" x14ac:dyDescent="0.3">
      <c r="A302">
        <v>8</v>
      </c>
      <c r="B302" t="s">
        <v>239</v>
      </c>
      <c r="C302" t="s">
        <v>191</v>
      </c>
      <c r="D302" t="s">
        <v>238</v>
      </c>
      <c r="E302" t="s">
        <v>81</v>
      </c>
      <c r="F302" s="57" t="s">
        <v>81</v>
      </c>
      <c r="G302" s="124">
        <v>20</v>
      </c>
      <c r="H302" t="s">
        <v>261</v>
      </c>
      <c r="I302" s="34">
        <v>8</v>
      </c>
    </row>
    <row r="303" spans="1:9" x14ac:dyDescent="0.3">
      <c r="A303">
        <v>10</v>
      </c>
      <c r="B303" t="s">
        <v>239</v>
      </c>
      <c r="C303" t="s">
        <v>193</v>
      </c>
      <c r="D303" t="s">
        <v>238</v>
      </c>
      <c r="E303" t="s">
        <v>81</v>
      </c>
      <c r="F303" s="57" t="s">
        <v>81</v>
      </c>
      <c r="G303" s="124">
        <v>3.74</v>
      </c>
      <c r="H303" t="s">
        <v>267</v>
      </c>
      <c r="I303" s="34">
        <v>10</v>
      </c>
    </row>
    <row r="304" spans="1:9" x14ac:dyDescent="0.3">
      <c r="A304">
        <v>5</v>
      </c>
      <c r="B304" t="s">
        <v>239</v>
      </c>
      <c r="C304" t="s">
        <v>193</v>
      </c>
      <c r="D304" t="s">
        <v>238</v>
      </c>
      <c r="E304" t="s">
        <v>81</v>
      </c>
      <c r="F304" s="57" t="s">
        <v>81</v>
      </c>
      <c r="G304" s="124">
        <v>3.25</v>
      </c>
      <c r="H304" s="53" t="s">
        <v>267</v>
      </c>
      <c r="I304" s="77">
        <v>5</v>
      </c>
    </row>
    <row r="305" spans="1:9" x14ac:dyDescent="0.3">
      <c r="A305">
        <v>2</v>
      </c>
      <c r="B305" t="s">
        <v>239</v>
      </c>
      <c r="C305" t="s">
        <v>193</v>
      </c>
      <c r="D305" t="s">
        <v>238</v>
      </c>
      <c r="E305" s="1" t="s">
        <v>81</v>
      </c>
      <c r="F305" s="31" t="s">
        <v>81</v>
      </c>
      <c r="G305" s="124">
        <v>2.4500000000000002</v>
      </c>
      <c r="H305" t="s">
        <v>267</v>
      </c>
      <c r="I305" s="34">
        <v>2</v>
      </c>
    </row>
    <row r="306" spans="1:9" x14ac:dyDescent="0.3">
      <c r="A306">
        <v>8</v>
      </c>
      <c r="B306" t="s">
        <v>239</v>
      </c>
      <c r="C306" t="s">
        <v>193</v>
      </c>
      <c r="D306" t="s">
        <v>238</v>
      </c>
      <c r="E306" t="s">
        <v>81</v>
      </c>
      <c r="F306" s="57" t="s">
        <v>81</v>
      </c>
      <c r="G306" s="124">
        <v>1.3</v>
      </c>
      <c r="H306" t="s">
        <v>267</v>
      </c>
      <c r="I306" s="34">
        <v>8</v>
      </c>
    </row>
    <row r="307" spans="1:9" x14ac:dyDescent="0.3">
      <c r="A307">
        <v>7</v>
      </c>
      <c r="B307" t="s">
        <v>239</v>
      </c>
      <c r="C307" t="s">
        <v>193</v>
      </c>
      <c r="D307" t="s">
        <v>238</v>
      </c>
      <c r="E307" t="s">
        <v>81</v>
      </c>
      <c r="F307" s="57" t="s">
        <v>81</v>
      </c>
      <c r="G307" s="124">
        <v>1.2</v>
      </c>
      <c r="H307" t="s">
        <v>267</v>
      </c>
      <c r="I307" s="34">
        <v>7</v>
      </c>
    </row>
    <row r="308" spans="1:9" x14ac:dyDescent="0.3">
      <c r="A308">
        <v>8</v>
      </c>
      <c r="B308" t="s">
        <v>239</v>
      </c>
      <c r="C308" t="s">
        <v>191</v>
      </c>
      <c r="D308" t="s">
        <v>188</v>
      </c>
      <c r="E308" t="s">
        <v>180</v>
      </c>
      <c r="F308" s="57" t="s">
        <v>180</v>
      </c>
      <c r="G308" s="124">
        <v>1725</v>
      </c>
      <c r="H308" t="s">
        <v>268</v>
      </c>
      <c r="I308" s="34">
        <v>8</v>
      </c>
    </row>
    <row r="309" spans="1:9" x14ac:dyDescent="0.3">
      <c r="A309">
        <v>7</v>
      </c>
      <c r="B309" t="s">
        <v>239</v>
      </c>
      <c r="C309" t="s">
        <v>191</v>
      </c>
      <c r="D309" t="s">
        <v>188</v>
      </c>
      <c r="E309" t="s">
        <v>180</v>
      </c>
      <c r="F309" s="57" t="s">
        <v>180</v>
      </c>
      <c r="G309" s="124">
        <v>1670</v>
      </c>
      <c r="H309" t="s">
        <v>268</v>
      </c>
      <c r="I309" s="34">
        <v>7</v>
      </c>
    </row>
    <row r="310" spans="1:9" x14ac:dyDescent="0.3">
      <c r="A310">
        <v>2</v>
      </c>
      <c r="B310" t="s">
        <v>239</v>
      </c>
      <c r="C310" t="s">
        <v>191</v>
      </c>
      <c r="D310" t="s">
        <v>188</v>
      </c>
      <c r="E310" s="1" t="s">
        <v>180</v>
      </c>
      <c r="F310" s="54" t="s">
        <v>180</v>
      </c>
      <c r="G310" s="124">
        <v>1550</v>
      </c>
      <c r="H310" t="s">
        <v>268</v>
      </c>
      <c r="I310" s="34">
        <v>2</v>
      </c>
    </row>
    <row r="311" spans="1:9" x14ac:dyDescent="0.3">
      <c r="A311">
        <v>12</v>
      </c>
      <c r="B311" t="s">
        <v>239</v>
      </c>
      <c r="C311" t="s">
        <v>191</v>
      </c>
      <c r="D311" t="s">
        <v>188</v>
      </c>
      <c r="E311" t="s">
        <v>180</v>
      </c>
      <c r="F311" s="57" t="s">
        <v>180</v>
      </c>
      <c r="G311" s="124">
        <v>1540</v>
      </c>
      <c r="H311" t="s">
        <v>268</v>
      </c>
      <c r="I311" s="34">
        <v>12</v>
      </c>
    </row>
    <row r="312" spans="1:9" x14ac:dyDescent="0.3">
      <c r="A312">
        <v>6</v>
      </c>
      <c r="B312" t="s">
        <v>239</v>
      </c>
      <c r="C312" t="s">
        <v>191</v>
      </c>
      <c r="D312" t="s">
        <v>188</v>
      </c>
      <c r="E312" t="s">
        <v>180</v>
      </c>
      <c r="F312" s="57" t="s">
        <v>180</v>
      </c>
      <c r="G312" s="124">
        <v>1495</v>
      </c>
      <c r="H312" t="s">
        <v>268</v>
      </c>
      <c r="I312" s="34">
        <v>6</v>
      </c>
    </row>
    <row r="313" spans="1:9" x14ac:dyDescent="0.3">
      <c r="A313">
        <v>4</v>
      </c>
      <c r="B313" t="s">
        <v>239</v>
      </c>
      <c r="C313" t="s">
        <v>191</v>
      </c>
      <c r="D313" t="s">
        <v>188</v>
      </c>
      <c r="E313" s="1" t="s">
        <v>180</v>
      </c>
      <c r="F313" s="54" t="s">
        <v>180</v>
      </c>
      <c r="G313" s="124">
        <v>1490</v>
      </c>
      <c r="H313" t="s">
        <v>268</v>
      </c>
      <c r="I313" s="34">
        <v>4</v>
      </c>
    </row>
    <row r="314" spans="1:9" x14ac:dyDescent="0.3">
      <c r="A314">
        <v>1</v>
      </c>
      <c r="B314" t="s">
        <v>239</v>
      </c>
      <c r="C314" t="s">
        <v>191</v>
      </c>
      <c r="D314" t="s">
        <v>188</v>
      </c>
      <c r="E314" s="1" t="s">
        <v>180</v>
      </c>
      <c r="F314" s="54" t="s">
        <v>180</v>
      </c>
      <c r="G314" s="124">
        <v>1480</v>
      </c>
      <c r="H314" t="s">
        <v>268</v>
      </c>
      <c r="I314" s="34">
        <v>1</v>
      </c>
    </row>
    <row r="315" spans="1:9" x14ac:dyDescent="0.3">
      <c r="A315">
        <v>9</v>
      </c>
      <c r="B315" t="s">
        <v>239</v>
      </c>
      <c r="C315" t="s">
        <v>191</v>
      </c>
      <c r="D315" t="s">
        <v>188</v>
      </c>
      <c r="E315" t="s">
        <v>180</v>
      </c>
      <c r="F315" s="57" t="s">
        <v>180</v>
      </c>
      <c r="G315" s="124">
        <v>1460</v>
      </c>
      <c r="H315" t="s">
        <v>268</v>
      </c>
      <c r="I315" s="34">
        <v>9</v>
      </c>
    </row>
    <row r="316" spans="1:9" x14ac:dyDescent="0.3">
      <c r="A316">
        <v>10</v>
      </c>
      <c r="B316" t="s">
        <v>239</v>
      </c>
      <c r="C316" t="s">
        <v>191</v>
      </c>
      <c r="D316" t="s">
        <v>188</v>
      </c>
      <c r="E316" t="s">
        <v>180</v>
      </c>
      <c r="F316" s="57" t="s">
        <v>180</v>
      </c>
      <c r="G316" s="124">
        <v>1450</v>
      </c>
      <c r="H316" s="53" t="s">
        <v>268</v>
      </c>
      <c r="I316" s="77">
        <v>10</v>
      </c>
    </row>
    <row r="317" spans="1:9" x14ac:dyDescent="0.3">
      <c r="A317">
        <v>5</v>
      </c>
      <c r="B317" t="s">
        <v>239</v>
      </c>
      <c r="C317" t="s">
        <v>191</v>
      </c>
      <c r="D317" t="s">
        <v>188</v>
      </c>
      <c r="E317" s="1" t="s">
        <v>180</v>
      </c>
      <c r="F317" s="54" t="s">
        <v>180</v>
      </c>
      <c r="G317" s="124">
        <v>1435</v>
      </c>
      <c r="H317" t="s">
        <v>268</v>
      </c>
      <c r="I317" s="34">
        <v>5</v>
      </c>
    </row>
    <row r="318" spans="1:9" x14ac:dyDescent="0.3">
      <c r="A318" s="53">
        <v>11</v>
      </c>
      <c r="B318" t="s">
        <v>239</v>
      </c>
      <c r="C318" s="53" t="s">
        <v>191</v>
      </c>
      <c r="D318" s="53" t="s">
        <v>188</v>
      </c>
      <c r="E318" s="53" t="s">
        <v>180</v>
      </c>
      <c r="F318" s="57" t="s">
        <v>180</v>
      </c>
      <c r="G318" s="124">
        <v>1385</v>
      </c>
      <c r="H318" t="s">
        <v>268</v>
      </c>
      <c r="I318" s="34">
        <v>11</v>
      </c>
    </row>
    <row r="319" spans="1:9" x14ac:dyDescent="0.3">
      <c r="A319">
        <v>2</v>
      </c>
      <c r="B319" t="s">
        <v>239</v>
      </c>
      <c r="C319" t="s">
        <v>191</v>
      </c>
      <c r="D319" t="s">
        <v>195</v>
      </c>
      <c r="E319" s="1" t="s">
        <v>180</v>
      </c>
      <c r="F319" s="54" t="s">
        <v>180</v>
      </c>
      <c r="G319" s="124">
        <v>1290</v>
      </c>
      <c r="H319" s="53" t="s">
        <v>269</v>
      </c>
      <c r="I319" s="77">
        <v>2</v>
      </c>
    </row>
    <row r="320" spans="1:9" x14ac:dyDescent="0.3">
      <c r="A320">
        <v>8</v>
      </c>
      <c r="B320" t="s">
        <v>239</v>
      </c>
      <c r="C320" t="s">
        <v>191</v>
      </c>
      <c r="D320" t="s">
        <v>195</v>
      </c>
      <c r="E320" t="s">
        <v>180</v>
      </c>
      <c r="F320" s="57" t="s">
        <v>180</v>
      </c>
      <c r="G320" s="124">
        <v>1165</v>
      </c>
      <c r="H320" t="s">
        <v>269</v>
      </c>
      <c r="I320" s="34">
        <v>8</v>
      </c>
    </row>
    <row r="321" spans="1:9" x14ac:dyDescent="0.3">
      <c r="A321">
        <v>7</v>
      </c>
      <c r="B321" t="s">
        <v>239</v>
      </c>
      <c r="C321" t="s">
        <v>191</v>
      </c>
      <c r="D321" t="s">
        <v>195</v>
      </c>
      <c r="E321" t="s">
        <v>180</v>
      </c>
      <c r="F321" s="57" t="s">
        <v>180</v>
      </c>
      <c r="G321" s="124">
        <v>1125</v>
      </c>
      <c r="H321" t="s">
        <v>269</v>
      </c>
      <c r="I321" s="34">
        <v>7</v>
      </c>
    </row>
    <row r="322" spans="1:9" x14ac:dyDescent="0.3">
      <c r="A322">
        <v>3</v>
      </c>
      <c r="B322" t="s">
        <v>239</v>
      </c>
      <c r="C322" t="s">
        <v>191</v>
      </c>
      <c r="D322" t="s">
        <v>188</v>
      </c>
      <c r="E322" s="1" t="s">
        <v>180</v>
      </c>
      <c r="F322" s="32" t="s">
        <v>180</v>
      </c>
      <c r="G322" s="124">
        <v>1105</v>
      </c>
      <c r="H322" t="s">
        <v>268</v>
      </c>
      <c r="I322" s="34">
        <v>3</v>
      </c>
    </row>
    <row r="323" spans="1:9" x14ac:dyDescent="0.3">
      <c r="A323">
        <v>4</v>
      </c>
      <c r="B323" t="s">
        <v>239</v>
      </c>
      <c r="C323" t="s">
        <v>191</v>
      </c>
      <c r="D323" t="s">
        <v>195</v>
      </c>
      <c r="E323" s="1" t="s">
        <v>180</v>
      </c>
      <c r="F323" s="54" t="s">
        <v>180</v>
      </c>
      <c r="G323" s="124">
        <v>1080</v>
      </c>
      <c r="H323" t="s">
        <v>269</v>
      </c>
      <c r="I323" s="34">
        <v>4</v>
      </c>
    </row>
    <row r="324" spans="1:9" x14ac:dyDescent="0.3">
      <c r="A324">
        <v>1</v>
      </c>
      <c r="B324" t="s">
        <v>239</v>
      </c>
      <c r="C324" t="s">
        <v>191</v>
      </c>
      <c r="D324" t="s">
        <v>195</v>
      </c>
      <c r="E324" s="1" t="s">
        <v>180</v>
      </c>
      <c r="F324" s="54" t="s">
        <v>180</v>
      </c>
      <c r="G324" s="124">
        <v>1020</v>
      </c>
      <c r="H324" s="53" t="s">
        <v>269</v>
      </c>
      <c r="I324" s="77">
        <v>1</v>
      </c>
    </row>
    <row r="325" spans="1:9" x14ac:dyDescent="0.3">
      <c r="A325">
        <v>9</v>
      </c>
      <c r="B325" t="s">
        <v>239</v>
      </c>
      <c r="C325" t="s">
        <v>191</v>
      </c>
      <c r="D325" t="s">
        <v>195</v>
      </c>
      <c r="E325" t="s">
        <v>180</v>
      </c>
      <c r="F325" s="57" t="s">
        <v>180</v>
      </c>
      <c r="G325" s="124">
        <v>970</v>
      </c>
      <c r="H325" t="s">
        <v>269</v>
      </c>
      <c r="I325" s="34">
        <v>9</v>
      </c>
    </row>
    <row r="326" spans="1:9" x14ac:dyDescent="0.3">
      <c r="A326">
        <v>10</v>
      </c>
      <c r="B326" t="s">
        <v>239</v>
      </c>
      <c r="C326" t="s">
        <v>191</v>
      </c>
      <c r="D326" t="s">
        <v>195</v>
      </c>
      <c r="E326" t="s">
        <v>180</v>
      </c>
      <c r="F326" s="57" t="s">
        <v>180</v>
      </c>
      <c r="G326" s="124">
        <v>940</v>
      </c>
      <c r="H326" t="s">
        <v>269</v>
      </c>
      <c r="I326" s="34">
        <v>10</v>
      </c>
    </row>
    <row r="327" spans="1:9" x14ac:dyDescent="0.3">
      <c r="A327">
        <v>12</v>
      </c>
      <c r="B327" t="s">
        <v>239</v>
      </c>
      <c r="C327" t="s">
        <v>191</v>
      </c>
      <c r="D327" t="s">
        <v>195</v>
      </c>
      <c r="E327" t="s">
        <v>180</v>
      </c>
      <c r="F327" s="57" t="s">
        <v>180</v>
      </c>
      <c r="G327" s="124">
        <v>940</v>
      </c>
      <c r="H327" t="s">
        <v>269</v>
      </c>
      <c r="I327" s="34">
        <v>12</v>
      </c>
    </row>
    <row r="328" spans="1:9" x14ac:dyDescent="0.3">
      <c r="A328">
        <v>6</v>
      </c>
      <c r="B328" t="s">
        <v>239</v>
      </c>
      <c r="C328" t="s">
        <v>191</v>
      </c>
      <c r="D328" t="s">
        <v>195</v>
      </c>
      <c r="E328" t="s">
        <v>180</v>
      </c>
      <c r="F328" s="57" t="s">
        <v>180</v>
      </c>
      <c r="G328" s="124">
        <v>930</v>
      </c>
      <c r="H328" t="s">
        <v>269</v>
      </c>
      <c r="I328" s="34">
        <v>6</v>
      </c>
    </row>
    <row r="329" spans="1:9" x14ac:dyDescent="0.3">
      <c r="A329" s="53">
        <v>11</v>
      </c>
      <c r="B329" t="s">
        <v>239</v>
      </c>
      <c r="C329" s="53" t="s">
        <v>191</v>
      </c>
      <c r="D329" s="53" t="s">
        <v>195</v>
      </c>
      <c r="E329" s="53" t="s">
        <v>180</v>
      </c>
      <c r="F329" s="57" t="s">
        <v>180</v>
      </c>
      <c r="G329" s="124">
        <v>880</v>
      </c>
      <c r="H329" t="s">
        <v>269</v>
      </c>
      <c r="I329" s="34">
        <v>11</v>
      </c>
    </row>
    <row r="330" spans="1:9" x14ac:dyDescent="0.3">
      <c r="A330">
        <v>5</v>
      </c>
      <c r="B330" t="s">
        <v>239</v>
      </c>
      <c r="C330" t="s">
        <v>191</v>
      </c>
      <c r="D330" t="s">
        <v>195</v>
      </c>
      <c r="E330" s="1" t="s">
        <v>180</v>
      </c>
      <c r="F330" s="54" t="s">
        <v>180</v>
      </c>
      <c r="G330" s="124">
        <v>875</v>
      </c>
      <c r="H330" t="s">
        <v>269</v>
      </c>
      <c r="I330" s="34">
        <v>5</v>
      </c>
    </row>
    <row r="331" spans="1:9" x14ac:dyDescent="0.3">
      <c r="A331">
        <v>3</v>
      </c>
      <c r="B331" t="s">
        <v>239</v>
      </c>
      <c r="C331" t="s">
        <v>191</v>
      </c>
      <c r="D331" t="s">
        <v>195</v>
      </c>
      <c r="E331" s="1" t="s">
        <v>180</v>
      </c>
      <c r="F331" s="32" t="s">
        <v>180</v>
      </c>
      <c r="G331" s="124">
        <v>835</v>
      </c>
      <c r="H331" t="s">
        <v>269</v>
      </c>
      <c r="I331" s="34">
        <v>3</v>
      </c>
    </row>
    <row r="332" spans="1:9" x14ac:dyDescent="0.3">
      <c r="A332">
        <v>8</v>
      </c>
      <c r="B332" t="s">
        <v>239</v>
      </c>
      <c r="C332" t="s">
        <v>193</v>
      </c>
      <c r="D332" t="s">
        <v>188</v>
      </c>
      <c r="E332" t="s">
        <v>180</v>
      </c>
      <c r="F332" s="57" t="s">
        <v>180</v>
      </c>
      <c r="G332" s="124">
        <v>519.55316915615413</v>
      </c>
      <c r="H332" t="s">
        <v>270</v>
      </c>
      <c r="I332" s="34">
        <v>8</v>
      </c>
    </row>
    <row r="333" spans="1:9" x14ac:dyDescent="0.3">
      <c r="A333">
        <v>7</v>
      </c>
      <c r="B333" t="s">
        <v>239</v>
      </c>
      <c r="C333" t="s">
        <v>193</v>
      </c>
      <c r="D333" t="s">
        <v>188</v>
      </c>
      <c r="E333" t="s">
        <v>180</v>
      </c>
      <c r="F333" s="57" t="s">
        <v>180</v>
      </c>
      <c r="G333" s="124">
        <v>487.20825370272138</v>
      </c>
      <c r="H333" t="s">
        <v>270</v>
      </c>
      <c r="I333" s="34">
        <v>7</v>
      </c>
    </row>
    <row r="334" spans="1:9" x14ac:dyDescent="0.3">
      <c r="A334">
        <v>12</v>
      </c>
      <c r="B334" t="s">
        <v>239</v>
      </c>
      <c r="C334" t="s">
        <v>193</v>
      </c>
      <c r="D334" t="s">
        <v>188</v>
      </c>
      <c r="E334" t="s">
        <v>180</v>
      </c>
      <c r="F334" s="57" t="s">
        <v>180</v>
      </c>
      <c r="G334" s="124">
        <v>404.44422751729365</v>
      </c>
      <c r="H334" t="s">
        <v>270</v>
      </c>
      <c r="I334" s="34">
        <v>12</v>
      </c>
    </row>
    <row r="335" spans="1:9" x14ac:dyDescent="0.3">
      <c r="A335">
        <v>6</v>
      </c>
      <c r="B335" t="s">
        <v>239</v>
      </c>
      <c r="C335" t="s">
        <v>193</v>
      </c>
      <c r="D335" t="s">
        <v>188</v>
      </c>
      <c r="E335" t="s">
        <v>180</v>
      </c>
      <c r="F335" s="57" t="s">
        <v>180</v>
      </c>
      <c r="G335" s="124">
        <v>396.05906844286517</v>
      </c>
      <c r="H335" t="s">
        <v>270</v>
      </c>
      <c r="I335" s="34">
        <v>6</v>
      </c>
    </row>
    <row r="336" spans="1:9" x14ac:dyDescent="0.3">
      <c r="A336">
        <v>2</v>
      </c>
      <c r="B336" t="s">
        <v>239</v>
      </c>
      <c r="C336" t="s">
        <v>193</v>
      </c>
      <c r="D336" t="s">
        <v>188</v>
      </c>
      <c r="E336" s="1" t="s">
        <v>180</v>
      </c>
      <c r="F336" s="31" t="s">
        <v>180</v>
      </c>
      <c r="G336" s="124">
        <v>395.69346385395465</v>
      </c>
      <c r="H336" t="s">
        <v>270</v>
      </c>
      <c r="I336" s="34">
        <v>2</v>
      </c>
    </row>
    <row r="337" spans="1:9" x14ac:dyDescent="0.3">
      <c r="A337">
        <v>9</v>
      </c>
      <c r="B337" t="s">
        <v>239</v>
      </c>
      <c r="C337" t="s">
        <v>193</v>
      </c>
      <c r="D337" t="s">
        <v>188</v>
      </c>
      <c r="E337" t="s">
        <v>180</v>
      </c>
      <c r="F337" s="57" t="s">
        <v>180</v>
      </c>
      <c r="G337" s="124">
        <v>387.12023461652996</v>
      </c>
      <c r="H337" t="s">
        <v>270</v>
      </c>
      <c r="I337" s="34">
        <v>9</v>
      </c>
    </row>
    <row r="338" spans="1:9" x14ac:dyDescent="0.3">
      <c r="A338">
        <v>5</v>
      </c>
      <c r="B338" t="s">
        <v>239</v>
      </c>
      <c r="C338" t="s">
        <v>193</v>
      </c>
      <c r="D338" t="s">
        <v>188</v>
      </c>
      <c r="E338" t="s">
        <v>180</v>
      </c>
      <c r="F338" s="57" t="s">
        <v>180</v>
      </c>
      <c r="G338" s="124">
        <v>386.81700762380456</v>
      </c>
      <c r="H338" t="s">
        <v>270</v>
      </c>
      <c r="I338" s="34">
        <v>5</v>
      </c>
    </row>
    <row r="339" spans="1:9" x14ac:dyDescent="0.3">
      <c r="A339">
        <v>10</v>
      </c>
      <c r="B339" t="s">
        <v>239</v>
      </c>
      <c r="C339" t="s">
        <v>193</v>
      </c>
      <c r="D339" t="s">
        <v>188</v>
      </c>
      <c r="E339" t="s">
        <v>180</v>
      </c>
      <c r="F339" s="57" t="s">
        <v>180</v>
      </c>
      <c r="G339" s="124">
        <v>378.28224594675612</v>
      </c>
      <c r="H339" s="53" t="s">
        <v>270</v>
      </c>
      <c r="I339" s="77">
        <v>10</v>
      </c>
    </row>
    <row r="340" spans="1:9" x14ac:dyDescent="0.3">
      <c r="A340">
        <v>1</v>
      </c>
      <c r="B340" t="s">
        <v>239</v>
      </c>
      <c r="C340" t="s">
        <v>193</v>
      </c>
      <c r="D340" t="s">
        <v>188</v>
      </c>
      <c r="E340" s="1" t="s">
        <v>180</v>
      </c>
      <c r="F340" s="54" t="s">
        <v>180</v>
      </c>
      <c r="G340" s="124">
        <v>365.33871724137902</v>
      </c>
      <c r="H340" t="s">
        <v>270</v>
      </c>
      <c r="I340" s="34">
        <v>1</v>
      </c>
    </row>
    <row r="341" spans="1:9" x14ac:dyDescent="0.3">
      <c r="A341">
        <v>4</v>
      </c>
      <c r="B341" t="s">
        <v>239</v>
      </c>
      <c r="C341" t="s">
        <v>193</v>
      </c>
      <c r="D341" t="s">
        <v>188</v>
      </c>
      <c r="E341" s="1" t="s">
        <v>180</v>
      </c>
      <c r="F341" s="32" t="s">
        <v>180</v>
      </c>
      <c r="G341" s="124">
        <v>360.89727424</v>
      </c>
      <c r="H341" t="s">
        <v>270</v>
      </c>
      <c r="I341" s="34">
        <v>4</v>
      </c>
    </row>
    <row r="342" spans="1:9" x14ac:dyDescent="0.3">
      <c r="A342">
        <v>8</v>
      </c>
      <c r="B342" t="s">
        <v>239</v>
      </c>
      <c r="C342" t="s">
        <v>193</v>
      </c>
      <c r="D342" t="s">
        <v>195</v>
      </c>
      <c r="E342" t="s">
        <v>180</v>
      </c>
      <c r="F342" s="57" t="s">
        <v>180</v>
      </c>
      <c r="G342" s="124">
        <v>351.58658274291554</v>
      </c>
      <c r="H342" t="s">
        <v>271</v>
      </c>
      <c r="I342" s="34">
        <v>8</v>
      </c>
    </row>
    <row r="343" spans="1:9" x14ac:dyDescent="0.3">
      <c r="A343" s="53">
        <v>11</v>
      </c>
      <c r="B343" t="s">
        <v>239</v>
      </c>
      <c r="C343" s="53" t="s">
        <v>193</v>
      </c>
      <c r="D343" s="53" t="s">
        <v>188</v>
      </c>
      <c r="E343" s="53" t="s">
        <v>180</v>
      </c>
      <c r="F343" s="57" t="s">
        <v>180</v>
      </c>
      <c r="G343" s="124">
        <v>332.32834191546505</v>
      </c>
      <c r="H343" s="53" t="s">
        <v>270</v>
      </c>
      <c r="I343" s="77">
        <v>11</v>
      </c>
    </row>
    <row r="344" spans="1:9" x14ac:dyDescent="0.3">
      <c r="A344">
        <v>7</v>
      </c>
      <c r="B344" t="s">
        <v>239</v>
      </c>
      <c r="C344" t="s">
        <v>193</v>
      </c>
      <c r="D344" t="s">
        <v>195</v>
      </c>
      <c r="E344" t="s">
        <v>180</v>
      </c>
      <c r="F344" s="57" t="s">
        <v>180</v>
      </c>
      <c r="G344" s="124">
        <v>325.67374614738219</v>
      </c>
      <c r="H344" t="s">
        <v>271</v>
      </c>
      <c r="I344" s="34">
        <v>7</v>
      </c>
    </row>
    <row r="345" spans="1:9" x14ac:dyDescent="0.3">
      <c r="A345">
        <v>2</v>
      </c>
      <c r="B345" t="s">
        <v>239</v>
      </c>
      <c r="C345" t="s">
        <v>193</v>
      </c>
      <c r="D345" t="s">
        <v>195</v>
      </c>
      <c r="E345" s="1" t="s">
        <v>180</v>
      </c>
      <c r="F345" s="31" t="s">
        <v>180</v>
      </c>
      <c r="G345" s="124">
        <v>322.15666932145933</v>
      </c>
      <c r="H345" t="s">
        <v>271</v>
      </c>
      <c r="I345" s="34">
        <v>2</v>
      </c>
    </row>
    <row r="346" spans="1:9" x14ac:dyDescent="0.3">
      <c r="A346">
        <v>8</v>
      </c>
      <c r="B346" t="s">
        <v>239</v>
      </c>
      <c r="C346" t="s">
        <v>192</v>
      </c>
      <c r="D346" t="s">
        <v>195</v>
      </c>
      <c r="E346" t="s">
        <v>180</v>
      </c>
      <c r="F346" s="57" t="s">
        <v>180</v>
      </c>
      <c r="G346" s="124">
        <v>301.79105814842535</v>
      </c>
      <c r="H346" t="s">
        <v>272</v>
      </c>
      <c r="I346" s="34">
        <v>8</v>
      </c>
    </row>
    <row r="347" spans="1:9" x14ac:dyDescent="0.3">
      <c r="A347">
        <v>8</v>
      </c>
      <c r="B347" t="s">
        <v>239</v>
      </c>
      <c r="C347" t="s">
        <v>192</v>
      </c>
      <c r="D347" t="s">
        <v>188</v>
      </c>
      <c r="E347" t="s">
        <v>180</v>
      </c>
      <c r="F347" s="57" t="s">
        <v>180</v>
      </c>
      <c r="G347" s="124">
        <v>301.19024298907487</v>
      </c>
      <c r="H347" s="53" t="s">
        <v>273</v>
      </c>
      <c r="I347" s="77">
        <v>8</v>
      </c>
    </row>
    <row r="348" spans="1:9" x14ac:dyDescent="0.3">
      <c r="A348">
        <v>7</v>
      </c>
      <c r="B348" t="s">
        <v>239</v>
      </c>
      <c r="C348" t="s">
        <v>192</v>
      </c>
      <c r="D348" t="s">
        <v>188</v>
      </c>
      <c r="E348" t="s">
        <v>180</v>
      </c>
      <c r="F348" s="57" t="s">
        <v>180</v>
      </c>
      <c r="G348" s="124">
        <v>291.74146928306669</v>
      </c>
      <c r="H348" t="s">
        <v>273</v>
      </c>
      <c r="I348" s="34">
        <v>7</v>
      </c>
    </row>
    <row r="349" spans="1:9" x14ac:dyDescent="0.3">
      <c r="A349">
        <v>7</v>
      </c>
      <c r="B349" t="s">
        <v>239</v>
      </c>
      <c r="C349" t="s">
        <v>192</v>
      </c>
      <c r="D349" t="s">
        <v>195</v>
      </c>
      <c r="E349" t="s">
        <v>180</v>
      </c>
      <c r="F349" s="57" t="s">
        <v>180</v>
      </c>
      <c r="G349" s="124">
        <v>289.48777435322859</v>
      </c>
      <c r="H349" t="s">
        <v>272</v>
      </c>
      <c r="I349" s="34">
        <v>7</v>
      </c>
    </row>
    <row r="350" spans="1:9" x14ac:dyDescent="0.3">
      <c r="A350">
        <v>5</v>
      </c>
      <c r="B350" t="s">
        <v>239</v>
      </c>
      <c r="C350" t="s">
        <v>192</v>
      </c>
      <c r="D350" t="s">
        <v>195</v>
      </c>
      <c r="E350" t="s">
        <v>180</v>
      </c>
      <c r="F350" s="57" t="s">
        <v>180</v>
      </c>
      <c r="G350" s="124">
        <v>269.7786760559444</v>
      </c>
      <c r="H350" t="s">
        <v>272</v>
      </c>
      <c r="I350" s="34">
        <v>5</v>
      </c>
    </row>
    <row r="351" spans="1:9" x14ac:dyDescent="0.3">
      <c r="A351">
        <v>5</v>
      </c>
      <c r="B351" t="s">
        <v>239</v>
      </c>
      <c r="C351" t="s">
        <v>192</v>
      </c>
      <c r="D351" t="s">
        <v>188</v>
      </c>
      <c r="E351" t="s">
        <v>180</v>
      </c>
      <c r="F351" s="57" t="s">
        <v>180</v>
      </c>
      <c r="G351" s="124">
        <v>269.55889033017741</v>
      </c>
      <c r="H351" t="s">
        <v>273</v>
      </c>
      <c r="I351" s="34">
        <v>5</v>
      </c>
    </row>
    <row r="352" spans="1:9" x14ac:dyDescent="0.3">
      <c r="A352">
        <v>12</v>
      </c>
      <c r="B352" t="s">
        <v>239</v>
      </c>
      <c r="C352" t="s">
        <v>192</v>
      </c>
      <c r="D352" t="s">
        <v>195</v>
      </c>
      <c r="E352" t="s">
        <v>180</v>
      </c>
      <c r="F352" s="57" t="s">
        <v>180</v>
      </c>
      <c r="G352" s="124">
        <v>267.43461529560335</v>
      </c>
      <c r="H352" t="s">
        <v>272</v>
      </c>
      <c r="I352" s="34">
        <v>12</v>
      </c>
    </row>
    <row r="353" spans="1:9" x14ac:dyDescent="0.3">
      <c r="A353">
        <v>9</v>
      </c>
      <c r="B353" t="s">
        <v>239</v>
      </c>
      <c r="C353" t="s">
        <v>192</v>
      </c>
      <c r="D353" t="s">
        <v>195</v>
      </c>
      <c r="E353" t="s">
        <v>180</v>
      </c>
      <c r="F353" s="57" t="s">
        <v>180</v>
      </c>
      <c r="G353" s="124">
        <v>266.82038800561605</v>
      </c>
      <c r="H353" t="s">
        <v>272</v>
      </c>
      <c r="I353" s="34">
        <v>9</v>
      </c>
    </row>
    <row r="354" spans="1:9" x14ac:dyDescent="0.3">
      <c r="A354">
        <v>10</v>
      </c>
      <c r="B354" t="s">
        <v>239</v>
      </c>
      <c r="C354" t="s">
        <v>192</v>
      </c>
      <c r="D354" t="s">
        <v>195</v>
      </c>
      <c r="E354" t="s">
        <v>180</v>
      </c>
      <c r="F354" s="57" t="s">
        <v>180</v>
      </c>
      <c r="G354" s="124">
        <v>266.41341311407632</v>
      </c>
      <c r="H354" t="s">
        <v>272</v>
      </c>
      <c r="I354" s="34">
        <v>10</v>
      </c>
    </row>
    <row r="355" spans="1:9" x14ac:dyDescent="0.3">
      <c r="A355">
        <v>4</v>
      </c>
      <c r="B355" t="s">
        <v>239</v>
      </c>
      <c r="C355" t="s">
        <v>193</v>
      </c>
      <c r="D355" t="s">
        <v>195</v>
      </c>
      <c r="E355" s="1" t="s">
        <v>180</v>
      </c>
      <c r="F355" s="32" t="s">
        <v>180</v>
      </c>
      <c r="G355" s="124">
        <v>265.42309089931319</v>
      </c>
      <c r="H355" t="s">
        <v>271</v>
      </c>
      <c r="I355" s="34">
        <v>4</v>
      </c>
    </row>
    <row r="356" spans="1:9" x14ac:dyDescent="0.3">
      <c r="A356">
        <v>9</v>
      </c>
      <c r="B356" t="s">
        <v>239</v>
      </c>
      <c r="C356" t="s">
        <v>192</v>
      </c>
      <c r="D356" t="s">
        <v>188</v>
      </c>
      <c r="E356" t="s">
        <v>180</v>
      </c>
      <c r="F356" s="57" t="s">
        <v>180</v>
      </c>
      <c r="G356" s="124">
        <v>265.15084562776025</v>
      </c>
      <c r="H356" s="53" t="s">
        <v>273</v>
      </c>
      <c r="I356" s="77">
        <v>9</v>
      </c>
    </row>
    <row r="357" spans="1:9" x14ac:dyDescent="0.3">
      <c r="A357">
        <v>6</v>
      </c>
      <c r="B357" t="s">
        <v>239</v>
      </c>
      <c r="C357" t="s">
        <v>192</v>
      </c>
      <c r="D357" t="s">
        <v>188</v>
      </c>
      <c r="E357" t="s">
        <v>180</v>
      </c>
      <c r="F357" s="57" t="s">
        <v>180</v>
      </c>
      <c r="G357" s="124">
        <v>264.92245380793656</v>
      </c>
      <c r="H357" t="s">
        <v>273</v>
      </c>
      <c r="I357" s="34">
        <v>6</v>
      </c>
    </row>
    <row r="358" spans="1:9" x14ac:dyDescent="0.3">
      <c r="A358">
        <v>12</v>
      </c>
      <c r="B358" t="s">
        <v>239</v>
      </c>
      <c r="C358" t="s">
        <v>192</v>
      </c>
      <c r="D358" t="s">
        <v>188</v>
      </c>
      <c r="E358" t="s">
        <v>180</v>
      </c>
      <c r="F358" s="57" t="s">
        <v>180</v>
      </c>
      <c r="G358" s="124">
        <v>262.62612176447641</v>
      </c>
      <c r="H358" t="s">
        <v>273</v>
      </c>
      <c r="I358" s="34">
        <v>12</v>
      </c>
    </row>
    <row r="359" spans="1:9" x14ac:dyDescent="0.3">
      <c r="A359">
        <v>10</v>
      </c>
      <c r="B359" t="s">
        <v>239</v>
      </c>
      <c r="C359" t="s">
        <v>192</v>
      </c>
      <c r="D359" t="s">
        <v>188</v>
      </c>
      <c r="E359" t="s">
        <v>180</v>
      </c>
      <c r="F359" s="57" t="s">
        <v>180</v>
      </c>
      <c r="G359" s="124">
        <v>260.88430754948695</v>
      </c>
      <c r="H359" t="s">
        <v>273</v>
      </c>
      <c r="I359" s="34">
        <v>10</v>
      </c>
    </row>
    <row r="360" spans="1:9" x14ac:dyDescent="0.3">
      <c r="A360">
        <v>9</v>
      </c>
      <c r="B360" t="s">
        <v>239</v>
      </c>
      <c r="C360" t="s">
        <v>193</v>
      </c>
      <c r="D360" t="s">
        <v>195</v>
      </c>
      <c r="E360" t="s">
        <v>180</v>
      </c>
      <c r="F360" s="57" t="s">
        <v>180</v>
      </c>
      <c r="G360" s="124">
        <v>258.81577636544756</v>
      </c>
      <c r="H360" t="s">
        <v>271</v>
      </c>
      <c r="I360" s="34">
        <v>9</v>
      </c>
    </row>
    <row r="361" spans="1:9" x14ac:dyDescent="0.3">
      <c r="A361">
        <v>6</v>
      </c>
      <c r="B361" t="s">
        <v>239</v>
      </c>
      <c r="C361" t="s">
        <v>192</v>
      </c>
      <c r="D361" t="s">
        <v>195</v>
      </c>
      <c r="E361" t="s">
        <v>180</v>
      </c>
      <c r="F361" s="57" t="s">
        <v>180</v>
      </c>
      <c r="G361" s="124">
        <v>258.67950543188067</v>
      </c>
      <c r="H361" t="s">
        <v>272</v>
      </c>
      <c r="I361" s="34">
        <v>6</v>
      </c>
    </row>
    <row r="362" spans="1:9" x14ac:dyDescent="0.3">
      <c r="A362">
        <v>3</v>
      </c>
      <c r="B362" t="s">
        <v>239</v>
      </c>
      <c r="C362" t="s">
        <v>193</v>
      </c>
      <c r="D362" t="s">
        <v>188</v>
      </c>
      <c r="E362" s="1" t="s">
        <v>180</v>
      </c>
      <c r="F362" s="54" t="s">
        <v>180</v>
      </c>
      <c r="G362" s="124">
        <v>258.46434842206867</v>
      </c>
      <c r="H362" t="s">
        <v>270</v>
      </c>
      <c r="I362" s="34">
        <v>3</v>
      </c>
    </row>
    <row r="363" spans="1:9" x14ac:dyDescent="0.3">
      <c r="A363">
        <v>1</v>
      </c>
      <c r="B363" t="s">
        <v>239</v>
      </c>
      <c r="C363" t="s">
        <v>193</v>
      </c>
      <c r="D363" t="s">
        <v>195</v>
      </c>
      <c r="E363" s="1" t="s">
        <v>180</v>
      </c>
      <c r="F363" s="54" t="s">
        <v>180</v>
      </c>
      <c r="G363" s="124">
        <v>257.06532061068691</v>
      </c>
      <c r="H363" t="s">
        <v>271</v>
      </c>
      <c r="I363" s="34">
        <v>1</v>
      </c>
    </row>
    <row r="364" spans="1:9" x14ac:dyDescent="0.3">
      <c r="A364">
        <v>2</v>
      </c>
      <c r="B364" t="s">
        <v>239</v>
      </c>
      <c r="C364" t="s">
        <v>192</v>
      </c>
      <c r="D364" t="s">
        <v>188</v>
      </c>
      <c r="E364" s="1" t="s">
        <v>180</v>
      </c>
      <c r="F364" s="31" t="s">
        <v>180</v>
      </c>
      <c r="G364" s="124">
        <v>255.28610571222879</v>
      </c>
      <c r="H364" t="s">
        <v>273</v>
      </c>
      <c r="I364" s="34">
        <v>2</v>
      </c>
    </row>
    <row r="365" spans="1:9" x14ac:dyDescent="0.3">
      <c r="A365">
        <v>1</v>
      </c>
      <c r="B365" t="s">
        <v>239</v>
      </c>
      <c r="C365" t="s">
        <v>192</v>
      </c>
      <c r="D365" t="s">
        <v>195</v>
      </c>
      <c r="E365" s="1" t="s">
        <v>180</v>
      </c>
      <c r="F365" s="54" t="s">
        <v>180</v>
      </c>
      <c r="G365" s="124">
        <v>252.02482412812441</v>
      </c>
      <c r="H365" t="s">
        <v>272</v>
      </c>
      <c r="I365" s="34">
        <v>1</v>
      </c>
    </row>
    <row r="366" spans="1:9" x14ac:dyDescent="0.3">
      <c r="A366">
        <v>12</v>
      </c>
      <c r="B366" t="s">
        <v>239</v>
      </c>
      <c r="C366" t="s">
        <v>193</v>
      </c>
      <c r="D366" t="s">
        <v>195</v>
      </c>
      <c r="E366" t="s">
        <v>180</v>
      </c>
      <c r="F366" s="57" t="s">
        <v>180</v>
      </c>
      <c r="G366" s="124">
        <v>251.38853837786715</v>
      </c>
      <c r="H366" t="s">
        <v>271</v>
      </c>
      <c r="I366" s="34">
        <v>12</v>
      </c>
    </row>
    <row r="367" spans="1:9" x14ac:dyDescent="0.3">
      <c r="A367">
        <v>10</v>
      </c>
      <c r="B367" t="s">
        <v>239</v>
      </c>
      <c r="C367" t="s">
        <v>193</v>
      </c>
      <c r="D367" t="s">
        <v>195</v>
      </c>
      <c r="E367" t="s">
        <v>180</v>
      </c>
      <c r="F367" s="57" t="s">
        <v>180</v>
      </c>
      <c r="G367" s="124">
        <v>250.42860832723173</v>
      </c>
      <c r="H367" t="s">
        <v>271</v>
      </c>
      <c r="I367" s="34">
        <v>10</v>
      </c>
    </row>
    <row r="368" spans="1:9" x14ac:dyDescent="0.3">
      <c r="A368">
        <v>2</v>
      </c>
      <c r="B368" t="s">
        <v>239</v>
      </c>
      <c r="C368" t="s">
        <v>192</v>
      </c>
      <c r="D368" t="s">
        <v>195</v>
      </c>
      <c r="E368" s="1" t="s">
        <v>180</v>
      </c>
      <c r="F368" s="31" t="s">
        <v>180</v>
      </c>
      <c r="G368" s="124">
        <v>249.73385218717777</v>
      </c>
      <c r="H368" t="s">
        <v>272</v>
      </c>
      <c r="I368" s="34">
        <v>2</v>
      </c>
    </row>
    <row r="369" spans="1:9" x14ac:dyDescent="0.3">
      <c r="A369">
        <v>1</v>
      </c>
      <c r="B369" t="s">
        <v>239</v>
      </c>
      <c r="C369" t="s">
        <v>192</v>
      </c>
      <c r="D369" t="s">
        <v>188</v>
      </c>
      <c r="E369" s="1" t="s">
        <v>180</v>
      </c>
      <c r="F369" s="54" t="s">
        <v>180</v>
      </c>
      <c r="G369" s="124">
        <v>246.85048462255338</v>
      </c>
      <c r="H369" t="s">
        <v>273</v>
      </c>
      <c r="I369" s="34">
        <v>1</v>
      </c>
    </row>
    <row r="370" spans="1:9" x14ac:dyDescent="0.3">
      <c r="A370">
        <v>4</v>
      </c>
      <c r="B370" t="s">
        <v>239</v>
      </c>
      <c r="C370" t="s">
        <v>192</v>
      </c>
      <c r="D370" t="s">
        <v>195</v>
      </c>
      <c r="E370" s="1" t="s">
        <v>180</v>
      </c>
      <c r="F370" s="32" t="s">
        <v>180</v>
      </c>
      <c r="G370" s="124">
        <v>245.76212120306781</v>
      </c>
      <c r="H370" t="s">
        <v>272</v>
      </c>
      <c r="I370" s="34">
        <v>4</v>
      </c>
    </row>
    <row r="371" spans="1:9" x14ac:dyDescent="0.3">
      <c r="A371" s="53">
        <v>11</v>
      </c>
      <c r="B371" t="s">
        <v>239</v>
      </c>
      <c r="C371" s="53" t="s">
        <v>192</v>
      </c>
      <c r="D371" s="53" t="s">
        <v>195</v>
      </c>
      <c r="E371" s="53" t="s">
        <v>180</v>
      </c>
      <c r="F371" s="57" t="s">
        <v>180</v>
      </c>
      <c r="G371" s="124">
        <v>244.12741578088892</v>
      </c>
      <c r="H371" t="s">
        <v>272</v>
      </c>
      <c r="I371" s="34">
        <v>11</v>
      </c>
    </row>
    <row r="372" spans="1:9" x14ac:dyDescent="0.3">
      <c r="A372">
        <v>4</v>
      </c>
      <c r="B372" t="s">
        <v>239</v>
      </c>
      <c r="C372" t="s">
        <v>192</v>
      </c>
      <c r="D372" t="s">
        <v>188</v>
      </c>
      <c r="E372" s="1" t="s">
        <v>180</v>
      </c>
      <c r="F372" s="32" t="s">
        <v>180</v>
      </c>
      <c r="G372" s="124">
        <v>242.21293573154361</v>
      </c>
      <c r="H372" t="s">
        <v>273</v>
      </c>
      <c r="I372" s="34">
        <v>4</v>
      </c>
    </row>
    <row r="373" spans="1:9" x14ac:dyDescent="0.3">
      <c r="A373">
        <v>6</v>
      </c>
      <c r="B373" t="s">
        <v>239</v>
      </c>
      <c r="C373" t="s">
        <v>193</v>
      </c>
      <c r="D373" t="s">
        <v>195</v>
      </c>
      <c r="E373" t="s">
        <v>180</v>
      </c>
      <c r="F373" s="57" t="s">
        <v>180</v>
      </c>
      <c r="G373" s="124">
        <v>240.57194005164899</v>
      </c>
      <c r="H373" t="s">
        <v>271</v>
      </c>
      <c r="I373" s="34">
        <v>6</v>
      </c>
    </row>
    <row r="374" spans="1:9" x14ac:dyDescent="0.3">
      <c r="A374" s="53">
        <v>11</v>
      </c>
      <c r="B374" t="s">
        <v>239</v>
      </c>
      <c r="C374" s="53" t="s">
        <v>192</v>
      </c>
      <c r="D374" s="53" t="s">
        <v>188</v>
      </c>
      <c r="E374" s="53" t="s">
        <v>180</v>
      </c>
      <c r="F374" s="57" t="s">
        <v>180</v>
      </c>
      <c r="G374" s="124">
        <v>239.94826131080507</v>
      </c>
      <c r="H374" t="s">
        <v>273</v>
      </c>
      <c r="I374" s="34">
        <v>11</v>
      </c>
    </row>
    <row r="375" spans="1:9" x14ac:dyDescent="0.3">
      <c r="A375">
        <v>5</v>
      </c>
      <c r="B375" t="s">
        <v>239</v>
      </c>
      <c r="C375" t="s">
        <v>193</v>
      </c>
      <c r="D375" t="s">
        <v>195</v>
      </c>
      <c r="E375" t="s">
        <v>180</v>
      </c>
      <c r="F375" s="57" t="s">
        <v>180</v>
      </c>
      <c r="G375" s="124">
        <v>236.05634154895137</v>
      </c>
      <c r="H375" t="s">
        <v>271</v>
      </c>
      <c r="I375" s="34">
        <v>5</v>
      </c>
    </row>
    <row r="376" spans="1:9" x14ac:dyDescent="0.3">
      <c r="A376">
        <v>3</v>
      </c>
      <c r="B376" t="s">
        <v>239</v>
      </c>
      <c r="C376" t="s">
        <v>192</v>
      </c>
      <c r="D376" t="s">
        <v>188</v>
      </c>
      <c r="E376" s="1" t="s">
        <v>180</v>
      </c>
      <c r="F376" s="32" t="s">
        <v>180</v>
      </c>
      <c r="G376" s="124">
        <v>233.90438771227937</v>
      </c>
      <c r="H376" t="s">
        <v>273</v>
      </c>
      <c r="I376" s="34">
        <v>3</v>
      </c>
    </row>
    <row r="377" spans="1:9" x14ac:dyDescent="0.3">
      <c r="A377">
        <v>3</v>
      </c>
      <c r="B377" t="s">
        <v>239</v>
      </c>
      <c r="C377" t="s">
        <v>192</v>
      </c>
      <c r="D377" t="s">
        <v>195</v>
      </c>
      <c r="E377" s="1" t="s">
        <v>180</v>
      </c>
      <c r="F377" s="32" t="s">
        <v>180</v>
      </c>
      <c r="G377" s="124">
        <v>228.32693785345356</v>
      </c>
      <c r="H377" t="s">
        <v>272</v>
      </c>
      <c r="I377" s="34">
        <v>3</v>
      </c>
    </row>
    <row r="378" spans="1:9" x14ac:dyDescent="0.3">
      <c r="A378" s="53">
        <v>11</v>
      </c>
      <c r="B378" t="s">
        <v>239</v>
      </c>
      <c r="C378" s="53" t="s">
        <v>193</v>
      </c>
      <c r="D378" s="53" t="s">
        <v>195</v>
      </c>
      <c r="E378" s="53" t="s">
        <v>180</v>
      </c>
      <c r="F378" s="57" t="s">
        <v>180</v>
      </c>
      <c r="G378" s="124">
        <v>214.83212588718226</v>
      </c>
      <c r="H378" t="s">
        <v>271</v>
      </c>
      <c r="I378" s="34">
        <v>11</v>
      </c>
    </row>
    <row r="379" spans="1:9" x14ac:dyDescent="0.3">
      <c r="A379">
        <v>3</v>
      </c>
      <c r="B379" t="s">
        <v>239</v>
      </c>
      <c r="C379" t="s">
        <v>193</v>
      </c>
      <c r="D379" t="s">
        <v>195</v>
      </c>
      <c r="E379" s="1" t="s">
        <v>180</v>
      </c>
      <c r="F379" s="54" t="s">
        <v>180</v>
      </c>
      <c r="G379" s="124">
        <v>190.65299310763373</v>
      </c>
      <c r="H379" t="s">
        <v>271</v>
      </c>
      <c r="I379" s="34">
        <v>3</v>
      </c>
    </row>
    <row r="380" spans="1:9" x14ac:dyDescent="0.3">
      <c r="A380">
        <v>8</v>
      </c>
      <c r="B380" t="s">
        <v>239</v>
      </c>
      <c r="C380" t="s">
        <v>191</v>
      </c>
      <c r="D380" t="s">
        <v>188</v>
      </c>
      <c r="E380" t="s">
        <v>84</v>
      </c>
      <c r="F380" s="57" t="s">
        <v>84</v>
      </c>
      <c r="G380" s="124">
        <v>5150</v>
      </c>
      <c r="H380" t="s">
        <v>274</v>
      </c>
      <c r="I380" s="34">
        <v>8</v>
      </c>
    </row>
    <row r="381" spans="1:9" x14ac:dyDescent="0.3">
      <c r="A381">
        <v>10</v>
      </c>
      <c r="B381" t="s">
        <v>239</v>
      </c>
      <c r="C381" t="s">
        <v>191</v>
      </c>
      <c r="D381" t="s">
        <v>188</v>
      </c>
      <c r="E381" t="s">
        <v>84</v>
      </c>
      <c r="F381" s="57" t="s">
        <v>84</v>
      </c>
      <c r="G381" s="124">
        <v>5050</v>
      </c>
      <c r="H381" t="s">
        <v>274</v>
      </c>
      <c r="I381" s="34">
        <v>10</v>
      </c>
    </row>
    <row r="382" spans="1:9" x14ac:dyDescent="0.3">
      <c r="A382">
        <v>7</v>
      </c>
      <c r="B382" t="s">
        <v>239</v>
      </c>
      <c r="C382" t="s">
        <v>191</v>
      </c>
      <c r="D382" t="s">
        <v>188</v>
      </c>
      <c r="E382" t="s">
        <v>84</v>
      </c>
      <c r="F382" s="57" t="s">
        <v>84</v>
      </c>
      <c r="G382" s="124">
        <v>4250</v>
      </c>
      <c r="H382" t="s">
        <v>274</v>
      </c>
      <c r="I382" s="34">
        <v>7</v>
      </c>
    </row>
    <row r="383" spans="1:9" x14ac:dyDescent="0.3">
      <c r="A383">
        <v>2</v>
      </c>
      <c r="B383" t="s">
        <v>239</v>
      </c>
      <c r="C383" t="s">
        <v>191</v>
      </c>
      <c r="D383" t="s">
        <v>188</v>
      </c>
      <c r="E383" s="1" t="s">
        <v>84</v>
      </c>
      <c r="F383" s="32" t="s">
        <v>84</v>
      </c>
      <c r="G383" s="124">
        <v>3750</v>
      </c>
      <c r="H383" t="s">
        <v>274</v>
      </c>
      <c r="I383" s="34">
        <v>2</v>
      </c>
    </row>
    <row r="384" spans="1:9" x14ac:dyDescent="0.3">
      <c r="A384">
        <v>9</v>
      </c>
      <c r="B384" t="s">
        <v>239</v>
      </c>
      <c r="C384" t="s">
        <v>191</v>
      </c>
      <c r="D384" t="s">
        <v>188</v>
      </c>
      <c r="E384" t="s">
        <v>84</v>
      </c>
      <c r="F384" s="57" t="s">
        <v>84</v>
      </c>
      <c r="G384" s="124">
        <v>3700</v>
      </c>
      <c r="H384" s="53" t="s">
        <v>274</v>
      </c>
      <c r="I384" s="77">
        <v>9</v>
      </c>
    </row>
    <row r="385" spans="1:9" x14ac:dyDescent="0.3">
      <c r="A385">
        <v>6</v>
      </c>
      <c r="B385" t="s">
        <v>239</v>
      </c>
      <c r="C385" t="s">
        <v>191</v>
      </c>
      <c r="D385" t="s">
        <v>188</v>
      </c>
      <c r="E385" t="s">
        <v>84</v>
      </c>
      <c r="F385" s="57" t="s">
        <v>84</v>
      </c>
      <c r="G385" s="124">
        <v>3550</v>
      </c>
      <c r="H385" t="s">
        <v>274</v>
      </c>
      <c r="I385" s="34">
        <v>6</v>
      </c>
    </row>
    <row r="386" spans="1:9" x14ac:dyDescent="0.3">
      <c r="A386" s="53">
        <v>11</v>
      </c>
      <c r="B386" t="s">
        <v>239</v>
      </c>
      <c r="C386" s="53" t="s">
        <v>191</v>
      </c>
      <c r="D386" s="53" t="s">
        <v>188</v>
      </c>
      <c r="E386" s="53" t="s">
        <v>84</v>
      </c>
      <c r="F386" s="57" t="s">
        <v>84</v>
      </c>
      <c r="G386" s="124">
        <v>3550</v>
      </c>
      <c r="H386" t="s">
        <v>274</v>
      </c>
      <c r="I386" s="34">
        <v>11</v>
      </c>
    </row>
    <row r="387" spans="1:9" x14ac:dyDescent="0.3">
      <c r="A387">
        <v>8</v>
      </c>
      <c r="B387" t="s">
        <v>239</v>
      </c>
      <c r="C387" t="s">
        <v>191</v>
      </c>
      <c r="D387" t="s">
        <v>195</v>
      </c>
      <c r="E387" t="s">
        <v>84</v>
      </c>
      <c r="F387" s="57" t="s">
        <v>84</v>
      </c>
      <c r="G387" s="124">
        <v>3000</v>
      </c>
      <c r="H387" t="s">
        <v>275</v>
      </c>
      <c r="I387" s="34">
        <v>8</v>
      </c>
    </row>
    <row r="388" spans="1:9" x14ac:dyDescent="0.3">
      <c r="A388">
        <v>1</v>
      </c>
      <c r="B388" t="s">
        <v>239</v>
      </c>
      <c r="C388" t="s">
        <v>191</v>
      </c>
      <c r="D388" t="s">
        <v>188</v>
      </c>
      <c r="E388" s="1" t="s">
        <v>84</v>
      </c>
      <c r="F388" s="56" t="s">
        <v>84</v>
      </c>
      <c r="G388" s="124">
        <v>2800</v>
      </c>
      <c r="H388" t="s">
        <v>274</v>
      </c>
      <c r="I388" s="34">
        <v>1</v>
      </c>
    </row>
    <row r="389" spans="1:9" x14ac:dyDescent="0.3">
      <c r="A389" s="53">
        <v>5</v>
      </c>
      <c r="B389" t="s">
        <v>239</v>
      </c>
      <c r="C389" s="53" t="s">
        <v>191</v>
      </c>
      <c r="D389" t="s">
        <v>188</v>
      </c>
      <c r="E389" s="55" t="s">
        <v>84</v>
      </c>
      <c r="F389" s="54" t="s">
        <v>84</v>
      </c>
      <c r="G389" s="124">
        <v>2450</v>
      </c>
      <c r="H389" t="s">
        <v>274</v>
      </c>
      <c r="I389" s="34">
        <v>5</v>
      </c>
    </row>
    <row r="390" spans="1:9" x14ac:dyDescent="0.3">
      <c r="A390">
        <v>4</v>
      </c>
      <c r="B390" t="s">
        <v>239</v>
      </c>
      <c r="C390" t="s">
        <v>191</v>
      </c>
      <c r="D390" t="s">
        <v>188</v>
      </c>
      <c r="E390" s="1" t="s">
        <v>84</v>
      </c>
      <c r="F390" s="31" t="s">
        <v>84</v>
      </c>
      <c r="G390" s="124">
        <v>2350</v>
      </c>
      <c r="H390" t="s">
        <v>274</v>
      </c>
      <c r="I390" s="34">
        <v>4</v>
      </c>
    </row>
    <row r="391" spans="1:9" x14ac:dyDescent="0.3">
      <c r="A391">
        <v>7</v>
      </c>
      <c r="B391" t="s">
        <v>239</v>
      </c>
      <c r="C391" t="s">
        <v>191</v>
      </c>
      <c r="D391" t="s">
        <v>195</v>
      </c>
      <c r="E391" t="s">
        <v>84</v>
      </c>
      <c r="F391" s="57" t="s">
        <v>84</v>
      </c>
      <c r="G391" s="124">
        <v>2200</v>
      </c>
      <c r="H391" t="s">
        <v>275</v>
      </c>
      <c r="I391" s="34">
        <v>7</v>
      </c>
    </row>
    <row r="392" spans="1:9" x14ac:dyDescent="0.3">
      <c r="A392">
        <v>10</v>
      </c>
      <c r="B392" t="s">
        <v>239</v>
      </c>
      <c r="C392" t="s">
        <v>191</v>
      </c>
      <c r="D392" t="s">
        <v>195</v>
      </c>
      <c r="E392" t="s">
        <v>84</v>
      </c>
      <c r="F392" s="57" t="s">
        <v>84</v>
      </c>
      <c r="G392" s="124">
        <v>2200</v>
      </c>
      <c r="H392" t="s">
        <v>275</v>
      </c>
      <c r="I392" s="34">
        <v>10</v>
      </c>
    </row>
    <row r="393" spans="1:9" x14ac:dyDescent="0.3">
      <c r="A393">
        <v>12</v>
      </c>
      <c r="B393" t="s">
        <v>239</v>
      </c>
      <c r="C393" t="s">
        <v>191</v>
      </c>
      <c r="D393" t="s">
        <v>188</v>
      </c>
      <c r="E393" t="s">
        <v>84</v>
      </c>
      <c r="F393" s="57" t="s">
        <v>84</v>
      </c>
      <c r="G393" s="124">
        <v>2150</v>
      </c>
      <c r="H393" s="53" t="s">
        <v>274</v>
      </c>
      <c r="I393" s="77">
        <v>12</v>
      </c>
    </row>
    <row r="394" spans="1:9" x14ac:dyDescent="0.3">
      <c r="A394">
        <v>3</v>
      </c>
      <c r="B394" t="s">
        <v>239</v>
      </c>
      <c r="C394" t="s">
        <v>191</v>
      </c>
      <c r="D394" t="s">
        <v>188</v>
      </c>
      <c r="E394" s="1" t="s">
        <v>84</v>
      </c>
      <c r="F394" s="32" t="s">
        <v>84</v>
      </c>
      <c r="G394" s="124">
        <v>2050</v>
      </c>
      <c r="H394" t="s">
        <v>274</v>
      </c>
      <c r="I394" s="34">
        <v>3</v>
      </c>
    </row>
    <row r="395" spans="1:9" x14ac:dyDescent="0.3">
      <c r="A395">
        <v>9</v>
      </c>
      <c r="B395" t="s">
        <v>239</v>
      </c>
      <c r="C395" t="s">
        <v>191</v>
      </c>
      <c r="D395" t="s">
        <v>195</v>
      </c>
      <c r="E395" t="s">
        <v>84</v>
      </c>
      <c r="F395" s="57" t="s">
        <v>84</v>
      </c>
      <c r="G395" s="124">
        <v>2050</v>
      </c>
      <c r="H395" t="s">
        <v>275</v>
      </c>
      <c r="I395" s="34">
        <v>9</v>
      </c>
    </row>
    <row r="396" spans="1:9" x14ac:dyDescent="0.3">
      <c r="A396">
        <v>1</v>
      </c>
      <c r="B396" t="s">
        <v>239</v>
      </c>
      <c r="C396" t="s">
        <v>191</v>
      </c>
      <c r="D396" t="s">
        <v>195</v>
      </c>
      <c r="E396" s="1" t="s">
        <v>84</v>
      </c>
      <c r="F396" s="54" t="s">
        <v>84</v>
      </c>
      <c r="G396" s="124">
        <v>1700</v>
      </c>
      <c r="H396" t="s">
        <v>275</v>
      </c>
      <c r="I396" s="34">
        <v>1</v>
      </c>
    </row>
    <row r="397" spans="1:9" x14ac:dyDescent="0.3">
      <c r="A397" s="53">
        <v>11</v>
      </c>
      <c r="B397" t="s">
        <v>239</v>
      </c>
      <c r="C397" s="53" t="s">
        <v>191</v>
      </c>
      <c r="D397" s="53" t="s">
        <v>195</v>
      </c>
      <c r="E397" s="53" t="s">
        <v>84</v>
      </c>
      <c r="F397" s="57" t="s">
        <v>84</v>
      </c>
      <c r="G397" s="124">
        <v>1700</v>
      </c>
      <c r="H397" t="s">
        <v>275</v>
      </c>
      <c r="I397" s="34">
        <v>11</v>
      </c>
    </row>
    <row r="398" spans="1:9" x14ac:dyDescent="0.3">
      <c r="A398">
        <v>6</v>
      </c>
      <c r="B398" t="s">
        <v>239</v>
      </c>
      <c r="C398" t="s">
        <v>191</v>
      </c>
      <c r="D398" t="s">
        <v>195</v>
      </c>
      <c r="E398" t="s">
        <v>84</v>
      </c>
      <c r="F398" s="57" t="s">
        <v>84</v>
      </c>
      <c r="G398" s="124">
        <v>1650</v>
      </c>
      <c r="H398" t="s">
        <v>275</v>
      </c>
      <c r="I398" s="34">
        <v>6</v>
      </c>
    </row>
    <row r="399" spans="1:9" x14ac:dyDescent="0.3">
      <c r="A399" s="53">
        <v>5</v>
      </c>
      <c r="B399" t="s">
        <v>239</v>
      </c>
      <c r="C399" s="53" t="s">
        <v>191</v>
      </c>
      <c r="D399" t="s">
        <v>195</v>
      </c>
      <c r="E399" s="55" t="s">
        <v>84</v>
      </c>
      <c r="F399" s="54" t="s">
        <v>84</v>
      </c>
      <c r="G399" s="124">
        <v>1250</v>
      </c>
      <c r="H399" t="s">
        <v>275</v>
      </c>
      <c r="I399" s="34">
        <v>5</v>
      </c>
    </row>
    <row r="400" spans="1:9" x14ac:dyDescent="0.3">
      <c r="A400">
        <v>2</v>
      </c>
      <c r="B400" t="s">
        <v>239</v>
      </c>
      <c r="C400" t="s">
        <v>191</v>
      </c>
      <c r="D400" t="s">
        <v>195</v>
      </c>
      <c r="E400" s="1" t="s">
        <v>84</v>
      </c>
      <c r="F400" s="32" t="s">
        <v>84</v>
      </c>
      <c r="G400" s="124">
        <v>1150</v>
      </c>
      <c r="H400" t="s">
        <v>275</v>
      </c>
      <c r="I400" s="34">
        <v>2</v>
      </c>
    </row>
    <row r="401" spans="1:9" x14ac:dyDescent="0.3">
      <c r="A401">
        <v>4</v>
      </c>
      <c r="B401" t="s">
        <v>239</v>
      </c>
      <c r="C401" t="s">
        <v>191</v>
      </c>
      <c r="D401" t="s">
        <v>195</v>
      </c>
      <c r="E401" s="1" t="s">
        <v>84</v>
      </c>
      <c r="F401" s="31" t="s">
        <v>84</v>
      </c>
      <c r="G401" s="124">
        <v>1150</v>
      </c>
      <c r="H401" t="s">
        <v>275</v>
      </c>
      <c r="I401" s="34">
        <v>4</v>
      </c>
    </row>
    <row r="402" spans="1:9" x14ac:dyDescent="0.3">
      <c r="A402">
        <v>8</v>
      </c>
      <c r="B402" t="s">
        <v>239</v>
      </c>
      <c r="C402" t="s">
        <v>193</v>
      </c>
      <c r="D402" t="s">
        <v>188</v>
      </c>
      <c r="E402" t="s">
        <v>84</v>
      </c>
      <c r="F402" s="57" t="s">
        <v>84</v>
      </c>
      <c r="G402" s="124">
        <v>1017.64</v>
      </c>
      <c r="H402" s="53" t="s">
        <v>276</v>
      </c>
      <c r="I402" s="77">
        <v>8</v>
      </c>
    </row>
    <row r="403" spans="1:9" x14ac:dyDescent="0.3">
      <c r="A403">
        <v>12</v>
      </c>
      <c r="B403" t="s">
        <v>239</v>
      </c>
      <c r="C403" t="s">
        <v>191</v>
      </c>
      <c r="D403" t="s">
        <v>195</v>
      </c>
      <c r="E403" t="s">
        <v>84</v>
      </c>
      <c r="F403" s="57" t="s">
        <v>84</v>
      </c>
      <c r="G403" s="124">
        <v>890</v>
      </c>
      <c r="H403" t="s">
        <v>275</v>
      </c>
      <c r="I403" s="34">
        <v>12</v>
      </c>
    </row>
    <row r="404" spans="1:9" x14ac:dyDescent="0.3">
      <c r="A404">
        <v>10</v>
      </c>
      <c r="B404" t="s">
        <v>239</v>
      </c>
      <c r="C404" t="s">
        <v>193</v>
      </c>
      <c r="D404" t="s">
        <v>188</v>
      </c>
      <c r="E404" t="s">
        <v>84</v>
      </c>
      <c r="F404" s="57" t="s">
        <v>84</v>
      </c>
      <c r="G404" s="124">
        <v>872.57940000000008</v>
      </c>
      <c r="H404" t="s">
        <v>276</v>
      </c>
      <c r="I404" s="34">
        <v>10</v>
      </c>
    </row>
    <row r="405" spans="1:9" x14ac:dyDescent="0.3">
      <c r="A405">
        <v>7</v>
      </c>
      <c r="B405" t="s">
        <v>239</v>
      </c>
      <c r="C405" t="s">
        <v>193</v>
      </c>
      <c r="D405" t="s">
        <v>188</v>
      </c>
      <c r="E405" t="s">
        <v>84</v>
      </c>
      <c r="F405" s="57" t="s">
        <v>84</v>
      </c>
      <c r="G405" s="124">
        <v>799.42499999999995</v>
      </c>
      <c r="H405" t="s">
        <v>276</v>
      </c>
      <c r="I405" s="34">
        <v>7</v>
      </c>
    </row>
    <row r="406" spans="1:9" x14ac:dyDescent="0.3">
      <c r="A406">
        <v>3</v>
      </c>
      <c r="B406" t="s">
        <v>239</v>
      </c>
      <c r="C406" t="s">
        <v>191</v>
      </c>
      <c r="D406" t="s">
        <v>195</v>
      </c>
      <c r="E406" s="1" t="s">
        <v>84</v>
      </c>
      <c r="F406" s="32" t="s">
        <v>84</v>
      </c>
      <c r="G406" s="124">
        <v>750</v>
      </c>
      <c r="H406" t="s">
        <v>275</v>
      </c>
      <c r="I406" s="34">
        <v>3</v>
      </c>
    </row>
    <row r="407" spans="1:9" x14ac:dyDescent="0.3">
      <c r="A407">
        <v>9</v>
      </c>
      <c r="B407" t="s">
        <v>239</v>
      </c>
      <c r="C407" t="s">
        <v>193</v>
      </c>
      <c r="D407" t="s">
        <v>188</v>
      </c>
      <c r="E407" t="s">
        <v>84</v>
      </c>
      <c r="F407" s="57" t="s">
        <v>84</v>
      </c>
      <c r="G407" s="124">
        <v>651.94000000000005</v>
      </c>
      <c r="H407" t="s">
        <v>276</v>
      </c>
      <c r="I407" s="34">
        <v>9</v>
      </c>
    </row>
    <row r="408" spans="1:9" x14ac:dyDescent="0.3">
      <c r="A408" s="53">
        <v>11</v>
      </c>
      <c r="B408" t="s">
        <v>239</v>
      </c>
      <c r="C408" s="53" t="s">
        <v>193</v>
      </c>
      <c r="D408" s="53" t="s">
        <v>188</v>
      </c>
      <c r="E408" s="53" t="s">
        <v>84</v>
      </c>
      <c r="F408" s="57" t="s">
        <v>84</v>
      </c>
      <c r="G408" s="124">
        <v>595.51900000000001</v>
      </c>
      <c r="H408" s="53" t="s">
        <v>276</v>
      </c>
      <c r="I408" s="77">
        <v>11</v>
      </c>
    </row>
    <row r="409" spans="1:9" x14ac:dyDescent="0.3">
      <c r="A409">
        <v>8</v>
      </c>
      <c r="B409" t="s">
        <v>239</v>
      </c>
      <c r="C409" t="s">
        <v>193</v>
      </c>
      <c r="D409" t="s">
        <v>195</v>
      </c>
      <c r="E409" t="s">
        <v>84</v>
      </c>
      <c r="F409" s="57" t="s">
        <v>84</v>
      </c>
      <c r="G409" s="124">
        <v>568.11</v>
      </c>
      <c r="H409" t="s">
        <v>277</v>
      </c>
      <c r="I409" s="34">
        <v>8</v>
      </c>
    </row>
    <row r="410" spans="1:9" x14ac:dyDescent="0.3">
      <c r="A410">
        <v>6</v>
      </c>
      <c r="B410" t="s">
        <v>239</v>
      </c>
      <c r="C410" t="s">
        <v>193</v>
      </c>
      <c r="D410" t="s">
        <v>188</v>
      </c>
      <c r="E410" t="s">
        <v>84</v>
      </c>
      <c r="F410" s="57" t="s">
        <v>84</v>
      </c>
      <c r="G410" s="124">
        <v>527.35249999999996</v>
      </c>
      <c r="H410" t="s">
        <v>276</v>
      </c>
      <c r="I410" s="34">
        <v>6</v>
      </c>
    </row>
    <row r="411" spans="1:9" x14ac:dyDescent="0.3">
      <c r="A411">
        <v>2</v>
      </c>
      <c r="B411" t="s">
        <v>239</v>
      </c>
      <c r="C411" t="s">
        <v>193</v>
      </c>
      <c r="D411" t="s">
        <v>188</v>
      </c>
      <c r="E411" s="1" t="s">
        <v>84</v>
      </c>
      <c r="F411" s="32" t="s">
        <v>84</v>
      </c>
      <c r="G411" s="124">
        <v>507.45</v>
      </c>
      <c r="H411" t="s">
        <v>276</v>
      </c>
      <c r="I411" s="34">
        <v>2</v>
      </c>
    </row>
    <row r="412" spans="1:9" x14ac:dyDescent="0.3">
      <c r="A412">
        <v>10</v>
      </c>
      <c r="B412" t="s">
        <v>239</v>
      </c>
      <c r="C412" t="s">
        <v>191</v>
      </c>
      <c r="D412" t="s">
        <v>238</v>
      </c>
      <c r="E412" t="s">
        <v>84</v>
      </c>
      <c r="F412" s="57" t="s">
        <v>84</v>
      </c>
      <c r="G412" s="124">
        <v>480</v>
      </c>
      <c r="H412" t="s">
        <v>278</v>
      </c>
      <c r="I412" s="34">
        <v>10</v>
      </c>
    </row>
    <row r="413" spans="1:9" x14ac:dyDescent="0.3">
      <c r="A413">
        <v>1</v>
      </c>
      <c r="B413" t="s">
        <v>239</v>
      </c>
      <c r="C413" t="s">
        <v>193</v>
      </c>
      <c r="D413" t="s">
        <v>188</v>
      </c>
      <c r="E413" s="1" t="s">
        <v>84</v>
      </c>
      <c r="F413" s="32" t="s">
        <v>84</v>
      </c>
      <c r="G413" s="124">
        <v>446.32</v>
      </c>
      <c r="H413" t="s">
        <v>276</v>
      </c>
      <c r="I413" s="34">
        <v>1</v>
      </c>
    </row>
    <row r="414" spans="1:9" x14ac:dyDescent="0.3">
      <c r="A414">
        <v>5</v>
      </c>
      <c r="B414" t="s">
        <v>239</v>
      </c>
      <c r="C414" t="s">
        <v>193</v>
      </c>
      <c r="D414" t="s">
        <v>188</v>
      </c>
      <c r="E414" t="s">
        <v>84</v>
      </c>
      <c r="F414" s="57" t="s">
        <v>84</v>
      </c>
      <c r="G414" s="124">
        <v>409.88499999999999</v>
      </c>
      <c r="H414" s="53" t="s">
        <v>276</v>
      </c>
      <c r="I414" s="77">
        <v>5</v>
      </c>
    </row>
    <row r="415" spans="1:9" x14ac:dyDescent="0.3">
      <c r="A415">
        <v>7</v>
      </c>
      <c r="B415" t="s">
        <v>239</v>
      </c>
      <c r="C415" t="s">
        <v>193</v>
      </c>
      <c r="D415" t="s">
        <v>195</v>
      </c>
      <c r="E415" t="s">
        <v>84</v>
      </c>
      <c r="F415" s="57" t="s">
        <v>84</v>
      </c>
      <c r="G415" s="124">
        <v>401.06</v>
      </c>
      <c r="H415" t="s">
        <v>277</v>
      </c>
      <c r="I415" s="34">
        <v>7</v>
      </c>
    </row>
    <row r="416" spans="1:9" x14ac:dyDescent="0.3">
      <c r="A416">
        <v>12</v>
      </c>
      <c r="B416" t="s">
        <v>239</v>
      </c>
      <c r="C416" t="s">
        <v>193</v>
      </c>
      <c r="D416" t="s">
        <v>188</v>
      </c>
      <c r="E416" t="s">
        <v>84</v>
      </c>
      <c r="F416" s="57" t="s">
        <v>84</v>
      </c>
      <c r="G416" s="124">
        <v>357.76</v>
      </c>
      <c r="H416" s="53" t="s">
        <v>276</v>
      </c>
      <c r="I416" s="77">
        <v>12</v>
      </c>
    </row>
    <row r="417" spans="1:9" x14ac:dyDescent="0.3">
      <c r="A417">
        <v>9</v>
      </c>
      <c r="B417" t="s">
        <v>239</v>
      </c>
      <c r="C417" t="s">
        <v>193</v>
      </c>
      <c r="D417" t="s">
        <v>195</v>
      </c>
      <c r="E417" t="s">
        <v>84</v>
      </c>
      <c r="F417" s="57" t="s">
        <v>84</v>
      </c>
      <c r="G417" s="124">
        <v>353.01</v>
      </c>
      <c r="H417" t="s">
        <v>277</v>
      </c>
      <c r="I417" s="34">
        <v>9</v>
      </c>
    </row>
    <row r="418" spans="1:9" x14ac:dyDescent="0.3">
      <c r="A418">
        <v>10</v>
      </c>
      <c r="B418" t="s">
        <v>239</v>
      </c>
      <c r="C418" t="s">
        <v>193</v>
      </c>
      <c r="D418" t="s">
        <v>195</v>
      </c>
      <c r="E418" t="s">
        <v>84</v>
      </c>
      <c r="F418" s="57" t="s">
        <v>84</v>
      </c>
      <c r="G418" s="124">
        <v>351.78</v>
      </c>
      <c r="H418" t="s">
        <v>277</v>
      </c>
      <c r="I418" s="34">
        <v>10</v>
      </c>
    </row>
    <row r="419" spans="1:9" x14ac:dyDescent="0.3">
      <c r="A419">
        <v>3</v>
      </c>
      <c r="B419" t="s">
        <v>239</v>
      </c>
      <c r="C419" t="s">
        <v>193</v>
      </c>
      <c r="D419" t="s">
        <v>188</v>
      </c>
      <c r="E419" s="1" t="s">
        <v>84</v>
      </c>
      <c r="F419" s="54" t="s">
        <v>84</v>
      </c>
      <c r="G419" s="124">
        <v>327.375</v>
      </c>
      <c r="H419" t="s">
        <v>276</v>
      </c>
      <c r="I419" s="34">
        <v>3</v>
      </c>
    </row>
    <row r="420" spans="1:9" x14ac:dyDescent="0.3">
      <c r="A420">
        <v>4</v>
      </c>
      <c r="B420" t="s">
        <v>239</v>
      </c>
      <c r="C420" t="s">
        <v>193</v>
      </c>
      <c r="D420" t="s">
        <v>188</v>
      </c>
      <c r="E420" s="1" t="s">
        <v>84</v>
      </c>
      <c r="F420" s="54" t="s">
        <v>84</v>
      </c>
      <c r="G420" s="124">
        <v>321.71499999999997</v>
      </c>
      <c r="H420" t="s">
        <v>276</v>
      </c>
      <c r="I420" s="34">
        <v>4</v>
      </c>
    </row>
    <row r="421" spans="1:9" x14ac:dyDescent="0.3">
      <c r="A421" s="53">
        <v>5</v>
      </c>
      <c r="B421" t="s">
        <v>239</v>
      </c>
      <c r="C421" s="53" t="s">
        <v>191</v>
      </c>
      <c r="D421" t="s">
        <v>238</v>
      </c>
      <c r="E421" s="55" t="s">
        <v>84</v>
      </c>
      <c r="F421" s="54" t="s">
        <v>84</v>
      </c>
      <c r="G421" s="124">
        <v>300</v>
      </c>
      <c r="H421" t="s">
        <v>278</v>
      </c>
      <c r="I421" s="34">
        <v>5</v>
      </c>
    </row>
    <row r="422" spans="1:9" x14ac:dyDescent="0.3">
      <c r="A422" s="53">
        <v>11</v>
      </c>
      <c r="B422" t="s">
        <v>239</v>
      </c>
      <c r="C422" s="53" t="s">
        <v>193</v>
      </c>
      <c r="D422" s="53" t="s">
        <v>195</v>
      </c>
      <c r="E422" s="53" t="s">
        <v>84</v>
      </c>
      <c r="F422" s="57" t="s">
        <v>84</v>
      </c>
      <c r="G422" s="124">
        <v>274.97500000000002</v>
      </c>
      <c r="H422" t="s">
        <v>277</v>
      </c>
      <c r="I422" s="34">
        <v>11</v>
      </c>
    </row>
    <row r="423" spans="1:9" x14ac:dyDescent="0.3">
      <c r="A423">
        <v>1</v>
      </c>
      <c r="B423" t="s">
        <v>239</v>
      </c>
      <c r="C423" t="s">
        <v>193</v>
      </c>
      <c r="D423" t="s">
        <v>195</v>
      </c>
      <c r="E423" s="1" t="s">
        <v>84</v>
      </c>
      <c r="F423" s="32" t="s">
        <v>84</v>
      </c>
      <c r="G423" s="124">
        <v>264.18</v>
      </c>
      <c r="H423" t="s">
        <v>277</v>
      </c>
      <c r="I423" s="34">
        <v>1</v>
      </c>
    </row>
    <row r="424" spans="1:9" x14ac:dyDescent="0.3">
      <c r="A424">
        <v>2</v>
      </c>
      <c r="B424" t="s">
        <v>239</v>
      </c>
      <c r="C424" t="s">
        <v>191</v>
      </c>
      <c r="D424" t="s">
        <v>238</v>
      </c>
      <c r="E424" s="1" t="s">
        <v>84</v>
      </c>
      <c r="F424" s="32" t="s">
        <v>84</v>
      </c>
      <c r="G424" s="124">
        <v>255</v>
      </c>
      <c r="H424" t="s">
        <v>278</v>
      </c>
      <c r="I424" s="34">
        <v>2</v>
      </c>
    </row>
    <row r="425" spans="1:9" x14ac:dyDescent="0.3">
      <c r="A425">
        <v>1</v>
      </c>
      <c r="B425" t="s">
        <v>239</v>
      </c>
      <c r="C425" t="s">
        <v>191</v>
      </c>
      <c r="D425" t="s">
        <v>238</v>
      </c>
      <c r="E425" s="1" t="s">
        <v>84</v>
      </c>
      <c r="F425" s="54" t="s">
        <v>84</v>
      </c>
      <c r="G425" s="124">
        <v>250</v>
      </c>
      <c r="H425" t="s">
        <v>278</v>
      </c>
      <c r="I425" s="34">
        <v>1</v>
      </c>
    </row>
    <row r="426" spans="1:9" x14ac:dyDescent="0.3">
      <c r="A426">
        <v>4</v>
      </c>
      <c r="B426" t="s">
        <v>239</v>
      </c>
      <c r="C426" t="s">
        <v>191</v>
      </c>
      <c r="D426" t="s">
        <v>238</v>
      </c>
      <c r="E426" s="1" t="s">
        <v>84</v>
      </c>
      <c r="F426" s="31" t="s">
        <v>84</v>
      </c>
      <c r="G426" s="124">
        <v>250</v>
      </c>
      <c r="H426" t="s">
        <v>278</v>
      </c>
      <c r="I426" s="34">
        <v>4</v>
      </c>
    </row>
    <row r="427" spans="1:9" x14ac:dyDescent="0.3">
      <c r="A427">
        <v>6</v>
      </c>
      <c r="B427" t="s">
        <v>239</v>
      </c>
      <c r="C427" t="s">
        <v>191</v>
      </c>
      <c r="D427" t="s">
        <v>238</v>
      </c>
      <c r="E427" t="s">
        <v>84</v>
      </c>
      <c r="F427" s="57" t="s">
        <v>84</v>
      </c>
      <c r="G427" s="124">
        <v>250</v>
      </c>
      <c r="H427" t="s">
        <v>278</v>
      </c>
      <c r="I427" s="34">
        <v>6</v>
      </c>
    </row>
    <row r="428" spans="1:9" x14ac:dyDescent="0.3">
      <c r="A428">
        <v>6</v>
      </c>
      <c r="B428" t="s">
        <v>239</v>
      </c>
      <c r="C428" t="s">
        <v>193</v>
      </c>
      <c r="D428" t="s">
        <v>195</v>
      </c>
      <c r="E428" t="s">
        <v>84</v>
      </c>
      <c r="F428" s="57" t="s">
        <v>84</v>
      </c>
      <c r="G428" s="124">
        <v>248.49</v>
      </c>
      <c r="H428" t="s">
        <v>277</v>
      </c>
      <c r="I428" s="34">
        <v>6</v>
      </c>
    </row>
    <row r="429" spans="1:9" x14ac:dyDescent="0.3">
      <c r="A429">
        <v>9</v>
      </c>
      <c r="B429" t="s">
        <v>239</v>
      </c>
      <c r="C429" t="s">
        <v>191</v>
      </c>
      <c r="D429" t="s">
        <v>238</v>
      </c>
      <c r="E429" t="s">
        <v>84</v>
      </c>
      <c r="F429" s="57" t="s">
        <v>84</v>
      </c>
      <c r="G429" s="124">
        <v>200</v>
      </c>
      <c r="H429" s="53" t="s">
        <v>278</v>
      </c>
      <c r="I429" s="77">
        <v>9</v>
      </c>
    </row>
    <row r="430" spans="1:9" x14ac:dyDescent="0.3">
      <c r="A430" s="53">
        <v>11</v>
      </c>
      <c r="B430" t="s">
        <v>239</v>
      </c>
      <c r="C430" s="53" t="s">
        <v>191</v>
      </c>
      <c r="D430" s="53" t="s">
        <v>238</v>
      </c>
      <c r="E430" s="53" t="s">
        <v>84</v>
      </c>
      <c r="F430" s="57" t="s">
        <v>84</v>
      </c>
      <c r="G430" s="124">
        <v>200</v>
      </c>
      <c r="H430" t="s">
        <v>278</v>
      </c>
      <c r="I430" s="34">
        <v>11</v>
      </c>
    </row>
    <row r="431" spans="1:9" x14ac:dyDescent="0.3">
      <c r="A431">
        <v>5</v>
      </c>
      <c r="B431" t="s">
        <v>239</v>
      </c>
      <c r="C431" t="s">
        <v>193</v>
      </c>
      <c r="D431" t="s">
        <v>195</v>
      </c>
      <c r="E431" t="s">
        <v>84</v>
      </c>
      <c r="F431" s="57" t="s">
        <v>84</v>
      </c>
      <c r="G431" s="124">
        <v>199.625</v>
      </c>
      <c r="H431" t="s">
        <v>277</v>
      </c>
      <c r="I431" s="34">
        <v>5</v>
      </c>
    </row>
    <row r="432" spans="1:9" x14ac:dyDescent="0.3">
      <c r="A432">
        <v>8</v>
      </c>
      <c r="B432" t="s">
        <v>239</v>
      </c>
      <c r="C432" t="s">
        <v>192</v>
      </c>
      <c r="D432" t="s">
        <v>188</v>
      </c>
      <c r="E432" t="s">
        <v>84</v>
      </c>
      <c r="F432" s="57" t="s">
        <v>84</v>
      </c>
      <c r="G432" s="124">
        <v>197.6</v>
      </c>
      <c r="H432" t="s">
        <v>279</v>
      </c>
      <c r="I432" s="34">
        <v>8</v>
      </c>
    </row>
    <row r="433" spans="1:9" x14ac:dyDescent="0.3">
      <c r="A433">
        <v>8</v>
      </c>
      <c r="B433" t="s">
        <v>239</v>
      </c>
      <c r="C433" t="s">
        <v>192</v>
      </c>
      <c r="D433" t="s">
        <v>195</v>
      </c>
      <c r="E433" t="s">
        <v>84</v>
      </c>
      <c r="F433" s="57" t="s">
        <v>84</v>
      </c>
      <c r="G433" s="124">
        <v>189.37</v>
      </c>
      <c r="H433" t="s">
        <v>280</v>
      </c>
      <c r="I433" s="34">
        <v>8</v>
      </c>
    </row>
    <row r="434" spans="1:9" x14ac:dyDescent="0.3">
      <c r="A434">
        <v>7</v>
      </c>
      <c r="B434" t="s">
        <v>239</v>
      </c>
      <c r="C434" t="s">
        <v>192</v>
      </c>
      <c r="D434" t="s">
        <v>188</v>
      </c>
      <c r="E434" t="s">
        <v>84</v>
      </c>
      <c r="F434" s="57" t="s">
        <v>84</v>
      </c>
      <c r="G434" s="124">
        <v>188.1</v>
      </c>
      <c r="H434" t="s">
        <v>279</v>
      </c>
      <c r="I434" s="34">
        <v>7</v>
      </c>
    </row>
    <row r="435" spans="1:9" x14ac:dyDescent="0.3">
      <c r="A435">
        <v>3</v>
      </c>
      <c r="B435" t="s">
        <v>239</v>
      </c>
      <c r="C435" t="s">
        <v>191</v>
      </c>
      <c r="D435" t="s">
        <v>238</v>
      </c>
      <c r="E435" s="1" t="s">
        <v>84</v>
      </c>
      <c r="F435" s="32" t="s">
        <v>84</v>
      </c>
      <c r="G435" s="124">
        <v>184</v>
      </c>
      <c r="H435" t="s">
        <v>278</v>
      </c>
      <c r="I435" s="34">
        <v>3</v>
      </c>
    </row>
    <row r="436" spans="1:9" x14ac:dyDescent="0.3">
      <c r="A436">
        <v>7</v>
      </c>
      <c r="B436" t="s">
        <v>239</v>
      </c>
      <c r="C436" t="s">
        <v>192</v>
      </c>
      <c r="D436" t="s">
        <v>195</v>
      </c>
      <c r="E436" t="s">
        <v>84</v>
      </c>
      <c r="F436" s="57" t="s">
        <v>84</v>
      </c>
      <c r="G436" s="124">
        <v>182.3</v>
      </c>
      <c r="H436" t="s">
        <v>280</v>
      </c>
      <c r="I436" s="34">
        <v>7</v>
      </c>
    </row>
    <row r="437" spans="1:9" x14ac:dyDescent="0.3">
      <c r="A437">
        <v>9</v>
      </c>
      <c r="B437" t="s">
        <v>239</v>
      </c>
      <c r="C437" t="s">
        <v>192</v>
      </c>
      <c r="D437" t="s">
        <v>188</v>
      </c>
      <c r="E437" t="s">
        <v>84</v>
      </c>
      <c r="F437" s="57" t="s">
        <v>84</v>
      </c>
      <c r="G437" s="124">
        <v>176.2</v>
      </c>
      <c r="H437" t="s">
        <v>279</v>
      </c>
      <c r="I437" s="34">
        <v>9</v>
      </c>
    </row>
    <row r="438" spans="1:9" x14ac:dyDescent="0.3">
      <c r="A438">
        <v>12</v>
      </c>
      <c r="B438" t="s">
        <v>239</v>
      </c>
      <c r="C438" t="s">
        <v>192</v>
      </c>
      <c r="D438" t="s">
        <v>195</v>
      </c>
      <c r="E438" t="s">
        <v>84</v>
      </c>
      <c r="F438" s="57" t="s">
        <v>84</v>
      </c>
      <c r="G438" s="124">
        <v>172.8</v>
      </c>
      <c r="H438" t="s">
        <v>280</v>
      </c>
      <c r="I438" s="34">
        <v>12</v>
      </c>
    </row>
    <row r="439" spans="1:9" x14ac:dyDescent="0.3">
      <c r="A439">
        <v>10</v>
      </c>
      <c r="B439" t="s">
        <v>239</v>
      </c>
      <c r="C439" t="s">
        <v>192</v>
      </c>
      <c r="D439" t="s">
        <v>188</v>
      </c>
      <c r="E439" t="s">
        <v>84</v>
      </c>
      <c r="F439" s="57" t="s">
        <v>84</v>
      </c>
      <c r="G439" s="124">
        <v>172.78800000000001</v>
      </c>
      <c r="H439" s="53" t="s">
        <v>279</v>
      </c>
      <c r="I439" s="77">
        <v>10</v>
      </c>
    </row>
    <row r="440" spans="1:9" x14ac:dyDescent="0.3">
      <c r="A440">
        <v>9</v>
      </c>
      <c r="B440" t="s">
        <v>239</v>
      </c>
      <c r="C440" t="s">
        <v>192</v>
      </c>
      <c r="D440" t="s">
        <v>195</v>
      </c>
      <c r="E440" t="s">
        <v>84</v>
      </c>
      <c r="F440" s="57" t="s">
        <v>84</v>
      </c>
      <c r="G440" s="124">
        <v>172.2</v>
      </c>
      <c r="H440" t="s">
        <v>280</v>
      </c>
      <c r="I440" s="34">
        <v>9</v>
      </c>
    </row>
    <row r="441" spans="1:9" x14ac:dyDescent="0.3">
      <c r="A441" s="53">
        <v>11</v>
      </c>
      <c r="B441" t="s">
        <v>239</v>
      </c>
      <c r="C441" s="53" t="s">
        <v>192</v>
      </c>
      <c r="D441" s="53" t="s">
        <v>188</v>
      </c>
      <c r="E441" s="53" t="s">
        <v>84</v>
      </c>
      <c r="F441" s="57" t="s">
        <v>84</v>
      </c>
      <c r="G441" s="124">
        <v>167.75183098591549</v>
      </c>
      <c r="H441" t="s">
        <v>279</v>
      </c>
      <c r="I441" s="34">
        <v>11</v>
      </c>
    </row>
    <row r="442" spans="1:9" x14ac:dyDescent="0.3">
      <c r="A442">
        <v>5</v>
      </c>
      <c r="B442" t="s">
        <v>239</v>
      </c>
      <c r="C442" t="s">
        <v>192</v>
      </c>
      <c r="D442" t="s">
        <v>188</v>
      </c>
      <c r="E442" t="s">
        <v>84</v>
      </c>
      <c r="F442" s="57" t="s">
        <v>84</v>
      </c>
      <c r="G442" s="124">
        <v>167.3</v>
      </c>
      <c r="H442" t="s">
        <v>279</v>
      </c>
      <c r="I442" s="34">
        <v>5</v>
      </c>
    </row>
    <row r="443" spans="1:9" x14ac:dyDescent="0.3">
      <c r="A443">
        <v>12</v>
      </c>
      <c r="B443" t="s">
        <v>239</v>
      </c>
      <c r="C443" t="s">
        <v>192</v>
      </c>
      <c r="D443" t="s">
        <v>188</v>
      </c>
      <c r="E443" t="s">
        <v>84</v>
      </c>
      <c r="F443" s="57" t="s">
        <v>84</v>
      </c>
      <c r="G443" s="124">
        <v>166.4</v>
      </c>
      <c r="H443" s="53" t="s">
        <v>279</v>
      </c>
      <c r="I443" s="77">
        <v>12</v>
      </c>
    </row>
    <row r="444" spans="1:9" x14ac:dyDescent="0.3">
      <c r="A444">
        <v>2</v>
      </c>
      <c r="B444" t="s">
        <v>239</v>
      </c>
      <c r="C444" t="s">
        <v>193</v>
      </c>
      <c r="D444" t="s">
        <v>195</v>
      </c>
      <c r="E444" s="1" t="s">
        <v>84</v>
      </c>
      <c r="F444" s="32" t="s">
        <v>84</v>
      </c>
      <c r="G444" s="124">
        <v>164.81800000000001</v>
      </c>
      <c r="H444" s="53" t="s">
        <v>277</v>
      </c>
      <c r="I444" s="77">
        <v>2</v>
      </c>
    </row>
    <row r="445" spans="1:9" x14ac:dyDescent="0.3">
      <c r="A445" s="53">
        <v>11</v>
      </c>
      <c r="B445" t="s">
        <v>239</v>
      </c>
      <c r="C445" s="53" t="s">
        <v>192</v>
      </c>
      <c r="D445" s="53" t="s">
        <v>195</v>
      </c>
      <c r="E445" s="53" t="s">
        <v>84</v>
      </c>
      <c r="F445" s="57" t="s">
        <v>84</v>
      </c>
      <c r="G445" s="124">
        <v>161.75</v>
      </c>
      <c r="H445" t="s">
        <v>280</v>
      </c>
      <c r="I445" s="34">
        <v>11</v>
      </c>
    </row>
    <row r="446" spans="1:9" x14ac:dyDescent="0.3">
      <c r="A446">
        <v>10</v>
      </c>
      <c r="B446" t="s">
        <v>239</v>
      </c>
      <c r="C446" t="s">
        <v>192</v>
      </c>
      <c r="D446" t="s">
        <v>195</v>
      </c>
      <c r="E446" t="s">
        <v>84</v>
      </c>
      <c r="F446" s="57" t="s">
        <v>84</v>
      </c>
      <c r="G446" s="124">
        <v>159.9</v>
      </c>
      <c r="H446" t="s">
        <v>280</v>
      </c>
      <c r="I446" s="34">
        <v>10</v>
      </c>
    </row>
    <row r="447" spans="1:9" x14ac:dyDescent="0.3">
      <c r="A447">
        <v>5</v>
      </c>
      <c r="B447" t="s">
        <v>239</v>
      </c>
      <c r="C447" t="s">
        <v>192</v>
      </c>
      <c r="D447" t="s">
        <v>195</v>
      </c>
      <c r="E447" t="s">
        <v>84</v>
      </c>
      <c r="F447" s="57" t="s">
        <v>84</v>
      </c>
      <c r="G447" s="124">
        <v>159.69999999999999</v>
      </c>
      <c r="H447" t="s">
        <v>280</v>
      </c>
      <c r="I447" s="34">
        <v>5</v>
      </c>
    </row>
    <row r="448" spans="1:9" x14ac:dyDescent="0.3">
      <c r="A448">
        <v>3</v>
      </c>
      <c r="B448" t="s">
        <v>239</v>
      </c>
      <c r="C448" t="s">
        <v>192</v>
      </c>
      <c r="D448" t="s">
        <v>188</v>
      </c>
      <c r="E448" s="1" t="s">
        <v>84</v>
      </c>
      <c r="F448" s="31" t="s">
        <v>84</v>
      </c>
      <c r="G448" s="124">
        <v>159.69512195121951</v>
      </c>
      <c r="H448" t="s">
        <v>279</v>
      </c>
      <c r="I448" s="34">
        <v>3</v>
      </c>
    </row>
    <row r="449" spans="1:9" x14ac:dyDescent="0.3">
      <c r="A449">
        <v>1</v>
      </c>
      <c r="B449" t="s">
        <v>239</v>
      </c>
      <c r="C449" t="s">
        <v>192</v>
      </c>
      <c r="D449" t="s">
        <v>188</v>
      </c>
      <c r="E449" s="1" t="s">
        <v>84</v>
      </c>
      <c r="F449" s="54" t="s">
        <v>84</v>
      </c>
      <c r="G449" s="124">
        <v>159.4</v>
      </c>
      <c r="H449" t="s">
        <v>279</v>
      </c>
      <c r="I449" s="34">
        <v>1</v>
      </c>
    </row>
    <row r="450" spans="1:9" x14ac:dyDescent="0.3">
      <c r="A450">
        <v>4</v>
      </c>
      <c r="B450" t="s">
        <v>239</v>
      </c>
      <c r="C450" t="s">
        <v>193</v>
      </c>
      <c r="D450" t="s">
        <v>195</v>
      </c>
      <c r="E450" s="1" t="s">
        <v>84</v>
      </c>
      <c r="F450" s="54" t="s">
        <v>84</v>
      </c>
      <c r="G450" s="124">
        <v>155.94</v>
      </c>
      <c r="H450" t="s">
        <v>277</v>
      </c>
      <c r="I450" s="34">
        <v>4</v>
      </c>
    </row>
    <row r="451" spans="1:9" x14ac:dyDescent="0.3">
      <c r="A451">
        <v>1</v>
      </c>
      <c r="B451" t="s">
        <v>239</v>
      </c>
      <c r="C451" t="s">
        <v>192</v>
      </c>
      <c r="D451" t="s">
        <v>195</v>
      </c>
      <c r="E451" s="1" t="s">
        <v>84</v>
      </c>
      <c r="F451" s="54" t="s">
        <v>84</v>
      </c>
      <c r="G451" s="124">
        <v>155.4</v>
      </c>
      <c r="H451" s="53" t="s">
        <v>280</v>
      </c>
      <c r="I451" s="77">
        <v>1</v>
      </c>
    </row>
    <row r="452" spans="1:9" x14ac:dyDescent="0.3">
      <c r="A452">
        <v>3</v>
      </c>
      <c r="B452" t="s">
        <v>239</v>
      </c>
      <c r="C452" t="s">
        <v>192</v>
      </c>
      <c r="D452" t="s">
        <v>195</v>
      </c>
      <c r="E452" s="1" t="s">
        <v>84</v>
      </c>
      <c r="F452" s="31" t="s">
        <v>84</v>
      </c>
      <c r="G452" s="124">
        <v>154.28</v>
      </c>
      <c r="H452" t="s">
        <v>280</v>
      </c>
      <c r="I452" s="34">
        <v>3</v>
      </c>
    </row>
    <row r="453" spans="1:9" x14ac:dyDescent="0.3">
      <c r="A453">
        <v>12</v>
      </c>
      <c r="B453" t="s">
        <v>239</v>
      </c>
      <c r="C453" t="s">
        <v>193</v>
      </c>
      <c r="D453" t="s">
        <v>195</v>
      </c>
      <c r="E453" t="s">
        <v>84</v>
      </c>
      <c r="F453" s="57" t="s">
        <v>84</v>
      </c>
      <c r="G453" s="124">
        <v>153.792</v>
      </c>
      <c r="H453" t="s">
        <v>277</v>
      </c>
      <c r="I453" s="34">
        <v>12</v>
      </c>
    </row>
    <row r="454" spans="1:9" x14ac:dyDescent="0.3">
      <c r="A454">
        <v>6</v>
      </c>
      <c r="B454" t="s">
        <v>239</v>
      </c>
      <c r="C454" t="s">
        <v>192</v>
      </c>
      <c r="D454" t="s">
        <v>195</v>
      </c>
      <c r="E454" t="s">
        <v>84</v>
      </c>
      <c r="F454" s="57" t="s">
        <v>84</v>
      </c>
      <c r="G454" s="124">
        <v>150.6</v>
      </c>
      <c r="H454" t="s">
        <v>280</v>
      </c>
      <c r="I454" s="34">
        <v>6</v>
      </c>
    </row>
    <row r="455" spans="1:9" x14ac:dyDescent="0.3">
      <c r="A455">
        <v>12</v>
      </c>
      <c r="B455" t="s">
        <v>239</v>
      </c>
      <c r="C455" t="s">
        <v>191</v>
      </c>
      <c r="D455" t="s">
        <v>238</v>
      </c>
      <c r="E455" t="s">
        <v>84</v>
      </c>
      <c r="F455" s="57" t="s">
        <v>84</v>
      </c>
      <c r="G455" s="124">
        <v>150</v>
      </c>
      <c r="H455" t="s">
        <v>278</v>
      </c>
      <c r="I455" s="34">
        <v>12</v>
      </c>
    </row>
    <row r="456" spans="1:9" x14ac:dyDescent="0.3">
      <c r="A456">
        <v>6</v>
      </c>
      <c r="B456" t="s">
        <v>239</v>
      </c>
      <c r="C456" t="s">
        <v>192</v>
      </c>
      <c r="D456" t="s">
        <v>188</v>
      </c>
      <c r="E456" t="s">
        <v>84</v>
      </c>
      <c r="F456" s="57" t="s">
        <v>84</v>
      </c>
      <c r="G456" s="124">
        <v>148.55000000000001</v>
      </c>
      <c r="H456" t="s">
        <v>279</v>
      </c>
      <c r="I456" s="34">
        <v>6</v>
      </c>
    </row>
    <row r="457" spans="1:9" x14ac:dyDescent="0.3">
      <c r="A457">
        <v>2</v>
      </c>
      <c r="B457" t="s">
        <v>239</v>
      </c>
      <c r="C457" t="s">
        <v>192</v>
      </c>
      <c r="D457" t="s">
        <v>195</v>
      </c>
      <c r="E457" s="1" t="s">
        <v>84</v>
      </c>
      <c r="F457" s="31" t="s">
        <v>84</v>
      </c>
      <c r="G457" s="124">
        <v>143.32</v>
      </c>
      <c r="H457" t="s">
        <v>280</v>
      </c>
      <c r="I457" s="34">
        <v>2</v>
      </c>
    </row>
    <row r="458" spans="1:9" x14ac:dyDescent="0.3">
      <c r="A458">
        <v>4</v>
      </c>
      <c r="B458" t="s">
        <v>239</v>
      </c>
      <c r="C458" t="s">
        <v>192</v>
      </c>
      <c r="D458" t="s">
        <v>188</v>
      </c>
      <c r="E458" s="1" t="s">
        <v>84</v>
      </c>
      <c r="F458" s="32" t="s">
        <v>84</v>
      </c>
      <c r="G458" s="124">
        <v>136.9</v>
      </c>
      <c r="H458" t="s">
        <v>279</v>
      </c>
      <c r="I458" s="34">
        <v>4</v>
      </c>
    </row>
    <row r="459" spans="1:9" x14ac:dyDescent="0.3">
      <c r="A459">
        <v>4</v>
      </c>
      <c r="B459" t="s">
        <v>239</v>
      </c>
      <c r="C459" t="s">
        <v>192</v>
      </c>
      <c r="D459" t="s">
        <v>195</v>
      </c>
      <c r="E459" s="1" t="s">
        <v>84</v>
      </c>
      <c r="F459" s="32" t="s">
        <v>84</v>
      </c>
      <c r="G459" s="124">
        <v>135.6</v>
      </c>
      <c r="H459" t="s">
        <v>280</v>
      </c>
      <c r="I459" s="34">
        <v>4</v>
      </c>
    </row>
    <row r="460" spans="1:9" x14ac:dyDescent="0.3">
      <c r="A460">
        <v>2</v>
      </c>
      <c r="B460" t="s">
        <v>239</v>
      </c>
      <c r="C460" t="s">
        <v>192</v>
      </c>
      <c r="D460" t="s">
        <v>188</v>
      </c>
      <c r="E460" s="1" t="s">
        <v>84</v>
      </c>
      <c r="F460" s="31" t="s">
        <v>84</v>
      </c>
      <c r="G460" s="124">
        <v>135.32</v>
      </c>
      <c r="H460" t="s">
        <v>279</v>
      </c>
      <c r="I460" s="34">
        <v>2</v>
      </c>
    </row>
    <row r="461" spans="1:9" x14ac:dyDescent="0.3">
      <c r="A461">
        <v>3</v>
      </c>
      <c r="B461" t="s">
        <v>239</v>
      </c>
      <c r="C461" t="s">
        <v>193</v>
      </c>
      <c r="D461" t="s">
        <v>195</v>
      </c>
      <c r="E461" s="1" t="s">
        <v>84</v>
      </c>
      <c r="F461" s="54" t="s">
        <v>84</v>
      </c>
      <c r="G461" s="124">
        <v>115.71</v>
      </c>
      <c r="H461" t="s">
        <v>277</v>
      </c>
      <c r="I461" s="34">
        <v>3</v>
      </c>
    </row>
    <row r="462" spans="1:9" x14ac:dyDescent="0.3">
      <c r="A462">
        <v>8</v>
      </c>
      <c r="B462" t="s">
        <v>239</v>
      </c>
      <c r="C462" t="s">
        <v>192</v>
      </c>
      <c r="D462" t="s">
        <v>238</v>
      </c>
      <c r="E462" t="s">
        <v>84</v>
      </c>
      <c r="F462" s="57" t="s">
        <v>84</v>
      </c>
      <c r="G462" s="124">
        <v>101</v>
      </c>
      <c r="H462" t="s">
        <v>281</v>
      </c>
      <c r="I462" s="34">
        <v>8</v>
      </c>
    </row>
    <row r="463" spans="1:9" x14ac:dyDescent="0.3">
      <c r="A463">
        <v>8</v>
      </c>
      <c r="B463" t="s">
        <v>239</v>
      </c>
      <c r="C463" t="s">
        <v>191</v>
      </c>
      <c r="D463" t="s">
        <v>238</v>
      </c>
      <c r="E463" t="s">
        <v>84</v>
      </c>
      <c r="F463" s="57" t="s">
        <v>84</v>
      </c>
      <c r="G463" s="124">
        <v>100</v>
      </c>
      <c r="H463" t="s">
        <v>278</v>
      </c>
      <c r="I463" s="34">
        <v>8</v>
      </c>
    </row>
    <row r="464" spans="1:9" x14ac:dyDescent="0.3">
      <c r="A464" s="53">
        <v>11</v>
      </c>
      <c r="B464" t="s">
        <v>239</v>
      </c>
      <c r="C464" s="53" t="s">
        <v>192</v>
      </c>
      <c r="D464" s="53" t="s">
        <v>238</v>
      </c>
      <c r="E464" s="53" t="s">
        <v>84</v>
      </c>
      <c r="F464" s="57" t="s">
        <v>84</v>
      </c>
      <c r="G464" s="124">
        <v>91.5</v>
      </c>
      <c r="H464" t="s">
        <v>281</v>
      </c>
      <c r="I464" s="34">
        <v>11</v>
      </c>
    </row>
    <row r="465" spans="1:9" x14ac:dyDescent="0.3">
      <c r="A465">
        <v>10</v>
      </c>
      <c r="B465" t="s">
        <v>239</v>
      </c>
      <c r="C465" t="s">
        <v>192</v>
      </c>
      <c r="D465" t="s">
        <v>238</v>
      </c>
      <c r="E465" t="s">
        <v>84</v>
      </c>
      <c r="F465" s="57" t="s">
        <v>84</v>
      </c>
      <c r="G465" s="124">
        <v>90.56</v>
      </c>
      <c r="H465" s="53" t="s">
        <v>281</v>
      </c>
      <c r="I465" s="77">
        <v>10</v>
      </c>
    </row>
    <row r="466" spans="1:9" x14ac:dyDescent="0.3">
      <c r="A466">
        <v>1</v>
      </c>
      <c r="B466" t="s">
        <v>239</v>
      </c>
      <c r="C466" t="s">
        <v>192</v>
      </c>
      <c r="D466" t="s">
        <v>238</v>
      </c>
      <c r="E466" s="1" t="s">
        <v>84</v>
      </c>
      <c r="F466" s="54" t="s">
        <v>84</v>
      </c>
      <c r="G466" s="124">
        <v>89.5</v>
      </c>
      <c r="H466" s="53" t="s">
        <v>281</v>
      </c>
      <c r="I466" s="77">
        <v>1</v>
      </c>
    </row>
    <row r="467" spans="1:9" x14ac:dyDescent="0.3">
      <c r="A467">
        <v>7</v>
      </c>
      <c r="B467" t="s">
        <v>239</v>
      </c>
      <c r="C467" t="s">
        <v>192</v>
      </c>
      <c r="D467" t="s">
        <v>238</v>
      </c>
      <c r="E467" t="s">
        <v>84</v>
      </c>
      <c r="F467" s="57" t="s">
        <v>84</v>
      </c>
      <c r="G467" s="124">
        <v>83.15</v>
      </c>
      <c r="H467" t="s">
        <v>281</v>
      </c>
      <c r="I467" s="34">
        <v>7</v>
      </c>
    </row>
    <row r="468" spans="1:9" x14ac:dyDescent="0.3">
      <c r="A468">
        <v>12</v>
      </c>
      <c r="B468" t="s">
        <v>239</v>
      </c>
      <c r="C468" t="s">
        <v>192</v>
      </c>
      <c r="D468" t="s">
        <v>238</v>
      </c>
      <c r="E468" t="s">
        <v>84</v>
      </c>
      <c r="F468" s="57" t="s">
        <v>84</v>
      </c>
      <c r="G468" s="124">
        <v>80.72</v>
      </c>
      <c r="H468" s="53" t="s">
        <v>281</v>
      </c>
      <c r="I468" s="77">
        <v>12</v>
      </c>
    </row>
    <row r="469" spans="1:9" x14ac:dyDescent="0.3">
      <c r="A469">
        <v>7</v>
      </c>
      <c r="B469" t="s">
        <v>239</v>
      </c>
      <c r="C469" t="s">
        <v>191</v>
      </c>
      <c r="D469" t="s">
        <v>238</v>
      </c>
      <c r="E469" t="s">
        <v>84</v>
      </c>
      <c r="F469" s="57" t="s">
        <v>84</v>
      </c>
      <c r="G469" s="124">
        <v>80</v>
      </c>
      <c r="H469" t="s">
        <v>278</v>
      </c>
      <c r="I469" s="34">
        <v>7</v>
      </c>
    </row>
    <row r="470" spans="1:9" x14ac:dyDescent="0.3">
      <c r="A470">
        <v>9</v>
      </c>
      <c r="B470" t="s">
        <v>239</v>
      </c>
      <c r="C470" t="s">
        <v>192</v>
      </c>
      <c r="D470" t="s">
        <v>238</v>
      </c>
      <c r="E470" t="s">
        <v>84</v>
      </c>
      <c r="F470" s="57" t="s">
        <v>84</v>
      </c>
      <c r="G470" s="124">
        <v>78.22</v>
      </c>
      <c r="H470" t="s">
        <v>281</v>
      </c>
      <c r="I470" s="34">
        <v>9</v>
      </c>
    </row>
    <row r="471" spans="1:9" x14ac:dyDescent="0.3">
      <c r="A471">
        <v>2</v>
      </c>
      <c r="B471" t="s">
        <v>239</v>
      </c>
      <c r="C471" t="s">
        <v>192</v>
      </c>
      <c r="D471" t="s">
        <v>238</v>
      </c>
      <c r="E471" s="1" t="s">
        <v>84</v>
      </c>
      <c r="F471" s="31" t="s">
        <v>84</v>
      </c>
      <c r="G471" s="124">
        <v>78.17647058823529</v>
      </c>
      <c r="H471" t="s">
        <v>281</v>
      </c>
      <c r="I471" s="34">
        <v>2</v>
      </c>
    </row>
    <row r="472" spans="1:9" x14ac:dyDescent="0.3">
      <c r="A472">
        <v>6</v>
      </c>
      <c r="B472" t="s">
        <v>239</v>
      </c>
      <c r="C472" t="s">
        <v>192</v>
      </c>
      <c r="D472" t="s">
        <v>238</v>
      </c>
      <c r="E472" t="s">
        <v>84</v>
      </c>
      <c r="F472" s="57" t="s">
        <v>84</v>
      </c>
      <c r="G472" s="124">
        <v>76.8</v>
      </c>
      <c r="H472" t="s">
        <v>281</v>
      </c>
      <c r="I472" s="34">
        <v>6</v>
      </c>
    </row>
    <row r="473" spans="1:9" x14ac:dyDescent="0.3">
      <c r="A473">
        <v>3</v>
      </c>
      <c r="B473" t="s">
        <v>239</v>
      </c>
      <c r="C473" t="s">
        <v>192</v>
      </c>
      <c r="D473" t="s">
        <v>238</v>
      </c>
      <c r="E473" s="1" t="s">
        <v>84</v>
      </c>
      <c r="F473" s="31" t="s">
        <v>84</v>
      </c>
      <c r="G473" s="124">
        <v>72.173926739130437</v>
      </c>
      <c r="H473" s="53" t="s">
        <v>281</v>
      </c>
      <c r="I473" s="77">
        <v>3</v>
      </c>
    </row>
    <row r="474" spans="1:9" x14ac:dyDescent="0.3">
      <c r="A474">
        <v>5</v>
      </c>
      <c r="B474" t="s">
        <v>239</v>
      </c>
      <c r="C474" t="s">
        <v>192</v>
      </c>
      <c r="D474" t="s">
        <v>238</v>
      </c>
      <c r="E474" t="s">
        <v>84</v>
      </c>
      <c r="F474" s="57" t="s">
        <v>84</v>
      </c>
      <c r="G474" s="124">
        <v>68.44</v>
      </c>
      <c r="H474" t="s">
        <v>281</v>
      </c>
      <c r="I474" s="34">
        <v>5</v>
      </c>
    </row>
    <row r="475" spans="1:9" x14ac:dyDescent="0.3">
      <c r="A475">
        <v>4</v>
      </c>
      <c r="B475" t="s">
        <v>239</v>
      </c>
      <c r="C475" t="s">
        <v>192</v>
      </c>
      <c r="D475" t="s">
        <v>238</v>
      </c>
      <c r="E475" s="1" t="s">
        <v>84</v>
      </c>
      <c r="F475" s="32" t="s">
        <v>84</v>
      </c>
      <c r="G475" s="124">
        <v>62.800007000000008</v>
      </c>
      <c r="H475" t="s">
        <v>281</v>
      </c>
      <c r="I475" s="34">
        <v>4</v>
      </c>
    </row>
    <row r="476" spans="1:9" x14ac:dyDescent="0.3">
      <c r="A476">
        <v>10</v>
      </c>
      <c r="B476" t="s">
        <v>239</v>
      </c>
      <c r="C476" t="s">
        <v>193</v>
      </c>
      <c r="D476" t="s">
        <v>238</v>
      </c>
      <c r="E476" t="s">
        <v>84</v>
      </c>
      <c r="F476" s="57" t="s">
        <v>84</v>
      </c>
      <c r="G476" s="124">
        <v>43.468800000000002</v>
      </c>
      <c r="H476" t="s">
        <v>282</v>
      </c>
      <c r="I476" s="34">
        <v>10</v>
      </c>
    </row>
    <row r="477" spans="1:9" x14ac:dyDescent="0.3">
      <c r="A477">
        <v>1</v>
      </c>
      <c r="B477" t="s">
        <v>239</v>
      </c>
      <c r="C477" t="s">
        <v>193</v>
      </c>
      <c r="D477" t="s">
        <v>238</v>
      </c>
      <c r="E477" s="1" t="s">
        <v>84</v>
      </c>
      <c r="F477" s="32" t="s">
        <v>84</v>
      </c>
      <c r="G477" s="124">
        <v>22.375</v>
      </c>
      <c r="H477" t="s">
        <v>282</v>
      </c>
      <c r="I477" s="34">
        <v>1</v>
      </c>
    </row>
    <row r="478" spans="1:9" x14ac:dyDescent="0.3">
      <c r="A478">
        <v>5</v>
      </c>
      <c r="B478" t="s">
        <v>239</v>
      </c>
      <c r="C478" t="s">
        <v>193</v>
      </c>
      <c r="D478" t="s">
        <v>238</v>
      </c>
      <c r="E478" t="s">
        <v>84</v>
      </c>
      <c r="F478" s="57" t="s">
        <v>84</v>
      </c>
      <c r="G478" s="124">
        <v>20.532</v>
      </c>
      <c r="H478" t="s">
        <v>282</v>
      </c>
      <c r="I478" s="34">
        <v>5</v>
      </c>
    </row>
    <row r="479" spans="1:9" x14ac:dyDescent="0.3">
      <c r="A479">
        <v>2</v>
      </c>
      <c r="B479" t="s">
        <v>239</v>
      </c>
      <c r="C479" t="s">
        <v>193</v>
      </c>
      <c r="D479" t="s">
        <v>238</v>
      </c>
      <c r="E479" s="1" t="s">
        <v>84</v>
      </c>
      <c r="F479" s="32" t="s">
        <v>84</v>
      </c>
      <c r="G479" s="124">
        <v>19.934999999999999</v>
      </c>
      <c r="H479" s="53" t="s">
        <v>282</v>
      </c>
      <c r="I479" s="77">
        <v>2</v>
      </c>
    </row>
    <row r="480" spans="1:9" x14ac:dyDescent="0.3">
      <c r="A480">
        <v>6</v>
      </c>
      <c r="B480" t="s">
        <v>239</v>
      </c>
      <c r="C480" t="s">
        <v>193</v>
      </c>
      <c r="D480" t="s">
        <v>238</v>
      </c>
      <c r="E480" t="s">
        <v>84</v>
      </c>
      <c r="F480" s="57" t="s">
        <v>84</v>
      </c>
      <c r="G480" s="124">
        <v>19.2</v>
      </c>
      <c r="H480" t="s">
        <v>282</v>
      </c>
      <c r="I480" s="34">
        <v>6</v>
      </c>
    </row>
    <row r="481" spans="1:9" x14ac:dyDescent="0.3">
      <c r="A481" s="53">
        <v>11</v>
      </c>
      <c r="B481" t="s">
        <v>239</v>
      </c>
      <c r="C481" s="53" t="s">
        <v>193</v>
      </c>
      <c r="D481" s="53" t="s">
        <v>238</v>
      </c>
      <c r="E481" s="53" t="s">
        <v>84</v>
      </c>
      <c r="F481" s="57" t="s">
        <v>84</v>
      </c>
      <c r="G481" s="124">
        <v>18.3</v>
      </c>
      <c r="H481" t="s">
        <v>282</v>
      </c>
      <c r="I481" s="34">
        <v>11</v>
      </c>
    </row>
    <row r="482" spans="1:9" x14ac:dyDescent="0.3">
      <c r="A482">
        <v>4</v>
      </c>
      <c r="B482" t="s">
        <v>239</v>
      </c>
      <c r="C482" t="s">
        <v>193</v>
      </c>
      <c r="D482" t="s">
        <v>238</v>
      </c>
      <c r="E482" s="1" t="s">
        <v>84</v>
      </c>
      <c r="F482" s="54" t="s">
        <v>84</v>
      </c>
      <c r="G482" s="124">
        <v>15.700001750000002</v>
      </c>
      <c r="H482" t="s">
        <v>282</v>
      </c>
      <c r="I482" s="34">
        <v>4</v>
      </c>
    </row>
    <row r="483" spans="1:9" x14ac:dyDescent="0.3">
      <c r="A483">
        <v>9</v>
      </c>
      <c r="B483" t="s">
        <v>239</v>
      </c>
      <c r="C483" t="s">
        <v>193</v>
      </c>
      <c r="D483" t="s">
        <v>238</v>
      </c>
      <c r="E483" t="s">
        <v>84</v>
      </c>
      <c r="F483" s="57" t="s">
        <v>84</v>
      </c>
      <c r="G483" s="124">
        <v>15.644</v>
      </c>
      <c r="H483" t="s">
        <v>282</v>
      </c>
      <c r="I483" s="34">
        <v>9</v>
      </c>
    </row>
    <row r="484" spans="1:9" x14ac:dyDescent="0.3">
      <c r="A484">
        <v>3</v>
      </c>
      <c r="B484" t="s">
        <v>239</v>
      </c>
      <c r="C484" t="s">
        <v>193</v>
      </c>
      <c r="D484" t="s">
        <v>238</v>
      </c>
      <c r="E484" s="1" t="s">
        <v>84</v>
      </c>
      <c r="F484" s="54" t="s">
        <v>84</v>
      </c>
      <c r="G484" s="124">
        <v>13.28000252</v>
      </c>
      <c r="H484" t="s">
        <v>282</v>
      </c>
      <c r="I484" s="34">
        <v>3</v>
      </c>
    </row>
    <row r="485" spans="1:9" x14ac:dyDescent="0.3">
      <c r="A485">
        <v>12</v>
      </c>
      <c r="B485" t="s">
        <v>239</v>
      </c>
      <c r="C485" t="s">
        <v>193</v>
      </c>
      <c r="D485" t="s">
        <v>238</v>
      </c>
      <c r="E485" t="s">
        <v>84</v>
      </c>
      <c r="F485" s="57" t="s">
        <v>84</v>
      </c>
      <c r="G485" s="124">
        <v>12.108000000000001</v>
      </c>
      <c r="H485" t="s">
        <v>282</v>
      </c>
      <c r="I485" s="34">
        <v>12</v>
      </c>
    </row>
    <row r="486" spans="1:9" x14ac:dyDescent="0.3">
      <c r="A486">
        <v>8</v>
      </c>
      <c r="B486" t="s">
        <v>239</v>
      </c>
      <c r="C486" t="s">
        <v>193</v>
      </c>
      <c r="D486" t="s">
        <v>238</v>
      </c>
      <c r="E486" t="s">
        <v>84</v>
      </c>
      <c r="F486" s="57" t="s">
        <v>84</v>
      </c>
      <c r="G486" s="124">
        <v>10.1</v>
      </c>
      <c r="H486" s="53" t="s">
        <v>282</v>
      </c>
      <c r="I486" s="77">
        <v>8</v>
      </c>
    </row>
    <row r="487" spans="1:9" x14ac:dyDescent="0.3">
      <c r="A487">
        <v>7</v>
      </c>
      <c r="B487" t="s">
        <v>239</v>
      </c>
      <c r="C487" t="s">
        <v>193</v>
      </c>
      <c r="D487" t="s">
        <v>238</v>
      </c>
      <c r="E487" t="s">
        <v>84</v>
      </c>
      <c r="F487" s="57" t="s">
        <v>84</v>
      </c>
      <c r="G487" s="124">
        <v>6.6520000000000001</v>
      </c>
      <c r="H487" t="s">
        <v>282</v>
      </c>
      <c r="I487" s="34">
        <v>7</v>
      </c>
    </row>
    <row r="488" spans="1:9" x14ac:dyDescent="0.3">
      <c r="A488">
        <v>8</v>
      </c>
      <c r="B488" t="s">
        <v>239</v>
      </c>
      <c r="C488" t="s">
        <v>191</v>
      </c>
      <c r="D488" t="s">
        <v>188</v>
      </c>
      <c r="E488" t="s">
        <v>78</v>
      </c>
      <c r="F488" s="57" t="s">
        <v>86</v>
      </c>
      <c r="G488" s="124">
        <v>2060</v>
      </c>
      <c r="H488" s="53" t="s">
        <v>283</v>
      </c>
      <c r="I488" s="77">
        <v>8</v>
      </c>
    </row>
    <row r="489" spans="1:9" x14ac:dyDescent="0.3">
      <c r="A489">
        <v>7</v>
      </c>
      <c r="B489" t="s">
        <v>239</v>
      </c>
      <c r="C489" t="s">
        <v>191</v>
      </c>
      <c r="D489" t="s">
        <v>188</v>
      </c>
      <c r="E489" t="s">
        <v>78</v>
      </c>
      <c r="F489" s="57" t="s">
        <v>86</v>
      </c>
      <c r="G489" s="124">
        <v>2050</v>
      </c>
      <c r="H489" t="s">
        <v>283</v>
      </c>
      <c r="I489" s="34">
        <v>7</v>
      </c>
    </row>
    <row r="490" spans="1:9" x14ac:dyDescent="0.3">
      <c r="A490">
        <v>12</v>
      </c>
      <c r="B490" t="s">
        <v>239</v>
      </c>
      <c r="C490" t="s">
        <v>191</v>
      </c>
      <c r="D490" t="s">
        <v>188</v>
      </c>
      <c r="E490" t="s">
        <v>78</v>
      </c>
      <c r="F490" s="57" t="s">
        <v>86</v>
      </c>
      <c r="G490" s="124">
        <v>1800</v>
      </c>
      <c r="H490" t="s">
        <v>283</v>
      </c>
      <c r="I490" s="34">
        <v>12</v>
      </c>
    </row>
    <row r="491" spans="1:9" x14ac:dyDescent="0.3">
      <c r="A491">
        <v>12</v>
      </c>
      <c r="B491" t="s">
        <v>239</v>
      </c>
      <c r="C491" t="s">
        <v>191</v>
      </c>
      <c r="D491" t="s">
        <v>195</v>
      </c>
      <c r="E491" t="s">
        <v>78</v>
      </c>
      <c r="F491" s="57" t="s">
        <v>86</v>
      </c>
      <c r="G491" s="124">
        <v>1710</v>
      </c>
      <c r="H491" t="s">
        <v>284</v>
      </c>
      <c r="I491" s="34">
        <v>12</v>
      </c>
    </row>
    <row r="492" spans="1:9" x14ac:dyDescent="0.3">
      <c r="A492">
        <v>1</v>
      </c>
      <c r="B492" t="s">
        <v>239</v>
      </c>
      <c r="C492" t="s">
        <v>191</v>
      </c>
      <c r="D492" t="s">
        <v>195</v>
      </c>
      <c r="E492" s="1" t="s">
        <v>78</v>
      </c>
      <c r="F492" s="54" t="s">
        <v>86</v>
      </c>
      <c r="G492" s="124">
        <v>1530</v>
      </c>
      <c r="H492" t="s">
        <v>284</v>
      </c>
      <c r="I492" s="34">
        <v>1</v>
      </c>
    </row>
    <row r="493" spans="1:9" x14ac:dyDescent="0.3">
      <c r="A493">
        <v>1</v>
      </c>
      <c r="B493" t="s">
        <v>239</v>
      </c>
      <c r="C493" t="s">
        <v>191</v>
      </c>
      <c r="D493" t="s">
        <v>188</v>
      </c>
      <c r="E493" s="1" t="s">
        <v>78</v>
      </c>
      <c r="F493" s="54" t="s">
        <v>86</v>
      </c>
      <c r="G493" s="124">
        <v>1470</v>
      </c>
      <c r="H493" t="s">
        <v>283</v>
      </c>
      <c r="I493" s="34">
        <v>1</v>
      </c>
    </row>
    <row r="494" spans="1:9" x14ac:dyDescent="0.3">
      <c r="A494">
        <v>2</v>
      </c>
      <c r="B494" t="s">
        <v>239</v>
      </c>
      <c r="C494" t="s">
        <v>191</v>
      </c>
      <c r="D494" t="s">
        <v>188</v>
      </c>
      <c r="E494" s="1" t="s">
        <v>78</v>
      </c>
      <c r="F494" s="32" t="s">
        <v>86</v>
      </c>
      <c r="G494" s="124">
        <v>1340</v>
      </c>
      <c r="H494" t="s">
        <v>283</v>
      </c>
      <c r="I494" s="34">
        <v>2</v>
      </c>
    </row>
    <row r="495" spans="1:9" x14ac:dyDescent="0.3">
      <c r="A495">
        <v>5</v>
      </c>
      <c r="B495" t="s">
        <v>239</v>
      </c>
      <c r="C495" t="s">
        <v>191</v>
      </c>
      <c r="D495" t="s">
        <v>188</v>
      </c>
      <c r="E495" s="1" t="s">
        <v>78</v>
      </c>
      <c r="F495" s="31" t="s">
        <v>86</v>
      </c>
      <c r="G495" s="124">
        <v>1120</v>
      </c>
      <c r="H495" t="s">
        <v>283</v>
      </c>
      <c r="I495" s="34">
        <v>5</v>
      </c>
    </row>
    <row r="496" spans="1:9" x14ac:dyDescent="0.3">
      <c r="A496">
        <v>6</v>
      </c>
      <c r="B496" t="s">
        <v>239</v>
      </c>
      <c r="C496" t="s">
        <v>191</v>
      </c>
      <c r="D496" t="s">
        <v>188</v>
      </c>
      <c r="E496" t="s">
        <v>78</v>
      </c>
      <c r="F496" s="57" t="s">
        <v>86</v>
      </c>
      <c r="G496" s="124">
        <v>1100</v>
      </c>
      <c r="H496" s="53" t="s">
        <v>283</v>
      </c>
      <c r="I496" s="77">
        <v>6</v>
      </c>
    </row>
    <row r="497" spans="1:9" x14ac:dyDescent="0.3">
      <c r="A497">
        <v>2</v>
      </c>
      <c r="B497" t="s">
        <v>239</v>
      </c>
      <c r="C497" t="s">
        <v>191</v>
      </c>
      <c r="D497" t="s">
        <v>195</v>
      </c>
      <c r="E497" s="1" t="s">
        <v>78</v>
      </c>
      <c r="F497" s="32" t="s">
        <v>86</v>
      </c>
      <c r="G497" s="124">
        <v>1100</v>
      </c>
      <c r="H497" s="53" t="s">
        <v>284</v>
      </c>
      <c r="I497" s="77">
        <v>2</v>
      </c>
    </row>
    <row r="498" spans="1:9" x14ac:dyDescent="0.3">
      <c r="A498">
        <v>10</v>
      </c>
      <c r="B498" t="s">
        <v>239</v>
      </c>
      <c r="C498" t="s">
        <v>191</v>
      </c>
      <c r="D498" t="s">
        <v>188</v>
      </c>
      <c r="E498" t="s">
        <v>78</v>
      </c>
      <c r="F498" s="57" t="s">
        <v>86</v>
      </c>
      <c r="G498" s="124">
        <v>1090</v>
      </c>
      <c r="H498" t="s">
        <v>283</v>
      </c>
      <c r="I498" s="34">
        <v>10</v>
      </c>
    </row>
    <row r="499" spans="1:9" x14ac:dyDescent="0.3">
      <c r="A499">
        <v>8</v>
      </c>
      <c r="B499" t="s">
        <v>239</v>
      </c>
      <c r="C499" t="s">
        <v>191</v>
      </c>
      <c r="D499" t="s">
        <v>195</v>
      </c>
      <c r="E499" t="s">
        <v>78</v>
      </c>
      <c r="F499" s="57" t="s">
        <v>86</v>
      </c>
      <c r="G499" s="124">
        <v>1010</v>
      </c>
      <c r="H499" t="s">
        <v>284</v>
      </c>
      <c r="I499" s="34">
        <v>8</v>
      </c>
    </row>
    <row r="500" spans="1:9" x14ac:dyDescent="0.3">
      <c r="A500">
        <v>9</v>
      </c>
      <c r="B500" t="s">
        <v>239</v>
      </c>
      <c r="C500" t="s">
        <v>191</v>
      </c>
      <c r="D500" t="s">
        <v>188</v>
      </c>
      <c r="E500" t="s">
        <v>78</v>
      </c>
      <c r="F500" s="57" t="s">
        <v>86</v>
      </c>
      <c r="G500" s="124">
        <v>920</v>
      </c>
      <c r="H500" s="53" t="s">
        <v>283</v>
      </c>
      <c r="I500" s="77">
        <v>9</v>
      </c>
    </row>
    <row r="501" spans="1:9" x14ac:dyDescent="0.3">
      <c r="A501">
        <v>7</v>
      </c>
      <c r="B501" t="s">
        <v>239</v>
      </c>
      <c r="C501" t="s">
        <v>191</v>
      </c>
      <c r="D501" t="s">
        <v>195</v>
      </c>
      <c r="E501" t="s">
        <v>78</v>
      </c>
      <c r="F501" s="57" t="s">
        <v>86</v>
      </c>
      <c r="G501" s="124">
        <v>860</v>
      </c>
      <c r="H501" t="s">
        <v>284</v>
      </c>
      <c r="I501" s="34">
        <v>7</v>
      </c>
    </row>
    <row r="502" spans="1:9" x14ac:dyDescent="0.3">
      <c r="A502">
        <v>9</v>
      </c>
      <c r="B502" t="s">
        <v>239</v>
      </c>
      <c r="C502" t="s">
        <v>191</v>
      </c>
      <c r="D502" t="s">
        <v>195</v>
      </c>
      <c r="E502" t="s">
        <v>78</v>
      </c>
      <c r="F502" s="57" t="s">
        <v>86</v>
      </c>
      <c r="G502" s="124">
        <v>710</v>
      </c>
      <c r="H502" t="s">
        <v>284</v>
      </c>
      <c r="I502" s="34">
        <v>9</v>
      </c>
    </row>
    <row r="503" spans="1:9" x14ac:dyDescent="0.3">
      <c r="A503">
        <v>10</v>
      </c>
      <c r="B503" t="s">
        <v>239</v>
      </c>
      <c r="C503" t="s">
        <v>191</v>
      </c>
      <c r="D503" t="s">
        <v>195</v>
      </c>
      <c r="E503" t="s">
        <v>78</v>
      </c>
      <c r="F503" s="57" t="s">
        <v>86</v>
      </c>
      <c r="G503" s="124">
        <v>640</v>
      </c>
      <c r="H503" t="s">
        <v>284</v>
      </c>
      <c r="I503" s="34">
        <v>10</v>
      </c>
    </row>
    <row r="504" spans="1:9" x14ac:dyDescent="0.3">
      <c r="A504" s="53">
        <v>11</v>
      </c>
      <c r="B504" t="s">
        <v>239</v>
      </c>
      <c r="C504" s="53" t="s">
        <v>191</v>
      </c>
      <c r="D504" s="53" t="s">
        <v>188</v>
      </c>
      <c r="E504" s="53" t="s">
        <v>78</v>
      </c>
      <c r="F504" s="57" t="s">
        <v>86</v>
      </c>
      <c r="G504" s="124">
        <v>630</v>
      </c>
      <c r="H504" t="s">
        <v>283</v>
      </c>
      <c r="I504" s="34">
        <v>11</v>
      </c>
    </row>
    <row r="505" spans="1:9" x14ac:dyDescent="0.3">
      <c r="A505">
        <v>8</v>
      </c>
      <c r="B505" t="s">
        <v>239</v>
      </c>
      <c r="C505" t="s">
        <v>193</v>
      </c>
      <c r="D505" t="s">
        <v>188</v>
      </c>
      <c r="E505" t="s">
        <v>78</v>
      </c>
      <c r="F505" s="57" t="s">
        <v>86</v>
      </c>
      <c r="G505" s="124">
        <v>611.93459299232347</v>
      </c>
      <c r="H505" t="s">
        <v>285</v>
      </c>
      <c r="I505" s="34">
        <v>8</v>
      </c>
    </row>
    <row r="506" spans="1:9" x14ac:dyDescent="0.3">
      <c r="A506">
        <v>7</v>
      </c>
      <c r="B506" t="s">
        <v>239</v>
      </c>
      <c r="C506" t="s">
        <v>193</v>
      </c>
      <c r="D506" t="s">
        <v>188</v>
      </c>
      <c r="E506" t="s">
        <v>78</v>
      </c>
      <c r="F506" s="57" t="s">
        <v>86</v>
      </c>
      <c r="G506" s="124">
        <v>520.82868674707845</v>
      </c>
      <c r="H506" t="s">
        <v>285</v>
      </c>
      <c r="I506" s="34">
        <v>7</v>
      </c>
    </row>
    <row r="507" spans="1:9" x14ac:dyDescent="0.3">
      <c r="A507">
        <v>5</v>
      </c>
      <c r="B507" t="s">
        <v>239</v>
      </c>
      <c r="C507" t="s">
        <v>191</v>
      </c>
      <c r="D507" t="s">
        <v>195</v>
      </c>
      <c r="E507" s="1" t="s">
        <v>78</v>
      </c>
      <c r="F507" s="31" t="s">
        <v>86</v>
      </c>
      <c r="G507" s="124">
        <v>510</v>
      </c>
      <c r="H507" t="s">
        <v>284</v>
      </c>
      <c r="I507" s="34">
        <v>5</v>
      </c>
    </row>
    <row r="508" spans="1:9" x14ac:dyDescent="0.3">
      <c r="A508">
        <v>6</v>
      </c>
      <c r="B508" t="s">
        <v>239</v>
      </c>
      <c r="C508" t="s">
        <v>191</v>
      </c>
      <c r="D508" t="s">
        <v>195</v>
      </c>
      <c r="E508" t="s">
        <v>78</v>
      </c>
      <c r="F508" s="57" t="s">
        <v>86</v>
      </c>
      <c r="G508" s="124">
        <v>500</v>
      </c>
      <c r="H508" t="s">
        <v>284</v>
      </c>
      <c r="I508" s="34">
        <v>6</v>
      </c>
    </row>
    <row r="509" spans="1:9" x14ac:dyDescent="0.3">
      <c r="A509">
        <v>12</v>
      </c>
      <c r="B509" t="s">
        <v>239</v>
      </c>
      <c r="C509" t="s">
        <v>193</v>
      </c>
      <c r="D509" t="s">
        <v>188</v>
      </c>
      <c r="E509" t="s">
        <v>78</v>
      </c>
      <c r="F509" s="57" t="s">
        <v>86</v>
      </c>
      <c r="G509" s="124">
        <v>489.96</v>
      </c>
      <c r="H509" t="s">
        <v>285</v>
      </c>
      <c r="I509" s="34">
        <v>12</v>
      </c>
    </row>
    <row r="510" spans="1:9" x14ac:dyDescent="0.3">
      <c r="A510">
        <v>1</v>
      </c>
      <c r="B510" t="s">
        <v>239</v>
      </c>
      <c r="C510" t="s">
        <v>193</v>
      </c>
      <c r="D510" t="s">
        <v>195</v>
      </c>
      <c r="E510" s="1" t="s">
        <v>78</v>
      </c>
      <c r="F510" s="54" t="s">
        <v>86</v>
      </c>
      <c r="G510" s="124">
        <v>476.59</v>
      </c>
      <c r="H510" t="s">
        <v>286</v>
      </c>
      <c r="I510" s="34">
        <v>1</v>
      </c>
    </row>
    <row r="511" spans="1:9" x14ac:dyDescent="0.3">
      <c r="A511">
        <v>3</v>
      </c>
      <c r="B511" t="s">
        <v>239</v>
      </c>
      <c r="C511" t="s">
        <v>191</v>
      </c>
      <c r="D511" t="s">
        <v>188</v>
      </c>
      <c r="E511" s="1" t="s">
        <v>78</v>
      </c>
      <c r="F511" s="54" t="s">
        <v>86</v>
      </c>
      <c r="G511" s="124">
        <v>450</v>
      </c>
      <c r="H511" t="s">
        <v>283</v>
      </c>
      <c r="I511" s="34">
        <v>3</v>
      </c>
    </row>
    <row r="512" spans="1:9" x14ac:dyDescent="0.3">
      <c r="A512">
        <v>4</v>
      </c>
      <c r="B512" t="s">
        <v>239</v>
      </c>
      <c r="C512" t="s">
        <v>191</v>
      </c>
      <c r="D512" t="s">
        <v>188</v>
      </c>
      <c r="E512" s="1" t="s">
        <v>78</v>
      </c>
      <c r="F512" s="32" t="s">
        <v>86</v>
      </c>
      <c r="G512" s="124">
        <v>450</v>
      </c>
      <c r="H512" t="s">
        <v>283</v>
      </c>
      <c r="I512" s="34">
        <v>4</v>
      </c>
    </row>
    <row r="513" spans="1:9" x14ac:dyDescent="0.3">
      <c r="A513">
        <v>1</v>
      </c>
      <c r="B513" t="s">
        <v>239</v>
      </c>
      <c r="C513" t="s">
        <v>193</v>
      </c>
      <c r="D513" t="s">
        <v>188</v>
      </c>
      <c r="E513" s="1" t="s">
        <v>78</v>
      </c>
      <c r="F513" s="54" t="s">
        <v>86</v>
      </c>
      <c r="G513" s="124">
        <v>446.05</v>
      </c>
      <c r="H513" t="s">
        <v>285</v>
      </c>
      <c r="I513" s="34">
        <v>1</v>
      </c>
    </row>
    <row r="514" spans="1:9" x14ac:dyDescent="0.3">
      <c r="A514">
        <v>12</v>
      </c>
      <c r="B514" t="s">
        <v>239</v>
      </c>
      <c r="C514" t="s">
        <v>193</v>
      </c>
      <c r="D514" t="s">
        <v>195</v>
      </c>
      <c r="E514" t="s">
        <v>78</v>
      </c>
      <c r="F514" s="57" t="s">
        <v>86</v>
      </c>
      <c r="G514" s="124">
        <v>438.17236319903799</v>
      </c>
      <c r="H514" t="s">
        <v>286</v>
      </c>
      <c r="I514" s="34">
        <v>12</v>
      </c>
    </row>
    <row r="515" spans="1:9" x14ac:dyDescent="0.3">
      <c r="A515">
        <v>10</v>
      </c>
      <c r="B515" t="s">
        <v>239</v>
      </c>
      <c r="C515" t="s">
        <v>193</v>
      </c>
      <c r="D515" t="s">
        <v>188</v>
      </c>
      <c r="E515" t="s">
        <v>78</v>
      </c>
      <c r="F515" s="57" t="s">
        <v>86</v>
      </c>
      <c r="G515" s="124">
        <v>366.74</v>
      </c>
      <c r="H515" t="s">
        <v>285</v>
      </c>
      <c r="I515" s="34">
        <v>10</v>
      </c>
    </row>
    <row r="516" spans="1:9" x14ac:dyDescent="0.3">
      <c r="A516">
        <v>2</v>
      </c>
      <c r="B516" t="s">
        <v>239</v>
      </c>
      <c r="C516" t="s">
        <v>193</v>
      </c>
      <c r="D516" t="s">
        <v>188</v>
      </c>
      <c r="E516" s="1" t="s">
        <v>78</v>
      </c>
      <c r="F516" s="54" t="s">
        <v>86</v>
      </c>
      <c r="G516" s="124">
        <v>347.97445962266755</v>
      </c>
      <c r="H516" t="s">
        <v>285</v>
      </c>
      <c r="I516" s="34">
        <v>2</v>
      </c>
    </row>
    <row r="517" spans="1:9" x14ac:dyDescent="0.3">
      <c r="A517">
        <v>10</v>
      </c>
      <c r="B517" t="s">
        <v>239</v>
      </c>
      <c r="C517" t="s">
        <v>192</v>
      </c>
      <c r="D517" t="s">
        <v>195</v>
      </c>
      <c r="E517" t="s">
        <v>78</v>
      </c>
      <c r="F517" s="57" t="s">
        <v>86</v>
      </c>
      <c r="G517" s="124">
        <v>338.125</v>
      </c>
      <c r="H517" t="s">
        <v>287</v>
      </c>
      <c r="I517" s="34">
        <v>10</v>
      </c>
    </row>
    <row r="518" spans="1:9" x14ac:dyDescent="0.3">
      <c r="A518">
        <v>10</v>
      </c>
      <c r="B518" t="s">
        <v>239</v>
      </c>
      <c r="C518" t="s">
        <v>192</v>
      </c>
      <c r="D518" t="s">
        <v>188</v>
      </c>
      <c r="E518" t="s">
        <v>78</v>
      </c>
      <c r="F518" s="57" t="s">
        <v>86</v>
      </c>
      <c r="G518" s="124">
        <v>336.45871559633025</v>
      </c>
      <c r="H518" t="s">
        <v>288</v>
      </c>
      <c r="I518" s="34">
        <v>10</v>
      </c>
    </row>
    <row r="519" spans="1:9" x14ac:dyDescent="0.3">
      <c r="A519">
        <v>1</v>
      </c>
      <c r="B519" t="s">
        <v>239</v>
      </c>
      <c r="C519" t="s">
        <v>192</v>
      </c>
      <c r="D519" t="s">
        <v>195</v>
      </c>
      <c r="E519" s="1" t="s">
        <v>78</v>
      </c>
      <c r="F519" s="54" t="s">
        <v>86</v>
      </c>
      <c r="G519" s="124">
        <v>311.49673202614377</v>
      </c>
      <c r="H519" t="s">
        <v>287</v>
      </c>
      <c r="I519" s="34">
        <v>1</v>
      </c>
    </row>
    <row r="520" spans="1:9" x14ac:dyDescent="0.3">
      <c r="A520" s="53">
        <v>11</v>
      </c>
      <c r="B520" t="s">
        <v>239</v>
      </c>
      <c r="C520" s="53" t="s">
        <v>191</v>
      </c>
      <c r="D520" s="53" t="s">
        <v>195</v>
      </c>
      <c r="E520" s="53" t="s">
        <v>78</v>
      </c>
      <c r="F520" s="57" t="s">
        <v>86</v>
      </c>
      <c r="G520" s="124">
        <v>310</v>
      </c>
      <c r="H520" t="s">
        <v>284</v>
      </c>
      <c r="I520" s="34">
        <v>11</v>
      </c>
    </row>
    <row r="521" spans="1:9" x14ac:dyDescent="0.3">
      <c r="A521">
        <v>1</v>
      </c>
      <c r="B521" t="s">
        <v>239</v>
      </c>
      <c r="C521" t="s">
        <v>192</v>
      </c>
      <c r="D521" t="s">
        <v>188</v>
      </c>
      <c r="E521" s="1" t="s">
        <v>78</v>
      </c>
      <c r="F521" s="54" t="s">
        <v>86</v>
      </c>
      <c r="G521" s="124">
        <v>303.43537414965988</v>
      </c>
      <c r="H521" t="s">
        <v>288</v>
      </c>
      <c r="I521" s="34">
        <v>1</v>
      </c>
    </row>
    <row r="522" spans="1:9" x14ac:dyDescent="0.3">
      <c r="A522">
        <v>8</v>
      </c>
      <c r="B522" t="s">
        <v>239</v>
      </c>
      <c r="C522" t="s">
        <v>193</v>
      </c>
      <c r="D522" t="s">
        <v>195</v>
      </c>
      <c r="E522" t="s">
        <v>78</v>
      </c>
      <c r="F522" s="57" t="s">
        <v>86</v>
      </c>
      <c r="G522" s="124">
        <v>303.14352272727268</v>
      </c>
      <c r="H522" t="s">
        <v>286</v>
      </c>
      <c r="I522" s="34">
        <v>8</v>
      </c>
    </row>
    <row r="523" spans="1:9" x14ac:dyDescent="0.3">
      <c r="A523">
        <v>8</v>
      </c>
      <c r="B523" t="s">
        <v>239</v>
      </c>
      <c r="C523" t="s">
        <v>192</v>
      </c>
      <c r="D523" t="s">
        <v>195</v>
      </c>
      <c r="E523" t="s">
        <v>78</v>
      </c>
      <c r="F523" s="57" t="s">
        <v>86</v>
      </c>
      <c r="G523" s="124">
        <v>300.142101710171</v>
      </c>
      <c r="H523" t="s">
        <v>287</v>
      </c>
      <c r="I523" s="34">
        <v>8</v>
      </c>
    </row>
    <row r="524" spans="1:9" x14ac:dyDescent="0.3">
      <c r="A524">
        <v>3</v>
      </c>
      <c r="B524" t="s">
        <v>239</v>
      </c>
      <c r="C524" t="s">
        <v>192</v>
      </c>
      <c r="D524" t="s">
        <v>195</v>
      </c>
      <c r="E524" s="1" t="s">
        <v>78</v>
      </c>
      <c r="F524" s="31" t="s">
        <v>86</v>
      </c>
      <c r="G524" s="124">
        <v>299.15401182874427</v>
      </c>
      <c r="H524" t="s">
        <v>287</v>
      </c>
      <c r="I524" s="34">
        <v>3</v>
      </c>
    </row>
    <row r="525" spans="1:9" x14ac:dyDescent="0.3">
      <c r="A525">
        <v>8</v>
      </c>
      <c r="B525" t="s">
        <v>239</v>
      </c>
      <c r="C525" t="s">
        <v>192</v>
      </c>
      <c r="D525" t="s">
        <v>188</v>
      </c>
      <c r="E525" t="s">
        <v>78</v>
      </c>
      <c r="F525" s="57" t="s">
        <v>86</v>
      </c>
      <c r="G525" s="124">
        <v>297.05562766617641</v>
      </c>
      <c r="H525" t="s">
        <v>288</v>
      </c>
      <c r="I525" s="34">
        <v>8</v>
      </c>
    </row>
    <row r="526" spans="1:9" x14ac:dyDescent="0.3">
      <c r="A526">
        <v>2</v>
      </c>
      <c r="B526" t="s">
        <v>239</v>
      </c>
      <c r="C526" t="s">
        <v>193</v>
      </c>
      <c r="D526" t="s">
        <v>195</v>
      </c>
      <c r="E526" s="1" t="s">
        <v>78</v>
      </c>
      <c r="F526" s="54" t="s">
        <v>86</v>
      </c>
      <c r="G526" s="124">
        <v>283.95852818801438</v>
      </c>
      <c r="H526" t="s">
        <v>286</v>
      </c>
      <c r="I526" s="34">
        <v>2</v>
      </c>
    </row>
    <row r="527" spans="1:9" x14ac:dyDescent="0.3">
      <c r="A527">
        <v>7</v>
      </c>
      <c r="B527" t="s">
        <v>239</v>
      </c>
      <c r="C527" t="s">
        <v>192</v>
      </c>
      <c r="D527" t="s">
        <v>195</v>
      </c>
      <c r="E527" t="s">
        <v>78</v>
      </c>
      <c r="F527" s="57" t="s">
        <v>86</v>
      </c>
      <c r="G527" s="124">
        <v>281.79301953649571</v>
      </c>
      <c r="H527" t="s">
        <v>287</v>
      </c>
      <c r="I527" s="34">
        <v>7</v>
      </c>
    </row>
    <row r="528" spans="1:9" x14ac:dyDescent="0.3">
      <c r="A528">
        <v>12</v>
      </c>
      <c r="B528" t="s">
        <v>239</v>
      </c>
      <c r="C528" t="s">
        <v>192</v>
      </c>
      <c r="D528" t="s">
        <v>188</v>
      </c>
      <c r="E528" t="s">
        <v>78</v>
      </c>
      <c r="F528" s="57" t="s">
        <v>86</v>
      </c>
      <c r="G528" s="124">
        <v>272.2</v>
      </c>
      <c r="H528" t="s">
        <v>288</v>
      </c>
      <c r="I528" s="34">
        <v>12</v>
      </c>
    </row>
    <row r="529" spans="1:9" x14ac:dyDescent="0.3">
      <c r="A529">
        <v>3</v>
      </c>
      <c r="B529" t="s">
        <v>239</v>
      </c>
      <c r="C529" t="s">
        <v>192</v>
      </c>
      <c r="D529" t="s">
        <v>188</v>
      </c>
      <c r="E529" s="1" t="s">
        <v>78</v>
      </c>
      <c r="F529" s="31" t="s">
        <v>86</v>
      </c>
      <c r="G529" s="124">
        <v>263.63244950774799</v>
      </c>
      <c r="H529" t="s">
        <v>288</v>
      </c>
      <c r="I529" s="34">
        <v>3</v>
      </c>
    </row>
    <row r="530" spans="1:9" x14ac:dyDescent="0.3">
      <c r="A530">
        <v>9</v>
      </c>
      <c r="B530" t="s">
        <v>239</v>
      </c>
      <c r="C530" t="s">
        <v>192</v>
      </c>
      <c r="D530" t="s">
        <v>195</v>
      </c>
      <c r="E530" t="s">
        <v>78</v>
      </c>
      <c r="F530" s="57" t="s">
        <v>86</v>
      </c>
      <c r="G530" s="124">
        <v>262.81690140845069</v>
      </c>
      <c r="H530" t="s">
        <v>287</v>
      </c>
      <c r="I530" s="34">
        <v>9</v>
      </c>
    </row>
    <row r="531" spans="1:9" x14ac:dyDescent="0.3">
      <c r="A531">
        <v>2</v>
      </c>
      <c r="B531" t="s">
        <v>239</v>
      </c>
      <c r="C531" t="s">
        <v>192</v>
      </c>
      <c r="D531" t="s">
        <v>188</v>
      </c>
      <c r="E531" s="1" t="s">
        <v>78</v>
      </c>
      <c r="F531" s="31" t="s">
        <v>86</v>
      </c>
      <c r="G531" s="124">
        <v>259.68243255422954</v>
      </c>
      <c r="H531" t="s">
        <v>288</v>
      </c>
      <c r="I531" s="34">
        <v>2</v>
      </c>
    </row>
    <row r="532" spans="1:9" x14ac:dyDescent="0.3">
      <c r="A532">
        <v>5</v>
      </c>
      <c r="B532" t="s">
        <v>239</v>
      </c>
      <c r="C532" t="s">
        <v>193</v>
      </c>
      <c r="D532" t="s">
        <v>188</v>
      </c>
      <c r="E532" t="s">
        <v>78</v>
      </c>
      <c r="F532" s="57" t="s">
        <v>86</v>
      </c>
      <c r="G532" s="124">
        <v>259.15015301174634</v>
      </c>
      <c r="H532" t="s">
        <v>285</v>
      </c>
      <c r="I532" s="34">
        <v>5</v>
      </c>
    </row>
    <row r="533" spans="1:9" x14ac:dyDescent="0.3">
      <c r="A533">
        <v>2</v>
      </c>
      <c r="B533" t="s">
        <v>239</v>
      </c>
      <c r="C533" t="s">
        <v>192</v>
      </c>
      <c r="D533" t="s">
        <v>195</v>
      </c>
      <c r="E533" s="1" t="s">
        <v>78</v>
      </c>
      <c r="F533" s="31" t="s">
        <v>86</v>
      </c>
      <c r="G533" s="124">
        <v>258.14411653455852</v>
      </c>
      <c r="H533" t="s">
        <v>287</v>
      </c>
      <c r="I533" s="34">
        <v>2</v>
      </c>
    </row>
    <row r="534" spans="1:9" x14ac:dyDescent="0.3">
      <c r="A534">
        <v>12</v>
      </c>
      <c r="B534" t="s">
        <v>239</v>
      </c>
      <c r="C534" t="s">
        <v>192</v>
      </c>
      <c r="D534" t="s">
        <v>195</v>
      </c>
      <c r="E534" t="s">
        <v>78</v>
      </c>
      <c r="F534" s="57" t="s">
        <v>86</v>
      </c>
      <c r="G534" s="124">
        <v>256.24114806961285</v>
      </c>
      <c r="H534" t="s">
        <v>287</v>
      </c>
      <c r="I534" s="34">
        <v>12</v>
      </c>
    </row>
    <row r="535" spans="1:9" x14ac:dyDescent="0.3">
      <c r="A535">
        <v>7</v>
      </c>
      <c r="B535" t="s">
        <v>239</v>
      </c>
      <c r="C535" t="s">
        <v>192</v>
      </c>
      <c r="D535" t="s">
        <v>188</v>
      </c>
      <c r="E535" t="s">
        <v>78</v>
      </c>
      <c r="F535" s="57" t="s">
        <v>86</v>
      </c>
      <c r="G535" s="124">
        <v>254.0627740229651</v>
      </c>
      <c r="H535" t="s">
        <v>288</v>
      </c>
      <c r="I535" s="34">
        <v>7</v>
      </c>
    </row>
    <row r="536" spans="1:9" x14ac:dyDescent="0.3">
      <c r="A536">
        <v>9</v>
      </c>
      <c r="B536" t="s">
        <v>239</v>
      </c>
      <c r="C536" t="s">
        <v>192</v>
      </c>
      <c r="D536" t="s">
        <v>188</v>
      </c>
      <c r="E536" t="s">
        <v>78</v>
      </c>
      <c r="F536" s="57" t="s">
        <v>86</v>
      </c>
      <c r="G536" s="124">
        <v>251.32608695652175</v>
      </c>
      <c r="H536" t="s">
        <v>288</v>
      </c>
      <c r="I536" s="34">
        <v>9</v>
      </c>
    </row>
    <row r="537" spans="1:9" x14ac:dyDescent="0.3">
      <c r="A537">
        <v>3</v>
      </c>
      <c r="B537" t="s">
        <v>239</v>
      </c>
      <c r="C537" t="s">
        <v>191</v>
      </c>
      <c r="D537" t="s">
        <v>195</v>
      </c>
      <c r="E537" s="1" t="s">
        <v>78</v>
      </c>
      <c r="F537" s="54" t="s">
        <v>86</v>
      </c>
      <c r="G537" s="124">
        <v>250</v>
      </c>
      <c r="H537" t="s">
        <v>284</v>
      </c>
      <c r="I537" s="34">
        <v>3</v>
      </c>
    </row>
    <row r="538" spans="1:9" x14ac:dyDescent="0.3">
      <c r="A538">
        <v>5</v>
      </c>
      <c r="B538" t="s">
        <v>239</v>
      </c>
      <c r="C538" t="s">
        <v>192</v>
      </c>
      <c r="D538" t="s">
        <v>195</v>
      </c>
      <c r="E538" t="s">
        <v>78</v>
      </c>
      <c r="F538" s="57" t="s">
        <v>86</v>
      </c>
      <c r="G538" s="124">
        <v>247.54173847138563</v>
      </c>
      <c r="H538" t="s">
        <v>287</v>
      </c>
      <c r="I538" s="34">
        <v>5</v>
      </c>
    </row>
    <row r="539" spans="1:9" x14ac:dyDescent="0.3">
      <c r="A539">
        <v>7</v>
      </c>
      <c r="B539" t="s">
        <v>239</v>
      </c>
      <c r="C539" t="s">
        <v>193</v>
      </c>
      <c r="D539" t="s">
        <v>195</v>
      </c>
      <c r="E539" t="s">
        <v>78</v>
      </c>
      <c r="F539" s="57" t="s">
        <v>86</v>
      </c>
      <c r="G539" s="124">
        <v>242.34199680138633</v>
      </c>
      <c r="H539" t="s">
        <v>286</v>
      </c>
      <c r="I539" s="34">
        <v>7</v>
      </c>
    </row>
    <row r="540" spans="1:9" x14ac:dyDescent="0.3">
      <c r="A540">
        <v>6</v>
      </c>
      <c r="B540" t="s">
        <v>239</v>
      </c>
      <c r="C540" t="s">
        <v>193</v>
      </c>
      <c r="D540" t="s">
        <v>188</v>
      </c>
      <c r="E540" t="s">
        <v>78</v>
      </c>
      <c r="F540" s="57" t="s">
        <v>86</v>
      </c>
      <c r="G540" s="124">
        <v>236.5</v>
      </c>
      <c r="H540" t="s">
        <v>285</v>
      </c>
      <c r="I540" s="34">
        <v>6</v>
      </c>
    </row>
    <row r="541" spans="1:9" x14ac:dyDescent="0.3">
      <c r="A541">
        <v>5</v>
      </c>
      <c r="B541" t="s">
        <v>239</v>
      </c>
      <c r="C541" t="s">
        <v>192</v>
      </c>
      <c r="D541" t="s">
        <v>188</v>
      </c>
      <c r="E541" t="s">
        <v>78</v>
      </c>
      <c r="F541" s="57" t="s">
        <v>86</v>
      </c>
      <c r="G541" s="124">
        <v>231.38406518905921</v>
      </c>
      <c r="H541" t="s">
        <v>288</v>
      </c>
      <c r="I541" s="34">
        <v>5</v>
      </c>
    </row>
    <row r="542" spans="1:9" x14ac:dyDescent="0.3">
      <c r="A542">
        <v>9</v>
      </c>
      <c r="B542" t="s">
        <v>239</v>
      </c>
      <c r="C542" t="s">
        <v>193</v>
      </c>
      <c r="D542" t="s">
        <v>188</v>
      </c>
      <c r="E542" t="s">
        <v>78</v>
      </c>
      <c r="F542" s="57" t="s">
        <v>86</v>
      </c>
      <c r="G542" s="124">
        <v>231.22</v>
      </c>
      <c r="H542" t="s">
        <v>285</v>
      </c>
      <c r="I542" s="34">
        <v>9</v>
      </c>
    </row>
    <row r="543" spans="1:9" x14ac:dyDescent="0.3">
      <c r="A543">
        <v>6</v>
      </c>
      <c r="B543" t="s">
        <v>239</v>
      </c>
      <c r="C543" t="s">
        <v>192</v>
      </c>
      <c r="D543" t="s">
        <v>195</v>
      </c>
      <c r="E543" t="s">
        <v>78</v>
      </c>
      <c r="F543" s="57" t="s">
        <v>86</v>
      </c>
      <c r="G543" s="124">
        <v>224</v>
      </c>
      <c r="H543" t="s">
        <v>287</v>
      </c>
      <c r="I543" s="34">
        <v>6</v>
      </c>
    </row>
    <row r="544" spans="1:9" x14ac:dyDescent="0.3">
      <c r="A544">
        <v>4</v>
      </c>
      <c r="B544" t="s">
        <v>239</v>
      </c>
      <c r="C544" t="s">
        <v>191</v>
      </c>
      <c r="D544" t="s">
        <v>195</v>
      </c>
      <c r="E544" s="1" t="s">
        <v>78</v>
      </c>
      <c r="F544" s="32" t="s">
        <v>86</v>
      </c>
      <c r="G544" s="124">
        <v>220</v>
      </c>
      <c r="H544" t="s">
        <v>284</v>
      </c>
      <c r="I544" s="34">
        <v>4</v>
      </c>
    </row>
    <row r="545" spans="1:9" x14ac:dyDescent="0.3">
      <c r="A545">
        <v>4</v>
      </c>
      <c r="B545" t="s">
        <v>239</v>
      </c>
      <c r="C545" t="s">
        <v>192</v>
      </c>
      <c r="D545" t="s">
        <v>195</v>
      </c>
      <c r="E545" s="1" t="s">
        <v>78</v>
      </c>
      <c r="F545" s="54" t="s">
        <v>86</v>
      </c>
      <c r="G545" s="124">
        <v>216.97354379843085</v>
      </c>
      <c r="H545" t="s">
        <v>287</v>
      </c>
      <c r="I545" s="34">
        <v>4</v>
      </c>
    </row>
    <row r="546" spans="1:9" x14ac:dyDescent="0.3">
      <c r="A546">
        <v>10</v>
      </c>
      <c r="B546" t="s">
        <v>239</v>
      </c>
      <c r="C546" t="s">
        <v>193</v>
      </c>
      <c r="D546" t="s">
        <v>195</v>
      </c>
      <c r="E546" t="s">
        <v>78</v>
      </c>
      <c r="F546" s="57" t="s">
        <v>86</v>
      </c>
      <c r="G546" s="124">
        <v>216.4</v>
      </c>
      <c r="H546" t="s">
        <v>286</v>
      </c>
      <c r="I546" s="34">
        <v>10</v>
      </c>
    </row>
    <row r="547" spans="1:9" x14ac:dyDescent="0.3">
      <c r="A547">
        <v>6</v>
      </c>
      <c r="B547" t="s">
        <v>239</v>
      </c>
      <c r="C547" t="s">
        <v>192</v>
      </c>
      <c r="D547" t="s">
        <v>188</v>
      </c>
      <c r="E547" t="s">
        <v>78</v>
      </c>
      <c r="F547" s="57" t="s">
        <v>86</v>
      </c>
      <c r="G547" s="124">
        <v>215</v>
      </c>
      <c r="H547" t="s">
        <v>288</v>
      </c>
      <c r="I547" s="34">
        <v>6</v>
      </c>
    </row>
    <row r="548" spans="1:9" x14ac:dyDescent="0.3">
      <c r="A548" s="53">
        <v>11</v>
      </c>
      <c r="B548" t="s">
        <v>239</v>
      </c>
      <c r="C548" s="53" t="s">
        <v>192</v>
      </c>
      <c r="D548" s="53" t="s">
        <v>188</v>
      </c>
      <c r="E548" s="53" t="s">
        <v>78</v>
      </c>
      <c r="F548" s="57" t="s">
        <v>86</v>
      </c>
      <c r="G548" s="124">
        <v>211.74603174603175</v>
      </c>
      <c r="H548" s="53" t="s">
        <v>288</v>
      </c>
      <c r="I548" s="77">
        <v>11</v>
      </c>
    </row>
    <row r="549" spans="1:9" x14ac:dyDescent="0.3">
      <c r="A549" s="53">
        <v>11</v>
      </c>
      <c r="B549" t="s">
        <v>239</v>
      </c>
      <c r="C549" s="53" t="s">
        <v>192</v>
      </c>
      <c r="D549" s="53" t="s">
        <v>195</v>
      </c>
      <c r="E549" s="53" t="s">
        <v>78</v>
      </c>
      <c r="F549" s="57" t="s">
        <v>86</v>
      </c>
      <c r="G549" s="124">
        <v>211.12903225806451</v>
      </c>
      <c r="H549" t="s">
        <v>287</v>
      </c>
      <c r="I549" s="34">
        <v>11</v>
      </c>
    </row>
    <row r="550" spans="1:9" x14ac:dyDescent="0.3">
      <c r="A550">
        <v>4</v>
      </c>
      <c r="B550" t="s">
        <v>239</v>
      </c>
      <c r="C550" t="s">
        <v>192</v>
      </c>
      <c r="D550" t="s">
        <v>188</v>
      </c>
      <c r="E550" s="1" t="s">
        <v>78</v>
      </c>
      <c r="F550" s="56" t="s">
        <v>86</v>
      </c>
      <c r="G550" s="124">
        <v>210</v>
      </c>
      <c r="H550" t="s">
        <v>288</v>
      </c>
      <c r="I550" s="34">
        <v>4</v>
      </c>
    </row>
    <row r="551" spans="1:9" x14ac:dyDescent="0.3">
      <c r="A551">
        <v>9</v>
      </c>
      <c r="B551" t="s">
        <v>239</v>
      </c>
      <c r="C551" t="s">
        <v>193</v>
      </c>
      <c r="D551" t="s">
        <v>195</v>
      </c>
      <c r="E551" t="s">
        <v>78</v>
      </c>
      <c r="F551" s="57" t="s">
        <v>86</v>
      </c>
      <c r="G551" s="124">
        <v>186.6</v>
      </c>
      <c r="H551" t="s">
        <v>286</v>
      </c>
      <c r="I551" s="34">
        <v>9</v>
      </c>
    </row>
    <row r="552" spans="1:9" x14ac:dyDescent="0.3">
      <c r="A552" s="53">
        <v>11</v>
      </c>
      <c r="B552" t="s">
        <v>239</v>
      </c>
      <c r="C552" s="53" t="s">
        <v>193</v>
      </c>
      <c r="D552" s="53" t="s">
        <v>188</v>
      </c>
      <c r="E552" s="53" t="s">
        <v>78</v>
      </c>
      <c r="F552" s="57" t="s">
        <v>86</v>
      </c>
      <c r="G552" s="124">
        <v>133.4</v>
      </c>
      <c r="H552" t="s">
        <v>285</v>
      </c>
      <c r="I552" s="34">
        <v>11</v>
      </c>
    </row>
    <row r="553" spans="1:9" x14ac:dyDescent="0.3">
      <c r="A553">
        <v>5</v>
      </c>
      <c r="B553" t="s">
        <v>239</v>
      </c>
      <c r="C553" t="s">
        <v>193</v>
      </c>
      <c r="D553" t="s">
        <v>195</v>
      </c>
      <c r="E553" t="s">
        <v>78</v>
      </c>
      <c r="F553" s="57" t="s">
        <v>86</v>
      </c>
      <c r="G553" s="124">
        <v>126.24628662040666</v>
      </c>
      <c r="H553" t="s">
        <v>286</v>
      </c>
      <c r="I553" s="34">
        <v>5</v>
      </c>
    </row>
    <row r="554" spans="1:9" x14ac:dyDescent="0.3">
      <c r="A554">
        <v>3</v>
      </c>
      <c r="B554" t="s">
        <v>239</v>
      </c>
      <c r="C554" t="s">
        <v>193</v>
      </c>
      <c r="D554" t="s">
        <v>188</v>
      </c>
      <c r="E554" s="1" t="s">
        <v>78</v>
      </c>
      <c r="F554" s="54" t="s">
        <v>86</v>
      </c>
      <c r="G554" s="124">
        <v>118.6346022784866</v>
      </c>
      <c r="H554" t="s">
        <v>285</v>
      </c>
      <c r="I554" s="34">
        <v>3</v>
      </c>
    </row>
    <row r="555" spans="1:9" x14ac:dyDescent="0.3">
      <c r="A555">
        <v>6</v>
      </c>
      <c r="B555" t="s">
        <v>239</v>
      </c>
      <c r="C555" t="s">
        <v>193</v>
      </c>
      <c r="D555" t="s">
        <v>195</v>
      </c>
      <c r="E555" t="s">
        <v>78</v>
      </c>
      <c r="F555" s="57" t="s">
        <v>86</v>
      </c>
      <c r="G555" s="124">
        <v>112</v>
      </c>
      <c r="H555" t="s">
        <v>286</v>
      </c>
      <c r="I555" s="34">
        <v>6</v>
      </c>
    </row>
    <row r="556" spans="1:9" x14ac:dyDescent="0.3">
      <c r="A556">
        <v>4</v>
      </c>
      <c r="B556" t="s">
        <v>239</v>
      </c>
      <c r="C556" t="s">
        <v>193</v>
      </c>
      <c r="D556" t="s">
        <v>188</v>
      </c>
      <c r="E556" s="1" t="s">
        <v>78</v>
      </c>
      <c r="F556" s="31" t="s">
        <v>86</v>
      </c>
      <c r="G556" s="124">
        <v>94.5</v>
      </c>
      <c r="H556" t="s">
        <v>285</v>
      </c>
      <c r="I556" s="34">
        <v>4</v>
      </c>
    </row>
    <row r="557" spans="1:9" x14ac:dyDescent="0.3">
      <c r="A557">
        <v>3</v>
      </c>
      <c r="B557" t="s">
        <v>239</v>
      </c>
      <c r="C557" t="s">
        <v>193</v>
      </c>
      <c r="D557" t="s">
        <v>195</v>
      </c>
      <c r="E557" s="1" t="s">
        <v>78</v>
      </c>
      <c r="F557" s="54" t="s">
        <v>86</v>
      </c>
      <c r="G557" s="124">
        <v>74.788502957186068</v>
      </c>
      <c r="H557" t="s">
        <v>286</v>
      </c>
      <c r="I557" s="34">
        <v>3</v>
      </c>
    </row>
    <row r="558" spans="1:9" x14ac:dyDescent="0.3">
      <c r="A558" s="53">
        <v>11</v>
      </c>
      <c r="B558" t="s">
        <v>239</v>
      </c>
      <c r="C558" s="53" t="s">
        <v>193</v>
      </c>
      <c r="D558" s="53" t="s">
        <v>195</v>
      </c>
      <c r="E558" s="53" t="s">
        <v>78</v>
      </c>
      <c r="F558" s="57" t="s">
        <v>86</v>
      </c>
      <c r="G558" s="124">
        <v>65.45</v>
      </c>
      <c r="H558" t="s">
        <v>286</v>
      </c>
      <c r="I558" s="34">
        <v>11</v>
      </c>
    </row>
    <row r="559" spans="1:9" x14ac:dyDescent="0.3">
      <c r="A559">
        <v>4</v>
      </c>
      <c r="B559" t="s">
        <v>239</v>
      </c>
      <c r="C559" t="s">
        <v>193</v>
      </c>
      <c r="D559" t="s">
        <v>195</v>
      </c>
      <c r="E559" s="1" t="s">
        <v>78</v>
      </c>
      <c r="F559" s="31" t="s">
        <v>86</v>
      </c>
      <c r="G559" s="124">
        <v>47.734179635654783</v>
      </c>
      <c r="H559" t="s">
        <v>286</v>
      </c>
      <c r="I559" s="34">
        <v>4</v>
      </c>
    </row>
    <row r="560" spans="1:9" x14ac:dyDescent="0.3">
      <c r="A560">
        <v>8</v>
      </c>
      <c r="B560" t="s">
        <v>239</v>
      </c>
      <c r="C560" t="s">
        <v>191</v>
      </c>
      <c r="D560" t="s">
        <v>188</v>
      </c>
      <c r="E560" t="s">
        <v>78</v>
      </c>
      <c r="F560" s="57" t="s">
        <v>88</v>
      </c>
      <c r="G560" s="124">
        <v>1150</v>
      </c>
      <c r="H560" t="s">
        <v>289</v>
      </c>
      <c r="I560" s="34">
        <v>8</v>
      </c>
    </row>
    <row r="561" spans="1:9" x14ac:dyDescent="0.3">
      <c r="A561">
        <v>12</v>
      </c>
      <c r="B561" t="s">
        <v>239</v>
      </c>
      <c r="C561" t="s">
        <v>191</v>
      </c>
      <c r="D561" t="s">
        <v>188</v>
      </c>
      <c r="E561" t="s">
        <v>78</v>
      </c>
      <c r="F561" s="57" t="s">
        <v>88</v>
      </c>
      <c r="G561" s="124">
        <v>1000</v>
      </c>
      <c r="H561" t="s">
        <v>289</v>
      </c>
      <c r="I561" s="34">
        <v>12</v>
      </c>
    </row>
    <row r="562" spans="1:9" x14ac:dyDescent="0.3">
      <c r="A562">
        <v>1</v>
      </c>
      <c r="B562" t="s">
        <v>239</v>
      </c>
      <c r="C562" t="s">
        <v>191</v>
      </c>
      <c r="D562" t="s">
        <v>188</v>
      </c>
      <c r="E562" s="1" t="s">
        <v>78</v>
      </c>
      <c r="F562" s="54" t="s">
        <v>88</v>
      </c>
      <c r="G562" s="124">
        <v>950</v>
      </c>
      <c r="H562" t="s">
        <v>289</v>
      </c>
      <c r="I562" s="34">
        <v>1</v>
      </c>
    </row>
    <row r="563" spans="1:9" x14ac:dyDescent="0.3">
      <c r="A563">
        <v>8</v>
      </c>
      <c r="B563" t="s">
        <v>239</v>
      </c>
      <c r="C563" t="s">
        <v>191</v>
      </c>
      <c r="D563" t="s">
        <v>195</v>
      </c>
      <c r="E563" t="s">
        <v>78</v>
      </c>
      <c r="F563" s="57" t="s">
        <v>88</v>
      </c>
      <c r="G563" s="124">
        <v>950</v>
      </c>
      <c r="H563" t="s">
        <v>290</v>
      </c>
      <c r="I563" s="34">
        <v>8</v>
      </c>
    </row>
    <row r="564" spans="1:9" x14ac:dyDescent="0.3">
      <c r="A564">
        <v>2</v>
      </c>
      <c r="B564" t="s">
        <v>239</v>
      </c>
      <c r="C564" t="s">
        <v>191</v>
      </c>
      <c r="D564" t="s">
        <v>188</v>
      </c>
      <c r="E564" s="1" t="s">
        <v>78</v>
      </c>
      <c r="F564" s="54" t="s">
        <v>88</v>
      </c>
      <c r="G564" s="124">
        <v>900</v>
      </c>
      <c r="H564" t="s">
        <v>289</v>
      </c>
      <c r="I564" s="34">
        <v>2</v>
      </c>
    </row>
    <row r="565" spans="1:9" x14ac:dyDescent="0.3">
      <c r="A565">
        <v>7</v>
      </c>
      <c r="B565" t="s">
        <v>239</v>
      </c>
      <c r="C565" t="s">
        <v>191</v>
      </c>
      <c r="D565" t="s">
        <v>195</v>
      </c>
      <c r="E565" t="s">
        <v>78</v>
      </c>
      <c r="F565" s="57" t="s">
        <v>88</v>
      </c>
      <c r="G565" s="124">
        <v>820</v>
      </c>
      <c r="H565" t="s">
        <v>290</v>
      </c>
      <c r="I565" s="34">
        <v>7</v>
      </c>
    </row>
    <row r="566" spans="1:9" x14ac:dyDescent="0.3">
      <c r="A566">
        <v>7</v>
      </c>
      <c r="B566" t="s">
        <v>239</v>
      </c>
      <c r="C566" t="s">
        <v>191</v>
      </c>
      <c r="D566" t="s">
        <v>188</v>
      </c>
      <c r="E566" t="s">
        <v>78</v>
      </c>
      <c r="F566" s="57" t="s">
        <v>88</v>
      </c>
      <c r="G566" s="124">
        <v>800</v>
      </c>
      <c r="H566" t="s">
        <v>289</v>
      </c>
      <c r="I566" s="34">
        <v>7</v>
      </c>
    </row>
    <row r="567" spans="1:9" x14ac:dyDescent="0.3">
      <c r="A567" s="53">
        <v>11</v>
      </c>
      <c r="B567" t="s">
        <v>239</v>
      </c>
      <c r="C567" s="53" t="s">
        <v>191</v>
      </c>
      <c r="D567" s="53" t="s">
        <v>188</v>
      </c>
      <c r="E567" s="53" t="s">
        <v>78</v>
      </c>
      <c r="F567" s="57" t="s">
        <v>88</v>
      </c>
      <c r="G567" s="124">
        <v>750</v>
      </c>
      <c r="H567" s="53" t="s">
        <v>289</v>
      </c>
      <c r="I567" s="77">
        <v>11</v>
      </c>
    </row>
    <row r="568" spans="1:9" x14ac:dyDescent="0.3">
      <c r="A568">
        <v>10</v>
      </c>
      <c r="B568" t="s">
        <v>239</v>
      </c>
      <c r="C568" t="s">
        <v>191</v>
      </c>
      <c r="D568" t="s">
        <v>188</v>
      </c>
      <c r="E568" t="s">
        <v>78</v>
      </c>
      <c r="F568" s="57" t="s">
        <v>88</v>
      </c>
      <c r="G568" s="124">
        <v>700</v>
      </c>
      <c r="H568" t="s">
        <v>289</v>
      </c>
      <c r="I568" s="34">
        <v>10</v>
      </c>
    </row>
    <row r="569" spans="1:9" x14ac:dyDescent="0.3">
      <c r="A569">
        <v>1</v>
      </c>
      <c r="B569" t="s">
        <v>239</v>
      </c>
      <c r="C569" t="s">
        <v>191</v>
      </c>
      <c r="D569" t="s">
        <v>195</v>
      </c>
      <c r="E569" s="1" t="s">
        <v>78</v>
      </c>
      <c r="F569" s="54" t="s">
        <v>88</v>
      </c>
      <c r="G569" s="124">
        <v>700</v>
      </c>
      <c r="H569" t="s">
        <v>290</v>
      </c>
      <c r="I569" s="34">
        <v>1</v>
      </c>
    </row>
    <row r="570" spans="1:9" x14ac:dyDescent="0.3">
      <c r="A570">
        <v>2</v>
      </c>
      <c r="B570" t="s">
        <v>239</v>
      </c>
      <c r="C570" t="s">
        <v>191</v>
      </c>
      <c r="D570" t="s">
        <v>195</v>
      </c>
      <c r="E570" s="1" t="s">
        <v>78</v>
      </c>
      <c r="F570" s="54" t="s">
        <v>88</v>
      </c>
      <c r="G570" s="124">
        <v>700</v>
      </c>
      <c r="H570" s="53" t="s">
        <v>290</v>
      </c>
      <c r="I570" s="77">
        <v>2</v>
      </c>
    </row>
    <row r="571" spans="1:9" x14ac:dyDescent="0.3">
      <c r="A571">
        <v>9</v>
      </c>
      <c r="B571" t="s">
        <v>239</v>
      </c>
      <c r="C571" t="s">
        <v>191</v>
      </c>
      <c r="D571" t="s">
        <v>188</v>
      </c>
      <c r="E571" t="s">
        <v>78</v>
      </c>
      <c r="F571" s="57" t="s">
        <v>88</v>
      </c>
      <c r="G571" s="124">
        <v>650</v>
      </c>
      <c r="H571" t="s">
        <v>289</v>
      </c>
      <c r="I571" s="34">
        <v>9</v>
      </c>
    </row>
    <row r="572" spans="1:9" x14ac:dyDescent="0.3">
      <c r="A572">
        <v>5</v>
      </c>
      <c r="B572" t="s">
        <v>239</v>
      </c>
      <c r="C572" t="s">
        <v>191</v>
      </c>
      <c r="D572" t="s">
        <v>188</v>
      </c>
      <c r="E572" s="1" t="s">
        <v>78</v>
      </c>
      <c r="F572" s="54" t="s">
        <v>88</v>
      </c>
      <c r="G572" s="124">
        <v>600</v>
      </c>
      <c r="H572" t="s">
        <v>289</v>
      </c>
      <c r="I572" s="34">
        <v>5</v>
      </c>
    </row>
    <row r="573" spans="1:9" x14ac:dyDescent="0.3">
      <c r="A573">
        <v>6</v>
      </c>
      <c r="B573" t="s">
        <v>239</v>
      </c>
      <c r="C573" t="s">
        <v>191</v>
      </c>
      <c r="D573" t="s">
        <v>188</v>
      </c>
      <c r="E573" t="s">
        <v>78</v>
      </c>
      <c r="F573" s="57" t="s">
        <v>88</v>
      </c>
      <c r="G573" s="124">
        <v>600</v>
      </c>
      <c r="H573" t="s">
        <v>289</v>
      </c>
      <c r="I573" s="34">
        <v>6</v>
      </c>
    </row>
    <row r="574" spans="1:9" x14ac:dyDescent="0.3">
      <c r="A574">
        <v>10</v>
      </c>
      <c r="B574" t="s">
        <v>239</v>
      </c>
      <c r="C574" t="s">
        <v>191</v>
      </c>
      <c r="D574" t="s">
        <v>195</v>
      </c>
      <c r="E574" t="s">
        <v>78</v>
      </c>
      <c r="F574" s="57" t="s">
        <v>88</v>
      </c>
      <c r="G574" s="124">
        <v>550</v>
      </c>
      <c r="H574" t="s">
        <v>290</v>
      </c>
      <c r="I574" s="34">
        <v>10</v>
      </c>
    </row>
    <row r="575" spans="1:9" x14ac:dyDescent="0.3">
      <c r="A575">
        <v>5</v>
      </c>
      <c r="B575" t="s">
        <v>239</v>
      </c>
      <c r="C575" t="s">
        <v>191</v>
      </c>
      <c r="D575" t="s">
        <v>195</v>
      </c>
      <c r="E575" s="1" t="s">
        <v>78</v>
      </c>
      <c r="F575" s="54" t="s">
        <v>88</v>
      </c>
      <c r="G575" s="124">
        <v>500</v>
      </c>
      <c r="H575" t="s">
        <v>290</v>
      </c>
      <c r="I575" s="34">
        <v>5</v>
      </c>
    </row>
    <row r="576" spans="1:9" x14ac:dyDescent="0.3">
      <c r="A576">
        <v>12</v>
      </c>
      <c r="B576" t="s">
        <v>239</v>
      </c>
      <c r="C576" t="s">
        <v>191</v>
      </c>
      <c r="D576" t="s">
        <v>195</v>
      </c>
      <c r="E576" t="s">
        <v>78</v>
      </c>
      <c r="F576" s="57" t="s">
        <v>88</v>
      </c>
      <c r="G576" s="124">
        <v>500</v>
      </c>
      <c r="H576" t="s">
        <v>290</v>
      </c>
      <c r="I576" s="34">
        <v>12</v>
      </c>
    </row>
    <row r="577" spans="1:9" x14ac:dyDescent="0.3">
      <c r="A577">
        <v>6</v>
      </c>
      <c r="B577" t="s">
        <v>239</v>
      </c>
      <c r="C577" t="s">
        <v>191</v>
      </c>
      <c r="D577" t="s">
        <v>195</v>
      </c>
      <c r="E577" t="s">
        <v>78</v>
      </c>
      <c r="F577" s="57" t="s">
        <v>88</v>
      </c>
      <c r="G577" s="124">
        <v>450</v>
      </c>
      <c r="H577" t="s">
        <v>290</v>
      </c>
      <c r="I577" s="34">
        <v>6</v>
      </c>
    </row>
    <row r="578" spans="1:9" x14ac:dyDescent="0.3">
      <c r="A578">
        <v>8</v>
      </c>
      <c r="B578" t="s">
        <v>239</v>
      </c>
      <c r="C578" t="s">
        <v>193</v>
      </c>
      <c r="D578" t="s">
        <v>188</v>
      </c>
      <c r="E578" t="s">
        <v>78</v>
      </c>
      <c r="F578" s="57" t="s">
        <v>88</v>
      </c>
      <c r="G578" s="124">
        <v>424.35</v>
      </c>
      <c r="H578" s="53" t="s">
        <v>291</v>
      </c>
      <c r="I578" s="77">
        <v>8</v>
      </c>
    </row>
    <row r="579" spans="1:9" x14ac:dyDescent="0.3">
      <c r="A579">
        <v>4</v>
      </c>
      <c r="B579" t="s">
        <v>239</v>
      </c>
      <c r="C579" t="s">
        <v>191</v>
      </c>
      <c r="D579" t="s">
        <v>188</v>
      </c>
      <c r="E579" s="1" t="s">
        <v>78</v>
      </c>
      <c r="F579" s="54" t="s">
        <v>88</v>
      </c>
      <c r="G579" s="124">
        <v>400</v>
      </c>
      <c r="H579" t="s">
        <v>289</v>
      </c>
      <c r="I579" s="34">
        <v>4</v>
      </c>
    </row>
    <row r="580" spans="1:9" x14ac:dyDescent="0.3">
      <c r="A580">
        <v>8</v>
      </c>
      <c r="B580" t="s">
        <v>239</v>
      </c>
      <c r="C580" t="s">
        <v>192</v>
      </c>
      <c r="D580" t="s">
        <v>195</v>
      </c>
      <c r="E580" t="s">
        <v>78</v>
      </c>
      <c r="F580" s="57" t="s">
        <v>88</v>
      </c>
      <c r="G580" s="124">
        <v>400</v>
      </c>
      <c r="H580" t="s">
        <v>292</v>
      </c>
      <c r="I580" s="34">
        <v>8</v>
      </c>
    </row>
    <row r="581" spans="1:9" x14ac:dyDescent="0.3">
      <c r="A581">
        <v>9</v>
      </c>
      <c r="B581" t="s">
        <v>239</v>
      </c>
      <c r="C581" t="s">
        <v>191</v>
      </c>
      <c r="D581" t="s">
        <v>195</v>
      </c>
      <c r="E581" t="s">
        <v>78</v>
      </c>
      <c r="F581" s="57" t="s">
        <v>88</v>
      </c>
      <c r="G581" s="124">
        <v>400</v>
      </c>
      <c r="H581" t="s">
        <v>290</v>
      </c>
      <c r="I581" s="34">
        <v>9</v>
      </c>
    </row>
    <row r="582" spans="1:9" x14ac:dyDescent="0.3">
      <c r="A582">
        <v>7</v>
      </c>
      <c r="B582" t="s">
        <v>239</v>
      </c>
      <c r="C582" t="s">
        <v>192</v>
      </c>
      <c r="D582" t="s">
        <v>195</v>
      </c>
      <c r="E582" t="s">
        <v>78</v>
      </c>
      <c r="F582" s="57" t="s">
        <v>88</v>
      </c>
      <c r="G582" s="124">
        <v>395</v>
      </c>
      <c r="H582" t="s">
        <v>292</v>
      </c>
      <c r="I582" s="34">
        <v>7</v>
      </c>
    </row>
    <row r="583" spans="1:9" x14ac:dyDescent="0.3">
      <c r="A583">
        <v>8</v>
      </c>
      <c r="B583" t="s">
        <v>239</v>
      </c>
      <c r="C583" t="s">
        <v>193</v>
      </c>
      <c r="D583" t="s">
        <v>195</v>
      </c>
      <c r="E583" t="s">
        <v>78</v>
      </c>
      <c r="F583" s="57" t="s">
        <v>88</v>
      </c>
      <c r="G583" s="124">
        <v>380</v>
      </c>
      <c r="H583" t="s">
        <v>293</v>
      </c>
      <c r="I583" s="34">
        <v>8</v>
      </c>
    </row>
    <row r="584" spans="1:9" x14ac:dyDescent="0.3">
      <c r="A584">
        <v>7</v>
      </c>
      <c r="B584" t="s">
        <v>239</v>
      </c>
      <c r="C584" t="s">
        <v>192</v>
      </c>
      <c r="D584" t="s">
        <v>188</v>
      </c>
      <c r="E584" t="s">
        <v>78</v>
      </c>
      <c r="F584" s="57" t="s">
        <v>88</v>
      </c>
      <c r="G584" s="124">
        <v>377</v>
      </c>
      <c r="H584" t="s">
        <v>294</v>
      </c>
      <c r="I584" s="34">
        <v>7</v>
      </c>
    </row>
    <row r="585" spans="1:9" x14ac:dyDescent="0.3">
      <c r="A585">
        <v>8</v>
      </c>
      <c r="B585" t="s">
        <v>239</v>
      </c>
      <c r="C585" t="s">
        <v>192</v>
      </c>
      <c r="D585" t="s">
        <v>188</v>
      </c>
      <c r="E585" t="s">
        <v>78</v>
      </c>
      <c r="F585" s="57" t="s">
        <v>88</v>
      </c>
      <c r="G585" s="124">
        <v>369</v>
      </c>
      <c r="H585" s="53" t="s">
        <v>294</v>
      </c>
      <c r="I585" s="77">
        <v>8</v>
      </c>
    </row>
    <row r="586" spans="1:9" x14ac:dyDescent="0.3">
      <c r="A586">
        <v>9</v>
      </c>
      <c r="B586" t="s">
        <v>239</v>
      </c>
      <c r="C586" t="s">
        <v>192</v>
      </c>
      <c r="D586" t="s">
        <v>188</v>
      </c>
      <c r="E586" t="s">
        <v>78</v>
      </c>
      <c r="F586" s="57" t="s">
        <v>88</v>
      </c>
      <c r="G586" s="124">
        <v>360</v>
      </c>
      <c r="H586" s="53" t="s">
        <v>294</v>
      </c>
      <c r="I586" s="77">
        <v>9</v>
      </c>
    </row>
    <row r="587" spans="1:9" x14ac:dyDescent="0.3">
      <c r="A587">
        <v>10</v>
      </c>
      <c r="B587" t="s">
        <v>239</v>
      </c>
      <c r="C587" t="s">
        <v>192</v>
      </c>
      <c r="D587" t="s">
        <v>188</v>
      </c>
      <c r="E587" t="s">
        <v>78</v>
      </c>
      <c r="F587" s="57" t="s">
        <v>88</v>
      </c>
      <c r="G587" s="124">
        <v>357</v>
      </c>
      <c r="H587" s="53" t="s">
        <v>294</v>
      </c>
      <c r="I587" s="77">
        <v>10</v>
      </c>
    </row>
    <row r="588" spans="1:9" x14ac:dyDescent="0.3">
      <c r="A588">
        <v>3</v>
      </c>
      <c r="B588" t="s">
        <v>239</v>
      </c>
      <c r="C588" t="s">
        <v>191</v>
      </c>
      <c r="D588" t="s">
        <v>188</v>
      </c>
      <c r="E588" s="1" t="s">
        <v>78</v>
      </c>
      <c r="F588" s="54" t="s">
        <v>88</v>
      </c>
      <c r="G588" s="124">
        <v>350</v>
      </c>
      <c r="H588" t="s">
        <v>289</v>
      </c>
      <c r="I588" s="34">
        <v>3</v>
      </c>
    </row>
    <row r="589" spans="1:9" x14ac:dyDescent="0.3">
      <c r="A589">
        <v>4</v>
      </c>
      <c r="B589" t="s">
        <v>239</v>
      </c>
      <c r="C589" t="s">
        <v>191</v>
      </c>
      <c r="D589" t="s">
        <v>195</v>
      </c>
      <c r="E589" s="1" t="s">
        <v>78</v>
      </c>
      <c r="F589" s="54" t="s">
        <v>88</v>
      </c>
      <c r="G589" s="124">
        <v>350</v>
      </c>
      <c r="H589" t="s">
        <v>290</v>
      </c>
      <c r="I589" s="34">
        <v>4</v>
      </c>
    </row>
    <row r="590" spans="1:9" x14ac:dyDescent="0.3">
      <c r="A590">
        <v>9</v>
      </c>
      <c r="B590" t="s">
        <v>239</v>
      </c>
      <c r="C590" t="s">
        <v>192</v>
      </c>
      <c r="D590" t="s">
        <v>195</v>
      </c>
      <c r="E590" t="s">
        <v>78</v>
      </c>
      <c r="F590" s="57" t="s">
        <v>88</v>
      </c>
      <c r="G590" s="124">
        <v>350</v>
      </c>
      <c r="H590" t="s">
        <v>292</v>
      </c>
      <c r="I590" s="34">
        <v>9</v>
      </c>
    </row>
    <row r="591" spans="1:9" x14ac:dyDescent="0.3">
      <c r="A591">
        <v>10</v>
      </c>
      <c r="B591" t="s">
        <v>239</v>
      </c>
      <c r="C591" t="s">
        <v>192</v>
      </c>
      <c r="D591" t="s">
        <v>195</v>
      </c>
      <c r="E591" t="s">
        <v>78</v>
      </c>
      <c r="F591" s="57" t="s">
        <v>88</v>
      </c>
      <c r="G591" s="124">
        <v>345</v>
      </c>
      <c r="H591" t="s">
        <v>292</v>
      </c>
      <c r="I591" s="34">
        <v>10</v>
      </c>
    </row>
    <row r="592" spans="1:9" x14ac:dyDescent="0.3">
      <c r="A592">
        <v>3</v>
      </c>
      <c r="B592" t="s">
        <v>239</v>
      </c>
      <c r="C592" t="s">
        <v>192</v>
      </c>
      <c r="D592" t="s">
        <v>188</v>
      </c>
      <c r="E592" s="1" t="s">
        <v>78</v>
      </c>
      <c r="F592" s="54" t="s">
        <v>88</v>
      </c>
      <c r="G592" s="124">
        <v>334</v>
      </c>
      <c r="H592" t="s">
        <v>294</v>
      </c>
      <c r="I592" s="34">
        <v>3</v>
      </c>
    </row>
    <row r="593" spans="1:9" x14ac:dyDescent="0.3">
      <c r="A593">
        <v>1</v>
      </c>
      <c r="B593" t="s">
        <v>239</v>
      </c>
      <c r="C593" t="s">
        <v>192</v>
      </c>
      <c r="D593" t="s">
        <v>195</v>
      </c>
      <c r="E593" s="1" t="s">
        <v>78</v>
      </c>
      <c r="F593" s="31" t="s">
        <v>88</v>
      </c>
      <c r="G593" s="124">
        <v>331</v>
      </c>
      <c r="H593" s="53" t="s">
        <v>292</v>
      </c>
      <c r="I593" s="77">
        <v>1</v>
      </c>
    </row>
    <row r="594" spans="1:9" x14ac:dyDescent="0.3">
      <c r="A594">
        <v>3</v>
      </c>
      <c r="B594" t="s">
        <v>239</v>
      </c>
      <c r="C594" t="s">
        <v>192</v>
      </c>
      <c r="D594" t="s">
        <v>195</v>
      </c>
      <c r="E594" s="1" t="s">
        <v>78</v>
      </c>
      <c r="F594" s="54" t="s">
        <v>88</v>
      </c>
      <c r="G594" s="124">
        <v>331</v>
      </c>
      <c r="H594" t="s">
        <v>292</v>
      </c>
      <c r="I594" s="34">
        <v>3</v>
      </c>
    </row>
    <row r="595" spans="1:9" x14ac:dyDescent="0.3">
      <c r="A595">
        <v>1</v>
      </c>
      <c r="B595" t="s">
        <v>239</v>
      </c>
      <c r="C595" t="s">
        <v>192</v>
      </c>
      <c r="D595" t="s">
        <v>188</v>
      </c>
      <c r="E595" s="1" t="s">
        <v>78</v>
      </c>
      <c r="F595" s="31" t="s">
        <v>88</v>
      </c>
      <c r="G595" s="124">
        <v>328</v>
      </c>
      <c r="H595" t="s">
        <v>294</v>
      </c>
      <c r="I595" s="34">
        <v>1</v>
      </c>
    </row>
    <row r="596" spans="1:9" x14ac:dyDescent="0.3">
      <c r="A596">
        <v>2</v>
      </c>
      <c r="B596" t="s">
        <v>239</v>
      </c>
      <c r="C596" t="s">
        <v>192</v>
      </c>
      <c r="D596" t="s">
        <v>195</v>
      </c>
      <c r="E596" s="1" t="s">
        <v>78</v>
      </c>
      <c r="F596" s="32" t="s">
        <v>88</v>
      </c>
      <c r="G596" s="124">
        <v>325</v>
      </c>
      <c r="H596" t="s">
        <v>292</v>
      </c>
      <c r="I596" s="34">
        <v>2</v>
      </c>
    </row>
    <row r="597" spans="1:9" x14ac:dyDescent="0.3">
      <c r="A597">
        <v>7</v>
      </c>
      <c r="B597" t="s">
        <v>239</v>
      </c>
      <c r="C597" t="s">
        <v>193</v>
      </c>
      <c r="D597" t="s">
        <v>195</v>
      </c>
      <c r="E597" t="s">
        <v>78</v>
      </c>
      <c r="F597" s="57" t="s">
        <v>88</v>
      </c>
      <c r="G597" s="124">
        <v>323.89999999999998</v>
      </c>
      <c r="H597" t="s">
        <v>293</v>
      </c>
      <c r="I597" s="34">
        <v>7</v>
      </c>
    </row>
    <row r="598" spans="1:9" x14ac:dyDescent="0.3">
      <c r="A598">
        <v>5</v>
      </c>
      <c r="B598" t="s">
        <v>239</v>
      </c>
      <c r="C598" t="s">
        <v>192</v>
      </c>
      <c r="D598" t="s">
        <v>188</v>
      </c>
      <c r="E598" t="s">
        <v>78</v>
      </c>
      <c r="F598" s="57" t="s">
        <v>88</v>
      </c>
      <c r="G598" s="124">
        <v>323</v>
      </c>
      <c r="H598" t="s">
        <v>294</v>
      </c>
      <c r="I598" s="34">
        <v>5</v>
      </c>
    </row>
    <row r="599" spans="1:9" x14ac:dyDescent="0.3">
      <c r="A599">
        <v>2</v>
      </c>
      <c r="B599" t="s">
        <v>239</v>
      </c>
      <c r="C599" t="s">
        <v>192</v>
      </c>
      <c r="D599" t="s">
        <v>188</v>
      </c>
      <c r="E599" s="1" t="s">
        <v>78</v>
      </c>
      <c r="F599" s="32" t="s">
        <v>88</v>
      </c>
      <c r="G599" s="124">
        <v>315.3</v>
      </c>
      <c r="H599" t="s">
        <v>294</v>
      </c>
      <c r="I599" s="34">
        <v>2</v>
      </c>
    </row>
    <row r="600" spans="1:9" x14ac:dyDescent="0.3">
      <c r="A600">
        <v>5</v>
      </c>
      <c r="B600" t="s">
        <v>239</v>
      </c>
      <c r="C600" t="s">
        <v>192</v>
      </c>
      <c r="D600" t="s">
        <v>195</v>
      </c>
      <c r="E600" t="s">
        <v>78</v>
      </c>
      <c r="F600" s="57" t="s">
        <v>88</v>
      </c>
      <c r="G600" s="124">
        <v>315</v>
      </c>
      <c r="H600" t="s">
        <v>292</v>
      </c>
      <c r="I600" s="34">
        <v>5</v>
      </c>
    </row>
    <row r="601" spans="1:9" x14ac:dyDescent="0.3">
      <c r="A601">
        <v>1</v>
      </c>
      <c r="B601" t="s">
        <v>239</v>
      </c>
      <c r="C601" t="s">
        <v>193</v>
      </c>
      <c r="D601" t="s">
        <v>188</v>
      </c>
      <c r="E601" s="1" t="s">
        <v>78</v>
      </c>
      <c r="F601" s="54" t="s">
        <v>88</v>
      </c>
      <c r="G601" s="124">
        <v>311.60000000000002</v>
      </c>
      <c r="H601" t="s">
        <v>291</v>
      </c>
      <c r="I601" s="34">
        <v>1</v>
      </c>
    </row>
    <row r="602" spans="1:9" x14ac:dyDescent="0.3">
      <c r="A602">
        <v>7</v>
      </c>
      <c r="B602" t="s">
        <v>239</v>
      </c>
      <c r="C602" t="s">
        <v>193</v>
      </c>
      <c r="D602" t="s">
        <v>188</v>
      </c>
      <c r="E602" t="s">
        <v>78</v>
      </c>
      <c r="F602" s="57" t="s">
        <v>88</v>
      </c>
      <c r="G602" s="124">
        <v>301.60000000000002</v>
      </c>
      <c r="H602" t="s">
        <v>291</v>
      </c>
      <c r="I602" s="34">
        <v>7</v>
      </c>
    </row>
    <row r="603" spans="1:9" x14ac:dyDescent="0.3">
      <c r="A603">
        <v>12</v>
      </c>
      <c r="B603" t="s">
        <v>239</v>
      </c>
      <c r="C603" t="s">
        <v>192</v>
      </c>
      <c r="D603" t="s">
        <v>188</v>
      </c>
      <c r="E603" t="s">
        <v>78</v>
      </c>
      <c r="F603" s="57" t="s">
        <v>88</v>
      </c>
      <c r="G603" s="124">
        <v>300</v>
      </c>
      <c r="H603" t="s">
        <v>294</v>
      </c>
      <c r="I603" s="34">
        <v>12</v>
      </c>
    </row>
    <row r="604" spans="1:9" x14ac:dyDescent="0.3">
      <c r="A604">
        <v>12</v>
      </c>
      <c r="B604" t="s">
        <v>239</v>
      </c>
      <c r="C604" t="s">
        <v>193</v>
      </c>
      <c r="D604" t="s">
        <v>188</v>
      </c>
      <c r="E604" t="s">
        <v>78</v>
      </c>
      <c r="F604" s="57" t="s">
        <v>88</v>
      </c>
      <c r="G604" s="124">
        <v>300</v>
      </c>
      <c r="H604" t="s">
        <v>291</v>
      </c>
      <c r="I604" s="34">
        <v>12</v>
      </c>
    </row>
    <row r="605" spans="1:9" x14ac:dyDescent="0.3">
      <c r="A605" s="53">
        <v>11</v>
      </c>
      <c r="B605" t="s">
        <v>239</v>
      </c>
      <c r="C605" s="53" t="s">
        <v>191</v>
      </c>
      <c r="D605" s="53" t="s">
        <v>195</v>
      </c>
      <c r="E605" s="53" t="s">
        <v>78</v>
      </c>
      <c r="F605" s="57" t="s">
        <v>88</v>
      </c>
      <c r="G605" s="124">
        <v>300</v>
      </c>
      <c r="H605" t="s">
        <v>290</v>
      </c>
      <c r="I605" s="34">
        <v>11</v>
      </c>
    </row>
    <row r="606" spans="1:9" x14ac:dyDescent="0.3">
      <c r="A606">
        <v>12</v>
      </c>
      <c r="B606" t="s">
        <v>239</v>
      </c>
      <c r="C606" t="s">
        <v>192</v>
      </c>
      <c r="D606" t="s">
        <v>195</v>
      </c>
      <c r="E606" t="s">
        <v>78</v>
      </c>
      <c r="F606" s="57" t="s">
        <v>88</v>
      </c>
      <c r="G606" s="124">
        <v>295.34500000000003</v>
      </c>
      <c r="H606" t="s">
        <v>292</v>
      </c>
      <c r="I606" s="34">
        <v>12</v>
      </c>
    </row>
    <row r="607" spans="1:9" x14ac:dyDescent="0.3">
      <c r="A607">
        <v>6</v>
      </c>
      <c r="B607" t="s">
        <v>239</v>
      </c>
      <c r="C607" t="s">
        <v>192</v>
      </c>
      <c r="D607" t="s">
        <v>195</v>
      </c>
      <c r="E607" t="s">
        <v>78</v>
      </c>
      <c r="F607" s="57" t="s">
        <v>88</v>
      </c>
      <c r="G607" s="124">
        <v>288</v>
      </c>
      <c r="H607" t="s">
        <v>292</v>
      </c>
      <c r="I607" s="34">
        <v>6</v>
      </c>
    </row>
    <row r="608" spans="1:9" x14ac:dyDescent="0.3">
      <c r="A608" s="53">
        <v>11</v>
      </c>
      <c r="B608" t="s">
        <v>239</v>
      </c>
      <c r="C608" s="53" t="s">
        <v>192</v>
      </c>
      <c r="D608" s="53" t="s">
        <v>195</v>
      </c>
      <c r="E608" s="53" t="s">
        <v>78</v>
      </c>
      <c r="F608" s="57" t="s">
        <v>88</v>
      </c>
      <c r="G608" s="124">
        <v>286</v>
      </c>
      <c r="H608" t="s">
        <v>292</v>
      </c>
      <c r="I608" s="34">
        <v>11</v>
      </c>
    </row>
    <row r="609" spans="1:9" x14ac:dyDescent="0.3">
      <c r="A609">
        <v>2</v>
      </c>
      <c r="B609" t="s">
        <v>239</v>
      </c>
      <c r="C609" t="s">
        <v>193</v>
      </c>
      <c r="D609" t="s">
        <v>188</v>
      </c>
      <c r="E609" s="1" t="s">
        <v>78</v>
      </c>
      <c r="F609" s="31" t="s">
        <v>88</v>
      </c>
      <c r="G609" s="124">
        <v>283.77</v>
      </c>
      <c r="H609" t="s">
        <v>291</v>
      </c>
      <c r="I609" s="34">
        <v>2</v>
      </c>
    </row>
    <row r="610" spans="1:9" x14ac:dyDescent="0.3">
      <c r="A610">
        <v>6</v>
      </c>
      <c r="B610" t="s">
        <v>239</v>
      </c>
      <c r="C610" t="s">
        <v>192</v>
      </c>
      <c r="D610" t="s">
        <v>188</v>
      </c>
      <c r="E610" t="s">
        <v>78</v>
      </c>
      <c r="F610" s="57" t="s">
        <v>88</v>
      </c>
      <c r="G610" s="124">
        <v>282</v>
      </c>
      <c r="H610" t="s">
        <v>294</v>
      </c>
      <c r="I610" s="34">
        <v>6</v>
      </c>
    </row>
    <row r="611" spans="1:9" x14ac:dyDescent="0.3">
      <c r="A611">
        <v>3</v>
      </c>
      <c r="B611" t="s">
        <v>239</v>
      </c>
      <c r="C611" t="s">
        <v>191</v>
      </c>
      <c r="D611" t="s">
        <v>195</v>
      </c>
      <c r="E611" s="1" t="s">
        <v>78</v>
      </c>
      <c r="F611" s="54" t="s">
        <v>88</v>
      </c>
      <c r="G611" s="124">
        <v>280</v>
      </c>
      <c r="H611" t="s">
        <v>290</v>
      </c>
      <c r="I611" s="34">
        <v>3</v>
      </c>
    </row>
    <row r="612" spans="1:9" x14ac:dyDescent="0.3">
      <c r="A612">
        <v>4</v>
      </c>
      <c r="B612" t="s">
        <v>239</v>
      </c>
      <c r="C612" t="s">
        <v>192</v>
      </c>
      <c r="D612" t="s">
        <v>195</v>
      </c>
      <c r="E612" s="1" t="s">
        <v>78</v>
      </c>
      <c r="F612" s="32" t="s">
        <v>88</v>
      </c>
      <c r="G612" s="124">
        <v>277</v>
      </c>
      <c r="H612" t="s">
        <v>292</v>
      </c>
      <c r="I612" s="34">
        <v>4</v>
      </c>
    </row>
    <row r="613" spans="1:9" x14ac:dyDescent="0.3">
      <c r="A613" s="53">
        <v>11</v>
      </c>
      <c r="B613" t="s">
        <v>239</v>
      </c>
      <c r="C613" s="53" t="s">
        <v>192</v>
      </c>
      <c r="D613" s="53" t="s">
        <v>188</v>
      </c>
      <c r="E613" s="53" t="s">
        <v>78</v>
      </c>
      <c r="F613" s="57" t="s">
        <v>88</v>
      </c>
      <c r="G613" s="124">
        <v>270</v>
      </c>
      <c r="H613" t="s">
        <v>294</v>
      </c>
      <c r="I613" s="34">
        <v>11</v>
      </c>
    </row>
    <row r="614" spans="1:9" x14ac:dyDescent="0.3">
      <c r="A614">
        <v>4</v>
      </c>
      <c r="B614" t="s">
        <v>239</v>
      </c>
      <c r="C614" t="s">
        <v>192</v>
      </c>
      <c r="D614" t="s">
        <v>188</v>
      </c>
      <c r="E614" s="1" t="s">
        <v>78</v>
      </c>
      <c r="F614" s="32" t="s">
        <v>88</v>
      </c>
      <c r="G614" s="124">
        <v>267</v>
      </c>
      <c r="H614" t="s">
        <v>294</v>
      </c>
      <c r="I614" s="34">
        <v>4</v>
      </c>
    </row>
    <row r="615" spans="1:9" x14ac:dyDescent="0.3">
      <c r="A615">
        <v>10</v>
      </c>
      <c r="B615" t="s">
        <v>239</v>
      </c>
      <c r="C615" t="s">
        <v>193</v>
      </c>
      <c r="D615" t="s">
        <v>188</v>
      </c>
      <c r="E615" t="s">
        <v>78</v>
      </c>
      <c r="F615" s="57" t="s">
        <v>88</v>
      </c>
      <c r="G615" s="124">
        <v>249.9</v>
      </c>
      <c r="H615" s="53" t="s">
        <v>291</v>
      </c>
      <c r="I615" s="77">
        <v>10</v>
      </c>
    </row>
    <row r="616" spans="1:9" x14ac:dyDescent="0.3">
      <c r="A616">
        <v>9</v>
      </c>
      <c r="B616" t="s">
        <v>239</v>
      </c>
      <c r="C616" t="s">
        <v>193</v>
      </c>
      <c r="D616" t="s">
        <v>188</v>
      </c>
      <c r="E616" t="s">
        <v>78</v>
      </c>
      <c r="F616" s="57" t="s">
        <v>88</v>
      </c>
      <c r="G616" s="124">
        <v>234</v>
      </c>
      <c r="H616" s="53" t="s">
        <v>291</v>
      </c>
      <c r="I616" s="77">
        <v>9</v>
      </c>
    </row>
    <row r="617" spans="1:9" x14ac:dyDescent="0.3">
      <c r="A617">
        <v>1</v>
      </c>
      <c r="B617" t="s">
        <v>239</v>
      </c>
      <c r="C617" t="s">
        <v>193</v>
      </c>
      <c r="D617" t="s">
        <v>195</v>
      </c>
      <c r="E617" s="1" t="s">
        <v>78</v>
      </c>
      <c r="F617" s="54" t="s">
        <v>88</v>
      </c>
      <c r="G617" s="124">
        <v>231.7</v>
      </c>
      <c r="H617" s="53" t="s">
        <v>293</v>
      </c>
      <c r="I617" s="77">
        <v>1</v>
      </c>
    </row>
    <row r="618" spans="1:9" x14ac:dyDescent="0.3">
      <c r="A618">
        <v>2</v>
      </c>
      <c r="B618" t="s">
        <v>239</v>
      </c>
      <c r="C618" t="s">
        <v>193</v>
      </c>
      <c r="D618" t="s">
        <v>195</v>
      </c>
      <c r="E618" s="1" t="s">
        <v>78</v>
      </c>
      <c r="F618" s="31" t="s">
        <v>88</v>
      </c>
      <c r="G618" s="124">
        <v>227.5</v>
      </c>
      <c r="H618" t="s">
        <v>293</v>
      </c>
      <c r="I618" s="34">
        <v>2</v>
      </c>
    </row>
    <row r="619" spans="1:9" x14ac:dyDescent="0.3">
      <c r="A619" s="53">
        <v>11</v>
      </c>
      <c r="B619" t="s">
        <v>239</v>
      </c>
      <c r="C619" s="53" t="s">
        <v>193</v>
      </c>
      <c r="D619" s="53" t="s">
        <v>188</v>
      </c>
      <c r="E619" s="53" t="s">
        <v>78</v>
      </c>
      <c r="F619" s="57" t="s">
        <v>88</v>
      </c>
      <c r="G619" s="124">
        <v>202.5</v>
      </c>
      <c r="H619" t="s">
        <v>291</v>
      </c>
      <c r="I619" s="34">
        <v>11</v>
      </c>
    </row>
    <row r="620" spans="1:9" x14ac:dyDescent="0.3">
      <c r="A620">
        <v>5</v>
      </c>
      <c r="B620" t="s">
        <v>239</v>
      </c>
      <c r="C620" t="s">
        <v>193</v>
      </c>
      <c r="D620" t="s">
        <v>188</v>
      </c>
      <c r="E620" t="s">
        <v>78</v>
      </c>
      <c r="F620" s="57" t="s">
        <v>88</v>
      </c>
      <c r="G620" s="124">
        <v>193.8</v>
      </c>
      <c r="H620" t="s">
        <v>291</v>
      </c>
      <c r="I620" s="34">
        <v>5</v>
      </c>
    </row>
    <row r="621" spans="1:9" x14ac:dyDescent="0.3">
      <c r="A621">
        <v>10</v>
      </c>
      <c r="B621" t="s">
        <v>239</v>
      </c>
      <c r="C621" t="s">
        <v>193</v>
      </c>
      <c r="D621" t="s">
        <v>195</v>
      </c>
      <c r="E621" t="s">
        <v>78</v>
      </c>
      <c r="F621" s="57" t="s">
        <v>88</v>
      </c>
      <c r="G621" s="124">
        <v>189.75</v>
      </c>
      <c r="H621" t="s">
        <v>293</v>
      </c>
      <c r="I621" s="34">
        <v>10</v>
      </c>
    </row>
    <row r="622" spans="1:9" x14ac:dyDescent="0.3">
      <c r="A622">
        <v>6</v>
      </c>
      <c r="B622" t="s">
        <v>239</v>
      </c>
      <c r="C622" t="s">
        <v>193</v>
      </c>
      <c r="D622" t="s">
        <v>188</v>
      </c>
      <c r="E622" t="s">
        <v>78</v>
      </c>
      <c r="F622" s="57" t="s">
        <v>88</v>
      </c>
      <c r="G622" s="124">
        <v>169.2</v>
      </c>
      <c r="H622" t="s">
        <v>291</v>
      </c>
      <c r="I622" s="34">
        <v>6</v>
      </c>
    </row>
    <row r="623" spans="1:9" x14ac:dyDescent="0.3">
      <c r="A623">
        <v>5</v>
      </c>
      <c r="B623" t="s">
        <v>239</v>
      </c>
      <c r="C623" t="s">
        <v>193</v>
      </c>
      <c r="D623" t="s">
        <v>195</v>
      </c>
      <c r="E623" t="s">
        <v>78</v>
      </c>
      <c r="F623" s="57" t="s">
        <v>88</v>
      </c>
      <c r="G623" s="124">
        <v>157.5</v>
      </c>
      <c r="H623" t="s">
        <v>293</v>
      </c>
      <c r="I623" s="34">
        <v>5</v>
      </c>
    </row>
    <row r="624" spans="1:9" x14ac:dyDescent="0.3">
      <c r="A624">
        <v>12</v>
      </c>
      <c r="B624" t="s">
        <v>239</v>
      </c>
      <c r="C624" t="s">
        <v>193</v>
      </c>
      <c r="D624" t="s">
        <v>195</v>
      </c>
      <c r="E624" t="s">
        <v>78</v>
      </c>
      <c r="F624" s="57" t="s">
        <v>88</v>
      </c>
      <c r="G624" s="124">
        <v>147.67250000000001</v>
      </c>
      <c r="H624" t="s">
        <v>293</v>
      </c>
      <c r="I624" s="34">
        <v>12</v>
      </c>
    </row>
    <row r="625" spans="1:9" x14ac:dyDescent="0.3">
      <c r="A625">
        <v>9</v>
      </c>
      <c r="B625" t="s">
        <v>239</v>
      </c>
      <c r="C625" t="s">
        <v>193</v>
      </c>
      <c r="D625" t="s">
        <v>195</v>
      </c>
      <c r="E625" t="s">
        <v>78</v>
      </c>
      <c r="F625" s="57" t="s">
        <v>88</v>
      </c>
      <c r="G625" s="124">
        <v>140</v>
      </c>
      <c r="H625" t="s">
        <v>293</v>
      </c>
      <c r="I625" s="34">
        <v>9</v>
      </c>
    </row>
    <row r="626" spans="1:9" x14ac:dyDescent="0.3">
      <c r="A626">
        <v>6</v>
      </c>
      <c r="B626" t="s">
        <v>239</v>
      </c>
      <c r="C626" t="s">
        <v>193</v>
      </c>
      <c r="D626" t="s">
        <v>195</v>
      </c>
      <c r="E626" t="s">
        <v>78</v>
      </c>
      <c r="F626" s="57" t="s">
        <v>88</v>
      </c>
      <c r="G626" s="124">
        <v>129.6</v>
      </c>
      <c r="H626" t="s">
        <v>293</v>
      </c>
      <c r="I626" s="34">
        <v>6</v>
      </c>
    </row>
    <row r="627" spans="1:9" x14ac:dyDescent="0.3">
      <c r="A627">
        <v>3</v>
      </c>
      <c r="B627" t="s">
        <v>239</v>
      </c>
      <c r="C627" t="s">
        <v>193</v>
      </c>
      <c r="D627" t="s">
        <v>188</v>
      </c>
      <c r="E627" s="1" t="s">
        <v>78</v>
      </c>
      <c r="F627" s="31" t="s">
        <v>88</v>
      </c>
      <c r="G627" s="124">
        <v>116.9</v>
      </c>
      <c r="H627" t="s">
        <v>291</v>
      </c>
      <c r="I627" s="34">
        <v>3</v>
      </c>
    </row>
    <row r="628" spans="1:9" x14ac:dyDescent="0.3">
      <c r="A628">
        <v>4</v>
      </c>
      <c r="B628" t="s">
        <v>239</v>
      </c>
      <c r="C628" t="s">
        <v>193</v>
      </c>
      <c r="D628" t="s">
        <v>188</v>
      </c>
      <c r="E628" s="1" t="s">
        <v>78</v>
      </c>
      <c r="F628" s="31" t="s">
        <v>88</v>
      </c>
      <c r="G628" s="124">
        <v>106.8</v>
      </c>
      <c r="H628" t="s">
        <v>291</v>
      </c>
      <c r="I628" s="34">
        <v>4</v>
      </c>
    </row>
    <row r="629" spans="1:9" x14ac:dyDescent="0.3">
      <c r="A629">
        <v>4</v>
      </c>
      <c r="B629" t="s">
        <v>239</v>
      </c>
      <c r="C629" t="s">
        <v>193</v>
      </c>
      <c r="D629" t="s">
        <v>195</v>
      </c>
      <c r="E629" s="1" t="s">
        <v>78</v>
      </c>
      <c r="F629" s="31" t="s">
        <v>88</v>
      </c>
      <c r="G629" s="124">
        <v>96.95</v>
      </c>
      <c r="H629" t="s">
        <v>293</v>
      </c>
      <c r="I629" s="34">
        <v>4</v>
      </c>
    </row>
    <row r="630" spans="1:9" x14ac:dyDescent="0.3">
      <c r="A630">
        <v>3</v>
      </c>
      <c r="B630" t="s">
        <v>239</v>
      </c>
      <c r="C630" t="s">
        <v>193</v>
      </c>
      <c r="D630" t="s">
        <v>195</v>
      </c>
      <c r="E630" s="1" t="s">
        <v>78</v>
      </c>
      <c r="F630" s="31" t="s">
        <v>88</v>
      </c>
      <c r="G630" s="124">
        <v>92.68</v>
      </c>
      <c r="H630" t="s">
        <v>293</v>
      </c>
      <c r="I630" s="34">
        <v>3</v>
      </c>
    </row>
    <row r="631" spans="1:9" x14ac:dyDescent="0.3">
      <c r="A631" s="53">
        <v>11</v>
      </c>
      <c r="B631" t="s">
        <v>239</v>
      </c>
      <c r="C631" s="53" t="s">
        <v>193</v>
      </c>
      <c r="D631" s="53" t="s">
        <v>195</v>
      </c>
      <c r="E631" s="53" t="s">
        <v>78</v>
      </c>
      <c r="F631" s="57" t="s">
        <v>88</v>
      </c>
      <c r="G631" s="124">
        <v>85.8</v>
      </c>
      <c r="H631" t="s">
        <v>293</v>
      </c>
      <c r="I631" s="34">
        <v>11</v>
      </c>
    </row>
    <row r="632" spans="1:9" x14ac:dyDescent="0.3">
      <c r="A632">
        <v>7</v>
      </c>
      <c r="B632" t="s">
        <v>239</v>
      </c>
      <c r="C632" t="s">
        <v>191</v>
      </c>
      <c r="D632" t="s">
        <v>188</v>
      </c>
      <c r="E632" t="s">
        <v>92</v>
      </c>
      <c r="F632" s="57" t="s">
        <v>92</v>
      </c>
      <c r="G632" s="124">
        <v>2420</v>
      </c>
      <c r="H632" t="s">
        <v>295</v>
      </c>
      <c r="I632" s="34">
        <v>7</v>
      </c>
    </row>
    <row r="633" spans="1:9" x14ac:dyDescent="0.3">
      <c r="A633">
        <v>6</v>
      </c>
      <c r="B633" t="s">
        <v>239</v>
      </c>
      <c r="C633" t="s">
        <v>191</v>
      </c>
      <c r="D633" t="s">
        <v>188</v>
      </c>
      <c r="E633" t="s">
        <v>92</v>
      </c>
      <c r="F633" s="57" t="s">
        <v>92</v>
      </c>
      <c r="G633" s="124">
        <v>2100</v>
      </c>
      <c r="H633" t="s">
        <v>295</v>
      </c>
      <c r="I633" s="34">
        <v>6</v>
      </c>
    </row>
    <row r="634" spans="1:9" x14ac:dyDescent="0.3">
      <c r="A634">
        <v>8</v>
      </c>
      <c r="B634" t="s">
        <v>239</v>
      </c>
      <c r="C634" t="s">
        <v>191</v>
      </c>
      <c r="D634" t="s">
        <v>188</v>
      </c>
      <c r="E634" t="s">
        <v>92</v>
      </c>
      <c r="F634" s="57" t="s">
        <v>92</v>
      </c>
      <c r="G634" s="124">
        <v>2050</v>
      </c>
      <c r="H634" t="s">
        <v>295</v>
      </c>
      <c r="I634" s="34">
        <v>8</v>
      </c>
    </row>
    <row r="635" spans="1:9" x14ac:dyDescent="0.3">
      <c r="A635">
        <v>5</v>
      </c>
      <c r="B635" t="s">
        <v>239</v>
      </c>
      <c r="C635" t="s">
        <v>191</v>
      </c>
      <c r="D635" t="s">
        <v>188</v>
      </c>
      <c r="E635" s="1" t="s">
        <v>92</v>
      </c>
      <c r="F635" s="54" t="s">
        <v>92</v>
      </c>
      <c r="G635" s="124">
        <v>1800</v>
      </c>
      <c r="H635" t="s">
        <v>295</v>
      </c>
      <c r="I635" s="34">
        <v>5</v>
      </c>
    </row>
    <row r="636" spans="1:9" x14ac:dyDescent="0.3">
      <c r="A636">
        <v>10</v>
      </c>
      <c r="B636" t="s">
        <v>239</v>
      </c>
      <c r="C636" t="s">
        <v>191</v>
      </c>
      <c r="D636" t="s">
        <v>188</v>
      </c>
      <c r="E636" t="s">
        <v>92</v>
      </c>
      <c r="F636" s="57" t="s">
        <v>92</v>
      </c>
      <c r="G636" s="124">
        <v>1750</v>
      </c>
      <c r="H636" s="53" t="s">
        <v>295</v>
      </c>
      <c r="I636" s="77">
        <v>10</v>
      </c>
    </row>
    <row r="637" spans="1:9" x14ac:dyDescent="0.3">
      <c r="A637">
        <v>9</v>
      </c>
      <c r="B637" t="s">
        <v>239</v>
      </c>
      <c r="C637" t="s">
        <v>191</v>
      </c>
      <c r="D637" t="s">
        <v>188</v>
      </c>
      <c r="E637" t="s">
        <v>92</v>
      </c>
      <c r="F637" s="57" t="s">
        <v>92</v>
      </c>
      <c r="G637" s="124">
        <v>1650</v>
      </c>
      <c r="H637" t="s">
        <v>295</v>
      </c>
      <c r="I637" s="34">
        <v>9</v>
      </c>
    </row>
    <row r="638" spans="1:9" x14ac:dyDescent="0.3">
      <c r="A638">
        <v>9</v>
      </c>
      <c r="B638" t="s">
        <v>239</v>
      </c>
      <c r="C638" t="s">
        <v>191</v>
      </c>
      <c r="D638" t="s">
        <v>195</v>
      </c>
      <c r="E638" t="s">
        <v>92</v>
      </c>
      <c r="F638" s="57" t="s">
        <v>92</v>
      </c>
      <c r="G638" s="124">
        <v>1550</v>
      </c>
      <c r="H638" t="s">
        <v>296</v>
      </c>
      <c r="I638" s="34">
        <v>9</v>
      </c>
    </row>
    <row r="639" spans="1:9" x14ac:dyDescent="0.3">
      <c r="A639">
        <v>12</v>
      </c>
      <c r="B639" t="s">
        <v>239</v>
      </c>
      <c r="C639" t="s">
        <v>191</v>
      </c>
      <c r="D639" t="s">
        <v>188</v>
      </c>
      <c r="E639" t="s">
        <v>92</v>
      </c>
      <c r="F639" s="57" t="s">
        <v>92</v>
      </c>
      <c r="G639" s="124">
        <v>1500</v>
      </c>
      <c r="H639" s="53" t="s">
        <v>295</v>
      </c>
      <c r="I639" s="77">
        <v>12</v>
      </c>
    </row>
    <row r="640" spans="1:9" x14ac:dyDescent="0.3">
      <c r="A640" s="53">
        <v>11</v>
      </c>
      <c r="B640" t="s">
        <v>239</v>
      </c>
      <c r="C640" s="53" t="s">
        <v>191</v>
      </c>
      <c r="D640" s="53" t="s">
        <v>188</v>
      </c>
      <c r="E640" s="53" t="s">
        <v>92</v>
      </c>
      <c r="F640" s="57" t="s">
        <v>92</v>
      </c>
      <c r="G640" s="124">
        <v>1400</v>
      </c>
      <c r="H640" s="53" t="s">
        <v>295</v>
      </c>
      <c r="I640" s="77">
        <v>11</v>
      </c>
    </row>
    <row r="641" spans="1:9" x14ac:dyDescent="0.3">
      <c r="A641">
        <v>2</v>
      </c>
      <c r="B641" t="s">
        <v>239</v>
      </c>
      <c r="C641" t="s">
        <v>191</v>
      </c>
      <c r="D641" t="s">
        <v>188</v>
      </c>
      <c r="E641" s="1" t="s">
        <v>92</v>
      </c>
      <c r="F641" s="54" t="s">
        <v>92</v>
      </c>
      <c r="G641" s="124">
        <v>1350</v>
      </c>
      <c r="H641" t="s">
        <v>295</v>
      </c>
      <c r="I641" s="34">
        <v>2</v>
      </c>
    </row>
    <row r="642" spans="1:9" x14ac:dyDescent="0.3">
      <c r="A642">
        <v>7</v>
      </c>
      <c r="B642" t="s">
        <v>239</v>
      </c>
      <c r="C642" t="s">
        <v>191</v>
      </c>
      <c r="D642" t="s">
        <v>195</v>
      </c>
      <c r="E642" t="s">
        <v>92</v>
      </c>
      <c r="F642" s="57" t="s">
        <v>92</v>
      </c>
      <c r="G642" s="124">
        <v>1350</v>
      </c>
      <c r="H642" t="s">
        <v>296</v>
      </c>
      <c r="I642" s="34">
        <v>7</v>
      </c>
    </row>
    <row r="643" spans="1:9" x14ac:dyDescent="0.3">
      <c r="A643">
        <v>4</v>
      </c>
      <c r="B643" t="s">
        <v>239</v>
      </c>
      <c r="C643" t="s">
        <v>191</v>
      </c>
      <c r="D643" t="s">
        <v>188</v>
      </c>
      <c r="E643" s="1" t="s">
        <v>92</v>
      </c>
      <c r="F643" s="54" t="s">
        <v>92</v>
      </c>
      <c r="G643" s="124">
        <v>1300</v>
      </c>
      <c r="H643" t="s">
        <v>295</v>
      </c>
      <c r="I643" s="34">
        <v>4</v>
      </c>
    </row>
    <row r="644" spans="1:9" x14ac:dyDescent="0.3">
      <c r="A644">
        <v>5</v>
      </c>
      <c r="B644" t="s">
        <v>239</v>
      </c>
      <c r="C644" t="s">
        <v>191</v>
      </c>
      <c r="D644" t="s">
        <v>195</v>
      </c>
      <c r="E644" s="1" t="s">
        <v>92</v>
      </c>
      <c r="F644" s="54" t="s">
        <v>92</v>
      </c>
      <c r="G644" s="124">
        <v>1300</v>
      </c>
      <c r="H644" t="s">
        <v>296</v>
      </c>
      <c r="I644" s="34">
        <v>5</v>
      </c>
    </row>
    <row r="645" spans="1:9" x14ac:dyDescent="0.3">
      <c r="A645">
        <v>2</v>
      </c>
      <c r="B645" t="s">
        <v>239</v>
      </c>
      <c r="C645" t="s">
        <v>191</v>
      </c>
      <c r="D645" t="s">
        <v>195</v>
      </c>
      <c r="E645" s="1" t="s">
        <v>92</v>
      </c>
      <c r="F645" s="54" t="s">
        <v>92</v>
      </c>
      <c r="G645" s="124">
        <v>1250</v>
      </c>
      <c r="H645" t="s">
        <v>296</v>
      </c>
      <c r="I645" s="34">
        <v>2</v>
      </c>
    </row>
    <row r="646" spans="1:9" x14ac:dyDescent="0.3">
      <c r="A646">
        <v>1</v>
      </c>
      <c r="B646" t="s">
        <v>239</v>
      </c>
      <c r="C646" t="s">
        <v>191</v>
      </c>
      <c r="D646" t="s">
        <v>188</v>
      </c>
      <c r="E646" s="1" t="s">
        <v>92</v>
      </c>
      <c r="F646" s="54" t="s">
        <v>92</v>
      </c>
      <c r="G646" s="124">
        <v>1200</v>
      </c>
      <c r="H646" t="s">
        <v>295</v>
      </c>
      <c r="I646" s="34">
        <v>1</v>
      </c>
    </row>
    <row r="647" spans="1:9" x14ac:dyDescent="0.3">
      <c r="A647">
        <v>8</v>
      </c>
      <c r="B647" t="s">
        <v>239</v>
      </c>
      <c r="C647" t="s">
        <v>191</v>
      </c>
      <c r="D647" t="s">
        <v>195</v>
      </c>
      <c r="E647" t="s">
        <v>92</v>
      </c>
      <c r="F647" s="57" t="s">
        <v>92</v>
      </c>
      <c r="G647" s="124">
        <v>1200</v>
      </c>
      <c r="H647" t="s">
        <v>296</v>
      </c>
      <c r="I647" s="34">
        <v>8</v>
      </c>
    </row>
    <row r="648" spans="1:9" x14ac:dyDescent="0.3">
      <c r="A648">
        <v>1</v>
      </c>
      <c r="B648" t="s">
        <v>239</v>
      </c>
      <c r="C648" t="s">
        <v>191</v>
      </c>
      <c r="D648" t="s">
        <v>195</v>
      </c>
      <c r="E648" s="1" t="s">
        <v>92</v>
      </c>
      <c r="F648" s="54" t="s">
        <v>92</v>
      </c>
      <c r="G648" s="124">
        <v>1150</v>
      </c>
      <c r="H648" t="s">
        <v>296</v>
      </c>
      <c r="I648" s="34">
        <v>1</v>
      </c>
    </row>
    <row r="649" spans="1:9" x14ac:dyDescent="0.3">
      <c r="A649">
        <v>6</v>
      </c>
      <c r="B649" t="s">
        <v>239</v>
      </c>
      <c r="C649" t="s">
        <v>191</v>
      </c>
      <c r="D649" t="s">
        <v>195</v>
      </c>
      <c r="E649" t="s">
        <v>92</v>
      </c>
      <c r="F649" s="57" t="s">
        <v>92</v>
      </c>
      <c r="G649" s="124">
        <v>1100</v>
      </c>
      <c r="H649" t="s">
        <v>296</v>
      </c>
      <c r="I649" s="34">
        <v>6</v>
      </c>
    </row>
    <row r="650" spans="1:9" x14ac:dyDescent="0.3">
      <c r="A650">
        <v>12</v>
      </c>
      <c r="B650" t="s">
        <v>239</v>
      </c>
      <c r="C650" t="s">
        <v>191</v>
      </c>
      <c r="D650" t="s">
        <v>195</v>
      </c>
      <c r="E650" t="s">
        <v>92</v>
      </c>
      <c r="F650" s="57" t="s">
        <v>92</v>
      </c>
      <c r="G650" s="124">
        <v>1100</v>
      </c>
      <c r="H650" t="s">
        <v>296</v>
      </c>
      <c r="I650" s="34">
        <v>12</v>
      </c>
    </row>
    <row r="651" spans="1:9" x14ac:dyDescent="0.3">
      <c r="A651">
        <v>10</v>
      </c>
      <c r="B651" t="s">
        <v>239</v>
      </c>
      <c r="C651" t="s">
        <v>191</v>
      </c>
      <c r="D651" t="s">
        <v>195</v>
      </c>
      <c r="E651" t="s">
        <v>92</v>
      </c>
      <c r="F651" s="57" t="s">
        <v>92</v>
      </c>
      <c r="G651" s="124">
        <v>1050</v>
      </c>
      <c r="H651" t="s">
        <v>296</v>
      </c>
      <c r="I651" s="34">
        <v>10</v>
      </c>
    </row>
    <row r="652" spans="1:9" x14ac:dyDescent="0.3">
      <c r="A652">
        <v>4</v>
      </c>
      <c r="B652" t="s">
        <v>239</v>
      </c>
      <c r="C652" t="s">
        <v>191</v>
      </c>
      <c r="D652" t="s">
        <v>195</v>
      </c>
      <c r="E652" s="1" t="s">
        <v>92</v>
      </c>
      <c r="F652" s="54" t="s">
        <v>92</v>
      </c>
      <c r="G652" s="124">
        <v>1000</v>
      </c>
      <c r="H652" t="s">
        <v>296</v>
      </c>
      <c r="I652" s="34">
        <v>4</v>
      </c>
    </row>
    <row r="653" spans="1:9" x14ac:dyDescent="0.3">
      <c r="A653" s="53">
        <v>11</v>
      </c>
      <c r="B653" t="s">
        <v>239</v>
      </c>
      <c r="C653" s="53" t="s">
        <v>191</v>
      </c>
      <c r="D653" s="53" t="s">
        <v>195</v>
      </c>
      <c r="E653" s="53" t="s">
        <v>92</v>
      </c>
      <c r="F653" s="57" t="s">
        <v>92</v>
      </c>
      <c r="G653" s="124">
        <v>900</v>
      </c>
      <c r="H653" t="s">
        <v>296</v>
      </c>
      <c r="I653" s="34">
        <v>11</v>
      </c>
    </row>
    <row r="654" spans="1:9" x14ac:dyDescent="0.3">
      <c r="A654">
        <v>3</v>
      </c>
      <c r="B654" t="s">
        <v>239</v>
      </c>
      <c r="C654" t="s">
        <v>191</v>
      </c>
      <c r="D654" t="s">
        <v>188</v>
      </c>
      <c r="E654" s="1" t="s">
        <v>92</v>
      </c>
      <c r="F654" s="54" t="s">
        <v>92</v>
      </c>
      <c r="G654" s="124">
        <v>750</v>
      </c>
      <c r="H654" t="s">
        <v>295</v>
      </c>
      <c r="I654" s="34">
        <v>3</v>
      </c>
    </row>
    <row r="655" spans="1:9" x14ac:dyDescent="0.3">
      <c r="A655">
        <v>3</v>
      </c>
      <c r="B655" t="s">
        <v>239</v>
      </c>
      <c r="C655" t="s">
        <v>191</v>
      </c>
      <c r="D655" t="s">
        <v>195</v>
      </c>
      <c r="E655" s="1" t="s">
        <v>92</v>
      </c>
      <c r="F655" s="54" t="s">
        <v>92</v>
      </c>
      <c r="G655" s="124">
        <v>750</v>
      </c>
      <c r="H655" t="s">
        <v>296</v>
      </c>
      <c r="I655" s="34">
        <v>3</v>
      </c>
    </row>
    <row r="656" spans="1:9" x14ac:dyDescent="0.3">
      <c r="A656">
        <v>7</v>
      </c>
      <c r="B656" t="s">
        <v>239</v>
      </c>
      <c r="C656" t="s">
        <v>193</v>
      </c>
      <c r="D656" t="s">
        <v>188</v>
      </c>
      <c r="E656" t="s">
        <v>92</v>
      </c>
      <c r="F656" s="57" t="s">
        <v>92</v>
      </c>
      <c r="G656" s="124">
        <v>576.928</v>
      </c>
      <c r="H656" t="s">
        <v>297</v>
      </c>
      <c r="I656" s="34">
        <v>7</v>
      </c>
    </row>
    <row r="657" spans="1:9" x14ac:dyDescent="0.3">
      <c r="A657">
        <v>8</v>
      </c>
      <c r="B657" t="s">
        <v>239</v>
      </c>
      <c r="C657" t="s">
        <v>193</v>
      </c>
      <c r="D657" t="s">
        <v>188</v>
      </c>
      <c r="E657" t="s">
        <v>92</v>
      </c>
      <c r="F657" s="57" t="s">
        <v>92</v>
      </c>
      <c r="G657" s="124">
        <v>542.02</v>
      </c>
      <c r="H657" s="53" t="s">
        <v>297</v>
      </c>
      <c r="I657" s="77">
        <v>8</v>
      </c>
    </row>
    <row r="658" spans="1:9" x14ac:dyDescent="0.3">
      <c r="A658">
        <v>6</v>
      </c>
      <c r="B658" t="s">
        <v>239</v>
      </c>
      <c r="C658" t="s">
        <v>193</v>
      </c>
      <c r="D658" t="s">
        <v>188</v>
      </c>
      <c r="E658" t="s">
        <v>92</v>
      </c>
      <c r="F658" s="57" t="s">
        <v>92</v>
      </c>
      <c r="G658" s="124">
        <v>431.34</v>
      </c>
      <c r="H658" t="s">
        <v>297</v>
      </c>
      <c r="I658" s="34">
        <v>6</v>
      </c>
    </row>
    <row r="659" spans="1:9" x14ac:dyDescent="0.3">
      <c r="A659">
        <v>10</v>
      </c>
      <c r="B659" t="s">
        <v>239</v>
      </c>
      <c r="C659" t="s">
        <v>193</v>
      </c>
      <c r="D659" t="s">
        <v>188</v>
      </c>
      <c r="E659" t="s">
        <v>92</v>
      </c>
      <c r="F659" s="57" t="s">
        <v>92</v>
      </c>
      <c r="G659" s="124">
        <v>411.25</v>
      </c>
      <c r="H659" t="s">
        <v>297</v>
      </c>
      <c r="I659" s="34">
        <v>10</v>
      </c>
    </row>
    <row r="660" spans="1:9" x14ac:dyDescent="0.3">
      <c r="A660">
        <v>5</v>
      </c>
      <c r="B660" t="s">
        <v>239</v>
      </c>
      <c r="C660" t="s">
        <v>193</v>
      </c>
      <c r="D660" t="s">
        <v>188</v>
      </c>
      <c r="E660" t="s">
        <v>92</v>
      </c>
      <c r="F660" s="57" t="s">
        <v>92</v>
      </c>
      <c r="G660" s="124">
        <v>381.6</v>
      </c>
      <c r="H660" t="s">
        <v>297</v>
      </c>
      <c r="I660" s="34">
        <v>5</v>
      </c>
    </row>
    <row r="661" spans="1:9" x14ac:dyDescent="0.3">
      <c r="A661">
        <v>9</v>
      </c>
      <c r="B661" t="s">
        <v>239</v>
      </c>
      <c r="C661" t="s">
        <v>193</v>
      </c>
      <c r="D661" t="s">
        <v>188</v>
      </c>
      <c r="E661" t="s">
        <v>92</v>
      </c>
      <c r="F661" s="57" t="s">
        <v>92</v>
      </c>
      <c r="G661" s="124">
        <v>320.10000000000002</v>
      </c>
      <c r="H661" t="s">
        <v>297</v>
      </c>
      <c r="I661" s="34">
        <v>9</v>
      </c>
    </row>
    <row r="662" spans="1:9" x14ac:dyDescent="0.3">
      <c r="A662">
        <v>12</v>
      </c>
      <c r="B662" t="s">
        <v>239</v>
      </c>
      <c r="C662" t="s">
        <v>193</v>
      </c>
      <c r="D662" t="s">
        <v>188</v>
      </c>
      <c r="E662" t="s">
        <v>92</v>
      </c>
      <c r="F662" s="57" t="s">
        <v>92</v>
      </c>
      <c r="G662" s="124">
        <v>300.59550000000002</v>
      </c>
      <c r="H662" s="53" t="s">
        <v>297</v>
      </c>
      <c r="I662" s="77">
        <v>12</v>
      </c>
    </row>
    <row r="663" spans="1:9" x14ac:dyDescent="0.3">
      <c r="A663">
        <v>7</v>
      </c>
      <c r="B663" t="s">
        <v>239</v>
      </c>
      <c r="C663" t="s">
        <v>193</v>
      </c>
      <c r="D663" t="s">
        <v>195</v>
      </c>
      <c r="E663" t="s">
        <v>92</v>
      </c>
      <c r="F663" s="57" t="s">
        <v>92</v>
      </c>
      <c r="G663" s="124">
        <v>289.44</v>
      </c>
      <c r="H663" t="s">
        <v>298</v>
      </c>
      <c r="I663" s="34">
        <v>7</v>
      </c>
    </row>
    <row r="664" spans="1:9" x14ac:dyDescent="0.3">
      <c r="A664">
        <v>9</v>
      </c>
      <c r="B664" t="s">
        <v>239</v>
      </c>
      <c r="C664" t="s">
        <v>193</v>
      </c>
      <c r="D664" t="s">
        <v>195</v>
      </c>
      <c r="E664" t="s">
        <v>92</v>
      </c>
      <c r="F664" s="57" t="s">
        <v>92</v>
      </c>
      <c r="G664" s="124">
        <v>282.10000000000002</v>
      </c>
      <c r="H664" t="s">
        <v>298</v>
      </c>
      <c r="I664" s="34">
        <v>9</v>
      </c>
    </row>
    <row r="665" spans="1:9" x14ac:dyDescent="0.3">
      <c r="A665">
        <v>2</v>
      </c>
      <c r="B665" t="s">
        <v>239</v>
      </c>
      <c r="C665" t="s">
        <v>193</v>
      </c>
      <c r="D665" t="s">
        <v>188</v>
      </c>
      <c r="E665" s="1" t="s">
        <v>92</v>
      </c>
      <c r="F665" s="31" t="s">
        <v>92</v>
      </c>
      <c r="G665" s="124">
        <v>271.35000000000002</v>
      </c>
      <c r="H665" t="s">
        <v>297</v>
      </c>
      <c r="I665" s="34">
        <v>2</v>
      </c>
    </row>
    <row r="666" spans="1:9" x14ac:dyDescent="0.3">
      <c r="A666">
        <v>8</v>
      </c>
      <c r="B666" t="s">
        <v>239</v>
      </c>
      <c r="C666" t="s">
        <v>193</v>
      </c>
      <c r="D666" t="s">
        <v>195</v>
      </c>
      <c r="E666" t="s">
        <v>92</v>
      </c>
      <c r="F666" s="57" t="s">
        <v>92</v>
      </c>
      <c r="G666" s="124">
        <v>270.36</v>
      </c>
      <c r="H666" t="s">
        <v>298</v>
      </c>
      <c r="I666" s="34">
        <v>8</v>
      </c>
    </row>
    <row r="667" spans="1:9" x14ac:dyDescent="0.3">
      <c r="A667" s="53">
        <v>11</v>
      </c>
      <c r="B667" t="s">
        <v>239</v>
      </c>
      <c r="C667" s="53" t="s">
        <v>193</v>
      </c>
      <c r="D667" s="53" t="s">
        <v>188</v>
      </c>
      <c r="E667" s="53" t="s">
        <v>92</v>
      </c>
      <c r="F667" s="57" t="s">
        <v>92</v>
      </c>
      <c r="G667" s="124">
        <v>270.2</v>
      </c>
      <c r="H667" s="53" t="s">
        <v>297</v>
      </c>
      <c r="I667" s="77">
        <v>11</v>
      </c>
    </row>
    <row r="668" spans="1:9" x14ac:dyDescent="0.3">
      <c r="A668">
        <v>8</v>
      </c>
      <c r="B668" t="s">
        <v>239</v>
      </c>
      <c r="C668" t="s">
        <v>192</v>
      </c>
      <c r="D668" t="s">
        <v>188</v>
      </c>
      <c r="E668" t="s">
        <v>92</v>
      </c>
      <c r="F668" s="57" t="s">
        <v>92</v>
      </c>
      <c r="G668" s="124">
        <v>264.39999999999998</v>
      </c>
      <c r="H668" t="s">
        <v>299</v>
      </c>
      <c r="I668" s="34">
        <v>8</v>
      </c>
    </row>
    <row r="669" spans="1:9" x14ac:dyDescent="0.3">
      <c r="A669">
        <v>1</v>
      </c>
      <c r="B669" t="s">
        <v>239</v>
      </c>
      <c r="C669" t="s">
        <v>193</v>
      </c>
      <c r="D669" t="s">
        <v>188</v>
      </c>
      <c r="E669" s="1" t="s">
        <v>92</v>
      </c>
      <c r="F669" s="32" t="s">
        <v>92</v>
      </c>
      <c r="G669" s="124">
        <v>253.2</v>
      </c>
      <c r="H669" t="s">
        <v>297</v>
      </c>
      <c r="I669" s="34">
        <v>1</v>
      </c>
    </row>
    <row r="670" spans="1:9" x14ac:dyDescent="0.3">
      <c r="A670">
        <v>5</v>
      </c>
      <c r="B670" t="s">
        <v>239</v>
      </c>
      <c r="C670" t="s">
        <v>193</v>
      </c>
      <c r="D670" t="s">
        <v>195</v>
      </c>
      <c r="E670" t="s">
        <v>92</v>
      </c>
      <c r="F670" s="57" t="s">
        <v>92</v>
      </c>
      <c r="G670" s="124">
        <v>243.1</v>
      </c>
      <c r="H670" t="s">
        <v>298</v>
      </c>
      <c r="I670" s="34">
        <v>5</v>
      </c>
    </row>
    <row r="671" spans="1:9" x14ac:dyDescent="0.3">
      <c r="A671">
        <v>4</v>
      </c>
      <c r="B671" t="s">
        <v>239</v>
      </c>
      <c r="C671" t="s">
        <v>193</v>
      </c>
      <c r="D671" t="s">
        <v>188</v>
      </c>
      <c r="E671" s="1" t="s">
        <v>92</v>
      </c>
      <c r="F671" s="54" t="s">
        <v>92</v>
      </c>
      <c r="G671" s="124">
        <v>240.5</v>
      </c>
      <c r="H671" t="s">
        <v>297</v>
      </c>
      <c r="I671" s="34">
        <v>4</v>
      </c>
    </row>
    <row r="672" spans="1:9" x14ac:dyDescent="0.3">
      <c r="A672">
        <v>7</v>
      </c>
      <c r="B672" t="s">
        <v>239</v>
      </c>
      <c r="C672" t="s">
        <v>192</v>
      </c>
      <c r="D672" t="s">
        <v>188</v>
      </c>
      <c r="E672" t="s">
        <v>92</v>
      </c>
      <c r="F672" s="57" t="s">
        <v>92</v>
      </c>
      <c r="G672" s="124">
        <v>238.4</v>
      </c>
      <c r="H672" t="s">
        <v>299</v>
      </c>
      <c r="I672" s="34">
        <v>7</v>
      </c>
    </row>
    <row r="673" spans="1:9" x14ac:dyDescent="0.3">
      <c r="A673">
        <v>10</v>
      </c>
      <c r="B673" t="s">
        <v>239</v>
      </c>
      <c r="C673" t="s">
        <v>192</v>
      </c>
      <c r="D673" t="s">
        <v>188</v>
      </c>
      <c r="E673" t="s">
        <v>92</v>
      </c>
      <c r="F673" s="57" t="s">
        <v>92</v>
      </c>
      <c r="G673" s="124">
        <v>235</v>
      </c>
      <c r="H673" s="53" t="s">
        <v>299</v>
      </c>
      <c r="I673" s="77">
        <v>10</v>
      </c>
    </row>
    <row r="674" spans="1:9" x14ac:dyDescent="0.3">
      <c r="A674">
        <v>2</v>
      </c>
      <c r="B674" t="s">
        <v>239</v>
      </c>
      <c r="C674" t="s">
        <v>193</v>
      </c>
      <c r="D674" t="s">
        <v>195</v>
      </c>
      <c r="E674" s="1" t="s">
        <v>92</v>
      </c>
      <c r="F674" s="31" t="s">
        <v>92</v>
      </c>
      <c r="G674" s="124">
        <v>229.25</v>
      </c>
      <c r="H674" t="s">
        <v>298</v>
      </c>
      <c r="I674" s="34">
        <v>2</v>
      </c>
    </row>
    <row r="675" spans="1:9" x14ac:dyDescent="0.3">
      <c r="A675">
        <v>8</v>
      </c>
      <c r="B675" t="s">
        <v>239</v>
      </c>
      <c r="C675" t="s">
        <v>192</v>
      </c>
      <c r="D675" t="s">
        <v>195</v>
      </c>
      <c r="E675" t="s">
        <v>92</v>
      </c>
      <c r="F675" s="57" t="s">
        <v>92</v>
      </c>
      <c r="G675" s="124">
        <v>225.3</v>
      </c>
      <c r="H675" t="s">
        <v>300</v>
      </c>
      <c r="I675" s="34">
        <v>8</v>
      </c>
    </row>
    <row r="676" spans="1:9" x14ac:dyDescent="0.3">
      <c r="A676">
        <v>3</v>
      </c>
      <c r="B676" t="s">
        <v>239</v>
      </c>
      <c r="C676" t="s">
        <v>192</v>
      </c>
      <c r="D676" t="s">
        <v>188</v>
      </c>
      <c r="E676" s="1" t="s">
        <v>92</v>
      </c>
      <c r="F676" s="31" t="s">
        <v>92</v>
      </c>
      <c r="G676" s="124">
        <v>223</v>
      </c>
      <c r="H676" t="s">
        <v>299</v>
      </c>
      <c r="I676" s="34">
        <v>3</v>
      </c>
    </row>
    <row r="677" spans="1:9" x14ac:dyDescent="0.3">
      <c r="A677">
        <v>7</v>
      </c>
      <c r="B677" t="s">
        <v>239</v>
      </c>
      <c r="C677" t="s">
        <v>192</v>
      </c>
      <c r="D677" t="s">
        <v>195</v>
      </c>
      <c r="E677" t="s">
        <v>92</v>
      </c>
      <c r="F677" s="57" t="s">
        <v>92</v>
      </c>
      <c r="G677" s="124">
        <v>214.4</v>
      </c>
      <c r="H677" t="s">
        <v>300</v>
      </c>
      <c r="I677" s="34">
        <v>7</v>
      </c>
    </row>
    <row r="678" spans="1:9" x14ac:dyDescent="0.3">
      <c r="A678">
        <v>5</v>
      </c>
      <c r="B678" t="s">
        <v>239</v>
      </c>
      <c r="C678" t="s">
        <v>192</v>
      </c>
      <c r="D678" t="s">
        <v>188</v>
      </c>
      <c r="E678" t="s">
        <v>92</v>
      </c>
      <c r="F678" s="57" t="s">
        <v>92</v>
      </c>
      <c r="G678" s="124">
        <v>212</v>
      </c>
      <c r="H678" t="s">
        <v>299</v>
      </c>
      <c r="I678" s="34">
        <v>5</v>
      </c>
    </row>
    <row r="679" spans="1:9" x14ac:dyDescent="0.3">
      <c r="A679">
        <v>1</v>
      </c>
      <c r="B679" t="s">
        <v>239</v>
      </c>
      <c r="C679" t="s">
        <v>192</v>
      </c>
      <c r="D679" t="s">
        <v>188</v>
      </c>
      <c r="E679" s="1" t="s">
        <v>92</v>
      </c>
      <c r="F679" s="32" t="s">
        <v>92</v>
      </c>
      <c r="G679" s="124">
        <v>211</v>
      </c>
      <c r="H679" t="s">
        <v>299</v>
      </c>
      <c r="I679" s="34">
        <v>1</v>
      </c>
    </row>
    <row r="680" spans="1:9" x14ac:dyDescent="0.3">
      <c r="A680">
        <v>1</v>
      </c>
      <c r="B680" t="s">
        <v>239</v>
      </c>
      <c r="C680" t="s">
        <v>193</v>
      </c>
      <c r="D680" t="s">
        <v>195</v>
      </c>
      <c r="E680" s="1" t="s">
        <v>92</v>
      </c>
      <c r="F680" s="32" t="s">
        <v>92</v>
      </c>
      <c r="G680" s="124">
        <v>209.3</v>
      </c>
      <c r="H680" t="s">
        <v>298</v>
      </c>
      <c r="I680" s="34">
        <v>1</v>
      </c>
    </row>
    <row r="681" spans="1:9" x14ac:dyDescent="0.3">
      <c r="A681">
        <v>6</v>
      </c>
      <c r="B681" t="s">
        <v>239</v>
      </c>
      <c r="C681" t="s">
        <v>192</v>
      </c>
      <c r="D681" t="s">
        <v>188</v>
      </c>
      <c r="E681" t="s">
        <v>92</v>
      </c>
      <c r="F681" s="57" t="s">
        <v>92</v>
      </c>
      <c r="G681" s="124">
        <v>205.4</v>
      </c>
      <c r="H681" s="53" t="s">
        <v>299</v>
      </c>
      <c r="I681" s="77">
        <v>6</v>
      </c>
    </row>
    <row r="682" spans="1:9" x14ac:dyDescent="0.3">
      <c r="A682">
        <v>6</v>
      </c>
      <c r="B682" t="s">
        <v>239</v>
      </c>
      <c r="C682" t="s">
        <v>193</v>
      </c>
      <c r="D682" t="s">
        <v>195</v>
      </c>
      <c r="E682" t="s">
        <v>92</v>
      </c>
      <c r="F682" s="57" t="s">
        <v>92</v>
      </c>
      <c r="G682" s="124">
        <v>203.94</v>
      </c>
      <c r="H682" t="s">
        <v>298</v>
      </c>
      <c r="I682" s="34">
        <v>6</v>
      </c>
    </row>
    <row r="683" spans="1:9" x14ac:dyDescent="0.3">
      <c r="A683">
        <v>2</v>
      </c>
      <c r="B683" t="s">
        <v>239</v>
      </c>
      <c r="C683" t="s">
        <v>192</v>
      </c>
      <c r="D683" t="s">
        <v>188</v>
      </c>
      <c r="E683" s="1" t="s">
        <v>92</v>
      </c>
      <c r="F683" s="32" t="s">
        <v>92</v>
      </c>
      <c r="G683" s="124">
        <v>201</v>
      </c>
      <c r="H683" t="s">
        <v>299</v>
      </c>
      <c r="I683" s="34">
        <v>2</v>
      </c>
    </row>
    <row r="684" spans="1:9" x14ac:dyDescent="0.3">
      <c r="A684">
        <v>12</v>
      </c>
      <c r="B684" t="s">
        <v>239</v>
      </c>
      <c r="C684" t="s">
        <v>192</v>
      </c>
      <c r="D684" t="s">
        <v>188</v>
      </c>
      <c r="E684" t="s">
        <v>92</v>
      </c>
      <c r="F684" s="57" t="s">
        <v>92</v>
      </c>
      <c r="G684" s="124">
        <v>200.39699999999999</v>
      </c>
      <c r="H684" t="s">
        <v>299</v>
      </c>
      <c r="I684" s="34">
        <v>12</v>
      </c>
    </row>
    <row r="685" spans="1:9" x14ac:dyDescent="0.3">
      <c r="A685">
        <v>12</v>
      </c>
      <c r="B685" t="s">
        <v>239</v>
      </c>
      <c r="C685" t="s">
        <v>193</v>
      </c>
      <c r="D685" t="s">
        <v>195</v>
      </c>
      <c r="E685" t="s">
        <v>92</v>
      </c>
      <c r="F685" s="57" t="s">
        <v>92</v>
      </c>
      <c r="G685" s="124">
        <v>197.55449999999999</v>
      </c>
      <c r="H685" t="s">
        <v>298</v>
      </c>
      <c r="I685" s="34">
        <v>12</v>
      </c>
    </row>
    <row r="686" spans="1:9" x14ac:dyDescent="0.3">
      <c r="A686">
        <v>10</v>
      </c>
      <c r="B686" t="s">
        <v>239</v>
      </c>
      <c r="C686" t="s">
        <v>193</v>
      </c>
      <c r="D686" t="s">
        <v>195</v>
      </c>
      <c r="E686" t="s">
        <v>92</v>
      </c>
      <c r="F686" s="57" t="s">
        <v>92</v>
      </c>
      <c r="G686" s="124">
        <v>194.25</v>
      </c>
      <c r="H686" t="s">
        <v>298</v>
      </c>
      <c r="I686" s="34">
        <v>10</v>
      </c>
    </row>
    <row r="687" spans="1:9" x14ac:dyDescent="0.3">
      <c r="A687">
        <v>9</v>
      </c>
      <c r="B687" t="s">
        <v>239</v>
      </c>
      <c r="C687" t="s">
        <v>192</v>
      </c>
      <c r="D687" t="s">
        <v>188</v>
      </c>
      <c r="E687" t="s">
        <v>92</v>
      </c>
      <c r="F687" s="57" t="s">
        <v>92</v>
      </c>
      <c r="G687" s="124">
        <v>194</v>
      </c>
      <c r="H687" t="s">
        <v>299</v>
      </c>
      <c r="I687" s="34">
        <v>9</v>
      </c>
    </row>
    <row r="688" spans="1:9" x14ac:dyDescent="0.3">
      <c r="A688" s="53">
        <v>11</v>
      </c>
      <c r="B688" t="s">
        <v>239</v>
      </c>
      <c r="C688" s="53" t="s">
        <v>192</v>
      </c>
      <c r="D688" s="53" t="s">
        <v>188</v>
      </c>
      <c r="E688" s="53" t="s">
        <v>92</v>
      </c>
      <c r="F688" s="57" t="s">
        <v>92</v>
      </c>
      <c r="G688" s="124">
        <v>193</v>
      </c>
      <c r="H688" s="53" t="s">
        <v>299</v>
      </c>
      <c r="I688" s="77">
        <v>11</v>
      </c>
    </row>
    <row r="689" spans="1:9" x14ac:dyDescent="0.3">
      <c r="A689">
        <v>5</v>
      </c>
      <c r="B689" t="s">
        <v>239</v>
      </c>
      <c r="C689" t="s">
        <v>192</v>
      </c>
      <c r="D689" t="s">
        <v>195</v>
      </c>
      <c r="E689" t="s">
        <v>92</v>
      </c>
      <c r="F689" s="57" t="s">
        <v>92</v>
      </c>
      <c r="G689" s="124">
        <v>187</v>
      </c>
      <c r="H689" t="s">
        <v>300</v>
      </c>
      <c r="I689" s="34">
        <v>5</v>
      </c>
    </row>
    <row r="690" spans="1:9" x14ac:dyDescent="0.3">
      <c r="A690">
        <v>6</v>
      </c>
      <c r="B690" t="s">
        <v>239</v>
      </c>
      <c r="C690" t="s">
        <v>192</v>
      </c>
      <c r="D690" t="s">
        <v>195</v>
      </c>
      <c r="E690" t="s">
        <v>92</v>
      </c>
      <c r="F690" s="57" t="s">
        <v>92</v>
      </c>
      <c r="G690" s="124">
        <v>185.4</v>
      </c>
      <c r="H690" t="s">
        <v>300</v>
      </c>
      <c r="I690" s="34">
        <v>6</v>
      </c>
    </row>
    <row r="691" spans="1:9" x14ac:dyDescent="0.3">
      <c r="A691">
        <v>4</v>
      </c>
      <c r="B691" t="s">
        <v>239</v>
      </c>
      <c r="C691" t="s">
        <v>192</v>
      </c>
      <c r="D691" t="s">
        <v>188</v>
      </c>
      <c r="E691" s="1" t="s">
        <v>92</v>
      </c>
      <c r="F691" s="54" t="s">
        <v>92</v>
      </c>
      <c r="G691" s="124">
        <v>185</v>
      </c>
      <c r="H691" t="s">
        <v>299</v>
      </c>
      <c r="I691" s="34">
        <v>4</v>
      </c>
    </row>
    <row r="692" spans="1:9" x14ac:dyDescent="0.3">
      <c r="A692">
        <v>10</v>
      </c>
      <c r="B692" t="s">
        <v>239</v>
      </c>
      <c r="C692" t="s">
        <v>192</v>
      </c>
      <c r="D692" t="s">
        <v>195</v>
      </c>
      <c r="E692" t="s">
        <v>92</v>
      </c>
      <c r="F692" s="57" t="s">
        <v>92</v>
      </c>
      <c r="G692" s="124">
        <v>185</v>
      </c>
      <c r="H692" t="s">
        <v>300</v>
      </c>
      <c r="I692" s="34">
        <v>10</v>
      </c>
    </row>
    <row r="693" spans="1:9" x14ac:dyDescent="0.3">
      <c r="A693">
        <v>2</v>
      </c>
      <c r="B693" t="s">
        <v>239</v>
      </c>
      <c r="C693" t="s">
        <v>192</v>
      </c>
      <c r="D693" t="s">
        <v>195</v>
      </c>
      <c r="E693" s="1" t="s">
        <v>92</v>
      </c>
      <c r="F693" s="32" t="s">
        <v>92</v>
      </c>
      <c r="G693" s="124">
        <v>183.4</v>
      </c>
      <c r="H693" t="s">
        <v>300</v>
      </c>
      <c r="I693" s="34">
        <v>2</v>
      </c>
    </row>
    <row r="694" spans="1:9" x14ac:dyDescent="0.3">
      <c r="A694">
        <v>1</v>
      </c>
      <c r="B694" t="s">
        <v>239</v>
      </c>
      <c r="C694" t="s">
        <v>192</v>
      </c>
      <c r="D694" t="s">
        <v>195</v>
      </c>
      <c r="E694" s="1" t="s">
        <v>92</v>
      </c>
      <c r="F694" s="32" t="s">
        <v>92</v>
      </c>
      <c r="G694" s="124">
        <v>182</v>
      </c>
      <c r="H694" t="s">
        <v>300</v>
      </c>
      <c r="I694" s="34">
        <v>1</v>
      </c>
    </row>
    <row r="695" spans="1:9" x14ac:dyDescent="0.3">
      <c r="A695">
        <v>9</v>
      </c>
      <c r="B695" t="s">
        <v>239</v>
      </c>
      <c r="C695" t="s">
        <v>192</v>
      </c>
      <c r="D695" t="s">
        <v>195</v>
      </c>
      <c r="E695" t="s">
        <v>92</v>
      </c>
      <c r="F695" s="57" t="s">
        <v>92</v>
      </c>
      <c r="G695" s="124">
        <v>182</v>
      </c>
      <c r="H695" t="s">
        <v>300</v>
      </c>
      <c r="I695" s="34">
        <v>9</v>
      </c>
    </row>
    <row r="696" spans="1:9" x14ac:dyDescent="0.3">
      <c r="A696">
        <v>12</v>
      </c>
      <c r="B696" t="s">
        <v>239</v>
      </c>
      <c r="C696" t="s">
        <v>192</v>
      </c>
      <c r="D696" t="s">
        <v>195</v>
      </c>
      <c r="E696" t="s">
        <v>92</v>
      </c>
      <c r="F696" s="57" t="s">
        <v>92</v>
      </c>
      <c r="G696" s="124">
        <v>179.595</v>
      </c>
      <c r="H696" t="s">
        <v>300</v>
      </c>
      <c r="I696" s="34">
        <v>12</v>
      </c>
    </row>
    <row r="697" spans="1:9" x14ac:dyDescent="0.3">
      <c r="A697" s="53">
        <v>11</v>
      </c>
      <c r="B697" t="s">
        <v>239</v>
      </c>
      <c r="C697" s="53" t="s">
        <v>192</v>
      </c>
      <c r="D697" s="53" t="s">
        <v>195</v>
      </c>
      <c r="E697" s="53" t="s">
        <v>92</v>
      </c>
      <c r="F697" s="57" t="s">
        <v>92</v>
      </c>
      <c r="G697" s="124">
        <v>175</v>
      </c>
      <c r="H697" t="s">
        <v>300</v>
      </c>
      <c r="I697" s="34">
        <v>11</v>
      </c>
    </row>
    <row r="698" spans="1:9" x14ac:dyDescent="0.3">
      <c r="A698">
        <v>3</v>
      </c>
      <c r="B698" t="s">
        <v>239</v>
      </c>
      <c r="C698" t="s">
        <v>192</v>
      </c>
      <c r="D698" t="s">
        <v>195</v>
      </c>
      <c r="E698" s="1" t="s">
        <v>92</v>
      </c>
      <c r="F698" s="31" t="s">
        <v>92</v>
      </c>
      <c r="G698" s="124">
        <v>172</v>
      </c>
      <c r="H698" t="s">
        <v>300</v>
      </c>
      <c r="I698" s="34">
        <v>3</v>
      </c>
    </row>
    <row r="699" spans="1:9" x14ac:dyDescent="0.3">
      <c r="A699">
        <v>3</v>
      </c>
      <c r="B699" t="s">
        <v>239</v>
      </c>
      <c r="C699" t="s">
        <v>193</v>
      </c>
      <c r="D699" t="s">
        <v>188</v>
      </c>
      <c r="E699" s="1" t="s">
        <v>92</v>
      </c>
      <c r="F699" s="32" t="s">
        <v>92</v>
      </c>
      <c r="G699" s="124">
        <v>167.25</v>
      </c>
      <c r="H699" t="s">
        <v>297</v>
      </c>
      <c r="I699" s="34">
        <v>3</v>
      </c>
    </row>
    <row r="700" spans="1:9" x14ac:dyDescent="0.3">
      <c r="A700">
        <v>4</v>
      </c>
      <c r="B700" t="s">
        <v>239</v>
      </c>
      <c r="C700" t="s">
        <v>192</v>
      </c>
      <c r="D700" t="s">
        <v>195</v>
      </c>
      <c r="E700" s="1" t="s">
        <v>92</v>
      </c>
      <c r="F700" s="54" t="s">
        <v>92</v>
      </c>
      <c r="G700" s="124">
        <v>164</v>
      </c>
      <c r="H700" t="s">
        <v>300</v>
      </c>
      <c r="I700" s="34">
        <v>4</v>
      </c>
    </row>
    <row r="701" spans="1:9" x14ac:dyDescent="0.3">
      <c r="A701">
        <v>4</v>
      </c>
      <c r="B701" t="s">
        <v>239</v>
      </c>
      <c r="C701" t="s">
        <v>193</v>
      </c>
      <c r="D701" t="s">
        <v>195</v>
      </c>
      <c r="E701" s="1" t="s">
        <v>92</v>
      </c>
      <c r="F701" s="54" t="s">
        <v>92</v>
      </c>
      <c r="G701" s="124">
        <v>164</v>
      </c>
      <c r="H701" t="s">
        <v>298</v>
      </c>
      <c r="I701" s="34">
        <v>4</v>
      </c>
    </row>
    <row r="702" spans="1:9" x14ac:dyDescent="0.3">
      <c r="A702" s="53">
        <v>11</v>
      </c>
      <c r="B702" t="s">
        <v>239</v>
      </c>
      <c r="C702" s="53" t="s">
        <v>193</v>
      </c>
      <c r="D702" s="53" t="s">
        <v>195</v>
      </c>
      <c r="E702" s="53" t="s">
        <v>92</v>
      </c>
      <c r="F702" s="57" t="s">
        <v>92</v>
      </c>
      <c r="G702" s="124">
        <v>157.5</v>
      </c>
      <c r="H702" t="s">
        <v>298</v>
      </c>
      <c r="I702" s="34">
        <v>11</v>
      </c>
    </row>
    <row r="703" spans="1:9" x14ac:dyDescent="0.3">
      <c r="A703">
        <v>3</v>
      </c>
      <c r="B703" t="s">
        <v>239</v>
      </c>
      <c r="C703" t="s">
        <v>193</v>
      </c>
      <c r="D703" t="s">
        <v>195</v>
      </c>
      <c r="E703" s="1" t="s">
        <v>92</v>
      </c>
      <c r="F703" s="32" t="s">
        <v>92</v>
      </c>
      <c r="G703" s="124">
        <v>129</v>
      </c>
      <c r="H703" t="s">
        <v>298</v>
      </c>
      <c r="I703" s="34">
        <v>3</v>
      </c>
    </row>
    <row r="704" spans="1:9" x14ac:dyDescent="0.3">
      <c r="A704">
        <v>8</v>
      </c>
      <c r="B704" t="s">
        <v>239</v>
      </c>
      <c r="C704" t="s">
        <v>191</v>
      </c>
      <c r="D704" t="s">
        <v>195</v>
      </c>
      <c r="E704" t="s">
        <v>96</v>
      </c>
      <c r="F704" s="57" t="s">
        <v>96</v>
      </c>
      <c r="G704" s="124">
        <v>2300</v>
      </c>
      <c r="H704" t="s">
        <v>301</v>
      </c>
      <c r="I704" s="34">
        <v>8</v>
      </c>
    </row>
    <row r="705" spans="1:9" x14ac:dyDescent="0.3">
      <c r="A705">
        <v>7</v>
      </c>
      <c r="B705" t="s">
        <v>239</v>
      </c>
      <c r="C705" t="s">
        <v>191</v>
      </c>
      <c r="D705" t="s">
        <v>195</v>
      </c>
      <c r="E705" t="s">
        <v>96</v>
      </c>
      <c r="F705" s="57" t="s">
        <v>96</v>
      </c>
      <c r="G705" s="124">
        <v>2200</v>
      </c>
      <c r="H705" t="s">
        <v>301</v>
      </c>
      <c r="I705" s="34">
        <v>7</v>
      </c>
    </row>
    <row r="706" spans="1:9" x14ac:dyDescent="0.3">
      <c r="A706">
        <v>9</v>
      </c>
      <c r="B706" t="s">
        <v>239</v>
      </c>
      <c r="C706" t="s">
        <v>191</v>
      </c>
      <c r="D706" t="s">
        <v>195</v>
      </c>
      <c r="E706" t="s">
        <v>96</v>
      </c>
      <c r="F706" s="57" t="s">
        <v>96</v>
      </c>
      <c r="G706" s="124">
        <v>1550</v>
      </c>
      <c r="H706" t="s">
        <v>301</v>
      </c>
      <c r="I706" s="34">
        <v>9</v>
      </c>
    </row>
    <row r="707" spans="1:9" x14ac:dyDescent="0.3">
      <c r="A707">
        <v>10</v>
      </c>
      <c r="B707" t="s">
        <v>239</v>
      </c>
      <c r="C707" t="s">
        <v>191</v>
      </c>
      <c r="D707" t="s">
        <v>195</v>
      </c>
      <c r="E707" t="s">
        <v>96</v>
      </c>
      <c r="F707" s="57" t="s">
        <v>96</v>
      </c>
      <c r="G707" s="124">
        <v>1500</v>
      </c>
      <c r="H707" t="s">
        <v>301</v>
      </c>
      <c r="I707" s="34">
        <v>10</v>
      </c>
    </row>
    <row r="708" spans="1:9" x14ac:dyDescent="0.3">
      <c r="A708">
        <v>8</v>
      </c>
      <c r="B708" t="s">
        <v>239</v>
      </c>
      <c r="C708" t="s">
        <v>191</v>
      </c>
      <c r="D708" t="s">
        <v>188</v>
      </c>
      <c r="E708" t="s">
        <v>96</v>
      </c>
      <c r="F708" s="57" t="s">
        <v>96</v>
      </c>
      <c r="G708" s="124">
        <v>1200</v>
      </c>
      <c r="H708" t="s">
        <v>302</v>
      </c>
      <c r="I708" s="34">
        <v>8</v>
      </c>
    </row>
    <row r="709" spans="1:9" x14ac:dyDescent="0.3">
      <c r="A709">
        <v>7</v>
      </c>
      <c r="B709" t="s">
        <v>239</v>
      </c>
      <c r="C709" t="s">
        <v>191</v>
      </c>
      <c r="D709" t="s">
        <v>188</v>
      </c>
      <c r="E709" t="s">
        <v>96</v>
      </c>
      <c r="F709" s="57" t="s">
        <v>96</v>
      </c>
      <c r="G709" s="124">
        <v>1100</v>
      </c>
      <c r="H709" t="s">
        <v>302</v>
      </c>
      <c r="I709" s="34">
        <v>7</v>
      </c>
    </row>
    <row r="710" spans="1:9" x14ac:dyDescent="0.3">
      <c r="A710">
        <v>6</v>
      </c>
      <c r="B710" t="s">
        <v>239</v>
      </c>
      <c r="C710" t="s">
        <v>191</v>
      </c>
      <c r="D710" t="s">
        <v>195</v>
      </c>
      <c r="E710" t="s">
        <v>96</v>
      </c>
      <c r="F710" s="57" t="s">
        <v>96</v>
      </c>
      <c r="G710" s="124">
        <v>1000</v>
      </c>
      <c r="H710" t="s">
        <v>301</v>
      </c>
      <c r="I710" s="34">
        <v>6</v>
      </c>
    </row>
    <row r="711" spans="1:9" x14ac:dyDescent="0.3">
      <c r="A711">
        <v>6</v>
      </c>
      <c r="B711" t="s">
        <v>239</v>
      </c>
      <c r="C711" t="s">
        <v>191</v>
      </c>
      <c r="D711" t="s">
        <v>188</v>
      </c>
      <c r="E711" t="s">
        <v>96</v>
      </c>
      <c r="F711" s="57" t="s">
        <v>96</v>
      </c>
      <c r="G711" s="124">
        <v>900</v>
      </c>
      <c r="H711" t="s">
        <v>302</v>
      </c>
      <c r="I711" s="34">
        <v>6</v>
      </c>
    </row>
    <row r="712" spans="1:9" x14ac:dyDescent="0.3">
      <c r="A712">
        <v>9</v>
      </c>
      <c r="B712" t="s">
        <v>239</v>
      </c>
      <c r="C712" t="s">
        <v>191</v>
      </c>
      <c r="D712" t="s">
        <v>188</v>
      </c>
      <c r="E712" t="s">
        <v>96</v>
      </c>
      <c r="F712" s="57" t="s">
        <v>96</v>
      </c>
      <c r="G712" s="124">
        <v>900</v>
      </c>
      <c r="H712" t="s">
        <v>302</v>
      </c>
      <c r="I712" s="34">
        <v>9</v>
      </c>
    </row>
    <row r="713" spans="1:9" x14ac:dyDescent="0.3">
      <c r="A713">
        <v>10</v>
      </c>
      <c r="B713" t="s">
        <v>239</v>
      </c>
      <c r="C713" t="s">
        <v>191</v>
      </c>
      <c r="D713" t="s">
        <v>188</v>
      </c>
      <c r="E713" t="s">
        <v>96</v>
      </c>
      <c r="F713" s="57" t="s">
        <v>96</v>
      </c>
      <c r="G713" s="124">
        <v>900</v>
      </c>
      <c r="H713" t="s">
        <v>302</v>
      </c>
      <c r="I713" s="34">
        <v>10</v>
      </c>
    </row>
    <row r="714" spans="1:9" x14ac:dyDescent="0.3">
      <c r="A714">
        <v>4</v>
      </c>
      <c r="B714" t="s">
        <v>239</v>
      </c>
      <c r="C714" t="s">
        <v>191</v>
      </c>
      <c r="D714" t="s">
        <v>195</v>
      </c>
      <c r="E714" s="1" t="s">
        <v>96</v>
      </c>
      <c r="F714" s="54" t="s">
        <v>96</v>
      </c>
      <c r="G714" s="124">
        <v>850</v>
      </c>
      <c r="H714" t="s">
        <v>301</v>
      </c>
      <c r="I714" s="34">
        <v>4</v>
      </c>
    </row>
    <row r="715" spans="1:9" x14ac:dyDescent="0.3">
      <c r="A715">
        <v>5</v>
      </c>
      <c r="B715" t="s">
        <v>239</v>
      </c>
      <c r="C715" t="s">
        <v>191</v>
      </c>
      <c r="D715" t="s">
        <v>195</v>
      </c>
      <c r="E715" s="1" t="s">
        <v>96</v>
      </c>
      <c r="F715" s="54" t="s">
        <v>96</v>
      </c>
      <c r="G715" s="124">
        <v>850</v>
      </c>
      <c r="H715" t="s">
        <v>301</v>
      </c>
      <c r="I715" s="34">
        <v>5</v>
      </c>
    </row>
    <row r="716" spans="1:9" x14ac:dyDescent="0.3">
      <c r="A716" s="53">
        <v>11</v>
      </c>
      <c r="B716" t="s">
        <v>239</v>
      </c>
      <c r="C716" s="53" t="s">
        <v>191</v>
      </c>
      <c r="D716" s="53" t="s">
        <v>195</v>
      </c>
      <c r="E716" s="53" t="s">
        <v>96</v>
      </c>
      <c r="F716" s="57" t="s">
        <v>96</v>
      </c>
      <c r="G716" s="124">
        <v>730</v>
      </c>
      <c r="H716" t="s">
        <v>301</v>
      </c>
      <c r="I716" s="34">
        <v>11</v>
      </c>
    </row>
    <row r="717" spans="1:9" x14ac:dyDescent="0.3">
      <c r="A717">
        <v>5</v>
      </c>
      <c r="B717" t="s">
        <v>239</v>
      </c>
      <c r="C717" t="s">
        <v>191</v>
      </c>
      <c r="D717" t="s">
        <v>188</v>
      </c>
      <c r="E717" s="1" t="s">
        <v>96</v>
      </c>
      <c r="F717" s="54" t="s">
        <v>96</v>
      </c>
      <c r="G717" s="124">
        <v>700</v>
      </c>
      <c r="H717" t="s">
        <v>302</v>
      </c>
      <c r="I717" s="34">
        <v>5</v>
      </c>
    </row>
    <row r="718" spans="1:9" x14ac:dyDescent="0.3">
      <c r="A718">
        <v>4</v>
      </c>
      <c r="B718" t="s">
        <v>239</v>
      </c>
      <c r="C718" t="s">
        <v>191</v>
      </c>
      <c r="D718" t="s">
        <v>188</v>
      </c>
      <c r="E718" s="1" t="s">
        <v>96</v>
      </c>
      <c r="F718" s="54" t="s">
        <v>96</v>
      </c>
      <c r="G718" s="124">
        <v>650</v>
      </c>
      <c r="H718" t="s">
        <v>302</v>
      </c>
      <c r="I718" s="34">
        <v>4</v>
      </c>
    </row>
    <row r="719" spans="1:9" x14ac:dyDescent="0.3">
      <c r="A719">
        <v>2</v>
      </c>
      <c r="B719" t="s">
        <v>239</v>
      </c>
      <c r="C719" t="s">
        <v>191</v>
      </c>
      <c r="D719" t="s">
        <v>195</v>
      </c>
      <c r="E719" s="1" t="s">
        <v>96</v>
      </c>
      <c r="F719" s="54" t="s">
        <v>96</v>
      </c>
      <c r="G719" s="124">
        <v>600</v>
      </c>
      <c r="H719" t="s">
        <v>301</v>
      </c>
      <c r="I719" s="34">
        <v>2</v>
      </c>
    </row>
    <row r="720" spans="1:9" x14ac:dyDescent="0.3">
      <c r="A720">
        <v>12</v>
      </c>
      <c r="B720" t="s">
        <v>239</v>
      </c>
      <c r="C720" t="s">
        <v>191</v>
      </c>
      <c r="D720" t="s">
        <v>195</v>
      </c>
      <c r="E720" t="s">
        <v>96</v>
      </c>
      <c r="F720" s="57" t="s">
        <v>96</v>
      </c>
      <c r="G720" s="124">
        <v>600</v>
      </c>
      <c r="H720" t="s">
        <v>301</v>
      </c>
      <c r="I720" s="34">
        <v>12</v>
      </c>
    </row>
    <row r="721" spans="1:9" x14ac:dyDescent="0.3">
      <c r="A721" s="53">
        <v>11</v>
      </c>
      <c r="B721" t="s">
        <v>239</v>
      </c>
      <c r="C721" s="53" t="s">
        <v>191</v>
      </c>
      <c r="D721" s="53" t="s">
        <v>188</v>
      </c>
      <c r="E721" s="53" t="s">
        <v>96</v>
      </c>
      <c r="F721" s="57" t="s">
        <v>96</v>
      </c>
      <c r="G721" s="124">
        <v>550</v>
      </c>
      <c r="H721" t="s">
        <v>302</v>
      </c>
      <c r="I721" s="34">
        <v>11</v>
      </c>
    </row>
    <row r="722" spans="1:9" x14ac:dyDescent="0.3">
      <c r="A722">
        <v>12</v>
      </c>
      <c r="B722" t="s">
        <v>239</v>
      </c>
      <c r="C722" t="s">
        <v>191</v>
      </c>
      <c r="D722" t="s">
        <v>188</v>
      </c>
      <c r="E722" t="s">
        <v>96</v>
      </c>
      <c r="F722" s="57" t="s">
        <v>96</v>
      </c>
      <c r="G722" s="124">
        <v>500</v>
      </c>
      <c r="H722" t="s">
        <v>302</v>
      </c>
      <c r="I722" s="34">
        <v>12</v>
      </c>
    </row>
    <row r="723" spans="1:9" x14ac:dyDescent="0.3">
      <c r="A723">
        <v>1</v>
      </c>
      <c r="B723" t="s">
        <v>239</v>
      </c>
      <c r="C723" t="s">
        <v>191</v>
      </c>
      <c r="D723" t="s">
        <v>195</v>
      </c>
      <c r="E723" s="1" t="s">
        <v>96</v>
      </c>
      <c r="F723" s="54" t="s">
        <v>96</v>
      </c>
      <c r="G723" s="124">
        <v>500</v>
      </c>
      <c r="H723" t="s">
        <v>301</v>
      </c>
      <c r="I723" s="34">
        <v>1</v>
      </c>
    </row>
    <row r="724" spans="1:9" x14ac:dyDescent="0.3">
      <c r="A724">
        <v>8</v>
      </c>
      <c r="B724" t="s">
        <v>239</v>
      </c>
      <c r="C724" t="s">
        <v>193</v>
      </c>
      <c r="D724" t="s">
        <v>195</v>
      </c>
      <c r="E724" t="s">
        <v>96</v>
      </c>
      <c r="F724" s="57" t="s">
        <v>96</v>
      </c>
      <c r="G724" s="124">
        <v>483</v>
      </c>
      <c r="H724" t="s">
        <v>303</v>
      </c>
      <c r="I724" s="34">
        <v>8</v>
      </c>
    </row>
    <row r="725" spans="1:9" x14ac:dyDescent="0.3">
      <c r="A725">
        <v>3</v>
      </c>
      <c r="B725" t="s">
        <v>239</v>
      </c>
      <c r="C725" t="s">
        <v>191</v>
      </c>
      <c r="D725" t="s">
        <v>195</v>
      </c>
      <c r="E725" s="1" t="s">
        <v>96</v>
      </c>
      <c r="F725" s="54" t="s">
        <v>96</v>
      </c>
      <c r="G725" s="124">
        <v>480</v>
      </c>
      <c r="H725" t="s">
        <v>301</v>
      </c>
      <c r="I725" s="34">
        <v>3</v>
      </c>
    </row>
    <row r="726" spans="1:9" x14ac:dyDescent="0.3">
      <c r="A726">
        <v>2</v>
      </c>
      <c r="B726" t="s">
        <v>239</v>
      </c>
      <c r="C726" t="s">
        <v>191</v>
      </c>
      <c r="D726" t="s">
        <v>188</v>
      </c>
      <c r="E726" s="1" t="s">
        <v>96</v>
      </c>
      <c r="F726" s="54" t="s">
        <v>96</v>
      </c>
      <c r="G726" s="124">
        <v>450</v>
      </c>
      <c r="H726" t="s">
        <v>302</v>
      </c>
      <c r="I726" s="34">
        <v>2</v>
      </c>
    </row>
    <row r="727" spans="1:9" x14ac:dyDescent="0.3">
      <c r="A727">
        <v>7</v>
      </c>
      <c r="B727" t="s">
        <v>239</v>
      </c>
      <c r="C727" t="s">
        <v>193</v>
      </c>
      <c r="D727" t="s">
        <v>195</v>
      </c>
      <c r="E727" t="s">
        <v>96</v>
      </c>
      <c r="F727" s="57" t="s">
        <v>96</v>
      </c>
      <c r="G727" s="124">
        <v>433.4</v>
      </c>
      <c r="H727" t="s">
        <v>303</v>
      </c>
      <c r="I727" s="34">
        <v>7</v>
      </c>
    </row>
    <row r="728" spans="1:9" x14ac:dyDescent="0.3">
      <c r="A728">
        <v>3</v>
      </c>
      <c r="B728" t="s">
        <v>239</v>
      </c>
      <c r="C728" t="s">
        <v>191</v>
      </c>
      <c r="D728" t="s">
        <v>188</v>
      </c>
      <c r="E728" s="1" t="s">
        <v>96</v>
      </c>
      <c r="F728" s="54" t="s">
        <v>96</v>
      </c>
      <c r="G728" s="124">
        <v>400</v>
      </c>
      <c r="H728" t="s">
        <v>302</v>
      </c>
      <c r="I728" s="34">
        <v>3</v>
      </c>
    </row>
    <row r="729" spans="1:9" x14ac:dyDescent="0.3">
      <c r="A729">
        <v>1</v>
      </c>
      <c r="B729" t="s">
        <v>239</v>
      </c>
      <c r="C729" t="s">
        <v>191</v>
      </c>
      <c r="D729" t="s">
        <v>188</v>
      </c>
      <c r="E729" s="1" t="s">
        <v>96</v>
      </c>
      <c r="F729" s="54" t="s">
        <v>96</v>
      </c>
      <c r="G729" s="124">
        <v>350</v>
      </c>
      <c r="H729" t="s">
        <v>302</v>
      </c>
      <c r="I729" s="34">
        <v>1</v>
      </c>
    </row>
    <row r="730" spans="1:9" x14ac:dyDescent="0.3">
      <c r="A730">
        <v>10</v>
      </c>
      <c r="B730" t="s">
        <v>239</v>
      </c>
      <c r="C730" t="s">
        <v>193</v>
      </c>
      <c r="D730" t="s">
        <v>195</v>
      </c>
      <c r="E730" t="s">
        <v>96</v>
      </c>
      <c r="F730" s="57" t="s">
        <v>96</v>
      </c>
      <c r="G730" s="124">
        <v>300.75</v>
      </c>
      <c r="H730" t="s">
        <v>303</v>
      </c>
      <c r="I730" s="34">
        <v>10</v>
      </c>
    </row>
    <row r="731" spans="1:9" x14ac:dyDescent="0.3">
      <c r="A731">
        <v>9</v>
      </c>
      <c r="B731" t="s">
        <v>239</v>
      </c>
      <c r="C731" t="s">
        <v>193</v>
      </c>
      <c r="D731" t="s">
        <v>195</v>
      </c>
      <c r="E731" t="s">
        <v>96</v>
      </c>
      <c r="F731" s="57" t="s">
        <v>96</v>
      </c>
      <c r="G731" s="124">
        <v>274.35000000000002</v>
      </c>
      <c r="H731" t="s">
        <v>303</v>
      </c>
      <c r="I731" s="34">
        <v>9</v>
      </c>
    </row>
    <row r="732" spans="1:9" x14ac:dyDescent="0.3">
      <c r="A732">
        <v>8</v>
      </c>
      <c r="B732" t="s">
        <v>239</v>
      </c>
      <c r="C732" t="s">
        <v>193</v>
      </c>
      <c r="D732" t="s">
        <v>188</v>
      </c>
      <c r="E732" t="s">
        <v>96</v>
      </c>
      <c r="F732" s="57" t="s">
        <v>96</v>
      </c>
      <c r="G732" s="124">
        <v>256.8</v>
      </c>
      <c r="H732" t="s">
        <v>304</v>
      </c>
      <c r="I732" s="34">
        <v>8</v>
      </c>
    </row>
    <row r="733" spans="1:9" x14ac:dyDescent="0.3">
      <c r="A733">
        <v>8</v>
      </c>
      <c r="B733" t="s">
        <v>239</v>
      </c>
      <c r="C733" t="s">
        <v>192</v>
      </c>
      <c r="D733" t="s">
        <v>188</v>
      </c>
      <c r="E733" t="s">
        <v>96</v>
      </c>
      <c r="F733" s="57" t="s">
        <v>96</v>
      </c>
      <c r="G733" s="124">
        <v>214</v>
      </c>
      <c r="H733" t="s">
        <v>305</v>
      </c>
      <c r="I733" s="34">
        <v>8</v>
      </c>
    </row>
    <row r="734" spans="1:9" x14ac:dyDescent="0.3">
      <c r="A734">
        <v>7</v>
      </c>
      <c r="B734" t="s">
        <v>239</v>
      </c>
      <c r="C734" t="s">
        <v>193</v>
      </c>
      <c r="D734" t="s">
        <v>188</v>
      </c>
      <c r="E734" t="s">
        <v>96</v>
      </c>
      <c r="F734" s="57" t="s">
        <v>96</v>
      </c>
      <c r="G734" s="124">
        <v>211.2</v>
      </c>
      <c r="H734" s="53" t="s">
        <v>304</v>
      </c>
      <c r="I734" s="77">
        <v>7</v>
      </c>
    </row>
    <row r="735" spans="1:9" x14ac:dyDescent="0.3">
      <c r="A735">
        <v>8</v>
      </c>
      <c r="B735" t="s">
        <v>239</v>
      </c>
      <c r="C735" t="s">
        <v>192</v>
      </c>
      <c r="D735" t="s">
        <v>195</v>
      </c>
      <c r="E735" t="s">
        <v>96</v>
      </c>
      <c r="F735" s="57" t="s">
        <v>96</v>
      </c>
      <c r="G735" s="124">
        <v>210</v>
      </c>
      <c r="H735" t="s">
        <v>306</v>
      </c>
      <c r="I735" s="34">
        <v>8</v>
      </c>
    </row>
    <row r="736" spans="1:9" x14ac:dyDescent="0.3">
      <c r="A736">
        <v>10</v>
      </c>
      <c r="B736" t="s">
        <v>239</v>
      </c>
      <c r="C736" t="s">
        <v>192</v>
      </c>
      <c r="D736" t="s">
        <v>195</v>
      </c>
      <c r="E736" t="s">
        <v>96</v>
      </c>
      <c r="F736" s="57" t="s">
        <v>96</v>
      </c>
      <c r="G736" s="124">
        <v>200.5</v>
      </c>
      <c r="H736" t="s">
        <v>306</v>
      </c>
      <c r="I736" s="34">
        <v>10</v>
      </c>
    </row>
    <row r="737" spans="1:9" x14ac:dyDescent="0.3">
      <c r="A737">
        <v>10</v>
      </c>
      <c r="B737" t="s">
        <v>239</v>
      </c>
      <c r="C737" t="s">
        <v>192</v>
      </c>
      <c r="D737" t="s">
        <v>188</v>
      </c>
      <c r="E737" t="s">
        <v>96</v>
      </c>
      <c r="F737" s="57" t="s">
        <v>96</v>
      </c>
      <c r="G737" s="124">
        <v>197.7</v>
      </c>
      <c r="H737" t="s">
        <v>305</v>
      </c>
      <c r="I737" s="34">
        <v>10</v>
      </c>
    </row>
    <row r="738" spans="1:9" x14ac:dyDescent="0.3">
      <c r="A738">
        <v>7</v>
      </c>
      <c r="B738" t="s">
        <v>239</v>
      </c>
      <c r="C738" t="s">
        <v>192</v>
      </c>
      <c r="D738" t="s">
        <v>195</v>
      </c>
      <c r="E738" t="s">
        <v>96</v>
      </c>
      <c r="F738" s="57" t="s">
        <v>96</v>
      </c>
      <c r="G738" s="124">
        <v>197</v>
      </c>
      <c r="H738" t="s">
        <v>306</v>
      </c>
      <c r="I738" s="34">
        <v>7</v>
      </c>
    </row>
    <row r="739" spans="1:9" x14ac:dyDescent="0.3">
      <c r="A739">
        <v>7</v>
      </c>
      <c r="B739" t="s">
        <v>239</v>
      </c>
      <c r="C739" t="s">
        <v>192</v>
      </c>
      <c r="D739" t="s">
        <v>188</v>
      </c>
      <c r="E739" t="s">
        <v>96</v>
      </c>
      <c r="F739" s="57" t="s">
        <v>96</v>
      </c>
      <c r="G739" s="124">
        <v>192</v>
      </c>
      <c r="H739" t="s">
        <v>305</v>
      </c>
      <c r="I739" s="34">
        <v>7</v>
      </c>
    </row>
    <row r="740" spans="1:9" x14ac:dyDescent="0.3">
      <c r="A740">
        <v>5</v>
      </c>
      <c r="B740" t="s">
        <v>239</v>
      </c>
      <c r="C740" t="s">
        <v>192</v>
      </c>
      <c r="D740" t="s">
        <v>195</v>
      </c>
      <c r="E740" t="s">
        <v>96</v>
      </c>
      <c r="F740" s="57" t="s">
        <v>96</v>
      </c>
      <c r="G740" s="124">
        <v>184.8</v>
      </c>
      <c r="H740" t="s">
        <v>306</v>
      </c>
      <c r="I740" s="34">
        <v>5</v>
      </c>
    </row>
    <row r="741" spans="1:9" x14ac:dyDescent="0.3">
      <c r="A741">
        <v>9</v>
      </c>
      <c r="B741" t="s">
        <v>239</v>
      </c>
      <c r="C741" t="s">
        <v>192</v>
      </c>
      <c r="D741" t="s">
        <v>188</v>
      </c>
      <c r="E741" t="s">
        <v>96</v>
      </c>
      <c r="F741" s="57" t="s">
        <v>96</v>
      </c>
      <c r="G741" s="124">
        <v>184</v>
      </c>
      <c r="H741" s="53" t="s">
        <v>305</v>
      </c>
      <c r="I741" s="77">
        <v>9</v>
      </c>
    </row>
    <row r="742" spans="1:9" x14ac:dyDescent="0.3">
      <c r="A742">
        <v>5</v>
      </c>
      <c r="B742" t="s">
        <v>239</v>
      </c>
      <c r="C742" t="s">
        <v>192</v>
      </c>
      <c r="D742" t="s">
        <v>188</v>
      </c>
      <c r="E742" t="s">
        <v>96</v>
      </c>
      <c r="F742" s="57" t="s">
        <v>96</v>
      </c>
      <c r="G742" s="124">
        <v>182.7</v>
      </c>
      <c r="H742" t="s">
        <v>305</v>
      </c>
      <c r="I742" s="34">
        <v>5</v>
      </c>
    </row>
    <row r="743" spans="1:9" x14ac:dyDescent="0.3">
      <c r="A743">
        <v>12</v>
      </c>
      <c r="B743" t="s">
        <v>239</v>
      </c>
      <c r="C743" t="s">
        <v>192</v>
      </c>
      <c r="D743" t="s">
        <v>195</v>
      </c>
      <c r="E743" t="s">
        <v>96</v>
      </c>
      <c r="F743" s="57" t="s">
        <v>96</v>
      </c>
      <c r="G743" s="124">
        <v>180</v>
      </c>
      <c r="H743" t="s">
        <v>306</v>
      </c>
      <c r="I743" s="34">
        <v>12</v>
      </c>
    </row>
    <row r="744" spans="1:9" x14ac:dyDescent="0.3">
      <c r="A744">
        <v>12</v>
      </c>
      <c r="B744" t="s">
        <v>239</v>
      </c>
      <c r="C744" t="s">
        <v>192</v>
      </c>
      <c r="D744" t="s">
        <v>188</v>
      </c>
      <c r="E744" t="s">
        <v>96</v>
      </c>
      <c r="F744" s="57" t="s">
        <v>96</v>
      </c>
      <c r="G744" s="124">
        <v>178</v>
      </c>
      <c r="H744" t="s">
        <v>305</v>
      </c>
      <c r="I744" s="34">
        <v>12</v>
      </c>
    </row>
    <row r="745" spans="1:9" x14ac:dyDescent="0.3">
      <c r="A745">
        <v>10</v>
      </c>
      <c r="B745" t="s">
        <v>239</v>
      </c>
      <c r="C745" t="s">
        <v>193</v>
      </c>
      <c r="D745" t="s">
        <v>188</v>
      </c>
      <c r="E745" t="s">
        <v>96</v>
      </c>
      <c r="F745" s="57" t="s">
        <v>96</v>
      </c>
      <c r="G745" s="124">
        <v>177.93</v>
      </c>
      <c r="H745" s="53" t="s">
        <v>304</v>
      </c>
      <c r="I745" s="77">
        <v>10</v>
      </c>
    </row>
    <row r="746" spans="1:9" x14ac:dyDescent="0.3">
      <c r="A746">
        <v>9</v>
      </c>
      <c r="B746" t="s">
        <v>239</v>
      </c>
      <c r="C746" t="s">
        <v>192</v>
      </c>
      <c r="D746" t="s">
        <v>195</v>
      </c>
      <c r="E746" t="s">
        <v>96</v>
      </c>
      <c r="F746" s="57" t="s">
        <v>96</v>
      </c>
      <c r="G746" s="124">
        <v>177</v>
      </c>
      <c r="H746" t="s">
        <v>306</v>
      </c>
      <c r="I746" s="34">
        <v>9</v>
      </c>
    </row>
    <row r="747" spans="1:9" x14ac:dyDescent="0.3">
      <c r="A747" s="53">
        <v>11</v>
      </c>
      <c r="B747" t="s">
        <v>239</v>
      </c>
      <c r="C747" s="53" t="s">
        <v>192</v>
      </c>
      <c r="D747" s="53" t="s">
        <v>195</v>
      </c>
      <c r="E747" s="53" t="s">
        <v>96</v>
      </c>
      <c r="F747" s="57" t="s">
        <v>96</v>
      </c>
      <c r="G747" s="124">
        <v>170</v>
      </c>
      <c r="H747" t="s">
        <v>306</v>
      </c>
      <c r="I747" s="34">
        <v>11</v>
      </c>
    </row>
    <row r="748" spans="1:9" x14ac:dyDescent="0.3">
      <c r="A748" s="53">
        <v>11</v>
      </c>
      <c r="B748" t="s">
        <v>239</v>
      </c>
      <c r="C748" s="53" t="s">
        <v>192</v>
      </c>
      <c r="D748" s="53" t="s">
        <v>188</v>
      </c>
      <c r="E748" s="53" t="s">
        <v>96</v>
      </c>
      <c r="F748" s="57" t="s">
        <v>96</v>
      </c>
      <c r="G748" s="124">
        <v>168</v>
      </c>
      <c r="H748" s="53" t="s">
        <v>305</v>
      </c>
      <c r="I748" s="77">
        <v>11</v>
      </c>
    </row>
    <row r="749" spans="1:9" x14ac:dyDescent="0.3">
      <c r="A749">
        <v>9</v>
      </c>
      <c r="B749" t="s">
        <v>239</v>
      </c>
      <c r="C749" t="s">
        <v>193</v>
      </c>
      <c r="D749" t="s">
        <v>188</v>
      </c>
      <c r="E749" t="s">
        <v>96</v>
      </c>
      <c r="F749" s="57" t="s">
        <v>96</v>
      </c>
      <c r="G749" s="124">
        <v>165.6</v>
      </c>
      <c r="H749" t="s">
        <v>304</v>
      </c>
      <c r="I749" s="34">
        <v>9</v>
      </c>
    </row>
    <row r="750" spans="1:9" x14ac:dyDescent="0.3">
      <c r="A750">
        <v>3</v>
      </c>
      <c r="B750" t="s">
        <v>239</v>
      </c>
      <c r="C750" t="s">
        <v>192</v>
      </c>
      <c r="D750" t="s">
        <v>188</v>
      </c>
      <c r="E750" s="1" t="s">
        <v>96</v>
      </c>
      <c r="F750" s="32" t="s">
        <v>96</v>
      </c>
      <c r="G750" s="124">
        <v>165</v>
      </c>
      <c r="H750" t="s">
        <v>305</v>
      </c>
      <c r="I750" s="34">
        <v>3</v>
      </c>
    </row>
    <row r="751" spans="1:9" x14ac:dyDescent="0.3">
      <c r="A751">
        <v>2</v>
      </c>
      <c r="B751" t="s">
        <v>239</v>
      </c>
      <c r="C751" t="s">
        <v>192</v>
      </c>
      <c r="D751" t="s">
        <v>188</v>
      </c>
      <c r="E751" s="1" t="s">
        <v>96</v>
      </c>
      <c r="F751" s="31" t="s">
        <v>96</v>
      </c>
      <c r="G751" s="124">
        <v>164</v>
      </c>
      <c r="H751" t="s">
        <v>305</v>
      </c>
      <c r="I751" s="34">
        <v>2</v>
      </c>
    </row>
    <row r="752" spans="1:9" x14ac:dyDescent="0.3">
      <c r="A752">
        <v>2</v>
      </c>
      <c r="B752" t="s">
        <v>239</v>
      </c>
      <c r="C752" t="s">
        <v>192</v>
      </c>
      <c r="D752" t="s">
        <v>195</v>
      </c>
      <c r="E752" s="1" t="s">
        <v>96</v>
      </c>
      <c r="F752" s="31" t="s">
        <v>96</v>
      </c>
      <c r="G752" s="124">
        <v>163</v>
      </c>
      <c r="H752" s="53" t="s">
        <v>306</v>
      </c>
      <c r="I752" s="77">
        <v>2</v>
      </c>
    </row>
    <row r="753" spans="1:9" x14ac:dyDescent="0.3">
      <c r="A753">
        <v>4</v>
      </c>
      <c r="B753" t="s">
        <v>239</v>
      </c>
      <c r="C753" t="s">
        <v>192</v>
      </c>
      <c r="D753" t="s">
        <v>188</v>
      </c>
      <c r="E753" s="1" t="s">
        <v>96</v>
      </c>
      <c r="F753" s="32" t="s">
        <v>96</v>
      </c>
      <c r="G753" s="124">
        <v>161</v>
      </c>
      <c r="H753" t="s">
        <v>305</v>
      </c>
      <c r="I753" s="34">
        <v>4</v>
      </c>
    </row>
    <row r="754" spans="1:9" x14ac:dyDescent="0.3">
      <c r="A754">
        <v>1</v>
      </c>
      <c r="B754" t="s">
        <v>239</v>
      </c>
      <c r="C754" t="s">
        <v>192</v>
      </c>
      <c r="D754" t="s">
        <v>188</v>
      </c>
      <c r="E754" s="1" t="s">
        <v>96</v>
      </c>
      <c r="F754" s="31" t="s">
        <v>96</v>
      </c>
      <c r="G754" s="124">
        <v>160</v>
      </c>
      <c r="H754" t="s">
        <v>305</v>
      </c>
      <c r="I754" s="34">
        <v>1</v>
      </c>
    </row>
    <row r="755" spans="1:9" x14ac:dyDescent="0.3">
      <c r="A755">
        <v>5</v>
      </c>
      <c r="B755" t="s">
        <v>239</v>
      </c>
      <c r="C755" t="s">
        <v>193</v>
      </c>
      <c r="D755" t="s">
        <v>195</v>
      </c>
      <c r="E755" t="s">
        <v>96</v>
      </c>
      <c r="F755" s="57" t="s">
        <v>96</v>
      </c>
      <c r="G755" s="124">
        <v>157.08000000000001</v>
      </c>
      <c r="H755" t="s">
        <v>303</v>
      </c>
      <c r="I755" s="34">
        <v>5</v>
      </c>
    </row>
    <row r="756" spans="1:9" x14ac:dyDescent="0.3">
      <c r="A756">
        <v>6</v>
      </c>
      <c r="B756" t="s">
        <v>239</v>
      </c>
      <c r="C756" t="s">
        <v>192</v>
      </c>
      <c r="D756" t="s">
        <v>188</v>
      </c>
      <c r="E756" t="s">
        <v>96</v>
      </c>
      <c r="F756" s="57" t="s">
        <v>96</v>
      </c>
      <c r="G756" s="124">
        <v>155</v>
      </c>
      <c r="H756" t="s">
        <v>305</v>
      </c>
      <c r="I756" s="34">
        <v>6</v>
      </c>
    </row>
    <row r="757" spans="1:9" x14ac:dyDescent="0.3">
      <c r="A757">
        <v>1</v>
      </c>
      <c r="B757" t="s">
        <v>239</v>
      </c>
      <c r="C757" t="s">
        <v>192</v>
      </c>
      <c r="D757" t="s">
        <v>195</v>
      </c>
      <c r="E757" s="1" t="s">
        <v>96</v>
      </c>
      <c r="F757" s="31" t="s">
        <v>96</v>
      </c>
      <c r="G757" s="124">
        <v>152</v>
      </c>
      <c r="H757" s="53" t="s">
        <v>306</v>
      </c>
      <c r="I757" s="77">
        <v>1</v>
      </c>
    </row>
    <row r="758" spans="1:9" x14ac:dyDescent="0.3">
      <c r="A758">
        <v>6</v>
      </c>
      <c r="B758" t="s">
        <v>239</v>
      </c>
      <c r="C758" t="s">
        <v>192</v>
      </c>
      <c r="D758" t="s">
        <v>195</v>
      </c>
      <c r="E758" t="s">
        <v>96</v>
      </c>
      <c r="F758" s="57" t="s">
        <v>96</v>
      </c>
      <c r="G758" s="124">
        <v>152</v>
      </c>
      <c r="H758" t="s">
        <v>306</v>
      </c>
      <c r="I758" s="34">
        <v>6</v>
      </c>
    </row>
    <row r="759" spans="1:9" x14ac:dyDescent="0.3">
      <c r="A759">
        <v>6</v>
      </c>
      <c r="B759" t="s">
        <v>239</v>
      </c>
      <c r="C759" t="s">
        <v>193</v>
      </c>
      <c r="D759" t="s">
        <v>195</v>
      </c>
      <c r="E759" t="s">
        <v>96</v>
      </c>
      <c r="F759" s="57" t="s">
        <v>96</v>
      </c>
      <c r="G759" s="124">
        <v>152</v>
      </c>
      <c r="H759" t="s">
        <v>303</v>
      </c>
      <c r="I759" s="34">
        <v>6</v>
      </c>
    </row>
    <row r="760" spans="1:9" x14ac:dyDescent="0.3">
      <c r="A760">
        <v>3</v>
      </c>
      <c r="B760" t="s">
        <v>239</v>
      </c>
      <c r="C760" t="s">
        <v>192</v>
      </c>
      <c r="D760" t="s">
        <v>195</v>
      </c>
      <c r="E760" s="1" t="s">
        <v>96</v>
      </c>
      <c r="F760" s="32" t="s">
        <v>96</v>
      </c>
      <c r="G760" s="124">
        <v>149</v>
      </c>
      <c r="H760" t="s">
        <v>306</v>
      </c>
      <c r="I760" s="34">
        <v>3</v>
      </c>
    </row>
    <row r="761" spans="1:9" x14ac:dyDescent="0.3">
      <c r="A761">
        <v>4</v>
      </c>
      <c r="B761" t="s">
        <v>239</v>
      </c>
      <c r="C761" t="s">
        <v>192</v>
      </c>
      <c r="D761" t="s">
        <v>195</v>
      </c>
      <c r="E761" s="1" t="s">
        <v>96</v>
      </c>
      <c r="F761" s="32" t="s">
        <v>96</v>
      </c>
      <c r="G761" s="124">
        <v>147</v>
      </c>
      <c r="H761" t="s">
        <v>306</v>
      </c>
      <c r="I761" s="34">
        <v>4</v>
      </c>
    </row>
    <row r="762" spans="1:9" x14ac:dyDescent="0.3">
      <c r="A762">
        <v>6</v>
      </c>
      <c r="B762" t="s">
        <v>239</v>
      </c>
      <c r="C762" t="s">
        <v>193</v>
      </c>
      <c r="D762" t="s">
        <v>188</v>
      </c>
      <c r="E762" t="s">
        <v>96</v>
      </c>
      <c r="F762" s="57" t="s">
        <v>96</v>
      </c>
      <c r="G762" s="124">
        <v>139.5</v>
      </c>
      <c r="H762" t="s">
        <v>304</v>
      </c>
      <c r="I762" s="34">
        <v>6</v>
      </c>
    </row>
    <row r="763" spans="1:9" x14ac:dyDescent="0.3">
      <c r="A763">
        <v>5</v>
      </c>
      <c r="B763" t="s">
        <v>239</v>
      </c>
      <c r="C763" t="s">
        <v>193</v>
      </c>
      <c r="D763" t="s">
        <v>188</v>
      </c>
      <c r="E763" t="s">
        <v>96</v>
      </c>
      <c r="F763" s="57" t="s">
        <v>96</v>
      </c>
      <c r="G763" s="124">
        <v>127.88999999999999</v>
      </c>
      <c r="H763" s="53" t="s">
        <v>304</v>
      </c>
      <c r="I763" s="77">
        <v>5</v>
      </c>
    </row>
    <row r="764" spans="1:9" x14ac:dyDescent="0.3">
      <c r="A764">
        <v>4</v>
      </c>
      <c r="B764" t="s">
        <v>239</v>
      </c>
      <c r="C764" t="s">
        <v>193</v>
      </c>
      <c r="D764" t="s">
        <v>195</v>
      </c>
      <c r="E764" s="1" t="s">
        <v>96</v>
      </c>
      <c r="F764" s="31" t="s">
        <v>96</v>
      </c>
      <c r="G764" s="124">
        <v>124.95</v>
      </c>
      <c r="H764" t="s">
        <v>303</v>
      </c>
      <c r="I764" s="34">
        <v>4</v>
      </c>
    </row>
    <row r="765" spans="1:9" x14ac:dyDescent="0.3">
      <c r="A765" s="53">
        <v>11</v>
      </c>
      <c r="B765" t="s">
        <v>239</v>
      </c>
      <c r="C765" s="53" t="s">
        <v>193</v>
      </c>
      <c r="D765" s="53" t="s">
        <v>195</v>
      </c>
      <c r="E765" s="53" t="s">
        <v>96</v>
      </c>
      <c r="F765" s="57" t="s">
        <v>96</v>
      </c>
      <c r="G765" s="124">
        <v>124.1</v>
      </c>
      <c r="H765" t="s">
        <v>303</v>
      </c>
      <c r="I765" s="34">
        <v>11</v>
      </c>
    </row>
    <row r="766" spans="1:9" x14ac:dyDescent="0.3">
      <c r="A766">
        <v>12</v>
      </c>
      <c r="B766" t="s">
        <v>239</v>
      </c>
      <c r="C766" t="s">
        <v>193</v>
      </c>
      <c r="D766" t="s">
        <v>195</v>
      </c>
      <c r="E766" t="s">
        <v>96</v>
      </c>
      <c r="F766" s="57" t="s">
        <v>96</v>
      </c>
      <c r="G766" s="124">
        <v>108</v>
      </c>
      <c r="H766" t="s">
        <v>303</v>
      </c>
      <c r="I766" s="34">
        <v>12</v>
      </c>
    </row>
    <row r="767" spans="1:9" x14ac:dyDescent="0.3">
      <c r="A767">
        <v>4</v>
      </c>
      <c r="B767" t="s">
        <v>239</v>
      </c>
      <c r="C767" t="s">
        <v>193</v>
      </c>
      <c r="D767" t="s">
        <v>188</v>
      </c>
      <c r="E767" s="1" t="s">
        <v>96</v>
      </c>
      <c r="F767" s="31" t="s">
        <v>96</v>
      </c>
      <c r="G767" s="124">
        <v>104.65</v>
      </c>
      <c r="H767" t="s">
        <v>304</v>
      </c>
      <c r="I767" s="34">
        <v>4</v>
      </c>
    </row>
    <row r="768" spans="1:9" x14ac:dyDescent="0.3">
      <c r="A768">
        <v>3</v>
      </c>
      <c r="B768" t="s">
        <v>239</v>
      </c>
      <c r="C768" t="s">
        <v>191</v>
      </c>
      <c r="D768" t="s">
        <v>238</v>
      </c>
      <c r="E768" s="1" t="s">
        <v>96</v>
      </c>
      <c r="F768" s="54" t="s">
        <v>96</v>
      </c>
      <c r="G768" s="124">
        <v>100</v>
      </c>
      <c r="H768" t="s">
        <v>307</v>
      </c>
      <c r="I768" s="34">
        <v>3</v>
      </c>
    </row>
    <row r="769" spans="1:9" x14ac:dyDescent="0.3">
      <c r="A769">
        <v>4</v>
      </c>
      <c r="B769" t="s">
        <v>239</v>
      </c>
      <c r="C769" t="s">
        <v>191</v>
      </c>
      <c r="D769" t="s">
        <v>238</v>
      </c>
      <c r="E769" s="1" t="s">
        <v>96</v>
      </c>
      <c r="F769" s="54" t="s">
        <v>96</v>
      </c>
      <c r="G769" s="124">
        <v>100</v>
      </c>
      <c r="H769" t="s">
        <v>307</v>
      </c>
      <c r="I769" s="34">
        <v>4</v>
      </c>
    </row>
    <row r="770" spans="1:9" x14ac:dyDescent="0.3">
      <c r="A770">
        <v>5</v>
      </c>
      <c r="B770" t="s">
        <v>239</v>
      </c>
      <c r="C770" t="s">
        <v>191</v>
      </c>
      <c r="D770" t="s">
        <v>238</v>
      </c>
      <c r="E770" s="1" t="s">
        <v>96</v>
      </c>
      <c r="F770" s="54" t="s">
        <v>96</v>
      </c>
      <c r="G770" s="124">
        <v>100</v>
      </c>
      <c r="H770" t="s">
        <v>307</v>
      </c>
      <c r="I770" s="34">
        <v>5</v>
      </c>
    </row>
    <row r="771" spans="1:9" x14ac:dyDescent="0.3">
      <c r="A771">
        <v>6</v>
      </c>
      <c r="B771" t="s">
        <v>239</v>
      </c>
      <c r="C771" t="s">
        <v>191</v>
      </c>
      <c r="D771" t="s">
        <v>238</v>
      </c>
      <c r="E771" t="s">
        <v>96</v>
      </c>
      <c r="F771" s="57" t="s">
        <v>96</v>
      </c>
      <c r="G771" s="124">
        <v>100</v>
      </c>
      <c r="H771" s="53" t="s">
        <v>307</v>
      </c>
      <c r="I771" s="77">
        <v>6</v>
      </c>
    </row>
    <row r="772" spans="1:9" x14ac:dyDescent="0.3">
      <c r="A772">
        <v>9</v>
      </c>
      <c r="B772" t="s">
        <v>239</v>
      </c>
      <c r="C772" t="s">
        <v>191</v>
      </c>
      <c r="D772" t="s">
        <v>238</v>
      </c>
      <c r="E772" t="s">
        <v>96</v>
      </c>
      <c r="F772" s="57" t="s">
        <v>96</v>
      </c>
      <c r="G772" s="124">
        <v>100</v>
      </c>
      <c r="H772" t="s">
        <v>307</v>
      </c>
      <c r="I772" s="34">
        <v>9</v>
      </c>
    </row>
    <row r="773" spans="1:9" x14ac:dyDescent="0.3">
      <c r="A773">
        <v>10</v>
      </c>
      <c r="B773" t="s">
        <v>239</v>
      </c>
      <c r="C773" t="s">
        <v>191</v>
      </c>
      <c r="D773" t="s">
        <v>238</v>
      </c>
      <c r="E773" t="s">
        <v>96</v>
      </c>
      <c r="F773" s="57" t="s">
        <v>96</v>
      </c>
      <c r="G773" s="124">
        <v>100</v>
      </c>
      <c r="H773" t="s">
        <v>307</v>
      </c>
      <c r="I773" s="34">
        <v>10</v>
      </c>
    </row>
    <row r="774" spans="1:9" x14ac:dyDescent="0.3">
      <c r="A774" s="53">
        <v>11</v>
      </c>
      <c r="B774" t="s">
        <v>239</v>
      </c>
      <c r="C774" s="53" t="s">
        <v>191</v>
      </c>
      <c r="D774" s="53" t="s">
        <v>238</v>
      </c>
      <c r="E774" s="53" t="s">
        <v>96</v>
      </c>
      <c r="F774" s="57" t="s">
        <v>96</v>
      </c>
      <c r="G774" s="124">
        <v>100</v>
      </c>
      <c r="H774" t="s">
        <v>307</v>
      </c>
      <c r="I774" s="34">
        <v>11</v>
      </c>
    </row>
    <row r="775" spans="1:9" x14ac:dyDescent="0.3">
      <c r="A775">
        <v>2</v>
      </c>
      <c r="B775" t="s">
        <v>239</v>
      </c>
      <c r="C775" t="s">
        <v>193</v>
      </c>
      <c r="D775" t="s">
        <v>195</v>
      </c>
      <c r="E775" s="1" t="s">
        <v>96</v>
      </c>
      <c r="F775" s="54" t="s">
        <v>96</v>
      </c>
      <c r="G775" s="124">
        <v>97.8</v>
      </c>
      <c r="H775" t="s">
        <v>303</v>
      </c>
      <c r="I775" s="34">
        <v>2</v>
      </c>
    </row>
    <row r="776" spans="1:9" x14ac:dyDescent="0.3">
      <c r="A776" s="53">
        <v>11</v>
      </c>
      <c r="B776" t="s">
        <v>239</v>
      </c>
      <c r="C776" s="53" t="s">
        <v>193</v>
      </c>
      <c r="D776" s="53" t="s">
        <v>188</v>
      </c>
      <c r="E776" s="53" t="s">
        <v>96</v>
      </c>
      <c r="F776" s="57" t="s">
        <v>96</v>
      </c>
      <c r="G776" s="124">
        <v>92.4</v>
      </c>
      <c r="H776" t="s">
        <v>304</v>
      </c>
      <c r="I776" s="34">
        <v>11</v>
      </c>
    </row>
    <row r="777" spans="1:9" x14ac:dyDescent="0.3">
      <c r="A777">
        <v>12</v>
      </c>
      <c r="B777" t="s">
        <v>239</v>
      </c>
      <c r="C777" t="s">
        <v>193</v>
      </c>
      <c r="D777" t="s">
        <v>188</v>
      </c>
      <c r="E777" t="s">
        <v>96</v>
      </c>
      <c r="F777" s="57" t="s">
        <v>96</v>
      </c>
      <c r="G777" s="124">
        <v>89</v>
      </c>
      <c r="H777" t="s">
        <v>304</v>
      </c>
      <c r="I777" s="34">
        <v>12</v>
      </c>
    </row>
    <row r="778" spans="1:9" x14ac:dyDescent="0.3">
      <c r="A778">
        <v>1</v>
      </c>
      <c r="B778" t="s">
        <v>239</v>
      </c>
      <c r="C778" t="s">
        <v>193</v>
      </c>
      <c r="D778" t="s">
        <v>195</v>
      </c>
      <c r="E778" s="1" t="s">
        <v>96</v>
      </c>
      <c r="F778" s="54" t="s">
        <v>96</v>
      </c>
      <c r="G778" s="124">
        <v>76</v>
      </c>
      <c r="H778" s="53" t="s">
        <v>303</v>
      </c>
      <c r="I778" s="77">
        <v>1</v>
      </c>
    </row>
    <row r="779" spans="1:9" x14ac:dyDescent="0.3">
      <c r="A779">
        <v>2</v>
      </c>
      <c r="B779" t="s">
        <v>239</v>
      </c>
      <c r="C779" t="s">
        <v>193</v>
      </c>
      <c r="D779" t="s">
        <v>188</v>
      </c>
      <c r="E779" s="1" t="s">
        <v>96</v>
      </c>
      <c r="F779" s="54" t="s">
        <v>96</v>
      </c>
      <c r="G779" s="124">
        <v>73.8</v>
      </c>
      <c r="H779" t="s">
        <v>304</v>
      </c>
      <c r="I779" s="34">
        <v>2</v>
      </c>
    </row>
    <row r="780" spans="1:9" x14ac:dyDescent="0.3">
      <c r="A780">
        <v>3</v>
      </c>
      <c r="B780" t="s">
        <v>239</v>
      </c>
      <c r="C780" t="s">
        <v>193</v>
      </c>
      <c r="D780" t="s">
        <v>195</v>
      </c>
      <c r="E780" s="1" t="s">
        <v>96</v>
      </c>
      <c r="F780" s="54" t="s">
        <v>96</v>
      </c>
      <c r="G780" s="124">
        <v>71.52</v>
      </c>
      <c r="H780" t="s">
        <v>303</v>
      </c>
      <c r="I780" s="34">
        <v>3</v>
      </c>
    </row>
    <row r="781" spans="1:9" x14ac:dyDescent="0.3">
      <c r="A781">
        <v>3</v>
      </c>
      <c r="B781" t="s">
        <v>239</v>
      </c>
      <c r="C781" t="s">
        <v>193</v>
      </c>
      <c r="D781" t="s">
        <v>188</v>
      </c>
      <c r="E781" s="1" t="s">
        <v>96</v>
      </c>
      <c r="F781" s="54" t="s">
        <v>96</v>
      </c>
      <c r="G781" s="124">
        <v>66</v>
      </c>
      <c r="H781" t="s">
        <v>304</v>
      </c>
      <c r="I781" s="34">
        <v>3</v>
      </c>
    </row>
    <row r="782" spans="1:9" x14ac:dyDescent="0.3">
      <c r="A782">
        <v>3</v>
      </c>
      <c r="B782" t="s">
        <v>239</v>
      </c>
      <c r="C782" t="s">
        <v>192</v>
      </c>
      <c r="D782" t="s">
        <v>238</v>
      </c>
      <c r="E782" s="1" t="s">
        <v>96</v>
      </c>
      <c r="F782" s="32" t="s">
        <v>96</v>
      </c>
      <c r="G782" s="124">
        <v>63</v>
      </c>
      <c r="H782" s="53" t="s">
        <v>308</v>
      </c>
      <c r="I782" s="77">
        <v>3</v>
      </c>
    </row>
    <row r="783" spans="1:9" x14ac:dyDescent="0.3">
      <c r="A783">
        <v>4</v>
      </c>
      <c r="B783" t="s">
        <v>239</v>
      </c>
      <c r="C783" t="s">
        <v>192</v>
      </c>
      <c r="D783" t="s">
        <v>238</v>
      </c>
      <c r="E783" s="1" t="s">
        <v>96</v>
      </c>
      <c r="F783" s="32" t="s">
        <v>96</v>
      </c>
      <c r="G783" s="124">
        <v>63</v>
      </c>
      <c r="H783" t="s">
        <v>308</v>
      </c>
      <c r="I783" s="34">
        <v>4</v>
      </c>
    </row>
    <row r="784" spans="1:9" x14ac:dyDescent="0.3">
      <c r="A784">
        <v>5</v>
      </c>
      <c r="B784" t="s">
        <v>239</v>
      </c>
      <c r="C784" t="s">
        <v>192</v>
      </c>
      <c r="D784" t="s">
        <v>238</v>
      </c>
      <c r="E784" t="s">
        <v>96</v>
      </c>
      <c r="F784" s="57" t="s">
        <v>96</v>
      </c>
      <c r="G784" s="124">
        <v>63</v>
      </c>
      <c r="H784" t="s">
        <v>308</v>
      </c>
      <c r="I784" s="34">
        <v>5</v>
      </c>
    </row>
    <row r="785" spans="1:9" x14ac:dyDescent="0.3">
      <c r="A785">
        <v>6</v>
      </c>
      <c r="B785" t="s">
        <v>239</v>
      </c>
      <c r="C785" t="s">
        <v>192</v>
      </c>
      <c r="D785" t="s">
        <v>238</v>
      </c>
      <c r="E785" t="s">
        <v>96</v>
      </c>
      <c r="F785" s="57" t="s">
        <v>96</v>
      </c>
      <c r="G785" s="124">
        <v>63</v>
      </c>
      <c r="H785" t="s">
        <v>308</v>
      </c>
      <c r="I785" s="34">
        <v>6</v>
      </c>
    </row>
    <row r="786" spans="1:9" x14ac:dyDescent="0.3">
      <c r="A786">
        <v>9</v>
      </c>
      <c r="B786" t="s">
        <v>239</v>
      </c>
      <c r="C786" t="s">
        <v>192</v>
      </c>
      <c r="D786" t="s">
        <v>238</v>
      </c>
      <c r="E786" t="s">
        <v>96</v>
      </c>
      <c r="F786" s="57" t="s">
        <v>96</v>
      </c>
      <c r="G786" s="124">
        <v>63</v>
      </c>
      <c r="H786" t="s">
        <v>308</v>
      </c>
      <c r="I786" s="34">
        <v>9</v>
      </c>
    </row>
    <row r="787" spans="1:9" x14ac:dyDescent="0.3">
      <c r="A787">
        <v>10</v>
      </c>
      <c r="B787" t="s">
        <v>239</v>
      </c>
      <c r="C787" t="s">
        <v>192</v>
      </c>
      <c r="D787" t="s">
        <v>238</v>
      </c>
      <c r="E787" t="s">
        <v>96</v>
      </c>
      <c r="F787" s="57" t="s">
        <v>96</v>
      </c>
      <c r="G787" s="124">
        <v>63</v>
      </c>
      <c r="H787" s="53" t="s">
        <v>308</v>
      </c>
      <c r="I787" s="77">
        <v>10</v>
      </c>
    </row>
    <row r="788" spans="1:9" x14ac:dyDescent="0.3">
      <c r="A788" s="53">
        <v>11</v>
      </c>
      <c r="B788" t="s">
        <v>239</v>
      </c>
      <c r="C788" s="53" t="s">
        <v>192</v>
      </c>
      <c r="D788" s="53" t="s">
        <v>238</v>
      </c>
      <c r="E788" s="53" t="s">
        <v>96</v>
      </c>
      <c r="F788" s="57" t="s">
        <v>96</v>
      </c>
      <c r="G788" s="124">
        <v>63</v>
      </c>
      <c r="H788" t="s">
        <v>308</v>
      </c>
      <c r="I788" s="34">
        <v>11</v>
      </c>
    </row>
    <row r="789" spans="1:9" x14ac:dyDescent="0.3">
      <c r="A789">
        <v>1</v>
      </c>
      <c r="B789" t="s">
        <v>239</v>
      </c>
      <c r="C789" t="s">
        <v>193</v>
      </c>
      <c r="D789" t="s">
        <v>188</v>
      </c>
      <c r="E789" s="1" t="s">
        <v>96</v>
      </c>
      <c r="F789" s="54" t="s">
        <v>96</v>
      </c>
      <c r="G789" s="124">
        <v>56</v>
      </c>
      <c r="H789" t="s">
        <v>304</v>
      </c>
      <c r="I789" s="34">
        <v>1</v>
      </c>
    </row>
    <row r="790" spans="1:9" x14ac:dyDescent="0.3">
      <c r="A790">
        <v>3</v>
      </c>
      <c r="B790" t="s">
        <v>239</v>
      </c>
      <c r="C790" t="s">
        <v>193</v>
      </c>
      <c r="D790" t="s">
        <v>238</v>
      </c>
      <c r="E790" s="1" t="s">
        <v>96</v>
      </c>
      <c r="F790" s="54" t="s">
        <v>96</v>
      </c>
      <c r="G790" s="124">
        <v>6.3</v>
      </c>
      <c r="H790" t="s">
        <v>309</v>
      </c>
      <c r="I790" s="34">
        <v>3</v>
      </c>
    </row>
    <row r="791" spans="1:9" x14ac:dyDescent="0.3">
      <c r="A791">
        <v>4</v>
      </c>
      <c r="B791" t="s">
        <v>239</v>
      </c>
      <c r="C791" t="s">
        <v>193</v>
      </c>
      <c r="D791" t="s">
        <v>238</v>
      </c>
      <c r="E791" s="1" t="s">
        <v>96</v>
      </c>
      <c r="F791" s="31" t="s">
        <v>96</v>
      </c>
      <c r="G791" s="124">
        <v>6.3</v>
      </c>
      <c r="H791" t="s">
        <v>309</v>
      </c>
      <c r="I791" s="34">
        <v>4</v>
      </c>
    </row>
    <row r="792" spans="1:9" x14ac:dyDescent="0.3">
      <c r="A792">
        <v>5</v>
      </c>
      <c r="B792" t="s">
        <v>239</v>
      </c>
      <c r="C792" t="s">
        <v>193</v>
      </c>
      <c r="D792" t="s">
        <v>238</v>
      </c>
      <c r="E792" t="s">
        <v>96</v>
      </c>
      <c r="F792" s="57" t="s">
        <v>96</v>
      </c>
      <c r="G792" s="124">
        <v>6.3</v>
      </c>
      <c r="H792" s="53" t="s">
        <v>309</v>
      </c>
      <c r="I792" s="77">
        <v>5</v>
      </c>
    </row>
    <row r="793" spans="1:9" x14ac:dyDescent="0.3">
      <c r="A793">
        <v>6</v>
      </c>
      <c r="B793" t="s">
        <v>239</v>
      </c>
      <c r="C793" t="s">
        <v>193</v>
      </c>
      <c r="D793" t="s">
        <v>238</v>
      </c>
      <c r="E793" t="s">
        <v>96</v>
      </c>
      <c r="F793" s="57" t="s">
        <v>96</v>
      </c>
      <c r="G793" s="124">
        <v>6.3</v>
      </c>
      <c r="H793" t="s">
        <v>309</v>
      </c>
      <c r="I793" s="34">
        <v>6</v>
      </c>
    </row>
    <row r="794" spans="1:9" x14ac:dyDescent="0.3">
      <c r="A794">
        <v>9</v>
      </c>
      <c r="B794" t="s">
        <v>239</v>
      </c>
      <c r="C794" t="s">
        <v>193</v>
      </c>
      <c r="D794" t="s">
        <v>238</v>
      </c>
      <c r="E794" t="s">
        <v>96</v>
      </c>
      <c r="F794" s="57" t="s">
        <v>96</v>
      </c>
      <c r="G794" s="124">
        <v>6.3</v>
      </c>
      <c r="H794" t="s">
        <v>309</v>
      </c>
      <c r="I794" s="34">
        <v>9</v>
      </c>
    </row>
    <row r="795" spans="1:9" x14ac:dyDescent="0.3">
      <c r="A795">
        <v>10</v>
      </c>
      <c r="B795" t="s">
        <v>239</v>
      </c>
      <c r="C795" t="s">
        <v>193</v>
      </c>
      <c r="D795" t="s">
        <v>238</v>
      </c>
      <c r="E795" t="s">
        <v>96</v>
      </c>
      <c r="F795" s="57" t="s">
        <v>96</v>
      </c>
      <c r="G795" s="124">
        <v>6.3</v>
      </c>
      <c r="H795" t="s">
        <v>309</v>
      </c>
      <c r="I795" s="34">
        <v>10</v>
      </c>
    </row>
    <row r="796" spans="1:9" x14ac:dyDescent="0.3">
      <c r="A796" s="53">
        <v>11</v>
      </c>
      <c r="B796" t="s">
        <v>239</v>
      </c>
      <c r="C796" s="53" t="s">
        <v>193</v>
      </c>
      <c r="D796" s="53" t="s">
        <v>238</v>
      </c>
      <c r="E796" s="53" t="s">
        <v>96</v>
      </c>
      <c r="F796" s="57" t="s">
        <v>96</v>
      </c>
      <c r="G796" s="124">
        <v>6.3</v>
      </c>
      <c r="H796" t="s">
        <v>309</v>
      </c>
      <c r="I796" s="34">
        <v>11</v>
      </c>
    </row>
    <row r="797" spans="1:9" x14ac:dyDescent="0.3">
      <c r="A797">
        <v>8</v>
      </c>
      <c r="B797" t="s">
        <v>239</v>
      </c>
      <c r="C797" t="s">
        <v>191</v>
      </c>
      <c r="D797" t="s">
        <v>188</v>
      </c>
      <c r="E797" t="s">
        <v>99</v>
      </c>
      <c r="F797" s="57" t="s">
        <v>99</v>
      </c>
      <c r="G797" s="124">
        <v>2600</v>
      </c>
      <c r="H797" t="s">
        <v>310</v>
      </c>
      <c r="I797" s="34">
        <v>8</v>
      </c>
    </row>
    <row r="798" spans="1:9" x14ac:dyDescent="0.3">
      <c r="A798">
        <v>7</v>
      </c>
      <c r="B798" t="s">
        <v>239</v>
      </c>
      <c r="C798" t="s">
        <v>191</v>
      </c>
      <c r="D798" t="s">
        <v>188</v>
      </c>
      <c r="E798" t="s">
        <v>99</v>
      </c>
      <c r="F798" s="57" t="s">
        <v>99</v>
      </c>
      <c r="G798" s="124">
        <v>2200</v>
      </c>
      <c r="H798" t="s">
        <v>310</v>
      </c>
      <c r="I798" s="34">
        <v>7</v>
      </c>
    </row>
    <row r="799" spans="1:9" x14ac:dyDescent="0.3">
      <c r="A799">
        <v>12</v>
      </c>
      <c r="B799" t="s">
        <v>239</v>
      </c>
      <c r="C799" t="s">
        <v>191</v>
      </c>
      <c r="D799" t="s">
        <v>188</v>
      </c>
      <c r="E799" t="s">
        <v>99</v>
      </c>
      <c r="F799" s="57" t="s">
        <v>99</v>
      </c>
      <c r="G799" s="124">
        <v>1800</v>
      </c>
      <c r="H799" t="s">
        <v>310</v>
      </c>
      <c r="I799" s="34">
        <v>12</v>
      </c>
    </row>
    <row r="800" spans="1:9" x14ac:dyDescent="0.3">
      <c r="A800">
        <v>1</v>
      </c>
      <c r="B800" t="s">
        <v>239</v>
      </c>
      <c r="C800" t="s">
        <v>191</v>
      </c>
      <c r="D800" t="s">
        <v>188</v>
      </c>
      <c r="E800" s="1" t="s">
        <v>99</v>
      </c>
      <c r="F800" s="54" t="s">
        <v>99</v>
      </c>
      <c r="G800" s="124">
        <v>1700</v>
      </c>
      <c r="H800" t="s">
        <v>310</v>
      </c>
      <c r="I800" s="34">
        <v>1</v>
      </c>
    </row>
    <row r="801" spans="1:9" x14ac:dyDescent="0.3">
      <c r="A801">
        <v>2</v>
      </c>
      <c r="B801" t="s">
        <v>239</v>
      </c>
      <c r="C801" t="s">
        <v>191</v>
      </c>
      <c r="D801" t="s">
        <v>188</v>
      </c>
      <c r="E801" s="1" t="s">
        <v>99</v>
      </c>
      <c r="F801" s="32" t="s">
        <v>99</v>
      </c>
      <c r="G801" s="124">
        <v>1650</v>
      </c>
      <c r="H801" t="s">
        <v>310</v>
      </c>
      <c r="I801" s="34">
        <v>2</v>
      </c>
    </row>
    <row r="802" spans="1:9" x14ac:dyDescent="0.3">
      <c r="A802">
        <v>7</v>
      </c>
      <c r="B802" t="s">
        <v>239</v>
      </c>
      <c r="C802" t="s">
        <v>191</v>
      </c>
      <c r="D802" t="s">
        <v>195</v>
      </c>
      <c r="E802" t="s">
        <v>99</v>
      </c>
      <c r="F802" s="57" t="s">
        <v>99</v>
      </c>
      <c r="G802" s="124">
        <v>1600</v>
      </c>
      <c r="H802" t="s">
        <v>311</v>
      </c>
      <c r="I802" s="34">
        <v>7</v>
      </c>
    </row>
    <row r="803" spans="1:9" x14ac:dyDescent="0.3">
      <c r="A803">
        <v>6</v>
      </c>
      <c r="B803" t="s">
        <v>239</v>
      </c>
      <c r="C803" t="s">
        <v>191</v>
      </c>
      <c r="D803" t="s">
        <v>188</v>
      </c>
      <c r="E803" t="s">
        <v>99</v>
      </c>
      <c r="F803" s="57" t="s">
        <v>99</v>
      </c>
      <c r="G803" s="124">
        <v>1500</v>
      </c>
      <c r="H803" t="s">
        <v>310</v>
      </c>
      <c r="I803" s="34">
        <v>6</v>
      </c>
    </row>
    <row r="804" spans="1:9" x14ac:dyDescent="0.3">
      <c r="A804">
        <v>9</v>
      </c>
      <c r="B804" t="s">
        <v>239</v>
      </c>
      <c r="C804" t="s">
        <v>191</v>
      </c>
      <c r="D804" t="s">
        <v>188</v>
      </c>
      <c r="E804" t="s">
        <v>99</v>
      </c>
      <c r="F804" s="57" t="s">
        <v>99</v>
      </c>
      <c r="G804" s="124">
        <v>1500</v>
      </c>
      <c r="H804" t="s">
        <v>310</v>
      </c>
      <c r="I804" s="34">
        <v>9</v>
      </c>
    </row>
    <row r="805" spans="1:9" x14ac:dyDescent="0.3">
      <c r="A805">
        <v>10</v>
      </c>
      <c r="B805" t="s">
        <v>239</v>
      </c>
      <c r="C805" t="s">
        <v>191</v>
      </c>
      <c r="D805" t="s">
        <v>188</v>
      </c>
      <c r="E805" t="s">
        <v>99</v>
      </c>
      <c r="F805" s="57" t="s">
        <v>99</v>
      </c>
      <c r="G805" s="124">
        <v>1500</v>
      </c>
      <c r="H805" t="s">
        <v>310</v>
      </c>
      <c r="I805" s="34">
        <v>10</v>
      </c>
    </row>
    <row r="806" spans="1:9" x14ac:dyDescent="0.3">
      <c r="A806">
        <v>1</v>
      </c>
      <c r="B806" t="s">
        <v>239</v>
      </c>
      <c r="C806" t="s">
        <v>191</v>
      </c>
      <c r="D806" t="s">
        <v>195</v>
      </c>
      <c r="E806" s="1" t="s">
        <v>99</v>
      </c>
      <c r="F806" s="54" t="s">
        <v>99</v>
      </c>
      <c r="G806" s="124">
        <v>1500</v>
      </c>
      <c r="H806" t="s">
        <v>311</v>
      </c>
      <c r="I806" s="34">
        <v>1</v>
      </c>
    </row>
    <row r="807" spans="1:9" x14ac:dyDescent="0.3">
      <c r="A807">
        <v>8</v>
      </c>
      <c r="B807" t="s">
        <v>239</v>
      </c>
      <c r="C807" t="s">
        <v>191</v>
      </c>
      <c r="D807" t="s">
        <v>195</v>
      </c>
      <c r="E807" t="s">
        <v>99</v>
      </c>
      <c r="F807" s="57" t="s">
        <v>99</v>
      </c>
      <c r="G807" s="124">
        <v>1450</v>
      </c>
      <c r="H807" t="s">
        <v>311</v>
      </c>
      <c r="I807" s="34">
        <v>8</v>
      </c>
    </row>
    <row r="808" spans="1:9" x14ac:dyDescent="0.3">
      <c r="A808" s="53">
        <v>11</v>
      </c>
      <c r="B808" t="s">
        <v>239</v>
      </c>
      <c r="C808" s="53" t="s">
        <v>191</v>
      </c>
      <c r="D808" s="53" t="s">
        <v>188</v>
      </c>
      <c r="E808" s="53" t="s">
        <v>99</v>
      </c>
      <c r="F808" s="57" t="s">
        <v>99</v>
      </c>
      <c r="G808" s="124">
        <v>1400</v>
      </c>
      <c r="H808" t="s">
        <v>310</v>
      </c>
      <c r="I808" s="34">
        <v>11</v>
      </c>
    </row>
    <row r="809" spans="1:9" x14ac:dyDescent="0.3">
      <c r="A809">
        <v>5</v>
      </c>
      <c r="B809" t="s">
        <v>239</v>
      </c>
      <c r="C809" t="s">
        <v>191</v>
      </c>
      <c r="D809" t="s">
        <v>188</v>
      </c>
      <c r="E809" s="1" t="s">
        <v>99</v>
      </c>
      <c r="F809" s="54" t="s">
        <v>99</v>
      </c>
      <c r="G809" s="124">
        <v>1300</v>
      </c>
      <c r="H809" t="s">
        <v>310</v>
      </c>
      <c r="I809" s="34">
        <v>5</v>
      </c>
    </row>
    <row r="810" spans="1:9" x14ac:dyDescent="0.3">
      <c r="A810">
        <v>5</v>
      </c>
      <c r="B810" t="s">
        <v>239</v>
      </c>
      <c r="C810" t="s">
        <v>191</v>
      </c>
      <c r="D810" t="s">
        <v>195</v>
      </c>
      <c r="E810" s="1" t="s">
        <v>99</v>
      </c>
      <c r="F810" s="54" t="s">
        <v>99</v>
      </c>
      <c r="G810" s="124">
        <v>1300</v>
      </c>
      <c r="H810" t="s">
        <v>311</v>
      </c>
      <c r="I810" s="34">
        <v>5</v>
      </c>
    </row>
    <row r="811" spans="1:9" x14ac:dyDescent="0.3">
      <c r="A811">
        <v>4</v>
      </c>
      <c r="B811" t="s">
        <v>239</v>
      </c>
      <c r="C811" t="s">
        <v>191</v>
      </c>
      <c r="D811" t="s">
        <v>188</v>
      </c>
      <c r="E811" s="1" t="s">
        <v>99</v>
      </c>
      <c r="F811" s="54" t="s">
        <v>99</v>
      </c>
      <c r="G811" s="124">
        <v>1250</v>
      </c>
      <c r="H811" t="s">
        <v>310</v>
      </c>
      <c r="I811" s="34">
        <v>4</v>
      </c>
    </row>
    <row r="812" spans="1:9" x14ac:dyDescent="0.3">
      <c r="A812">
        <v>2</v>
      </c>
      <c r="B812" t="s">
        <v>239</v>
      </c>
      <c r="C812" t="s">
        <v>191</v>
      </c>
      <c r="D812" t="s">
        <v>195</v>
      </c>
      <c r="E812" s="1" t="s">
        <v>99</v>
      </c>
      <c r="F812" s="32" t="s">
        <v>99</v>
      </c>
      <c r="G812" s="124">
        <v>1200</v>
      </c>
      <c r="H812" t="s">
        <v>311</v>
      </c>
      <c r="I812" s="34">
        <v>2</v>
      </c>
    </row>
    <row r="813" spans="1:9" x14ac:dyDescent="0.3">
      <c r="A813">
        <v>4</v>
      </c>
      <c r="B813" t="s">
        <v>239</v>
      </c>
      <c r="C813" t="s">
        <v>191</v>
      </c>
      <c r="D813" t="s">
        <v>195</v>
      </c>
      <c r="E813" s="1" t="s">
        <v>99</v>
      </c>
      <c r="F813" s="54" t="s">
        <v>99</v>
      </c>
      <c r="G813" s="124">
        <v>1200</v>
      </c>
      <c r="H813" t="s">
        <v>311</v>
      </c>
      <c r="I813" s="34">
        <v>4</v>
      </c>
    </row>
    <row r="814" spans="1:9" x14ac:dyDescent="0.3">
      <c r="A814">
        <v>6</v>
      </c>
      <c r="B814" t="s">
        <v>239</v>
      </c>
      <c r="C814" t="s">
        <v>191</v>
      </c>
      <c r="D814" t="s">
        <v>195</v>
      </c>
      <c r="E814" t="s">
        <v>99</v>
      </c>
      <c r="F814" s="57" t="s">
        <v>99</v>
      </c>
      <c r="G814" s="124">
        <v>1200</v>
      </c>
      <c r="H814" t="s">
        <v>311</v>
      </c>
      <c r="I814" s="34">
        <v>6</v>
      </c>
    </row>
    <row r="815" spans="1:9" x14ac:dyDescent="0.3">
      <c r="A815">
        <v>3</v>
      </c>
      <c r="B815" t="s">
        <v>239</v>
      </c>
      <c r="C815" t="s">
        <v>191</v>
      </c>
      <c r="D815" t="s">
        <v>188</v>
      </c>
      <c r="E815" s="1" t="s">
        <v>99</v>
      </c>
      <c r="F815" s="31" t="s">
        <v>99</v>
      </c>
      <c r="G815" s="124">
        <v>1100</v>
      </c>
      <c r="H815" t="s">
        <v>310</v>
      </c>
      <c r="I815" s="34">
        <v>3</v>
      </c>
    </row>
    <row r="816" spans="1:9" x14ac:dyDescent="0.3">
      <c r="A816">
        <v>12</v>
      </c>
      <c r="B816" t="s">
        <v>239</v>
      </c>
      <c r="C816" t="s">
        <v>191</v>
      </c>
      <c r="D816" t="s">
        <v>195</v>
      </c>
      <c r="E816" t="s">
        <v>99</v>
      </c>
      <c r="F816" s="57" t="s">
        <v>99</v>
      </c>
      <c r="G816" s="124">
        <v>1050</v>
      </c>
      <c r="H816" t="s">
        <v>311</v>
      </c>
      <c r="I816" s="34">
        <v>12</v>
      </c>
    </row>
    <row r="817" spans="1:9" x14ac:dyDescent="0.3">
      <c r="A817">
        <v>9</v>
      </c>
      <c r="B817" t="s">
        <v>239</v>
      </c>
      <c r="C817" t="s">
        <v>191</v>
      </c>
      <c r="D817" t="s">
        <v>195</v>
      </c>
      <c r="E817" t="s">
        <v>99</v>
      </c>
      <c r="F817" s="57" t="s">
        <v>99</v>
      </c>
      <c r="G817" s="124">
        <v>1000</v>
      </c>
      <c r="H817" t="s">
        <v>311</v>
      </c>
      <c r="I817" s="34">
        <v>9</v>
      </c>
    </row>
    <row r="818" spans="1:9" x14ac:dyDescent="0.3">
      <c r="A818">
        <v>10</v>
      </c>
      <c r="B818" t="s">
        <v>239</v>
      </c>
      <c r="C818" t="s">
        <v>191</v>
      </c>
      <c r="D818" t="s">
        <v>195</v>
      </c>
      <c r="E818" t="s">
        <v>99</v>
      </c>
      <c r="F818" s="57" t="s">
        <v>99</v>
      </c>
      <c r="G818" s="124">
        <v>950</v>
      </c>
      <c r="H818" t="s">
        <v>311</v>
      </c>
      <c r="I818" s="34">
        <v>10</v>
      </c>
    </row>
    <row r="819" spans="1:9" x14ac:dyDescent="0.3">
      <c r="A819" s="53">
        <v>11</v>
      </c>
      <c r="B819" t="s">
        <v>239</v>
      </c>
      <c r="C819" s="53" t="s">
        <v>191</v>
      </c>
      <c r="D819" s="53" t="s">
        <v>195</v>
      </c>
      <c r="E819" s="53" t="s">
        <v>99</v>
      </c>
      <c r="F819" s="57" t="s">
        <v>99</v>
      </c>
      <c r="G819" s="124">
        <v>950</v>
      </c>
      <c r="H819" t="s">
        <v>311</v>
      </c>
      <c r="I819" s="34">
        <v>11</v>
      </c>
    </row>
    <row r="820" spans="1:9" x14ac:dyDescent="0.3">
      <c r="A820">
        <v>3</v>
      </c>
      <c r="B820" t="s">
        <v>239</v>
      </c>
      <c r="C820" t="s">
        <v>191</v>
      </c>
      <c r="D820" t="s">
        <v>195</v>
      </c>
      <c r="E820" s="1" t="s">
        <v>99</v>
      </c>
      <c r="F820" s="31" t="s">
        <v>99</v>
      </c>
      <c r="G820" s="124">
        <v>850</v>
      </c>
      <c r="H820" t="s">
        <v>311</v>
      </c>
      <c r="I820" s="34">
        <v>3</v>
      </c>
    </row>
    <row r="821" spans="1:9" x14ac:dyDescent="0.3">
      <c r="A821">
        <v>8</v>
      </c>
      <c r="B821" t="s">
        <v>239</v>
      </c>
      <c r="C821" t="s">
        <v>193</v>
      </c>
      <c r="D821" t="s">
        <v>188</v>
      </c>
      <c r="E821" t="s">
        <v>99</v>
      </c>
      <c r="F821" s="57" t="s">
        <v>99</v>
      </c>
      <c r="G821" s="124">
        <v>577.20000000000005</v>
      </c>
      <c r="H821" t="s">
        <v>312</v>
      </c>
      <c r="I821" s="34">
        <v>8</v>
      </c>
    </row>
    <row r="822" spans="1:9" x14ac:dyDescent="0.3">
      <c r="A822">
        <v>7</v>
      </c>
      <c r="B822" t="s">
        <v>239</v>
      </c>
      <c r="C822" t="s">
        <v>193</v>
      </c>
      <c r="D822" t="s">
        <v>188</v>
      </c>
      <c r="E822" t="s">
        <v>99</v>
      </c>
      <c r="F822" s="57" t="s">
        <v>99</v>
      </c>
      <c r="G822" s="124">
        <v>438.68</v>
      </c>
      <c r="H822" t="s">
        <v>312</v>
      </c>
      <c r="I822" s="34">
        <v>7</v>
      </c>
    </row>
    <row r="823" spans="1:9" x14ac:dyDescent="0.3">
      <c r="A823">
        <v>12</v>
      </c>
      <c r="B823" t="s">
        <v>239</v>
      </c>
      <c r="C823" t="s">
        <v>193</v>
      </c>
      <c r="D823" t="s">
        <v>188</v>
      </c>
      <c r="E823" t="s">
        <v>99</v>
      </c>
      <c r="F823" s="57" t="s">
        <v>99</v>
      </c>
      <c r="G823" s="124">
        <v>307.07298000000003</v>
      </c>
      <c r="H823" t="s">
        <v>312</v>
      </c>
      <c r="I823" s="34">
        <v>12</v>
      </c>
    </row>
    <row r="824" spans="1:9" x14ac:dyDescent="0.3">
      <c r="A824">
        <v>8</v>
      </c>
      <c r="B824" t="s">
        <v>239</v>
      </c>
      <c r="C824" t="s">
        <v>193</v>
      </c>
      <c r="D824" t="s">
        <v>195</v>
      </c>
      <c r="E824" t="s">
        <v>99</v>
      </c>
      <c r="F824" s="57" t="s">
        <v>99</v>
      </c>
      <c r="G824" s="124">
        <v>300.14999999999998</v>
      </c>
      <c r="H824" t="s">
        <v>313</v>
      </c>
      <c r="I824" s="34">
        <v>8</v>
      </c>
    </row>
    <row r="825" spans="1:9" x14ac:dyDescent="0.3">
      <c r="A825">
        <v>7</v>
      </c>
      <c r="B825" t="s">
        <v>239</v>
      </c>
      <c r="C825" t="s">
        <v>193</v>
      </c>
      <c r="D825" t="s">
        <v>195</v>
      </c>
      <c r="E825" t="s">
        <v>99</v>
      </c>
      <c r="F825" s="57" t="s">
        <v>99</v>
      </c>
      <c r="G825" s="124">
        <v>299.2</v>
      </c>
      <c r="H825" t="s">
        <v>313</v>
      </c>
      <c r="I825" s="34">
        <v>7</v>
      </c>
    </row>
    <row r="826" spans="1:9" x14ac:dyDescent="0.3">
      <c r="A826">
        <v>1</v>
      </c>
      <c r="B826" t="s">
        <v>239</v>
      </c>
      <c r="C826" t="s">
        <v>193</v>
      </c>
      <c r="D826" t="s">
        <v>188</v>
      </c>
      <c r="E826" s="1" t="s">
        <v>99</v>
      </c>
      <c r="F826" s="32" t="s">
        <v>99</v>
      </c>
      <c r="G826" s="124">
        <v>274.38</v>
      </c>
      <c r="H826" t="s">
        <v>312</v>
      </c>
      <c r="I826" s="34">
        <v>1</v>
      </c>
    </row>
    <row r="827" spans="1:9" x14ac:dyDescent="0.3">
      <c r="A827">
        <v>10</v>
      </c>
      <c r="B827" t="s">
        <v>239</v>
      </c>
      <c r="C827" t="s">
        <v>193</v>
      </c>
      <c r="D827" t="s">
        <v>188</v>
      </c>
      <c r="E827" t="s">
        <v>99</v>
      </c>
      <c r="F827" s="57" t="s">
        <v>99</v>
      </c>
      <c r="G827" s="124">
        <v>271.57499999999999</v>
      </c>
      <c r="H827" t="s">
        <v>312</v>
      </c>
      <c r="I827" s="34">
        <v>10</v>
      </c>
    </row>
    <row r="828" spans="1:9" x14ac:dyDescent="0.3">
      <c r="A828">
        <v>9</v>
      </c>
      <c r="B828" t="s">
        <v>239</v>
      </c>
      <c r="C828" t="s">
        <v>193</v>
      </c>
      <c r="D828" t="s">
        <v>188</v>
      </c>
      <c r="E828" t="s">
        <v>99</v>
      </c>
      <c r="F828" s="57" t="s">
        <v>99</v>
      </c>
      <c r="G828" s="124">
        <v>269.25</v>
      </c>
      <c r="H828" t="s">
        <v>312</v>
      </c>
      <c r="I828" s="34">
        <v>9</v>
      </c>
    </row>
    <row r="829" spans="1:9" x14ac:dyDescent="0.3">
      <c r="A829">
        <v>2</v>
      </c>
      <c r="B829" t="s">
        <v>239</v>
      </c>
      <c r="C829" t="s">
        <v>193</v>
      </c>
      <c r="D829" t="s">
        <v>188</v>
      </c>
      <c r="E829" s="1" t="s">
        <v>99</v>
      </c>
      <c r="F829" s="54" t="s">
        <v>99</v>
      </c>
      <c r="G829" s="124">
        <v>255.75</v>
      </c>
      <c r="H829" t="s">
        <v>312</v>
      </c>
      <c r="I829" s="34">
        <v>2</v>
      </c>
    </row>
    <row r="830" spans="1:9" x14ac:dyDescent="0.3">
      <c r="A830">
        <v>6</v>
      </c>
      <c r="B830" t="s">
        <v>239</v>
      </c>
      <c r="C830" t="s">
        <v>193</v>
      </c>
      <c r="D830" t="s">
        <v>188</v>
      </c>
      <c r="E830" t="s">
        <v>99</v>
      </c>
      <c r="F830" s="57" t="s">
        <v>99</v>
      </c>
      <c r="G830" s="124">
        <v>247.5</v>
      </c>
      <c r="H830" t="s">
        <v>312</v>
      </c>
      <c r="I830" s="34">
        <v>6</v>
      </c>
    </row>
    <row r="831" spans="1:9" x14ac:dyDescent="0.3">
      <c r="A831">
        <v>5</v>
      </c>
      <c r="B831" t="s">
        <v>239</v>
      </c>
      <c r="C831" t="s">
        <v>193</v>
      </c>
      <c r="D831" t="s">
        <v>195</v>
      </c>
      <c r="E831" t="s">
        <v>99</v>
      </c>
      <c r="F831" s="57" t="s">
        <v>99</v>
      </c>
      <c r="G831" s="124">
        <v>232.7</v>
      </c>
      <c r="H831" t="s">
        <v>313</v>
      </c>
      <c r="I831" s="34">
        <v>5</v>
      </c>
    </row>
    <row r="832" spans="1:9" x14ac:dyDescent="0.3">
      <c r="A832">
        <v>5</v>
      </c>
      <c r="B832" t="s">
        <v>239</v>
      </c>
      <c r="C832" t="s">
        <v>193</v>
      </c>
      <c r="D832" t="s">
        <v>188</v>
      </c>
      <c r="E832" t="s">
        <v>99</v>
      </c>
      <c r="F832" s="57" t="s">
        <v>99</v>
      </c>
      <c r="G832" s="124">
        <v>231.4</v>
      </c>
      <c r="H832" t="s">
        <v>312</v>
      </c>
      <c r="I832" s="34">
        <v>5</v>
      </c>
    </row>
    <row r="833" spans="1:9" x14ac:dyDescent="0.3">
      <c r="A833" s="53">
        <v>11</v>
      </c>
      <c r="B833" t="s">
        <v>239</v>
      </c>
      <c r="C833" s="53" t="s">
        <v>193</v>
      </c>
      <c r="D833" s="53" t="s">
        <v>188</v>
      </c>
      <c r="E833" s="53" t="s">
        <v>99</v>
      </c>
      <c r="F833" s="57" t="s">
        <v>99</v>
      </c>
      <c r="G833" s="124">
        <v>225.4</v>
      </c>
      <c r="H833" s="53" t="s">
        <v>312</v>
      </c>
      <c r="I833" s="77">
        <v>11</v>
      </c>
    </row>
    <row r="834" spans="1:9" x14ac:dyDescent="0.3">
      <c r="A834">
        <v>1</v>
      </c>
      <c r="B834" t="s">
        <v>239</v>
      </c>
      <c r="C834" t="s">
        <v>193</v>
      </c>
      <c r="D834" t="s">
        <v>195</v>
      </c>
      <c r="E834" s="1" t="s">
        <v>99</v>
      </c>
      <c r="F834" s="32" t="s">
        <v>99</v>
      </c>
      <c r="G834" s="124">
        <v>224.1</v>
      </c>
      <c r="H834" t="s">
        <v>313</v>
      </c>
      <c r="I834" s="34">
        <v>1</v>
      </c>
    </row>
    <row r="835" spans="1:9" x14ac:dyDescent="0.3">
      <c r="A835">
        <v>8</v>
      </c>
      <c r="B835" t="s">
        <v>239</v>
      </c>
      <c r="C835" t="s">
        <v>192</v>
      </c>
      <c r="D835" t="s">
        <v>188</v>
      </c>
      <c r="E835" t="s">
        <v>99</v>
      </c>
      <c r="F835" s="57" t="s">
        <v>99</v>
      </c>
      <c r="G835" s="124">
        <v>222</v>
      </c>
      <c r="H835" s="53" t="s">
        <v>314</v>
      </c>
      <c r="I835" s="77">
        <v>8</v>
      </c>
    </row>
    <row r="836" spans="1:9" x14ac:dyDescent="0.3">
      <c r="A836">
        <v>8</v>
      </c>
      <c r="B836" t="s">
        <v>239</v>
      </c>
      <c r="C836" t="s">
        <v>192</v>
      </c>
      <c r="D836" t="s">
        <v>195</v>
      </c>
      <c r="E836" t="s">
        <v>99</v>
      </c>
      <c r="F836" s="57" t="s">
        <v>99</v>
      </c>
      <c r="G836" s="124">
        <v>207</v>
      </c>
      <c r="H836" t="s">
        <v>315</v>
      </c>
      <c r="I836" s="34">
        <v>8</v>
      </c>
    </row>
    <row r="837" spans="1:9" x14ac:dyDescent="0.3">
      <c r="A837">
        <v>7</v>
      </c>
      <c r="B837" t="s">
        <v>239</v>
      </c>
      <c r="C837" t="s">
        <v>192</v>
      </c>
      <c r="D837" t="s">
        <v>188</v>
      </c>
      <c r="E837" t="s">
        <v>99</v>
      </c>
      <c r="F837" s="57" t="s">
        <v>99</v>
      </c>
      <c r="G837" s="124">
        <v>199.4</v>
      </c>
      <c r="H837" t="s">
        <v>314</v>
      </c>
      <c r="I837" s="34">
        <v>7</v>
      </c>
    </row>
    <row r="838" spans="1:9" x14ac:dyDescent="0.3">
      <c r="A838">
        <v>3</v>
      </c>
      <c r="B838" t="s">
        <v>239</v>
      </c>
      <c r="C838" t="s">
        <v>193</v>
      </c>
      <c r="D838" t="s">
        <v>188</v>
      </c>
      <c r="E838" s="1" t="s">
        <v>99</v>
      </c>
      <c r="F838" s="31" t="s">
        <v>99</v>
      </c>
      <c r="G838" s="124">
        <v>198</v>
      </c>
      <c r="H838" t="s">
        <v>312</v>
      </c>
      <c r="I838" s="34">
        <v>3</v>
      </c>
    </row>
    <row r="839" spans="1:9" x14ac:dyDescent="0.3">
      <c r="A839">
        <v>4</v>
      </c>
      <c r="B839" t="s">
        <v>239</v>
      </c>
      <c r="C839" t="s">
        <v>193</v>
      </c>
      <c r="D839" t="s">
        <v>188</v>
      </c>
      <c r="E839" s="1" t="s">
        <v>99</v>
      </c>
      <c r="F839" s="32" t="s">
        <v>99</v>
      </c>
      <c r="G839" s="124">
        <v>197.5</v>
      </c>
      <c r="H839" t="s">
        <v>312</v>
      </c>
      <c r="I839" s="34">
        <v>4</v>
      </c>
    </row>
    <row r="840" spans="1:9" x14ac:dyDescent="0.3">
      <c r="A840">
        <v>7</v>
      </c>
      <c r="B840" t="s">
        <v>239</v>
      </c>
      <c r="C840" t="s">
        <v>192</v>
      </c>
      <c r="D840" t="s">
        <v>195</v>
      </c>
      <c r="E840" t="s">
        <v>99</v>
      </c>
      <c r="F840" s="57" t="s">
        <v>99</v>
      </c>
      <c r="G840" s="124">
        <v>187</v>
      </c>
      <c r="H840" t="s">
        <v>315</v>
      </c>
      <c r="I840" s="34">
        <v>7</v>
      </c>
    </row>
    <row r="841" spans="1:9" x14ac:dyDescent="0.3">
      <c r="A841">
        <v>10</v>
      </c>
      <c r="B841" t="s">
        <v>239</v>
      </c>
      <c r="C841" t="s">
        <v>192</v>
      </c>
      <c r="D841" t="s">
        <v>188</v>
      </c>
      <c r="E841" t="s">
        <v>99</v>
      </c>
      <c r="F841" s="57" t="s">
        <v>99</v>
      </c>
      <c r="G841" s="124">
        <v>181.05</v>
      </c>
      <c r="H841" t="s">
        <v>314</v>
      </c>
      <c r="I841" s="34">
        <v>10</v>
      </c>
    </row>
    <row r="842" spans="1:9" x14ac:dyDescent="0.3">
      <c r="A842">
        <v>3</v>
      </c>
      <c r="B842" t="s">
        <v>239</v>
      </c>
      <c r="C842" t="s">
        <v>192</v>
      </c>
      <c r="D842" t="s">
        <v>188</v>
      </c>
      <c r="E842" s="1" t="s">
        <v>99</v>
      </c>
      <c r="F842" s="54" t="s">
        <v>99</v>
      </c>
      <c r="G842" s="124">
        <v>180</v>
      </c>
      <c r="H842" t="s">
        <v>314</v>
      </c>
      <c r="I842" s="34">
        <v>3</v>
      </c>
    </row>
    <row r="843" spans="1:9" x14ac:dyDescent="0.3">
      <c r="A843">
        <v>6</v>
      </c>
      <c r="B843" t="s">
        <v>239</v>
      </c>
      <c r="C843" t="s">
        <v>193</v>
      </c>
      <c r="D843" t="s">
        <v>195</v>
      </c>
      <c r="E843" t="s">
        <v>99</v>
      </c>
      <c r="F843" s="57" t="s">
        <v>99</v>
      </c>
      <c r="G843" s="124">
        <v>180</v>
      </c>
      <c r="H843" t="s">
        <v>313</v>
      </c>
      <c r="I843" s="34">
        <v>6</v>
      </c>
    </row>
    <row r="844" spans="1:9" x14ac:dyDescent="0.3">
      <c r="A844">
        <v>9</v>
      </c>
      <c r="B844" t="s">
        <v>239</v>
      </c>
      <c r="C844" t="s">
        <v>192</v>
      </c>
      <c r="D844" t="s">
        <v>188</v>
      </c>
      <c r="E844" t="s">
        <v>99</v>
      </c>
      <c r="F844" s="57" t="s">
        <v>99</v>
      </c>
      <c r="G844" s="124">
        <v>179.5</v>
      </c>
      <c r="H844" t="s">
        <v>314</v>
      </c>
      <c r="I844" s="34">
        <v>9</v>
      </c>
    </row>
    <row r="845" spans="1:9" x14ac:dyDescent="0.3">
      <c r="A845">
        <v>5</v>
      </c>
      <c r="B845" t="s">
        <v>239</v>
      </c>
      <c r="C845" t="s">
        <v>192</v>
      </c>
      <c r="D845" t="s">
        <v>195</v>
      </c>
      <c r="E845" t="s">
        <v>99</v>
      </c>
      <c r="F845" s="57" t="s">
        <v>99</v>
      </c>
      <c r="G845" s="124">
        <v>179</v>
      </c>
      <c r="H845" t="s">
        <v>315</v>
      </c>
      <c r="I845" s="34">
        <v>5</v>
      </c>
    </row>
    <row r="846" spans="1:9" x14ac:dyDescent="0.3">
      <c r="A846">
        <v>4</v>
      </c>
      <c r="B846" t="s">
        <v>239</v>
      </c>
      <c r="C846" t="s">
        <v>193</v>
      </c>
      <c r="D846" t="s">
        <v>195</v>
      </c>
      <c r="E846" s="1" t="s">
        <v>99</v>
      </c>
      <c r="F846" s="32" t="s">
        <v>99</v>
      </c>
      <c r="G846" s="124">
        <v>178.8</v>
      </c>
      <c r="H846" t="s">
        <v>313</v>
      </c>
      <c r="I846" s="34">
        <v>4</v>
      </c>
    </row>
    <row r="847" spans="1:9" x14ac:dyDescent="0.3">
      <c r="A847">
        <v>5</v>
      </c>
      <c r="B847" t="s">
        <v>239</v>
      </c>
      <c r="C847" t="s">
        <v>192</v>
      </c>
      <c r="D847" t="s">
        <v>188</v>
      </c>
      <c r="E847" t="s">
        <v>99</v>
      </c>
      <c r="F847" s="57" t="s">
        <v>99</v>
      </c>
      <c r="G847" s="124">
        <v>178</v>
      </c>
      <c r="H847" t="s">
        <v>314</v>
      </c>
      <c r="I847" s="34">
        <v>5</v>
      </c>
    </row>
    <row r="848" spans="1:9" x14ac:dyDescent="0.3">
      <c r="A848">
        <v>2</v>
      </c>
      <c r="B848" t="s">
        <v>239</v>
      </c>
      <c r="C848" t="s">
        <v>193</v>
      </c>
      <c r="D848" t="s">
        <v>195</v>
      </c>
      <c r="E848" s="1" t="s">
        <v>99</v>
      </c>
      <c r="F848" s="54" t="s">
        <v>99</v>
      </c>
      <c r="G848" s="124">
        <v>177.6</v>
      </c>
      <c r="H848" t="s">
        <v>313</v>
      </c>
      <c r="I848" s="34">
        <v>2</v>
      </c>
    </row>
    <row r="849" spans="1:9" x14ac:dyDescent="0.3">
      <c r="A849">
        <v>12</v>
      </c>
      <c r="B849" t="s">
        <v>239</v>
      </c>
      <c r="C849" t="s">
        <v>192</v>
      </c>
      <c r="D849" t="s">
        <v>188</v>
      </c>
      <c r="E849" t="s">
        <v>99</v>
      </c>
      <c r="F849" s="57" t="s">
        <v>99</v>
      </c>
      <c r="G849" s="124">
        <v>170.59610000000004</v>
      </c>
      <c r="H849" t="s">
        <v>314</v>
      </c>
      <c r="I849" s="34">
        <v>12</v>
      </c>
    </row>
    <row r="850" spans="1:9" x14ac:dyDescent="0.3">
      <c r="A850">
        <v>12</v>
      </c>
      <c r="B850" t="s">
        <v>239</v>
      </c>
      <c r="C850" t="s">
        <v>193</v>
      </c>
      <c r="D850" t="s">
        <v>195</v>
      </c>
      <c r="E850" t="s">
        <v>99</v>
      </c>
      <c r="F850" s="57" t="s">
        <v>99</v>
      </c>
      <c r="G850" s="124">
        <v>169.05</v>
      </c>
      <c r="H850" t="s">
        <v>313</v>
      </c>
      <c r="I850" s="34">
        <v>12</v>
      </c>
    </row>
    <row r="851" spans="1:9" x14ac:dyDescent="0.3">
      <c r="A851">
        <v>9</v>
      </c>
      <c r="B851" t="s">
        <v>239</v>
      </c>
      <c r="C851" t="s">
        <v>192</v>
      </c>
      <c r="D851" t="s">
        <v>195</v>
      </c>
      <c r="E851" t="s">
        <v>99</v>
      </c>
      <c r="F851" s="57" t="s">
        <v>99</v>
      </c>
      <c r="G851" s="124">
        <v>168</v>
      </c>
      <c r="H851" t="s">
        <v>315</v>
      </c>
      <c r="I851" s="34">
        <v>9</v>
      </c>
    </row>
    <row r="852" spans="1:9" x14ac:dyDescent="0.3">
      <c r="A852">
        <v>9</v>
      </c>
      <c r="B852" t="s">
        <v>239</v>
      </c>
      <c r="C852" t="s">
        <v>193</v>
      </c>
      <c r="D852" t="s">
        <v>195</v>
      </c>
      <c r="E852" t="s">
        <v>99</v>
      </c>
      <c r="F852" s="57" t="s">
        <v>99</v>
      </c>
      <c r="G852" s="124">
        <v>168</v>
      </c>
      <c r="H852" t="s">
        <v>313</v>
      </c>
      <c r="I852" s="34">
        <v>9</v>
      </c>
    </row>
    <row r="853" spans="1:9" x14ac:dyDescent="0.3">
      <c r="A853">
        <v>10</v>
      </c>
      <c r="B853" t="s">
        <v>239</v>
      </c>
      <c r="C853" t="s">
        <v>192</v>
      </c>
      <c r="D853" t="s">
        <v>195</v>
      </c>
      <c r="E853" t="s">
        <v>99</v>
      </c>
      <c r="F853" s="57" t="s">
        <v>99</v>
      </c>
      <c r="G853" s="124">
        <v>166</v>
      </c>
      <c r="H853" t="s">
        <v>315</v>
      </c>
      <c r="I853" s="34">
        <v>10</v>
      </c>
    </row>
    <row r="854" spans="1:9" x14ac:dyDescent="0.3">
      <c r="A854">
        <v>6</v>
      </c>
      <c r="B854" t="s">
        <v>239</v>
      </c>
      <c r="C854" t="s">
        <v>192</v>
      </c>
      <c r="D854" t="s">
        <v>188</v>
      </c>
      <c r="E854" t="s">
        <v>99</v>
      </c>
      <c r="F854" s="57" t="s">
        <v>99</v>
      </c>
      <c r="G854" s="124">
        <v>165</v>
      </c>
      <c r="H854" s="53" t="s">
        <v>314</v>
      </c>
      <c r="I854" s="77">
        <v>6</v>
      </c>
    </row>
    <row r="855" spans="1:9" x14ac:dyDescent="0.3">
      <c r="A855">
        <v>1</v>
      </c>
      <c r="B855" t="s">
        <v>239</v>
      </c>
      <c r="C855" t="s">
        <v>192</v>
      </c>
      <c r="D855" t="s">
        <v>188</v>
      </c>
      <c r="E855" s="1" t="s">
        <v>99</v>
      </c>
      <c r="F855" s="54" t="s">
        <v>99</v>
      </c>
      <c r="G855" s="124">
        <v>161.4</v>
      </c>
      <c r="H855" t="s">
        <v>314</v>
      </c>
      <c r="I855" s="34">
        <v>1</v>
      </c>
    </row>
    <row r="856" spans="1:9" x14ac:dyDescent="0.3">
      <c r="A856" s="53">
        <v>11</v>
      </c>
      <c r="B856" t="s">
        <v>239</v>
      </c>
      <c r="C856" s="53" t="s">
        <v>192</v>
      </c>
      <c r="D856" s="53" t="s">
        <v>188</v>
      </c>
      <c r="E856" s="53" t="s">
        <v>99</v>
      </c>
      <c r="F856" s="57" t="s">
        <v>99</v>
      </c>
      <c r="G856" s="124">
        <v>161</v>
      </c>
      <c r="H856" s="53" t="s">
        <v>314</v>
      </c>
      <c r="I856" s="77">
        <v>11</v>
      </c>
    </row>
    <row r="857" spans="1:9" x14ac:dyDescent="0.3">
      <c r="A857">
        <v>12</v>
      </c>
      <c r="B857" t="s">
        <v>239</v>
      </c>
      <c r="C857" t="s">
        <v>192</v>
      </c>
      <c r="D857" t="s">
        <v>195</v>
      </c>
      <c r="E857" t="s">
        <v>99</v>
      </c>
      <c r="F857" s="57" t="s">
        <v>99</v>
      </c>
      <c r="G857" s="124">
        <v>161</v>
      </c>
      <c r="H857" t="s">
        <v>315</v>
      </c>
      <c r="I857" s="34">
        <v>12</v>
      </c>
    </row>
    <row r="858" spans="1:9" x14ac:dyDescent="0.3">
      <c r="A858">
        <v>3</v>
      </c>
      <c r="B858" t="s">
        <v>239</v>
      </c>
      <c r="C858" t="s">
        <v>192</v>
      </c>
      <c r="D858" t="s">
        <v>195</v>
      </c>
      <c r="E858" s="1" t="s">
        <v>99</v>
      </c>
      <c r="F858" s="54" t="s">
        <v>99</v>
      </c>
      <c r="G858" s="124">
        <v>160</v>
      </c>
      <c r="H858" t="s">
        <v>315</v>
      </c>
      <c r="I858" s="34">
        <v>3</v>
      </c>
    </row>
    <row r="859" spans="1:9" x14ac:dyDescent="0.3">
      <c r="A859">
        <v>4</v>
      </c>
      <c r="B859" t="s">
        <v>239</v>
      </c>
      <c r="C859" t="s">
        <v>192</v>
      </c>
      <c r="D859" t="s">
        <v>188</v>
      </c>
      <c r="E859" s="1" t="s">
        <v>99</v>
      </c>
      <c r="F859" s="54" t="s">
        <v>99</v>
      </c>
      <c r="G859" s="124">
        <v>158</v>
      </c>
      <c r="H859" t="s">
        <v>314</v>
      </c>
      <c r="I859" s="34">
        <v>4</v>
      </c>
    </row>
    <row r="860" spans="1:9" x14ac:dyDescent="0.3">
      <c r="A860">
        <v>10</v>
      </c>
      <c r="B860" t="s">
        <v>239</v>
      </c>
      <c r="C860" t="s">
        <v>193</v>
      </c>
      <c r="D860" t="s">
        <v>195</v>
      </c>
      <c r="E860" t="s">
        <v>99</v>
      </c>
      <c r="F860" s="57" t="s">
        <v>99</v>
      </c>
      <c r="G860" s="124">
        <v>157.69999999999999</v>
      </c>
      <c r="H860" t="s">
        <v>313</v>
      </c>
      <c r="I860" s="34">
        <v>10</v>
      </c>
    </row>
    <row r="861" spans="1:9" x14ac:dyDescent="0.3">
      <c r="A861">
        <v>2</v>
      </c>
      <c r="B861" t="s">
        <v>239</v>
      </c>
      <c r="C861" t="s">
        <v>192</v>
      </c>
      <c r="D861" t="s">
        <v>188</v>
      </c>
      <c r="E861" s="1" t="s">
        <v>99</v>
      </c>
      <c r="F861" s="54" t="s">
        <v>99</v>
      </c>
      <c r="G861" s="124">
        <v>155</v>
      </c>
      <c r="H861" t="s">
        <v>314</v>
      </c>
      <c r="I861" s="34">
        <v>2</v>
      </c>
    </row>
    <row r="862" spans="1:9" x14ac:dyDescent="0.3">
      <c r="A862">
        <v>6</v>
      </c>
      <c r="B862" t="s">
        <v>239</v>
      </c>
      <c r="C862" t="s">
        <v>192</v>
      </c>
      <c r="D862" t="s">
        <v>195</v>
      </c>
      <c r="E862" t="s">
        <v>99</v>
      </c>
      <c r="F862" s="57" t="s">
        <v>99</v>
      </c>
      <c r="G862" s="124">
        <v>150</v>
      </c>
      <c r="H862" t="s">
        <v>315</v>
      </c>
      <c r="I862" s="34">
        <v>6</v>
      </c>
    </row>
    <row r="863" spans="1:9" x14ac:dyDescent="0.3">
      <c r="A863">
        <v>1</v>
      </c>
      <c r="B863" t="s">
        <v>239</v>
      </c>
      <c r="C863" t="s">
        <v>192</v>
      </c>
      <c r="D863" t="s">
        <v>195</v>
      </c>
      <c r="E863" s="1" t="s">
        <v>99</v>
      </c>
      <c r="F863" s="54" t="s">
        <v>99</v>
      </c>
      <c r="G863" s="124">
        <v>149.4</v>
      </c>
      <c r="H863" t="s">
        <v>315</v>
      </c>
      <c r="I863" s="34">
        <v>1</v>
      </c>
    </row>
    <row r="864" spans="1:9" x14ac:dyDescent="0.3">
      <c r="A864">
        <v>4</v>
      </c>
      <c r="B864" t="s">
        <v>239</v>
      </c>
      <c r="C864" t="s">
        <v>192</v>
      </c>
      <c r="D864" t="s">
        <v>195</v>
      </c>
      <c r="E864" s="1" t="s">
        <v>99</v>
      </c>
      <c r="F864" s="54" t="s">
        <v>99</v>
      </c>
      <c r="G864" s="124">
        <v>149</v>
      </c>
      <c r="H864" t="s">
        <v>315</v>
      </c>
      <c r="I864" s="34">
        <v>4</v>
      </c>
    </row>
    <row r="865" spans="1:9" x14ac:dyDescent="0.3">
      <c r="A865">
        <v>2</v>
      </c>
      <c r="B865" t="s">
        <v>239</v>
      </c>
      <c r="C865" t="s">
        <v>192</v>
      </c>
      <c r="D865" t="s">
        <v>195</v>
      </c>
      <c r="E865" s="1" t="s">
        <v>99</v>
      </c>
      <c r="F865" s="54" t="s">
        <v>99</v>
      </c>
      <c r="G865" s="124">
        <v>148</v>
      </c>
      <c r="H865" t="s">
        <v>315</v>
      </c>
      <c r="I865" s="34">
        <v>2</v>
      </c>
    </row>
    <row r="866" spans="1:9" x14ac:dyDescent="0.3">
      <c r="A866" s="53">
        <v>11</v>
      </c>
      <c r="B866" t="s">
        <v>239</v>
      </c>
      <c r="C866" s="53" t="s">
        <v>192</v>
      </c>
      <c r="D866" s="53" t="s">
        <v>195</v>
      </c>
      <c r="E866" s="53" t="s">
        <v>99</v>
      </c>
      <c r="F866" s="57" t="s">
        <v>99</v>
      </c>
      <c r="G866" s="124">
        <v>145</v>
      </c>
      <c r="H866" t="s">
        <v>315</v>
      </c>
      <c r="I866" s="34">
        <v>11</v>
      </c>
    </row>
    <row r="867" spans="1:9" x14ac:dyDescent="0.3">
      <c r="A867" s="53">
        <v>11</v>
      </c>
      <c r="B867" t="s">
        <v>239</v>
      </c>
      <c r="C867" s="53" t="s">
        <v>193</v>
      </c>
      <c r="D867" s="53" t="s">
        <v>195</v>
      </c>
      <c r="E867" s="53" t="s">
        <v>99</v>
      </c>
      <c r="F867" s="57" t="s">
        <v>99</v>
      </c>
      <c r="G867" s="124">
        <v>137.75</v>
      </c>
      <c r="H867" t="s">
        <v>313</v>
      </c>
      <c r="I867" s="34">
        <v>11</v>
      </c>
    </row>
    <row r="868" spans="1:9" x14ac:dyDescent="0.3">
      <c r="A868">
        <v>3</v>
      </c>
      <c r="B868" t="s">
        <v>239</v>
      </c>
      <c r="C868" t="s">
        <v>193</v>
      </c>
      <c r="D868" t="s">
        <v>195</v>
      </c>
      <c r="E868" s="1" t="s">
        <v>99</v>
      </c>
      <c r="F868" s="31" t="s">
        <v>99</v>
      </c>
      <c r="G868" s="124">
        <v>136</v>
      </c>
      <c r="H868" t="s">
        <v>313</v>
      </c>
      <c r="I868" s="34">
        <v>3</v>
      </c>
    </row>
    <row r="869" spans="1:9" x14ac:dyDescent="0.3">
      <c r="A869" s="53">
        <v>11</v>
      </c>
      <c r="B869" t="s">
        <v>239</v>
      </c>
      <c r="C869" s="53" t="s">
        <v>191</v>
      </c>
      <c r="D869" s="53" t="s">
        <v>238</v>
      </c>
      <c r="E869" s="53" t="s">
        <v>99</v>
      </c>
      <c r="F869" s="57" t="s">
        <v>99</v>
      </c>
      <c r="G869" s="124">
        <v>100</v>
      </c>
      <c r="H869" s="53" t="s">
        <v>316</v>
      </c>
      <c r="I869" s="77">
        <v>11</v>
      </c>
    </row>
    <row r="870" spans="1:9" x14ac:dyDescent="0.3">
      <c r="A870">
        <v>4</v>
      </c>
      <c r="B870" t="s">
        <v>239</v>
      </c>
      <c r="C870" t="s">
        <v>192</v>
      </c>
      <c r="D870" t="s">
        <v>238</v>
      </c>
      <c r="E870" s="1" t="s">
        <v>99</v>
      </c>
      <c r="F870" s="54" t="s">
        <v>99</v>
      </c>
      <c r="G870" s="124">
        <v>80</v>
      </c>
      <c r="H870" t="s">
        <v>317</v>
      </c>
      <c r="I870" s="34">
        <v>4</v>
      </c>
    </row>
    <row r="871" spans="1:9" x14ac:dyDescent="0.3">
      <c r="A871">
        <v>10</v>
      </c>
      <c r="B871" t="s">
        <v>239</v>
      </c>
      <c r="C871" t="s">
        <v>192</v>
      </c>
      <c r="D871" t="s">
        <v>238</v>
      </c>
      <c r="E871" t="s">
        <v>99</v>
      </c>
      <c r="F871" s="57" t="s">
        <v>99</v>
      </c>
      <c r="G871" s="124">
        <v>80</v>
      </c>
      <c r="H871" s="53" t="s">
        <v>317</v>
      </c>
      <c r="I871" s="77">
        <v>10</v>
      </c>
    </row>
    <row r="872" spans="1:9" x14ac:dyDescent="0.3">
      <c r="A872" s="53">
        <v>11</v>
      </c>
      <c r="B872" t="s">
        <v>239</v>
      </c>
      <c r="C872" s="53" t="s">
        <v>192</v>
      </c>
      <c r="D872" s="53" t="s">
        <v>238</v>
      </c>
      <c r="E872" s="53" t="s">
        <v>99</v>
      </c>
      <c r="F872" s="57" t="s">
        <v>99</v>
      </c>
      <c r="G872" s="124">
        <v>80</v>
      </c>
      <c r="H872" t="s">
        <v>317</v>
      </c>
      <c r="I872" s="34">
        <v>11</v>
      </c>
    </row>
    <row r="873" spans="1:9" x14ac:dyDescent="0.3">
      <c r="A873">
        <v>4</v>
      </c>
      <c r="B873" t="s">
        <v>239</v>
      </c>
      <c r="C873" t="s">
        <v>191</v>
      </c>
      <c r="D873" t="s">
        <v>238</v>
      </c>
      <c r="E873" s="1" t="s">
        <v>99</v>
      </c>
      <c r="F873" s="54" t="s">
        <v>99</v>
      </c>
      <c r="G873" s="124">
        <v>50</v>
      </c>
      <c r="H873" t="s">
        <v>316</v>
      </c>
      <c r="I873" s="34">
        <v>4</v>
      </c>
    </row>
    <row r="874" spans="1:9" x14ac:dyDescent="0.3">
      <c r="A874">
        <v>10</v>
      </c>
      <c r="B874" t="s">
        <v>239</v>
      </c>
      <c r="C874" t="s">
        <v>191</v>
      </c>
      <c r="D874" t="s">
        <v>238</v>
      </c>
      <c r="E874" t="s">
        <v>99</v>
      </c>
      <c r="F874" s="57" t="s">
        <v>99</v>
      </c>
      <c r="G874" s="124">
        <v>50</v>
      </c>
      <c r="H874" t="s">
        <v>316</v>
      </c>
      <c r="I874" s="34">
        <v>10</v>
      </c>
    </row>
    <row r="875" spans="1:9" x14ac:dyDescent="0.3">
      <c r="A875" s="53">
        <v>11</v>
      </c>
      <c r="B875" t="s">
        <v>239</v>
      </c>
      <c r="C875" s="53" t="s">
        <v>193</v>
      </c>
      <c r="D875" s="53" t="s">
        <v>238</v>
      </c>
      <c r="E875" s="53" t="s">
        <v>99</v>
      </c>
      <c r="F875" s="57" t="s">
        <v>99</v>
      </c>
      <c r="G875" s="124">
        <v>8</v>
      </c>
      <c r="H875" t="s">
        <v>318</v>
      </c>
      <c r="I875" s="34">
        <v>11</v>
      </c>
    </row>
    <row r="876" spans="1:9" x14ac:dyDescent="0.3">
      <c r="A876">
        <v>10</v>
      </c>
      <c r="B876" t="s">
        <v>239</v>
      </c>
      <c r="C876" t="s">
        <v>193</v>
      </c>
      <c r="D876" t="s">
        <v>238</v>
      </c>
      <c r="E876" t="s">
        <v>99</v>
      </c>
      <c r="F876" s="57" t="s">
        <v>99</v>
      </c>
      <c r="G876" s="124">
        <v>4</v>
      </c>
      <c r="H876" t="s">
        <v>318</v>
      </c>
      <c r="I876" s="34">
        <v>10</v>
      </c>
    </row>
    <row r="877" spans="1:9" x14ac:dyDescent="0.3">
      <c r="A877">
        <v>4</v>
      </c>
      <c r="B877" t="s">
        <v>239</v>
      </c>
      <c r="C877" t="s">
        <v>193</v>
      </c>
      <c r="D877" t="s">
        <v>238</v>
      </c>
      <c r="E877" s="1" t="s">
        <v>99</v>
      </c>
      <c r="F877" s="32" t="s">
        <v>99</v>
      </c>
      <c r="G877" s="124">
        <v>1</v>
      </c>
      <c r="H877" s="53" t="s">
        <v>318</v>
      </c>
      <c r="I877" s="77">
        <v>4</v>
      </c>
    </row>
    <row r="878" spans="1:9" x14ac:dyDescent="0.3">
      <c r="A878">
        <v>8</v>
      </c>
      <c r="B878" t="s">
        <v>239</v>
      </c>
      <c r="C878" t="s">
        <v>191</v>
      </c>
      <c r="D878" t="s">
        <v>188</v>
      </c>
      <c r="E878" t="s">
        <v>78</v>
      </c>
      <c r="F878" s="57" t="s">
        <v>105</v>
      </c>
      <c r="G878" s="124">
        <v>2400</v>
      </c>
      <c r="H878" s="53" t="s">
        <v>319</v>
      </c>
      <c r="I878" s="77">
        <v>8</v>
      </c>
    </row>
    <row r="879" spans="1:9" x14ac:dyDescent="0.3">
      <c r="A879">
        <v>7</v>
      </c>
      <c r="B879" t="s">
        <v>239</v>
      </c>
      <c r="C879" t="s">
        <v>191</v>
      </c>
      <c r="D879" t="s">
        <v>188</v>
      </c>
      <c r="E879" t="s">
        <v>78</v>
      </c>
      <c r="F879" s="57" t="s">
        <v>105</v>
      </c>
      <c r="G879" s="124">
        <v>2080</v>
      </c>
      <c r="H879" s="53" t="s">
        <v>319</v>
      </c>
      <c r="I879" s="77">
        <v>7</v>
      </c>
    </row>
    <row r="880" spans="1:9" x14ac:dyDescent="0.3">
      <c r="A880">
        <v>12</v>
      </c>
      <c r="B880" t="s">
        <v>239</v>
      </c>
      <c r="C880" t="s">
        <v>191</v>
      </c>
      <c r="D880" t="s">
        <v>188</v>
      </c>
      <c r="E880" t="s">
        <v>78</v>
      </c>
      <c r="F880" s="57" t="s">
        <v>105</v>
      </c>
      <c r="G880" s="124">
        <v>1800</v>
      </c>
      <c r="H880" s="53" t="s">
        <v>319</v>
      </c>
      <c r="I880" s="77">
        <v>12</v>
      </c>
    </row>
    <row r="881" spans="1:9" x14ac:dyDescent="0.3">
      <c r="A881">
        <v>8</v>
      </c>
      <c r="B881" t="s">
        <v>239</v>
      </c>
      <c r="C881" t="s">
        <v>191</v>
      </c>
      <c r="D881" t="s">
        <v>195</v>
      </c>
      <c r="E881" t="s">
        <v>78</v>
      </c>
      <c r="F881" s="57" t="s">
        <v>105</v>
      </c>
      <c r="G881" s="124">
        <v>1600</v>
      </c>
      <c r="H881" t="s">
        <v>320</v>
      </c>
      <c r="I881" s="34">
        <v>8</v>
      </c>
    </row>
    <row r="882" spans="1:9" x14ac:dyDescent="0.3">
      <c r="A882">
        <v>2</v>
      </c>
      <c r="B882" t="s">
        <v>239</v>
      </c>
      <c r="C882" t="s">
        <v>191</v>
      </c>
      <c r="D882" t="s">
        <v>188</v>
      </c>
      <c r="E882" s="1" t="s">
        <v>78</v>
      </c>
      <c r="F882" s="31" t="s">
        <v>105</v>
      </c>
      <c r="G882" s="124">
        <v>1500</v>
      </c>
      <c r="H882" t="s">
        <v>319</v>
      </c>
      <c r="I882" s="34">
        <v>2</v>
      </c>
    </row>
    <row r="883" spans="1:9" x14ac:dyDescent="0.3">
      <c r="A883">
        <v>1</v>
      </c>
      <c r="B883" t="s">
        <v>239</v>
      </c>
      <c r="C883" t="s">
        <v>191</v>
      </c>
      <c r="D883" t="s">
        <v>188</v>
      </c>
      <c r="E883" s="1" t="s">
        <v>78</v>
      </c>
      <c r="F883" s="54" t="s">
        <v>105</v>
      </c>
      <c r="G883" s="124">
        <v>1450</v>
      </c>
      <c r="H883" t="s">
        <v>319</v>
      </c>
      <c r="I883" s="34">
        <v>1</v>
      </c>
    </row>
    <row r="884" spans="1:9" x14ac:dyDescent="0.3">
      <c r="A884">
        <v>7</v>
      </c>
      <c r="B884" t="s">
        <v>239</v>
      </c>
      <c r="C884" t="s">
        <v>191</v>
      </c>
      <c r="D884" t="s">
        <v>195</v>
      </c>
      <c r="E884" t="s">
        <v>78</v>
      </c>
      <c r="F884" s="57" t="s">
        <v>105</v>
      </c>
      <c r="G884" s="124">
        <v>1420</v>
      </c>
      <c r="H884" t="s">
        <v>320</v>
      </c>
      <c r="I884" s="34">
        <v>7</v>
      </c>
    </row>
    <row r="885" spans="1:9" x14ac:dyDescent="0.3">
      <c r="A885">
        <v>2</v>
      </c>
      <c r="B885" t="s">
        <v>239</v>
      </c>
      <c r="C885" t="s">
        <v>191</v>
      </c>
      <c r="D885" t="s">
        <v>195</v>
      </c>
      <c r="E885" s="1" t="s">
        <v>78</v>
      </c>
      <c r="F885" s="31" t="s">
        <v>105</v>
      </c>
      <c r="G885" s="124">
        <v>1400</v>
      </c>
      <c r="H885" s="53" t="s">
        <v>320</v>
      </c>
      <c r="I885" s="77">
        <v>2</v>
      </c>
    </row>
    <row r="886" spans="1:9" x14ac:dyDescent="0.3">
      <c r="A886">
        <v>6</v>
      </c>
      <c r="B886" t="s">
        <v>239</v>
      </c>
      <c r="C886" t="s">
        <v>191</v>
      </c>
      <c r="D886" t="s">
        <v>188</v>
      </c>
      <c r="E886" t="s">
        <v>78</v>
      </c>
      <c r="F886" s="57" t="s">
        <v>105</v>
      </c>
      <c r="G886" s="124">
        <v>1300</v>
      </c>
      <c r="H886" t="s">
        <v>319</v>
      </c>
      <c r="I886" s="34">
        <v>6</v>
      </c>
    </row>
    <row r="887" spans="1:9" x14ac:dyDescent="0.3">
      <c r="A887">
        <v>10</v>
      </c>
      <c r="B887" t="s">
        <v>239</v>
      </c>
      <c r="C887" t="s">
        <v>191</v>
      </c>
      <c r="D887" t="s">
        <v>188</v>
      </c>
      <c r="E887" t="s">
        <v>78</v>
      </c>
      <c r="F887" s="57" t="s">
        <v>105</v>
      </c>
      <c r="G887" s="124">
        <v>1300</v>
      </c>
      <c r="H887" s="53" t="s">
        <v>319</v>
      </c>
      <c r="I887" s="77">
        <v>10</v>
      </c>
    </row>
    <row r="888" spans="1:9" x14ac:dyDescent="0.3">
      <c r="A888">
        <v>1</v>
      </c>
      <c r="B888" t="s">
        <v>239</v>
      </c>
      <c r="C888" t="s">
        <v>191</v>
      </c>
      <c r="D888" t="s">
        <v>195</v>
      </c>
      <c r="E888" s="1" t="s">
        <v>78</v>
      </c>
      <c r="F888" s="54" t="s">
        <v>105</v>
      </c>
      <c r="G888" s="124">
        <v>1300</v>
      </c>
      <c r="H888" t="s">
        <v>320</v>
      </c>
      <c r="I888" s="34">
        <v>1</v>
      </c>
    </row>
    <row r="889" spans="1:9" x14ac:dyDescent="0.3">
      <c r="A889">
        <v>12</v>
      </c>
      <c r="B889" t="s">
        <v>239</v>
      </c>
      <c r="C889" t="s">
        <v>191</v>
      </c>
      <c r="D889" t="s">
        <v>195</v>
      </c>
      <c r="E889" t="s">
        <v>78</v>
      </c>
      <c r="F889" s="57" t="s">
        <v>105</v>
      </c>
      <c r="G889" s="124">
        <v>1300</v>
      </c>
      <c r="H889" t="s">
        <v>320</v>
      </c>
      <c r="I889" s="34">
        <v>12</v>
      </c>
    </row>
    <row r="890" spans="1:9" x14ac:dyDescent="0.3">
      <c r="A890">
        <v>5</v>
      </c>
      <c r="B890" t="s">
        <v>239</v>
      </c>
      <c r="C890" t="s">
        <v>191</v>
      </c>
      <c r="D890" t="s">
        <v>188</v>
      </c>
      <c r="E890" s="1" t="s">
        <v>78</v>
      </c>
      <c r="F890" s="54" t="s">
        <v>105</v>
      </c>
      <c r="G890" s="124">
        <v>1000</v>
      </c>
      <c r="H890" t="s">
        <v>319</v>
      </c>
      <c r="I890" s="34">
        <v>5</v>
      </c>
    </row>
    <row r="891" spans="1:9" x14ac:dyDescent="0.3">
      <c r="A891">
        <v>9</v>
      </c>
      <c r="B891" t="s">
        <v>239</v>
      </c>
      <c r="C891" t="s">
        <v>191</v>
      </c>
      <c r="D891" t="s">
        <v>188</v>
      </c>
      <c r="E891" t="s">
        <v>78</v>
      </c>
      <c r="F891" s="57" t="s">
        <v>105</v>
      </c>
      <c r="G891" s="124">
        <v>950</v>
      </c>
      <c r="H891" t="s">
        <v>319</v>
      </c>
      <c r="I891" s="34">
        <v>9</v>
      </c>
    </row>
    <row r="892" spans="1:9" x14ac:dyDescent="0.3">
      <c r="A892" s="53">
        <v>11</v>
      </c>
      <c r="B892" t="s">
        <v>239</v>
      </c>
      <c r="C892" s="53" t="s">
        <v>191</v>
      </c>
      <c r="D892" s="53" t="s">
        <v>188</v>
      </c>
      <c r="E892" s="53" t="s">
        <v>78</v>
      </c>
      <c r="F892" s="57" t="s">
        <v>105</v>
      </c>
      <c r="G892" s="124">
        <v>900</v>
      </c>
      <c r="H892" t="s">
        <v>319</v>
      </c>
      <c r="I892" s="34">
        <v>11</v>
      </c>
    </row>
    <row r="893" spans="1:9" x14ac:dyDescent="0.3">
      <c r="A893">
        <v>10</v>
      </c>
      <c r="B893" t="s">
        <v>239</v>
      </c>
      <c r="C893" t="s">
        <v>191</v>
      </c>
      <c r="D893" t="s">
        <v>195</v>
      </c>
      <c r="E893" t="s">
        <v>78</v>
      </c>
      <c r="F893" s="57" t="s">
        <v>105</v>
      </c>
      <c r="G893" s="124">
        <v>900</v>
      </c>
      <c r="H893" t="s">
        <v>320</v>
      </c>
      <c r="I893" s="34">
        <v>10</v>
      </c>
    </row>
    <row r="894" spans="1:9" x14ac:dyDescent="0.3">
      <c r="A894">
        <v>4</v>
      </c>
      <c r="B894" t="s">
        <v>239</v>
      </c>
      <c r="C894" t="s">
        <v>191</v>
      </c>
      <c r="D894" t="s">
        <v>188</v>
      </c>
      <c r="E894" s="1" t="s">
        <v>78</v>
      </c>
      <c r="F894" s="54" t="s">
        <v>105</v>
      </c>
      <c r="G894" s="124">
        <v>870</v>
      </c>
      <c r="H894" t="s">
        <v>319</v>
      </c>
      <c r="I894" s="34">
        <v>4</v>
      </c>
    </row>
    <row r="895" spans="1:9" x14ac:dyDescent="0.3">
      <c r="A895">
        <v>8</v>
      </c>
      <c r="B895" t="s">
        <v>239</v>
      </c>
      <c r="C895" t="s">
        <v>193</v>
      </c>
      <c r="D895" t="s">
        <v>188</v>
      </c>
      <c r="E895" t="s">
        <v>78</v>
      </c>
      <c r="F895" s="57" t="s">
        <v>105</v>
      </c>
      <c r="G895" s="124">
        <v>832.8</v>
      </c>
      <c r="H895" s="53" t="s">
        <v>321</v>
      </c>
      <c r="I895" s="77">
        <v>8</v>
      </c>
    </row>
    <row r="896" spans="1:9" x14ac:dyDescent="0.3">
      <c r="A896">
        <v>5</v>
      </c>
      <c r="B896" t="s">
        <v>239</v>
      </c>
      <c r="C896" t="s">
        <v>191</v>
      </c>
      <c r="D896" t="s">
        <v>195</v>
      </c>
      <c r="E896" s="1" t="s">
        <v>78</v>
      </c>
      <c r="F896" s="54" t="s">
        <v>105</v>
      </c>
      <c r="G896" s="124">
        <v>800</v>
      </c>
      <c r="H896" t="s">
        <v>320</v>
      </c>
      <c r="I896" s="34">
        <v>5</v>
      </c>
    </row>
    <row r="897" spans="1:9" x14ac:dyDescent="0.3">
      <c r="A897">
        <v>9</v>
      </c>
      <c r="B897" t="s">
        <v>239</v>
      </c>
      <c r="C897" t="s">
        <v>191</v>
      </c>
      <c r="D897" t="s">
        <v>195</v>
      </c>
      <c r="E897" t="s">
        <v>78</v>
      </c>
      <c r="F897" s="57" t="s">
        <v>105</v>
      </c>
      <c r="G897" s="124">
        <v>700</v>
      </c>
      <c r="H897" t="s">
        <v>320</v>
      </c>
      <c r="I897" s="34">
        <v>9</v>
      </c>
    </row>
    <row r="898" spans="1:9" x14ac:dyDescent="0.3">
      <c r="A898">
        <v>7</v>
      </c>
      <c r="B898" t="s">
        <v>239</v>
      </c>
      <c r="C898" t="s">
        <v>193</v>
      </c>
      <c r="D898" t="s">
        <v>188</v>
      </c>
      <c r="E898" t="s">
        <v>78</v>
      </c>
      <c r="F898" s="57" t="s">
        <v>105</v>
      </c>
      <c r="G898" s="124">
        <v>692.06591999999989</v>
      </c>
      <c r="H898" t="s">
        <v>321</v>
      </c>
      <c r="I898" s="34">
        <v>7</v>
      </c>
    </row>
    <row r="899" spans="1:9" x14ac:dyDescent="0.3">
      <c r="A899">
        <v>6</v>
      </c>
      <c r="B899" t="s">
        <v>239</v>
      </c>
      <c r="C899" t="s">
        <v>191</v>
      </c>
      <c r="D899" t="s">
        <v>195</v>
      </c>
      <c r="E899" t="s">
        <v>78</v>
      </c>
      <c r="F899" s="57" t="s">
        <v>105</v>
      </c>
      <c r="G899" s="124">
        <v>600</v>
      </c>
      <c r="H899" t="s">
        <v>320</v>
      </c>
      <c r="I899" s="34">
        <v>6</v>
      </c>
    </row>
    <row r="900" spans="1:9" x14ac:dyDescent="0.3">
      <c r="A900">
        <v>8</v>
      </c>
      <c r="B900" t="s">
        <v>239</v>
      </c>
      <c r="C900" t="s">
        <v>193</v>
      </c>
      <c r="D900" t="s">
        <v>195</v>
      </c>
      <c r="E900" t="s">
        <v>78</v>
      </c>
      <c r="F900" s="57" t="s">
        <v>105</v>
      </c>
      <c r="G900" s="124">
        <v>550.4</v>
      </c>
      <c r="H900" t="s">
        <v>322</v>
      </c>
      <c r="I900" s="34">
        <v>8</v>
      </c>
    </row>
    <row r="901" spans="1:9" x14ac:dyDescent="0.3">
      <c r="A901">
        <v>3</v>
      </c>
      <c r="B901" t="s">
        <v>239</v>
      </c>
      <c r="C901" t="s">
        <v>191</v>
      </c>
      <c r="D901" t="s">
        <v>188</v>
      </c>
      <c r="E901" s="1" t="s">
        <v>78</v>
      </c>
      <c r="F901" s="32" t="s">
        <v>105</v>
      </c>
      <c r="G901" s="124">
        <v>550</v>
      </c>
      <c r="H901" t="s">
        <v>319</v>
      </c>
      <c r="I901" s="34">
        <v>3</v>
      </c>
    </row>
    <row r="902" spans="1:9" x14ac:dyDescent="0.3">
      <c r="A902">
        <v>1</v>
      </c>
      <c r="B902" t="s">
        <v>239</v>
      </c>
      <c r="C902" t="s">
        <v>193</v>
      </c>
      <c r="D902" t="s">
        <v>188</v>
      </c>
      <c r="E902" s="1" t="s">
        <v>78</v>
      </c>
      <c r="F902" s="54" t="s">
        <v>105</v>
      </c>
      <c r="G902" s="124">
        <v>543.75</v>
      </c>
      <c r="H902" t="s">
        <v>321</v>
      </c>
      <c r="I902" s="34">
        <v>1</v>
      </c>
    </row>
    <row r="903" spans="1:9" x14ac:dyDescent="0.3">
      <c r="A903">
        <v>12</v>
      </c>
      <c r="B903" t="s">
        <v>239</v>
      </c>
      <c r="C903" t="s">
        <v>193</v>
      </c>
      <c r="D903" t="s">
        <v>188</v>
      </c>
      <c r="E903" t="s">
        <v>78</v>
      </c>
      <c r="F903" s="57" t="s">
        <v>105</v>
      </c>
      <c r="G903" s="124">
        <v>523.79999999999995</v>
      </c>
      <c r="H903" t="s">
        <v>321</v>
      </c>
      <c r="I903" s="34">
        <v>12</v>
      </c>
    </row>
    <row r="904" spans="1:9" x14ac:dyDescent="0.3">
      <c r="A904">
        <v>7</v>
      </c>
      <c r="B904" t="s">
        <v>239</v>
      </c>
      <c r="C904" t="s">
        <v>193</v>
      </c>
      <c r="D904" t="s">
        <v>195</v>
      </c>
      <c r="E904" t="s">
        <v>78</v>
      </c>
      <c r="F904" s="57" t="s">
        <v>105</v>
      </c>
      <c r="G904" s="124">
        <v>510.25286000000006</v>
      </c>
      <c r="H904" t="s">
        <v>322</v>
      </c>
      <c r="I904" s="34">
        <v>7</v>
      </c>
    </row>
    <row r="905" spans="1:9" x14ac:dyDescent="0.3">
      <c r="A905" s="53">
        <v>11</v>
      </c>
      <c r="B905" t="s">
        <v>239</v>
      </c>
      <c r="C905" s="53" t="s">
        <v>191</v>
      </c>
      <c r="D905" s="53" t="s">
        <v>195</v>
      </c>
      <c r="E905" s="53" t="s">
        <v>78</v>
      </c>
      <c r="F905" s="57" t="s">
        <v>105</v>
      </c>
      <c r="G905" s="124">
        <v>500</v>
      </c>
      <c r="H905" t="s">
        <v>320</v>
      </c>
      <c r="I905" s="34">
        <v>11</v>
      </c>
    </row>
    <row r="906" spans="1:9" x14ac:dyDescent="0.3">
      <c r="A906">
        <v>1</v>
      </c>
      <c r="B906" t="s">
        <v>239</v>
      </c>
      <c r="C906" t="s">
        <v>193</v>
      </c>
      <c r="D906" t="s">
        <v>195</v>
      </c>
      <c r="E906" s="1" t="s">
        <v>78</v>
      </c>
      <c r="F906" s="54" t="s">
        <v>105</v>
      </c>
      <c r="G906" s="124">
        <v>481</v>
      </c>
      <c r="H906" t="s">
        <v>322</v>
      </c>
      <c r="I906" s="34">
        <v>1</v>
      </c>
    </row>
    <row r="907" spans="1:9" x14ac:dyDescent="0.3">
      <c r="A907">
        <v>10</v>
      </c>
      <c r="B907" t="s">
        <v>239</v>
      </c>
      <c r="C907" t="s">
        <v>193</v>
      </c>
      <c r="D907" t="s">
        <v>188</v>
      </c>
      <c r="E907" t="s">
        <v>78</v>
      </c>
      <c r="F907" s="57" t="s">
        <v>105</v>
      </c>
      <c r="G907" s="124">
        <v>477.1</v>
      </c>
      <c r="H907" s="53" t="s">
        <v>321</v>
      </c>
      <c r="I907" s="77">
        <v>10</v>
      </c>
    </row>
    <row r="908" spans="1:9" x14ac:dyDescent="0.3">
      <c r="A908">
        <v>2</v>
      </c>
      <c r="B908" t="s">
        <v>239</v>
      </c>
      <c r="C908" t="s">
        <v>193</v>
      </c>
      <c r="D908" t="s">
        <v>188</v>
      </c>
      <c r="E908" s="1" t="s">
        <v>78</v>
      </c>
      <c r="F908" s="54" t="s">
        <v>105</v>
      </c>
      <c r="G908" s="124">
        <v>435</v>
      </c>
      <c r="H908" t="s">
        <v>321</v>
      </c>
      <c r="I908" s="34">
        <v>2</v>
      </c>
    </row>
    <row r="909" spans="1:9" x14ac:dyDescent="0.3">
      <c r="A909">
        <v>2</v>
      </c>
      <c r="B909" t="s">
        <v>239</v>
      </c>
      <c r="C909" t="s">
        <v>193</v>
      </c>
      <c r="D909" t="s">
        <v>195</v>
      </c>
      <c r="E909" s="1" t="s">
        <v>78</v>
      </c>
      <c r="F909" s="54" t="s">
        <v>105</v>
      </c>
      <c r="G909" s="124">
        <v>406</v>
      </c>
      <c r="H909" t="s">
        <v>322</v>
      </c>
      <c r="I909" s="34">
        <v>2</v>
      </c>
    </row>
    <row r="910" spans="1:9" x14ac:dyDescent="0.3">
      <c r="A910">
        <v>3</v>
      </c>
      <c r="B910" t="s">
        <v>239</v>
      </c>
      <c r="C910" t="s">
        <v>191</v>
      </c>
      <c r="D910" t="s">
        <v>195</v>
      </c>
      <c r="E910" s="1" t="s">
        <v>78</v>
      </c>
      <c r="F910" s="32" t="s">
        <v>105</v>
      </c>
      <c r="G910" s="124">
        <v>400</v>
      </c>
      <c r="H910" t="s">
        <v>320</v>
      </c>
      <c r="I910" s="34">
        <v>3</v>
      </c>
    </row>
    <row r="911" spans="1:9" x14ac:dyDescent="0.3">
      <c r="A911">
        <v>1</v>
      </c>
      <c r="B911" t="s">
        <v>239</v>
      </c>
      <c r="C911" t="s">
        <v>192</v>
      </c>
      <c r="D911" t="s">
        <v>188</v>
      </c>
      <c r="E911" s="1" t="s">
        <v>78</v>
      </c>
      <c r="F911" s="54" t="s">
        <v>105</v>
      </c>
      <c r="G911" s="124">
        <v>375</v>
      </c>
      <c r="H911" t="s">
        <v>323</v>
      </c>
      <c r="I911" s="34">
        <v>1</v>
      </c>
    </row>
    <row r="912" spans="1:9" x14ac:dyDescent="0.3">
      <c r="A912">
        <v>1</v>
      </c>
      <c r="B912" t="s">
        <v>239</v>
      </c>
      <c r="C912" t="s">
        <v>192</v>
      </c>
      <c r="D912" t="s">
        <v>195</v>
      </c>
      <c r="E912" s="1" t="s">
        <v>78</v>
      </c>
      <c r="F912" s="54" t="s">
        <v>105</v>
      </c>
      <c r="G912" s="124">
        <v>370</v>
      </c>
      <c r="H912" t="s">
        <v>324</v>
      </c>
      <c r="I912" s="34">
        <v>1</v>
      </c>
    </row>
    <row r="913" spans="1:9" x14ac:dyDescent="0.3">
      <c r="A913">
        <v>12</v>
      </c>
      <c r="B913" t="s">
        <v>239</v>
      </c>
      <c r="C913" t="s">
        <v>193</v>
      </c>
      <c r="D913" t="s">
        <v>195</v>
      </c>
      <c r="E913" t="s">
        <v>78</v>
      </c>
      <c r="F913" s="57" t="s">
        <v>105</v>
      </c>
      <c r="G913" s="124">
        <v>369.2</v>
      </c>
      <c r="H913" t="s">
        <v>322</v>
      </c>
      <c r="I913" s="34">
        <v>12</v>
      </c>
    </row>
    <row r="914" spans="1:9" x14ac:dyDescent="0.3">
      <c r="A914">
        <v>10</v>
      </c>
      <c r="B914" t="s">
        <v>239</v>
      </c>
      <c r="C914" t="s">
        <v>192</v>
      </c>
      <c r="D914" t="s">
        <v>188</v>
      </c>
      <c r="E914" t="s">
        <v>78</v>
      </c>
      <c r="F914" s="57" t="s">
        <v>105</v>
      </c>
      <c r="G914" s="124">
        <v>367</v>
      </c>
      <c r="H914" t="s">
        <v>323</v>
      </c>
      <c r="I914" s="34">
        <v>10</v>
      </c>
    </row>
    <row r="915" spans="1:9" x14ac:dyDescent="0.3">
      <c r="A915">
        <v>10</v>
      </c>
      <c r="B915" t="s">
        <v>239</v>
      </c>
      <c r="C915" t="s">
        <v>192</v>
      </c>
      <c r="D915" t="s">
        <v>195</v>
      </c>
      <c r="E915" t="s">
        <v>78</v>
      </c>
      <c r="F915" s="57" t="s">
        <v>105</v>
      </c>
      <c r="G915" s="124">
        <v>361</v>
      </c>
      <c r="H915" t="s">
        <v>324</v>
      </c>
      <c r="I915" s="34">
        <v>10</v>
      </c>
    </row>
    <row r="916" spans="1:9" x14ac:dyDescent="0.3">
      <c r="A916">
        <v>4</v>
      </c>
      <c r="B916" t="s">
        <v>239</v>
      </c>
      <c r="C916" t="s">
        <v>191</v>
      </c>
      <c r="D916" t="s">
        <v>195</v>
      </c>
      <c r="E916" s="1" t="s">
        <v>78</v>
      </c>
      <c r="F916" s="54" t="s">
        <v>105</v>
      </c>
      <c r="G916" s="124">
        <v>360</v>
      </c>
      <c r="H916" t="s">
        <v>320</v>
      </c>
      <c r="I916" s="34">
        <v>4</v>
      </c>
    </row>
    <row r="917" spans="1:9" x14ac:dyDescent="0.3">
      <c r="A917">
        <v>7</v>
      </c>
      <c r="B917" t="s">
        <v>239</v>
      </c>
      <c r="C917" t="s">
        <v>192</v>
      </c>
      <c r="D917" t="s">
        <v>195</v>
      </c>
      <c r="E917" t="s">
        <v>78</v>
      </c>
      <c r="F917" s="57" t="s">
        <v>105</v>
      </c>
      <c r="G917" s="124">
        <v>359.33300000000003</v>
      </c>
      <c r="H917" t="s">
        <v>324</v>
      </c>
      <c r="I917" s="34">
        <v>7</v>
      </c>
    </row>
    <row r="918" spans="1:9" x14ac:dyDescent="0.3">
      <c r="A918">
        <v>6</v>
      </c>
      <c r="B918" t="s">
        <v>239</v>
      </c>
      <c r="C918" t="s">
        <v>193</v>
      </c>
      <c r="D918" t="s">
        <v>188</v>
      </c>
      <c r="E918" t="s">
        <v>78</v>
      </c>
      <c r="F918" s="57" t="s">
        <v>105</v>
      </c>
      <c r="G918" s="124">
        <v>347.1</v>
      </c>
      <c r="H918" t="s">
        <v>321</v>
      </c>
      <c r="I918" s="34">
        <v>6</v>
      </c>
    </row>
    <row r="919" spans="1:9" x14ac:dyDescent="0.3">
      <c r="A919">
        <v>8</v>
      </c>
      <c r="B919" t="s">
        <v>239</v>
      </c>
      <c r="C919" t="s">
        <v>192</v>
      </c>
      <c r="D919" t="s">
        <v>188</v>
      </c>
      <c r="E919" t="s">
        <v>78</v>
      </c>
      <c r="F919" s="57" t="s">
        <v>105</v>
      </c>
      <c r="G919" s="124">
        <v>347</v>
      </c>
      <c r="H919" s="53" t="s">
        <v>323</v>
      </c>
      <c r="I919" s="77">
        <v>8</v>
      </c>
    </row>
    <row r="920" spans="1:9" x14ac:dyDescent="0.3">
      <c r="A920">
        <v>8</v>
      </c>
      <c r="B920" t="s">
        <v>239</v>
      </c>
      <c r="C920" t="s">
        <v>192</v>
      </c>
      <c r="D920" t="s">
        <v>195</v>
      </c>
      <c r="E920" t="s">
        <v>78</v>
      </c>
      <c r="F920" s="57" t="s">
        <v>105</v>
      </c>
      <c r="G920" s="124">
        <v>344</v>
      </c>
      <c r="H920" t="s">
        <v>324</v>
      </c>
      <c r="I920" s="34">
        <v>8</v>
      </c>
    </row>
    <row r="921" spans="1:9" x14ac:dyDescent="0.3">
      <c r="A921">
        <v>3</v>
      </c>
      <c r="B921" t="s">
        <v>239</v>
      </c>
      <c r="C921" t="s">
        <v>192</v>
      </c>
      <c r="D921" t="s">
        <v>195</v>
      </c>
      <c r="E921" s="1" t="s">
        <v>78</v>
      </c>
      <c r="F921" s="31" t="s">
        <v>105</v>
      </c>
      <c r="G921" s="124">
        <v>339</v>
      </c>
      <c r="H921" t="s">
        <v>324</v>
      </c>
      <c r="I921" s="34">
        <v>3</v>
      </c>
    </row>
    <row r="922" spans="1:9" x14ac:dyDescent="0.3">
      <c r="A922">
        <v>7</v>
      </c>
      <c r="B922" t="s">
        <v>239</v>
      </c>
      <c r="C922" t="s">
        <v>192</v>
      </c>
      <c r="D922" t="s">
        <v>188</v>
      </c>
      <c r="E922" t="s">
        <v>78</v>
      </c>
      <c r="F922" s="57" t="s">
        <v>105</v>
      </c>
      <c r="G922" s="124">
        <v>332.72399999999999</v>
      </c>
      <c r="H922" t="s">
        <v>323</v>
      </c>
      <c r="I922" s="34">
        <v>7</v>
      </c>
    </row>
    <row r="923" spans="1:9" x14ac:dyDescent="0.3">
      <c r="A923">
        <v>10</v>
      </c>
      <c r="B923" t="s">
        <v>239</v>
      </c>
      <c r="C923" t="s">
        <v>193</v>
      </c>
      <c r="D923" t="s">
        <v>195</v>
      </c>
      <c r="E923" t="s">
        <v>78</v>
      </c>
      <c r="F923" s="57" t="s">
        <v>105</v>
      </c>
      <c r="G923" s="124">
        <v>324.89999999999998</v>
      </c>
      <c r="H923" t="s">
        <v>322</v>
      </c>
      <c r="I923" s="34">
        <v>10</v>
      </c>
    </row>
    <row r="924" spans="1:9" x14ac:dyDescent="0.3">
      <c r="A924">
        <v>3</v>
      </c>
      <c r="B924" t="s">
        <v>239</v>
      </c>
      <c r="C924" t="s">
        <v>192</v>
      </c>
      <c r="D924" t="s">
        <v>188</v>
      </c>
      <c r="E924" s="1" t="s">
        <v>78</v>
      </c>
      <c r="F924" s="31" t="s">
        <v>105</v>
      </c>
      <c r="G924" s="124">
        <v>313</v>
      </c>
      <c r="H924" t="s">
        <v>323</v>
      </c>
      <c r="I924" s="34">
        <v>3</v>
      </c>
    </row>
    <row r="925" spans="1:9" x14ac:dyDescent="0.3">
      <c r="A925">
        <v>5</v>
      </c>
      <c r="B925" t="s">
        <v>239</v>
      </c>
      <c r="C925" t="s">
        <v>192</v>
      </c>
      <c r="D925" t="s">
        <v>195</v>
      </c>
      <c r="E925" t="s">
        <v>78</v>
      </c>
      <c r="F925" s="57" t="s">
        <v>105</v>
      </c>
      <c r="G925" s="124">
        <v>300</v>
      </c>
      <c r="H925" t="s">
        <v>324</v>
      </c>
      <c r="I925" s="34">
        <v>5</v>
      </c>
    </row>
    <row r="926" spans="1:9" x14ac:dyDescent="0.3">
      <c r="A926">
        <v>12</v>
      </c>
      <c r="B926" t="s">
        <v>239</v>
      </c>
      <c r="C926" t="s">
        <v>192</v>
      </c>
      <c r="D926" t="s">
        <v>188</v>
      </c>
      <c r="E926" t="s">
        <v>78</v>
      </c>
      <c r="F926" s="57" t="s">
        <v>105</v>
      </c>
      <c r="G926" s="124">
        <v>291</v>
      </c>
      <c r="H926" s="53" t="s">
        <v>323</v>
      </c>
      <c r="I926" s="77">
        <v>12</v>
      </c>
    </row>
    <row r="927" spans="1:9" x14ac:dyDescent="0.3">
      <c r="A927">
        <v>2</v>
      </c>
      <c r="B927" t="s">
        <v>239</v>
      </c>
      <c r="C927" t="s">
        <v>192</v>
      </c>
      <c r="D927" t="s">
        <v>188</v>
      </c>
      <c r="E927" s="1" t="s">
        <v>78</v>
      </c>
      <c r="F927" s="54" t="s">
        <v>105</v>
      </c>
      <c r="G927" s="124">
        <v>290</v>
      </c>
      <c r="H927" t="s">
        <v>323</v>
      </c>
      <c r="I927" s="34">
        <v>2</v>
      </c>
    </row>
    <row r="928" spans="1:9" x14ac:dyDescent="0.3">
      <c r="A928">
        <v>2</v>
      </c>
      <c r="B928" t="s">
        <v>239</v>
      </c>
      <c r="C928" t="s">
        <v>192</v>
      </c>
      <c r="D928" t="s">
        <v>195</v>
      </c>
      <c r="E928" s="1" t="s">
        <v>78</v>
      </c>
      <c r="F928" s="54" t="s">
        <v>105</v>
      </c>
      <c r="G928" s="124">
        <v>290</v>
      </c>
      <c r="H928" t="s">
        <v>324</v>
      </c>
      <c r="I928" s="34">
        <v>2</v>
      </c>
    </row>
    <row r="929" spans="1:9" x14ac:dyDescent="0.3">
      <c r="A929">
        <v>6</v>
      </c>
      <c r="B929" t="s">
        <v>239</v>
      </c>
      <c r="C929" t="s">
        <v>192</v>
      </c>
      <c r="D929" t="s">
        <v>195</v>
      </c>
      <c r="E929" t="s">
        <v>78</v>
      </c>
      <c r="F929" s="57" t="s">
        <v>105</v>
      </c>
      <c r="G929" s="124">
        <v>290</v>
      </c>
      <c r="H929" t="s">
        <v>324</v>
      </c>
      <c r="I929" s="34">
        <v>6</v>
      </c>
    </row>
    <row r="930" spans="1:9" x14ac:dyDescent="0.3">
      <c r="A930">
        <v>9</v>
      </c>
      <c r="B930" t="s">
        <v>239</v>
      </c>
      <c r="C930" t="s">
        <v>192</v>
      </c>
      <c r="D930" t="s">
        <v>195</v>
      </c>
      <c r="E930" t="s">
        <v>78</v>
      </c>
      <c r="F930" s="57" t="s">
        <v>105</v>
      </c>
      <c r="G930" s="124">
        <v>284</v>
      </c>
      <c r="H930" t="s">
        <v>324</v>
      </c>
      <c r="I930" s="34">
        <v>9</v>
      </c>
    </row>
    <row r="931" spans="1:9" x14ac:dyDescent="0.3">
      <c r="A931">
        <v>12</v>
      </c>
      <c r="B931" t="s">
        <v>239</v>
      </c>
      <c r="C931" t="s">
        <v>192</v>
      </c>
      <c r="D931" t="s">
        <v>195</v>
      </c>
      <c r="E931" t="s">
        <v>78</v>
      </c>
      <c r="F931" s="57" t="s">
        <v>105</v>
      </c>
      <c r="G931" s="124">
        <v>284</v>
      </c>
      <c r="H931" t="s">
        <v>324</v>
      </c>
      <c r="I931" s="34">
        <v>12</v>
      </c>
    </row>
    <row r="932" spans="1:9" x14ac:dyDescent="0.3">
      <c r="A932">
        <v>5</v>
      </c>
      <c r="B932" t="s">
        <v>239</v>
      </c>
      <c r="C932" t="s">
        <v>192</v>
      </c>
      <c r="D932" t="s">
        <v>188</v>
      </c>
      <c r="E932" t="s">
        <v>78</v>
      </c>
      <c r="F932" s="57" t="s">
        <v>105</v>
      </c>
      <c r="G932" s="124">
        <v>281</v>
      </c>
      <c r="H932" t="s">
        <v>323</v>
      </c>
      <c r="I932" s="34">
        <v>5</v>
      </c>
    </row>
    <row r="933" spans="1:9" x14ac:dyDescent="0.3">
      <c r="A933">
        <v>5</v>
      </c>
      <c r="B933" t="s">
        <v>239</v>
      </c>
      <c r="C933" t="s">
        <v>193</v>
      </c>
      <c r="D933" t="s">
        <v>188</v>
      </c>
      <c r="E933" t="s">
        <v>78</v>
      </c>
      <c r="F933" s="57" t="s">
        <v>105</v>
      </c>
      <c r="G933" s="124">
        <v>281</v>
      </c>
      <c r="H933" t="s">
        <v>321</v>
      </c>
      <c r="I933" s="34">
        <v>5</v>
      </c>
    </row>
    <row r="934" spans="1:9" x14ac:dyDescent="0.3">
      <c r="A934">
        <v>9</v>
      </c>
      <c r="B934" t="s">
        <v>239</v>
      </c>
      <c r="C934" t="s">
        <v>192</v>
      </c>
      <c r="D934" t="s">
        <v>188</v>
      </c>
      <c r="E934" t="s">
        <v>78</v>
      </c>
      <c r="F934" s="57" t="s">
        <v>105</v>
      </c>
      <c r="G934" s="124">
        <v>280</v>
      </c>
      <c r="H934" t="s">
        <v>323</v>
      </c>
      <c r="I934" s="34">
        <v>9</v>
      </c>
    </row>
    <row r="935" spans="1:9" x14ac:dyDescent="0.3">
      <c r="A935">
        <v>6</v>
      </c>
      <c r="B935" t="s">
        <v>239</v>
      </c>
      <c r="C935" t="s">
        <v>192</v>
      </c>
      <c r="D935" t="s">
        <v>188</v>
      </c>
      <c r="E935" t="s">
        <v>78</v>
      </c>
      <c r="F935" s="57" t="s">
        <v>105</v>
      </c>
      <c r="G935" s="124">
        <v>267</v>
      </c>
      <c r="H935" s="53" t="s">
        <v>323</v>
      </c>
      <c r="I935" s="77">
        <v>6</v>
      </c>
    </row>
    <row r="936" spans="1:9" x14ac:dyDescent="0.3">
      <c r="A936">
        <v>9</v>
      </c>
      <c r="B936" t="s">
        <v>239</v>
      </c>
      <c r="C936" t="s">
        <v>193</v>
      </c>
      <c r="D936" t="s">
        <v>188</v>
      </c>
      <c r="E936" t="s">
        <v>78</v>
      </c>
      <c r="F936" s="57" t="s">
        <v>105</v>
      </c>
      <c r="G936" s="124">
        <v>266</v>
      </c>
      <c r="H936" t="s">
        <v>321</v>
      </c>
      <c r="I936" s="34">
        <v>9</v>
      </c>
    </row>
    <row r="937" spans="1:9" x14ac:dyDescent="0.3">
      <c r="A937" s="53">
        <v>11</v>
      </c>
      <c r="B937" t="s">
        <v>239</v>
      </c>
      <c r="C937" s="53" t="s">
        <v>192</v>
      </c>
      <c r="D937" s="53" t="s">
        <v>188</v>
      </c>
      <c r="E937" s="53" t="s">
        <v>78</v>
      </c>
      <c r="F937" s="57" t="s">
        <v>105</v>
      </c>
      <c r="G937" s="124">
        <v>265</v>
      </c>
      <c r="H937" s="53" t="s">
        <v>323</v>
      </c>
      <c r="I937" s="77">
        <v>11</v>
      </c>
    </row>
    <row r="938" spans="1:9" x14ac:dyDescent="0.3">
      <c r="A938" s="53">
        <v>11</v>
      </c>
      <c r="B938" t="s">
        <v>239</v>
      </c>
      <c r="C938" s="53" t="s">
        <v>192</v>
      </c>
      <c r="D938" s="53" t="s">
        <v>195</v>
      </c>
      <c r="E938" s="53" t="s">
        <v>78</v>
      </c>
      <c r="F938" s="57" t="s">
        <v>105</v>
      </c>
      <c r="G938" s="124">
        <v>260</v>
      </c>
      <c r="H938" t="s">
        <v>324</v>
      </c>
      <c r="I938" s="34">
        <v>11</v>
      </c>
    </row>
    <row r="939" spans="1:9" x14ac:dyDescent="0.3">
      <c r="A939">
        <v>4</v>
      </c>
      <c r="B939" t="s">
        <v>239</v>
      </c>
      <c r="C939" t="s">
        <v>192</v>
      </c>
      <c r="D939" t="s">
        <v>195</v>
      </c>
      <c r="E939" s="1" t="s">
        <v>78</v>
      </c>
      <c r="F939" s="32" t="s">
        <v>105</v>
      </c>
      <c r="G939" s="124">
        <v>258.60599999999999</v>
      </c>
      <c r="H939" t="s">
        <v>324</v>
      </c>
      <c r="I939" s="34">
        <v>4</v>
      </c>
    </row>
    <row r="940" spans="1:9" x14ac:dyDescent="0.3">
      <c r="A940">
        <v>4</v>
      </c>
      <c r="B940" t="s">
        <v>239</v>
      </c>
      <c r="C940" t="s">
        <v>192</v>
      </c>
      <c r="D940" t="s">
        <v>188</v>
      </c>
      <c r="E940" s="1" t="s">
        <v>78</v>
      </c>
      <c r="F940" s="32" t="s">
        <v>105</v>
      </c>
      <c r="G940" s="124">
        <v>244.34599999999998</v>
      </c>
      <c r="H940" t="s">
        <v>323</v>
      </c>
      <c r="I940" s="34">
        <v>4</v>
      </c>
    </row>
    <row r="941" spans="1:9" x14ac:dyDescent="0.3">
      <c r="A941">
        <v>5</v>
      </c>
      <c r="B941" t="s">
        <v>239</v>
      </c>
      <c r="C941" t="s">
        <v>193</v>
      </c>
      <c r="D941" t="s">
        <v>195</v>
      </c>
      <c r="E941" t="s">
        <v>78</v>
      </c>
      <c r="F941" s="57" t="s">
        <v>105</v>
      </c>
      <c r="G941" s="124">
        <v>240</v>
      </c>
      <c r="H941" t="s">
        <v>322</v>
      </c>
      <c r="I941" s="34">
        <v>5</v>
      </c>
    </row>
    <row r="942" spans="1:9" x14ac:dyDescent="0.3">
      <c r="A942" s="53">
        <v>11</v>
      </c>
      <c r="B942" t="s">
        <v>239</v>
      </c>
      <c r="C942" s="53" t="s">
        <v>193</v>
      </c>
      <c r="D942" s="53" t="s">
        <v>188</v>
      </c>
      <c r="E942" s="53" t="s">
        <v>78</v>
      </c>
      <c r="F942" s="57" t="s">
        <v>105</v>
      </c>
      <c r="G942" s="124">
        <v>238.5</v>
      </c>
      <c r="H942" t="s">
        <v>321</v>
      </c>
      <c r="I942" s="34">
        <v>11</v>
      </c>
    </row>
    <row r="943" spans="1:9" x14ac:dyDescent="0.3">
      <c r="A943">
        <v>4</v>
      </c>
      <c r="B943" t="s">
        <v>239</v>
      </c>
      <c r="C943" t="s">
        <v>193</v>
      </c>
      <c r="D943" t="s">
        <v>188</v>
      </c>
      <c r="E943" s="1" t="s">
        <v>78</v>
      </c>
      <c r="F943" s="31" t="s">
        <v>105</v>
      </c>
      <c r="G943" s="124">
        <v>212.58102</v>
      </c>
      <c r="H943" t="s">
        <v>321</v>
      </c>
      <c r="I943" s="34">
        <v>4</v>
      </c>
    </row>
    <row r="944" spans="1:9" x14ac:dyDescent="0.3">
      <c r="A944">
        <v>9</v>
      </c>
      <c r="B944" t="s">
        <v>239</v>
      </c>
      <c r="C944" t="s">
        <v>193</v>
      </c>
      <c r="D944" t="s">
        <v>195</v>
      </c>
      <c r="E944" t="s">
        <v>78</v>
      </c>
      <c r="F944" s="57" t="s">
        <v>105</v>
      </c>
      <c r="G944" s="124">
        <v>198.8</v>
      </c>
      <c r="H944" t="s">
        <v>322</v>
      </c>
      <c r="I944" s="34">
        <v>9</v>
      </c>
    </row>
    <row r="945" spans="1:9" x14ac:dyDescent="0.3">
      <c r="A945">
        <v>6</v>
      </c>
      <c r="B945" t="s">
        <v>239</v>
      </c>
      <c r="C945" t="s">
        <v>193</v>
      </c>
      <c r="D945" t="s">
        <v>195</v>
      </c>
      <c r="E945" t="s">
        <v>78</v>
      </c>
      <c r="F945" s="57" t="s">
        <v>105</v>
      </c>
      <c r="G945" s="124">
        <v>174</v>
      </c>
      <c r="H945" t="s">
        <v>322</v>
      </c>
      <c r="I945" s="34">
        <v>6</v>
      </c>
    </row>
    <row r="946" spans="1:9" x14ac:dyDescent="0.3">
      <c r="A946">
        <v>3</v>
      </c>
      <c r="B946" t="s">
        <v>239</v>
      </c>
      <c r="C946" t="s">
        <v>193</v>
      </c>
      <c r="D946" t="s">
        <v>188</v>
      </c>
      <c r="E946" s="1" t="s">
        <v>78</v>
      </c>
      <c r="F946" s="54" t="s">
        <v>105</v>
      </c>
      <c r="G946" s="124">
        <v>172.15</v>
      </c>
      <c r="H946" t="s">
        <v>321</v>
      </c>
      <c r="I946" s="34">
        <v>3</v>
      </c>
    </row>
    <row r="947" spans="1:9" x14ac:dyDescent="0.3">
      <c r="A947">
        <v>3</v>
      </c>
      <c r="B947" t="s">
        <v>239</v>
      </c>
      <c r="C947" t="s">
        <v>193</v>
      </c>
      <c r="D947" t="s">
        <v>195</v>
      </c>
      <c r="E947" s="1" t="s">
        <v>78</v>
      </c>
      <c r="F947" s="54" t="s">
        <v>105</v>
      </c>
      <c r="G947" s="124">
        <v>135.6</v>
      </c>
      <c r="H947" t="s">
        <v>322</v>
      </c>
      <c r="I947" s="34">
        <v>3</v>
      </c>
    </row>
    <row r="948" spans="1:9" x14ac:dyDescent="0.3">
      <c r="A948" s="53">
        <v>11</v>
      </c>
      <c r="B948" t="s">
        <v>239</v>
      </c>
      <c r="C948" s="53" t="s">
        <v>193</v>
      </c>
      <c r="D948" s="53" t="s">
        <v>195</v>
      </c>
      <c r="E948" s="53" t="s">
        <v>78</v>
      </c>
      <c r="F948" s="57" t="s">
        <v>105</v>
      </c>
      <c r="G948" s="124">
        <v>130</v>
      </c>
      <c r="H948" t="s">
        <v>322</v>
      </c>
      <c r="I948" s="34">
        <v>11</v>
      </c>
    </row>
    <row r="949" spans="1:9" x14ac:dyDescent="0.3">
      <c r="A949">
        <v>4</v>
      </c>
      <c r="B949" t="s">
        <v>239</v>
      </c>
      <c r="C949" t="s">
        <v>193</v>
      </c>
      <c r="D949" t="s">
        <v>195</v>
      </c>
      <c r="E949" s="1" t="s">
        <v>78</v>
      </c>
      <c r="F949" s="31" t="s">
        <v>105</v>
      </c>
      <c r="G949" s="124">
        <v>93.098160000000007</v>
      </c>
      <c r="H949" t="s">
        <v>322</v>
      </c>
      <c r="I949" s="34">
        <v>4</v>
      </c>
    </row>
    <row r="950" spans="1:9" x14ac:dyDescent="0.3">
      <c r="A950">
        <v>8</v>
      </c>
      <c r="B950" t="s">
        <v>239</v>
      </c>
      <c r="C950" t="s">
        <v>191</v>
      </c>
      <c r="D950" t="s">
        <v>195</v>
      </c>
      <c r="E950" t="s">
        <v>101</v>
      </c>
      <c r="F950" s="57" t="s">
        <v>107</v>
      </c>
      <c r="G950" s="124">
        <v>1000</v>
      </c>
      <c r="H950" t="s">
        <v>325</v>
      </c>
      <c r="I950" s="34">
        <v>8</v>
      </c>
    </row>
    <row r="951" spans="1:9" x14ac:dyDescent="0.3">
      <c r="A951">
        <v>12</v>
      </c>
      <c r="B951" t="s">
        <v>239</v>
      </c>
      <c r="C951" t="s">
        <v>191</v>
      </c>
      <c r="D951" t="s">
        <v>188</v>
      </c>
      <c r="E951" t="s">
        <v>101</v>
      </c>
      <c r="F951" s="57" t="s">
        <v>107</v>
      </c>
      <c r="G951" s="124">
        <v>900</v>
      </c>
      <c r="H951" s="53" t="s">
        <v>326</v>
      </c>
      <c r="I951" s="77">
        <v>12</v>
      </c>
    </row>
    <row r="952" spans="1:9" x14ac:dyDescent="0.3">
      <c r="A952">
        <v>1</v>
      </c>
      <c r="B952" t="s">
        <v>239</v>
      </c>
      <c r="C952" t="s">
        <v>191</v>
      </c>
      <c r="D952" t="s">
        <v>195</v>
      </c>
      <c r="E952" s="1" t="s">
        <v>101</v>
      </c>
      <c r="F952" s="31" t="s">
        <v>107</v>
      </c>
      <c r="G952" s="124">
        <v>900</v>
      </c>
      <c r="H952" t="s">
        <v>325</v>
      </c>
      <c r="I952" s="34">
        <v>1</v>
      </c>
    </row>
    <row r="953" spans="1:9" x14ac:dyDescent="0.3">
      <c r="A953">
        <v>4</v>
      </c>
      <c r="B953" t="s">
        <v>239</v>
      </c>
      <c r="C953" t="s">
        <v>191</v>
      </c>
      <c r="D953" t="s">
        <v>195</v>
      </c>
      <c r="E953" s="1" t="s">
        <v>101</v>
      </c>
      <c r="F953" s="54" t="s">
        <v>107</v>
      </c>
      <c r="G953" s="124">
        <v>900</v>
      </c>
      <c r="H953" t="s">
        <v>325</v>
      </c>
      <c r="I953" s="34">
        <v>4</v>
      </c>
    </row>
    <row r="954" spans="1:9" x14ac:dyDescent="0.3">
      <c r="A954">
        <v>10</v>
      </c>
      <c r="B954" t="s">
        <v>239</v>
      </c>
      <c r="C954" t="s">
        <v>191</v>
      </c>
      <c r="D954" t="s">
        <v>195</v>
      </c>
      <c r="E954" t="s">
        <v>101</v>
      </c>
      <c r="F954" s="57" t="s">
        <v>107</v>
      </c>
      <c r="G954" s="124">
        <v>900</v>
      </c>
      <c r="H954" t="s">
        <v>325</v>
      </c>
      <c r="I954" s="34">
        <v>10</v>
      </c>
    </row>
    <row r="955" spans="1:9" x14ac:dyDescent="0.3">
      <c r="A955" s="53">
        <v>11</v>
      </c>
      <c r="B955" t="s">
        <v>239</v>
      </c>
      <c r="C955" s="53" t="s">
        <v>191</v>
      </c>
      <c r="D955" s="53" t="s">
        <v>195</v>
      </c>
      <c r="E955" s="53" t="s">
        <v>101</v>
      </c>
      <c r="F955" s="57" t="s">
        <v>107</v>
      </c>
      <c r="G955" s="124">
        <v>900</v>
      </c>
      <c r="H955" t="s">
        <v>325</v>
      </c>
      <c r="I955" s="34">
        <v>11</v>
      </c>
    </row>
    <row r="956" spans="1:9" x14ac:dyDescent="0.3">
      <c r="A956">
        <v>12</v>
      </c>
      <c r="B956" t="s">
        <v>239</v>
      </c>
      <c r="C956" t="s">
        <v>191</v>
      </c>
      <c r="D956" t="s">
        <v>195</v>
      </c>
      <c r="E956" t="s">
        <v>101</v>
      </c>
      <c r="F956" s="57" t="s">
        <v>107</v>
      </c>
      <c r="G956" s="124">
        <v>900</v>
      </c>
      <c r="H956" t="s">
        <v>325</v>
      </c>
      <c r="I956" s="34">
        <v>12</v>
      </c>
    </row>
    <row r="957" spans="1:9" x14ac:dyDescent="0.3">
      <c r="A957" s="53">
        <v>11</v>
      </c>
      <c r="B957" t="s">
        <v>239</v>
      </c>
      <c r="C957" s="53" t="s">
        <v>191</v>
      </c>
      <c r="D957" s="53" t="s">
        <v>188</v>
      </c>
      <c r="E957" s="53" t="s">
        <v>101</v>
      </c>
      <c r="F957" s="57" t="s">
        <v>107</v>
      </c>
      <c r="G957" s="124">
        <v>880</v>
      </c>
      <c r="H957" t="s">
        <v>326</v>
      </c>
      <c r="I957" s="34">
        <v>11</v>
      </c>
    </row>
    <row r="958" spans="1:9" x14ac:dyDescent="0.3">
      <c r="A958">
        <v>2</v>
      </c>
      <c r="B958" t="s">
        <v>239</v>
      </c>
      <c r="C958" t="s">
        <v>191</v>
      </c>
      <c r="D958" t="s">
        <v>188</v>
      </c>
      <c r="E958" s="1" t="s">
        <v>101</v>
      </c>
      <c r="F958" s="54" t="s">
        <v>107</v>
      </c>
      <c r="G958" s="124">
        <v>850</v>
      </c>
      <c r="H958" t="s">
        <v>326</v>
      </c>
      <c r="I958" s="34">
        <v>2</v>
      </c>
    </row>
    <row r="959" spans="1:9" x14ac:dyDescent="0.3">
      <c r="A959">
        <v>2</v>
      </c>
      <c r="B959" t="s">
        <v>239</v>
      </c>
      <c r="C959" t="s">
        <v>191</v>
      </c>
      <c r="D959" t="s">
        <v>195</v>
      </c>
      <c r="E959" s="1" t="s">
        <v>101</v>
      </c>
      <c r="F959" s="54" t="s">
        <v>107</v>
      </c>
      <c r="G959" s="124">
        <v>850</v>
      </c>
      <c r="H959" t="s">
        <v>325</v>
      </c>
      <c r="I959" s="34">
        <v>2</v>
      </c>
    </row>
    <row r="960" spans="1:9" x14ac:dyDescent="0.3">
      <c r="A960">
        <v>1</v>
      </c>
      <c r="B960" t="s">
        <v>239</v>
      </c>
      <c r="C960" t="s">
        <v>191</v>
      </c>
      <c r="D960" t="s">
        <v>188</v>
      </c>
      <c r="E960" s="1" t="s">
        <v>101</v>
      </c>
      <c r="F960" s="31" t="s">
        <v>107</v>
      </c>
      <c r="G960" s="124">
        <v>800</v>
      </c>
      <c r="H960" t="s">
        <v>326</v>
      </c>
      <c r="I960" s="34">
        <v>1</v>
      </c>
    </row>
    <row r="961" spans="1:9" x14ac:dyDescent="0.3">
      <c r="A961">
        <v>10</v>
      </c>
      <c r="B961" t="s">
        <v>239</v>
      </c>
      <c r="C961" t="s">
        <v>191</v>
      </c>
      <c r="D961" t="s">
        <v>188</v>
      </c>
      <c r="E961" t="s">
        <v>101</v>
      </c>
      <c r="F961" s="57" t="s">
        <v>107</v>
      </c>
      <c r="G961" s="124">
        <v>800</v>
      </c>
      <c r="H961" s="53" t="s">
        <v>326</v>
      </c>
      <c r="I961" s="77">
        <v>10</v>
      </c>
    </row>
    <row r="962" spans="1:9" x14ac:dyDescent="0.3">
      <c r="A962">
        <v>7</v>
      </c>
      <c r="B962" t="s">
        <v>239</v>
      </c>
      <c r="C962" t="s">
        <v>191</v>
      </c>
      <c r="D962" t="s">
        <v>195</v>
      </c>
      <c r="E962" t="s">
        <v>101</v>
      </c>
      <c r="F962" s="57" t="s">
        <v>107</v>
      </c>
      <c r="G962" s="124">
        <v>800</v>
      </c>
      <c r="H962" t="s">
        <v>325</v>
      </c>
      <c r="I962" s="34">
        <v>7</v>
      </c>
    </row>
    <row r="963" spans="1:9" x14ac:dyDescent="0.3">
      <c r="A963">
        <v>8</v>
      </c>
      <c r="B963" t="s">
        <v>239</v>
      </c>
      <c r="C963" t="s">
        <v>191</v>
      </c>
      <c r="D963" t="s">
        <v>188</v>
      </c>
      <c r="E963" t="s">
        <v>101</v>
      </c>
      <c r="F963" s="57" t="s">
        <v>107</v>
      </c>
      <c r="G963" s="124">
        <v>750</v>
      </c>
      <c r="H963" t="s">
        <v>326</v>
      </c>
      <c r="I963" s="34">
        <v>8</v>
      </c>
    </row>
    <row r="964" spans="1:9" x14ac:dyDescent="0.3">
      <c r="A964">
        <v>3</v>
      </c>
      <c r="B964" t="s">
        <v>239</v>
      </c>
      <c r="C964" t="s">
        <v>191</v>
      </c>
      <c r="D964" t="s">
        <v>195</v>
      </c>
      <c r="E964" s="1" t="s">
        <v>101</v>
      </c>
      <c r="F964" s="54" t="s">
        <v>107</v>
      </c>
      <c r="G964" s="124">
        <v>750</v>
      </c>
      <c r="H964" t="s">
        <v>325</v>
      </c>
      <c r="I964" s="34">
        <v>3</v>
      </c>
    </row>
    <row r="965" spans="1:9" x14ac:dyDescent="0.3">
      <c r="A965">
        <v>3</v>
      </c>
      <c r="B965" t="s">
        <v>239</v>
      </c>
      <c r="C965" t="s">
        <v>191</v>
      </c>
      <c r="D965" t="s">
        <v>188</v>
      </c>
      <c r="E965" s="1" t="s">
        <v>101</v>
      </c>
      <c r="F965" s="54" t="s">
        <v>107</v>
      </c>
      <c r="G965" s="124">
        <v>700</v>
      </c>
      <c r="H965" t="s">
        <v>326</v>
      </c>
      <c r="I965" s="34">
        <v>3</v>
      </c>
    </row>
    <row r="966" spans="1:9" x14ac:dyDescent="0.3">
      <c r="A966">
        <v>5</v>
      </c>
      <c r="B966" t="s">
        <v>239</v>
      </c>
      <c r="C966" t="s">
        <v>191</v>
      </c>
      <c r="D966" t="s">
        <v>195</v>
      </c>
      <c r="E966" s="1" t="s">
        <v>101</v>
      </c>
      <c r="F966" s="54" t="s">
        <v>107</v>
      </c>
      <c r="G966" s="124">
        <v>700</v>
      </c>
      <c r="H966" t="s">
        <v>325</v>
      </c>
      <c r="I966" s="34">
        <v>5</v>
      </c>
    </row>
    <row r="967" spans="1:9" x14ac:dyDescent="0.3">
      <c r="A967">
        <v>9</v>
      </c>
      <c r="B967" t="s">
        <v>239</v>
      </c>
      <c r="C967" t="s">
        <v>191</v>
      </c>
      <c r="D967" t="s">
        <v>195</v>
      </c>
      <c r="E967" t="s">
        <v>101</v>
      </c>
      <c r="F967" s="57" t="s">
        <v>107</v>
      </c>
      <c r="G967" s="124">
        <v>700</v>
      </c>
      <c r="H967" t="s">
        <v>325</v>
      </c>
      <c r="I967" s="34">
        <v>9</v>
      </c>
    </row>
    <row r="968" spans="1:9" x14ac:dyDescent="0.3">
      <c r="A968">
        <v>4</v>
      </c>
      <c r="B968" t="s">
        <v>239</v>
      </c>
      <c r="C968" t="s">
        <v>191</v>
      </c>
      <c r="D968" t="s">
        <v>188</v>
      </c>
      <c r="E968" s="1" t="s">
        <v>101</v>
      </c>
      <c r="F968" s="54" t="s">
        <v>107</v>
      </c>
      <c r="G968" s="124">
        <v>650</v>
      </c>
      <c r="H968" t="s">
        <v>326</v>
      </c>
      <c r="I968" s="34">
        <v>4</v>
      </c>
    </row>
    <row r="969" spans="1:9" x14ac:dyDescent="0.3">
      <c r="A969">
        <v>5</v>
      </c>
      <c r="B969" t="s">
        <v>239</v>
      </c>
      <c r="C969" t="s">
        <v>191</v>
      </c>
      <c r="D969" t="s">
        <v>188</v>
      </c>
      <c r="E969" s="1" t="s">
        <v>101</v>
      </c>
      <c r="F969" s="54" t="s">
        <v>107</v>
      </c>
      <c r="G969" s="124">
        <v>600</v>
      </c>
      <c r="H969" t="s">
        <v>326</v>
      </c>
      <c r="I969" s="34">
        <v>5</v>
      </c>
    </row>
    <row r="970" spans="1:9" x14ac:dyDescent="0.3">
      <c r="A970">
        <v>6</v>
      </c>
      <c r="B970" t="s">
        <v>239</v>
      </c>
      <c r="C970" t="s">
        <v>191</v>
      </c>
      <c r="D970" t="s">
        <v>188</v>
      </c>
      <c r="E970" t="s">
        <v>101</v>
      </c>
      <c r="F970" s="57" t="s">
        <v>107</v>
      </c>
      <c r="G970" s="124">
        <v>600</v>
      </c>
      <c r="H970" t="s">
        <v>326</v>
      </c>
      <c r="I970" s="34">
        <v>6</v>
      </c>
    </row>
    <row r="971" spans="1:9" x14ac:dyDescent="0.3">
      <c r="A971">
        <v>6</v>
      </c>
      <c r="B971" t="s">
        <v>239</v>
      </c>
      <c r="C971" t="s">
        <v>191</v>
      </c>
      <c r="D971" t="s">
        <v>195</v>
      </c>
      <c r="E971" t="s">
        <v>101</v>
      </c>
      <c r="F971" s="57" t="s">
        <v>107</v>
      </c>
      <c r="G971" s="124">
        <v>600</v>
      </c>
      <c r="H971" t="s">
        <v>325</v>
      </c>
      <c r="I971" s="34">
        <v>6</v>
      </c>
    </row>
    <row r="972" spans="1:9" x14ac:dyDescent="0.3">
      <c r="A972">
        <v>7</v>
      </c>
      <c r="B972" t="s">
        <v>239</v>
      </c>
      <c r="C972" t="s">
        <v>191</v>
      </c>
      <c r="D972" t="s">
        <v>188</v>
      </c>
      <c r="E972" t="s">
        <v>101</v>
      </c>
      <c r="F972" s="57" t="s">
        <v>107</v>
      </c>
      <c r="G972" s="124">
        <v>550</v>
      </c>
      <c r="H972" t="s">
        <v>326</v>
      </c>
      <c r="I972" s="34">
        <v>7</v>
      </c>
    </row>
    <row r="973" spans="1:9" x14ac:dyDescent="0.3">
      <c r="A973">
        <v>9</v>
      </c>
      <c r="B973" t="s">
        <v>239</v>
      </c>
      <c r="C973" t="s">
        <v>191</v>
      </c>
      <c r="D973" t="s">
        <v>188</v>
      </c>
      <c r="E973" t="s">
        <v>101</v>
      </c>
      <c r="F973" s="57" t="s">
        <v>107</v>
      </c>
      <c r="G973" s="124">
        <v>500</v>
      </c>
      <c r="H973" t="s">
        <v>326</v>
      </c>
      <c r="I973" s="34">
        <v>9</v>
      </c>
    </row>
    <row r="974" spans="1:9" x14ac:dyDescent="0.3">
      <c r="A974">
        <v>8</v>
      </c>
      <c r="B974" t="s">
        <v>239</v>
      </c>
      <c r="C974" t="s">
        <v>192</v>
      </c>
      <c r="D974" t="s">
        <v>188</v>
      </c>
      <c r="E974" t="s">
        <v>101</v>
      </c>
      <c r="F974" s="57" t="s">
        <v>107</v>
      </c>
      <c r="G974" s="124">
        <v>333</v>
      </c>
      <c r="H974" t="s">
        <v>327</v>
      </c>
      <c r="I974" s="34">
        <v>8</v>
      </c>
    </row>
    <row r="975" spans="1:9" x14ac:dyDescent="0.3">
      <c r="A975">
        <v>8</v>
      </c>
      <c r="B975" t="s">
        <v>239</v>
      </c>
      <c r="C975" t="s">
        <v>192</v>
      </c>
      <c r="D975" t="s">
        <v>195</v>
      </c>
      <c r="E975" t="s">
        <v>101</v>
      </c>
      <c r="F975" s="57" t="s">
        <v>107</v>
      </c>
      <c r="G975" s="124">
        <v>333</v>
      </c>
      <c r="H975" t="s">
        <v>328</v>
      </c>
      <c r="I975" s="34">
        <v>8</v>
      </c>
    </row>
    <row r="976" spans="1:9" x14ac:dyDescent="0.3">
      <c r="A976">
        <v>8</v>
      </c>
      <c r="B976" t="s">
        <v>239</v>
      </c>
      <c r="C976" t="s">
        <v>193</v>
      </c>
      <c r="D976" t="s">
        <v>195</v>
      </c>
      <c r="E976" t="s">
        <v>101</v>
      </c>
      <c r="F976" s="57" t="s">
        <v>107</v>
      </c>
      <c r="G976" s="124">
        <v>333</v>
      </c>
      <c r="H976" t="s">
        <v>329</v>
      </c>
      <c r="I976" s="34">
        <v>8</v>
      </c>
    </row>
    <row r="977" spans="1:9" x14ac:dyDescent="0.3">
      <c r="A977">
        <v>7</v>
      </c>
      <c r="B977" t="s">
        <v>239</v>
      </c>
      <c r="C977" t="s">
        <v>192</v>
      </c>
      <c r="D977" t="s">
        <v>195</v>
      </c>
      <c r="E977" t="s">
        <v>101</v>
      </c>
      <c r="F977" s="57" t="s">
        <v>107</v>
      </c>
      <c r="G977" s="124">
        <v>323</v>
      </c>
      <c r="H977" t="s">
        <v>328</v>
      </c>
      <c r="I977" s="34">
        <v>7</v>
      </c>
    </row>
    <row r="978" spans="1:9" x14ac:dyDescent="0.3">
      <c r="A978">
        <v>7</v>
      </c>
      <c r="B978" t="s">
        <v>239</v>
      </c>
      <c r="C978" t="s">
        <v>192</v>
      </c>
      <c r="D978" t="s">
        <v>188</v>
      </c>
      <c r="E978" t="s">
        <v>101</v>
      </c>
      <c r="F978" s="57" t="s">
        <v>107</v>
      </c>
      <c r="G978" s="124">
        <v>321</v>
      </c>
      <c r="H978" t="s">
        <v>327</v>
      </c>
      <c r="I978" s="34">
        <v>7</v>
      </c>
    </row>
    <row r="979" spans="1:9" x14ac:dyDescent="0.3">
      <c r="A979">
        <v>5</v>
      </c>
      <c r="B979" t="s">
        <v>239</v>
      </c>
      <c r="C979" t="s">
        <v>192</v>
      </c>
      <c r="D979" t="s">
        <v>188</v>
      </c>
      <c r="E979" t="s">
        <v>101</v>
      </c>
      <c r="F979" s="57" t="s">
        <v>107</v>
      </c>
      <c r="G979" s="124">
        <v>300</v>
      </c>
      <c r="H979" t="s">
        <v>327</v>
      </c>
      <c r="I979" s="34">
        <v>5</v>
      </c>
    </row>
    <row r="980" spans="1:9" x14ac:dyDescent="0.3">
      <c r="A980">
        <v>5</v>
      </c>
      <c r="B980" t="s">
        <v>239</v>
      </c>
      <c r="C980" t="s">
        <v>192</v>
      </c>
      <c r="D980" t="s">
        <v>195</v>
      </c>
      <c r="E980" t="s">
        <v>101</v>
      </c>
      <c r="F980" s="57" t="s">
        <v>107</v>
      </c>
      <c r="G980" s="124">
        <v>295.39999999999998</v>
      </c>
      <c r="H980" t="s">
        <v>328</v>
      </c>
      <c r="I980" s="34">
        <v>5</v>
      </c>
    </row>
    <row r="981" spans="1:9" x14ac:dyDescent="0.3">
      <c r="A981">
        <v>1</v>
      </c>
      <c r="B981" t="s">
        <v>239</v>
      </c>
      <c r="C981" t="s">
        <v>192</v>
      </c>
      <c r="D981" t="s">
        <v>188</v>
      </c>
      <c r="E981" s="1" t="s">
        <v>101</v>
      </c>
      <c r="F981" s="32" t="s">
        <v>107</v>
      </c>
      <c r="G981" s="124">
        <v>281</v>
      </c>
      <c r="H981" t="s">
        <v>327</v>
      </c>
      <c r="I981" s="34">
        <v>1</v>
      </c>
    </row>
    <row r="982" spans="1:9" x14ac:dyDescent="0.3">
      <c r="A982">
        <v>6</v>
      </c>
      <c r="B982" t="s">
        <v>239</v>
      </c>
      <c r="C982" t="s">
        <v>192</v>
      </c>
      <c r="D982" t="s">
        <v>188</v>
      </c>
      <c r="E982" t="s">
        <v>101</v>
      </c>
      <c r="F982" s="57" t="s">
        <v>107</v>
      </c>
      <c r="G982" s="124">
        <v>273</v>
      </c>
      <c r="H982" t="s">
        <v>327</v>
      </c>
      <c r="I982" s="34">
        <v>6</v>
      </c>
    </row>
    <row r="983" spans="1:9" x14ac:dyDescent="0.3">
      <c r="A983">
        <v>10</v>
      </c>
      <c r="B983" t="s">
        <v>239</v>
      </c>
      <c r="C983" t="s">
        <v>192</v>
      </c>
      <c r="D983" t="s">
        <v>188</v>
      </c>
      <c r="E983" t="s">
        <v>101</v>
      </c>
      <c r="F983" s="57" t="s">
        <v>107</v>
      </c>
      <c r="G983" s="124">
        <v>271.3</v>
      </c>
      <c r="H983" t="s">
        <v>327</v>
      </c>
      <c r="I983" s="34">
        <v>10</v>
      </c>
    </row>
    <row r="984" spans="1:9" x14ac:dyDescent="0.3">
      <c r="A984">
        <v>3</v>
      </c>
      <c r="B984" t="s">
        <v>239</v>
      </c>
      <c r="C984" t="s">
        <v>192</v>
      </c>
      <c r="D984" t="s">
        <v>188</v>
      </c>
      <c r="E984" s="1" t="s">
        <v>101</v>
      </c>
      <c r="F984" s="32" t="s">
        <v>107</v>
      </c>
      <c r="G984" s="124">
        <v>271</v>
      </c>
      <c r="H984" t="s">
        <v>327</v>
      </c>
      <c r="I984" s="34">
        <v>3</v>
      </c>
    </row>
    <row r="985" spans="1:9" x14ac:dyDescent="0.3">
      <c r="A985">
        <v>1</v>
      </c>
      <c r="B985" t="s">
        <v>239</v>
      </c>
      <c r="C985" t="s">
        <v>192</v>
      </c>
      <c r="D985" t="s">
        <v>195</v>
      </c>
      <c r="E985" s="1" t="s">
        <v>101</v>
      </c>
      <c r="F985" s="32" t="s">
        <v>107</v>
      </c>
      <c r="G985" s="124">
        <v>267</v>
      </c>
      <c r="H985" t="s">
        <v>328</v>
      </c>
      <c r="I985" s="34">
        <v>1</v>
      </c>
    </row>
    <row r="986" spans="1:9" x14ac:dyDescent="0.3">
      <c r="A986">
        <v>9</v>
      </c>
      <c r="B986" t="s">
        <v>239</v>
      </c>
      <c r="C986" t="s">
        <v>192</v>
      </c>
      <c r="D986" t="s">
        <v>188</v>
      </c>
      <c r="E986" t="s">
        <v>101</v>
      </c>
      <c r="F986" s="57" t="s">
        <v>107</v>
      </c>
      <c r="G986" s="124">
        <v>266</v>
      </c>
      <c r="H986" t="s">
        <v>327</v>
      </c>
      <c r="I986" s="34">
        <v>9</v>
      </c>
    </row>
    <row r="987" spans="1:9" x14ac:dyDescent="0.3">
      <c r="A987">
        <v>6</v>
      </c>
      <c r="B987" t="s">
        <v>239</v>
      </c>
      <c r="C987" t="s">
        <v>192</v>
      </c>
      <c r="D987" t="s">
        <v>195</v>
      </c>
      <c r="E987" t="s">
        <v>101</v>
      </c>
      <c r="F987" s="57" t="s">
        <v>107</v>
      </c>
      <c r="G987" s="124">
        <v>266</v>
      </c>
      <c r="H987" t="s">
        <v>328</v>
      </c>
      <c r="I987" s="34">
        <v>6</v>
      </c>
    </row>
    <row r="988" spans="1:9" x14ac:dyDescent="0.3">
      <c r="A988">
        <v>2</v>
      </c>
      <c r="B988" t="s">
        <v>239</v>
      </c>
      <c r="C988" t="s">
        <v>192</v>
      </c>
      <c r="D988" t="s">
        <v>188</v>
      </c>
      <c r="E988" s="1" t="s">
        <v>101</v>
      </c>
      <c r="F988" s="31" t="s">
        <v>107</v>
      </c>
      <c r="G988" s="124">
        <v>262.5</v>
      </c>
      <c r="H988" t="s">
        <v>327</v>
      </c>
      <c r="I988" s="34">
        <v>2</v>
      </c>
    </row>
    <row r="989" spans="1:9" x14ac:dyDescent="0.3">
      <c r="A989">
        <v>10</v>
      </c>
      <c r="B989" t="s">
        <v>239</v>
      </c>
      <c r="C989" t="s">
        <v>192</v>
      </c>
      <c r="D989" t="s">
        <v>195</v>
      </c>
      <c r="E989" t="s">
        <v>101</v>
      </c>
      <c r="F989" s="57" t="s">
        <v>107</v>
      </c>
      <c r="G989" s="124">
        <v>262</v>
      </c>
      <c r="H989" t="s">
        <v>328</v>
      </c>
      <c r="I989" s="34">
        <v>10</v>
      </c>
    </row>
    <row r="990" spans="1:9" x14ac:dyDescent="0.3">
      <c r="A990">
        <v>4</v>
      </c>
      <c r="B990" t="s">
        <v>239</v>
      </c>
      <c r="C990" t="s">
        <v>192</v>
      </c>
      <c r="D990" t="s">
        <v>188</v>
      </c>
      <c r="E990" s="1" t="s">
        <v>101</v>
      </c>
      <c r="F990" s="54" t="s">
        <v>107</v>
      </c>
      <c r="G990" s="124">
        <v>261</v>
      </c>
      <c r="H990" t="s">
        <v>327</v>
      </c>
      <c r="I990" s="34">
        <v>4</v>
      </c>
    </row>
    <row r="991" spans="1:9" x14ac:dyDescent="0.3">
      <c r="A991">
        <v>7</v>
      </c>
      <c r="B991" t="s">
        <v>239</v>
      </c>
      <c r="C991" t="s">
        <v>193</v>
      </c>
      <c r="D991" t="s">
        <v>195</v>
      </c>
      <c r="E991" t="s">
        <v>101</v>
      </c>
      <c r="F991" s="57" t="s">
        <v>107</v>
      </c>
      <c r="G991" s="124">
        <v>258.39999999999998</v>
      </c>
      <c r="H991" t="s">
        <v>329</v>
      </c>
      <c r="I991" s="34">
        <v>7</v>
      </c>
    </row>
    <row r="992" spans="1:9" x14ac:dyDescent="0.3">
      <c r="A992">
        <v>9</v>
      </c>
      <c r="B992" t="s">
        <v>239</v>
      </c>
      <c r="C992" t="s">
        <v>192</v>
      </c>
      <c r="D992" t="s">
        <v>195</v>
      </c>
      <c r="E992" t="s">
        <v>101</v>
      </c>
      <c r="F992" s="57" t="s">
        <v>107</v>
      </c>
      <c r="G992" s="124">
        <v>256</v>
      </c>
      <c r="H992" t="s">
        <v>328</v>
      </c>
      <c r="I992" s="34">
        <v>9</v>
      </c>
    </row>
    <row r="993" spans="1:9" x14ac:dyDescent="0.3">
      <c r="A993">
        <v>12</v>
      </c>
      <c r="B993" t="s">
        <v>239</v>
      </c>
      <c r="C993" t="s">
        <v>192</v>
      </c>
      <c r="D993" t="s">
        <v>188</v>
      </c>
      <c r="E993" t="s">
        <v>101</v>
      </c>
      <c r="F993" s="57" t="s">
        <v>107</v>
      </c>
      <c r="G993" s="124">
        <v>250</v>
      </c>
      <c r="H993" s="53" t="s">
        <v>327</v>
      </c>
      <c r="I993" s="77">
        <v>12</v>
      </c>
    </row>
    <row r="994" spans="1:9" x14ac:dyDescent="0.3">
      <c r="A994">
        <v>8</v>
      </c>
      <c r="B994" t="s">
        <v>239</v>
      </c>
      <c r="C994" t="s">
        <v>193</v>
      </c>
      <c r="D994" t="s">
        <v>188</v>
      </c>
      <c r="E994" t="s">
        <v>101</v>
      </c>
      <c r="F994" s="57" t="s">
        <v>107</v>
      </c>
      <c r="G994" s="124">
        <v>249.75</v>
      </c>
      <c r="H994" t="s">
        <v>330</v>
      </c>
      <c r="I994" s="34">
        <v>8</v>
      </c>
    </row>
    <row r="995" spans="1:9" x14ac:dyDescent="0.3">
      <c r="A995">
        <v>12</v>
      </c>
      <c r="B995" t="s">
        <v>239</v>
      </c>
      <c r="C995" t="s">
        <v>192</v>
      </c>
      <c r="D995" t="s">
        <v>195</v>
      </c>
      <c r="E995" t="s">
        <v>101</v>
      </c>
      <c r="F995" s="57" t="s">
        <v>107</v>
      </c>
      <c r="G995" s="124">
        <v>246</v>
      </c>
      <c r="H995" t="s">
        <v>328</v>
      </c>
      <c r="I995" s="34">
        <v>12</v>
      </c>
    </row>
    <row r="996" spans="1:9" x14ac:dyDescent="0.3">
      <c r="A996">
        <v>4</v>
      </c>
      <c r="B996" t="s">
        <v>239</v>
      </c>
      <c r="C996" t="s">
        <v>192</v>
      </c>
      <c r="D996" t="s">
        <v>195</v>
      </c>
      <c r="E996" s="1" t="s">
        <v>101</v>
      </c>
      <c r="F996" s="54" t="s">
        <v>107</v>
      </c>
      <c r="G996" s="124">
        <v>243.5</v>
      </c>
      <c r="H996" t="s">
        <v>328</v>
      </c>
      <c r="I996" s="34">
        <v>4</v>
      </c>
    </row>
    <row r="997" spans="1:9" x14ac:dyDescent="0.3">
      <c r="A997" s="53">
        <v>11</v>
      </c>
      <c r="B997" t="s">
        <v>239</v>
      </c>
      <c r="C997" s="53" t="s">
        <v>192</v>
      </c>
      <c r="D997" s="53" t="s">
        <v>188</v>
      </c>
      <c r="E997" s="53" t="s">
        <v>101</v>
      </c>
      <c r="F997" s="57" t="s">
        <v>107</v>
      </c>
      <c r="G997" s="124">
        <v>243</v>
      </c>
      <c r="H997" t="s">
        <v>327</v>
      </c>
      <c r="I997" s="34">
        <v>11</v>
      </c>
    </row>
    <row r="998" spans="1:9" x14ac:dyDescent="0.3">
      <c r="A998">
        <v>3</v>
      </c>
      <c r="B998" t="s">
        <v>239</v>
      </c>
      <c r="C998" t="s">
        <v>192</v>
      </c>
      <c r="D998" t="s">
        <v>195</v>
      </c>
      <c r="E998" s="1" t="s">
        <v>101</v>
      </c>
      <c r="F998" s="32" t="s">
        <v>107</v>
      </c>
      <c r="G998" s="124">
        <v>243</v>
      </c>
      <c r="H998" t="s">
        <v>328</v>
      </c>
      <c r="I998" s="34">
        <v>3</v>
      </c>
    </row>
    <row r="999" spans="1:9" x14ac:dyDescent="0.3">
      <c r="A999" s="53">
        <v>11</v>
      </c>
      <c r="B999" t="s">
        <v>239</v>
      </c>
      <c r="C999" s="53" t="s">
        <v>192</v>
      </c>
      <c r="D999" s="53" t="s">
        <v>195</v>
      </c>
      <c r="E999" s="53" t="s">
        <v>101</v>
      </c>
      <c r="F999" s="57" t="s">
        <v>107</v>
      </c>
      <c r="G999" s="124">
        <v>242</v>
      </c>
      <c r="H999" t="s">
        <v>328</v>
      </c>
      <c r="I999" s="34">
        <v>11</v>
      </c>
    </row>
    <row r="1000" spans="1:9" x14ac:dyDescent="0.3">
      <c r="A1000">
        <v>1</v>
      </c>
      <c r="B1000" t="s">
        <v>239</v>
      </c>
      <c r="C1000" t="s">
        <v>193</v>
      </c>
      <c r="D1000" t="s">
        <v>195</v>
      </c>
      <c r="E1000" s="1" t="s">
        <v>101</v>
      </c>
      <c r="F1000" s="32" t="s">
        <v>107</v>
      </c>
      <c r="G1000" s="124">
        <v>240.3</v>
      </c>
      <c r="H1000" t="s">
        <v>329</v>
      </c>
      <c r="I1000" s="34">
        <v>1</v>
      </c>
    </row>
    <row r="1001" spans="1:9" x14ac:dyDescent="0.3">
      <c r="A1001">
        <v>2</v>
      </c>
      <c r="B1001" t="s">
        <v>239</v>
      </c>
      <c r="C1001" t="s">
        <v>192</v>
      </c>
      <c r="D1001" t="s">
        <v>195</v>
      </c>
      <c r="E1001" s="1" t="s">
        <v>101</v>
      </c>
      <c r="F1001" s="31" t="s">
        <v>107</v>
      </c>
      <c r="G1001" s="124">
        <v>240</v>
      </c>
      <c r="H1001" s="53" t="s">
        <v>328</v>
      </c>
      <c r="I1001" s="77">
        <v>2</v>
      </c>
    </row>
    <row r="1002" spans="1:9" x14ac:dyDescent="0.3">
      <c r="A1002">
        <v>10</v>
      </c>
      <c r="B1002" t="s">
        <v>239</v>
      </c>
      <c r="C1002" t="s">
        <v>193</v>
      </c>
      <c r="D1002" t="s">
        <v>195</v>
      </c>
      <c r="E1002" t="s">
        <v>101</v>
      </c>
      <c r="F1002" s="57" t="s">
        <v>107</v>
      </c>
      <c r="G1002" s="124">
        <v>235.8</v>
      </c>
      <c r="H1002" t="s">
        <v>329</v>
      </c>
      <c r="I1002" s="34">
        <v>10</v>
      </c>
    </row>
    <row r="1003" spans="1:9" x14ac:dyDescent="0.3">
      <c r="A1003">
        <v>12</v>
      </c>
      <c r="B1003" t="s">
        <v>239</v>
      </c>
      <c r="C1003" t="s">
        <v>193</v>
      </c>
      <c r="D1003" t="s">
        <v>188</v>
      </c>
      <c r="E1003" t="s">
        <v>101</v>
      </c>
      <c r="F1003" s="57" t="s">
        <v>107</v>
      </c>
      <c r="G1003" s="124">
        <v>225</v>
      </c>
      <c r="H1003" t="s">
        <v>330</v>
      </c>
      <c r="I1003" s="34">
        <v>12</v>
      </c>
    </row>
    <row r="1004" spans="1:9" x14ac:dyDescent="0.3">
      <c r="A1004">
        <v>1</v>
      </c>
      <c r="B1004" t="s">
        <v>239</v>
      </c>
      <c r="C1004" t="s">
        <v>193</v>
      </c>
      <c r="D1004" t="s">
        <v>188</v>
      </c>
      <c r="E1004" s="1" t="s">
        <v>101</v>
      </c>
      <c r="F1004" s="32" t="s">
        <v>107</v>
      </c>
      <c r="G1004" s="124">
        <v>224.8</v>
      </c>
      <c r="H1004" t="s">
        <v>330</v>
      </c>
      <c r="I1004" s="34">
        <v>1</v>
      </c>
    </row>
    <row r="1005" spans="1:9" x14ac:dyDescent="0.3">
      <c r="A1005">
        <v>2</v>
      </c>
      <c r="B1005" t="s">
        <v>239</v>
      </c>
      <c r="C1005" t="s">
        <v>193</v>
      </c>
      <c r="D1005" t="s">
        <v>188</v>
      </c>
      <c r="E1005" s="1" t="s">
        <v>101</v>
      </c>
      <c r="F1005" s="54" t="s">
        <v>107</v>
      </c>
      <c r="G1005" s="124">
        <v>223.125</v>
      </c>
      <c r="H1005" t="s">
        <v>330</v>
      </c>
      <c r="I1005" s="34">
        <v>2</v>
      </c>
    </row>
    <row r="1006" spans="1:9" x14ac:dyDescent="0.3">
      <c r="A1006">
        <v>12</v>
      </c>
      <c r="B1006" t="s">
        <v>239</v>
      </c>
      <c r="C1006" t="s">
        <v>193</v>
      </c>
      <c r="D1006" t="s">
        <v>195</v>
      </c>
      <c r="E1006" t="s">
        <v>101</v>
      </c>
      <c r="F1006" s="57" t="s">
        <v>107</v>
      </c>
      <c r="G1006" s="124">
        <v>221.4</v>
      </c>
      <c r="H1006" t="s">
        <v>329</v>
      </c>
      <c r="I1006" s="34">
        <v>12</v>
      </c>
    </row>
    <row r="1007" spans="1:9" x14ac:dyDescent="0.3">
      <c r="A1007">
        <v>4</v>
      </c>
      <c r="B1007" t="s">
        <v>239</v>
      </c>
      <c r="C1007" t="s">
        <v>193</v>
      </c>
      <c r="D1007" t="s">
        <v>195</v>
      </c>
      <c r="E1007" s="1" t="s">
        <v>101</v>
      </c>
      <c r="F1007" s="32" t="s">
        <v>107</v>
      </c>
      <c r="G1007" s="124">
        <v>219.15</v>
      </c>
      <c r="H1007" t="s">
        <v>329</v>
      </c>
      <c r="I1007" s="34">
        <v>4</v>
      </c>
    </row>
    <row r="1008" spans="1:9" x14ac:dyDescent="0.3">
      <c r="A1008" s="53">
        <v>11</v>
      </c>
      <c r="B1008" t="s">
        <v>239</v>
      </c>
      <c r="C1008" s="53" t="s">
        <v>193</v>
      </c>
      <c r="D1008" s="53" t="s">
        <v>195</v>
      </c>
      <c r="E1008" s="53" t="s">
        <v>101</v>
      </c>
      <c r="F1008" s="57" t="s">
        <v>107</v>
      </c>
      <c r="G1008" s="124">
        <v>217.8</v>
      </c>
      <c r="H1008" t="s">
        <v>329</v>
      </c>
      <c r="I1008" s="34">
        <v>11</v>
      </c>
    </row>
    <row r="1009" spans="1:9" x14ac:dyDescent="0.3">
      <c r="A1009">
        <v>10</v>
      </c>
      <c r="B1009" t="s">
        <v>239</v>
      </c>
      <c r="C1009" t="s">
        <v>193</v>
      </c>
      <c r="D1009" t="s">
        <v>188</v>
      </c>
      <c r="E1009" t="s">
        <v>101</v>
      </c>
      <c r="F1009" s="57" t="s">
        <v>107</v>
      </c>
      <c r="G1009" s="124">
        <v>217.04</v>
      </c>
      <c r="H1009" t="s">
        <v>330</v>
      </c>
      <c r="I1009" s="34">
        <v>10</v>
      </c>
    </row>
    <row r="1010" spans="1:9" x14ac:dyDescent="0.3">
      <c r="A1010" s="53">
        <v>11</v>
      </c>
      <c r="B1010" t="s">
        <v>239</v>
      </c>
      <c r="C1010" s="53" t="s">
        <v>193</v>
      </c>
      <c r="D1010" s="53" t="s">
        <v>188</v>
      </c>
      <c r="E1010" s="53" t="s">
        <v>101</v>
      </c>
      <c r="F1010" s="57" t="s">
        <v>107</v>
      </c>
      <c r="G1010" s="124">
        <v>213.84</v>
      </c>
      <c r="H1010" s="53" t="s">
        <v>330</v>
      </c>
      <c r="I1010" s="77">
        <v>11</v>
      </c>
    </row>
    <row r="1011" spans="1:9" x14ac:dyDescent="0.3">
      <c r="A1011">
        <v>5</v>
      </c>
      <c r="B1011" t="s">
        <v>239</v>
      </c>
      <c r="C1011" t="s">
        <v>193</v>
      </c>
      <c r="D1011" t="s">
        <v>195</v>
      </c>
      <c r="E1011" t="s">
        <v>101</v>
      </c>
      <c r="F1011" s="57" t="s">
        <v>107</v>
      </c>
      <c r="G1011" s="124">
        <v>206.77999999999997</v>
      </c>
      <c r="H1011" t="s">
        <v>329</v>
      </c>
      <c r="I1011" s="34">
        <v>5</v>
      </c>
    </row>
    <row r="1012" spans="1:9" x14ac:dyDescent="0.3">
      <c r="A1012">
        <v>2</v>
      </c>
      <c r="B1012" t="s">
        <v>239</v>
      </c>
      <c r="C1012" t="s">
        <v>193</v>
      </c>
      <c r="D1012" t="s">
        <v>195</v>
      </c>
      <c r="E1012" s="1" t="s">
        <v>101</v>
      </c>
      <c r="F1012" s="54" t="s">
        <v>107</v>
      </c>
      <c r="G1012" s="124">
        <v>204</v>
      </c>
      <c r="H1012" t="s">
        <v>329</v>
      </c>
      <c r="I1012" s="34">
        <v>2</v>
      </c>
    </row>
    <row r="1013" spans="1:9" x14ac:dyDescent="0.3">
      <c r="A1013">
        <v>3</v>
      </c>
      <c r="B1013" t="s">
        <v>239</v>
      </c>
      <c r="C1013" t="s">
        <v>191</v>
      </c>
      <c r="D1013" t="s">
        <v>238</v>
      </c>
      <c r="E1013" s="1" t="s">
        <v>101</v>
      </c>
      <c r="F1013" s="54" t="s">
        <v>107</v>
      </c>
      <c r="G1013" s="124">
        <v>200</v>
      </c>
      <c r="H1013" s="53" t="s">
        <v>331</v>
      </c>
      <c r="I1013" s="77">
        <v>3</v>
      </c>
    </row>
    <row r="1014" spans="1:9" x14ac:dyDescent="0.3">
      <c r="A1014">
        <v>4</v>
      </c>
      <c r="B1014" t="s">
        <v>239</v>
      </c>
      <c r="C1014" t="s">
        <v>191</v>
      </c>
      <c r="D1014" t="s">
        <v>238</v>
      </c>
      <c r="E1014" s="1" t="s">
        <v>101</v>
      </c>
      <c r="F1014" s="54" t="s">
        <v>107</v>
      </c>
      <c r="G1014" s="124">
        <v>200</v>
      </c>
      <c r="H1014" t="s">
        <v>331</v>
      </c>
      <c r="I1014" s="34">
        <v>4</v>
      </c>
    </row>
    <row r="1015" spans="1:9" x14ac:dyDescent="0.3">
      <c r="A1015">
        <v>9</v>
      </c>
      <c r="B1015" t="s">
        <v>239</v>
      </c>
      <c r="C1015" t="s">
        <v>191</v>
      </c>
      <c r="D1015" t="s">
        <v>238</v>
      </c>
      <c r="E1015" t="s">
        <v>101</v>
      </c>
      <c r="F1015" s="57" t="s">
        <v>107</v>
      </c>
      <c r="G1015" s="124">
        <v>190</v>
      </c>
      <c r="H1015" s="53" t="s">
        <v>331</v>
      </c>
      <c r="I1015" s="77">
        <v>9</v>
      </c>
    </row>
    <row r="1016" spans="1:9" x14ac:dyDescent="0.3">
      <c r="A1016">
        <v>3</v>
      </c>
      <c r="B1016" t="s">
        <v>239</v>
      </c>
      <c r="C1016" t="s">
        <v>193</v>
      </c>
      <c r="D1016" t="s">
        <v>188</v>
      </c>
      <c r="E1016" s="1" t="s">
        <v>101</v>
      </c>
      <c r="F1016" s="54" t="s">
        <v>107</v>
      </c>
      <c r="G1016" s="124">
        <v>189.7</v>
      </c>
      <c r="H1016" t="s">
        <v>330</v>
      </c>
      <c r="I1016" s="34">
        <v>3</v>
      </c>
    </row>
    <row r="1017" spans="1:9" x14ac:dyDescent="0.3">
      <c r="A1017">
        <v>10</v>
      </c>
      <c r="B1017" t="s">
        <v>239</v>
      </c>
      <c r="C1017" t="s">
        <v>192</v>
      </c>
      <c r="D1017" t="s">
        <v>238</v>
      </c>
      <c r="E1017" t="s">
        <v>101</v>
      </c>
      <c r="F1017" s="57" t="s">
        <v>107</v>
      </c>
      <c r="G1017" s="124">
        <v>189</v>
      </c>
      <c r="H1017" s="53" t="s">
        <v>332</v>
      </c>
      <c r="I1017" s="77">
        <v>10</v>
      </c>
    </row>
    <row r="1018" spans="1:9" x14ac:dyDescent="0.3">
      <c r="A1018">
        <v>3</v>
      </c>
      <c r="B1018" t="s">
        <v>239</v>
      </c>
      <c r="C1018" t="s">
        <v>193</v>
      </c>
      <c r="D1018" t="s">
        <v>195</v>
      </c>
      <c r="E1018" s="1" t="s">
        <v>101</v>
      </c>
      <c r="F1018" s="54" t="s">
        <v>107</v>
      </c>
      <c r="G1018" s="124">
        <v>182.25</v>
      </c>
      <c r="H1018" t="s">
        <v>329</v>
      </c>
      <c r="I1018" s="34">
        <v>3</v>
      </c>
    </row>
    <row r="1019" spans="1:9" x14ac:dyDescent="0.3">
      <c r="A1019">
        <v>5</v>
      </c>
      <c r="B1019" t="s">
        <v>239</v>
      </c>
      <c r="C1019" t="s">
        <v>193</v>
      </c>
      <c r="D1019" t="s">
        <v>188</v>
      </c>
      <c r="E1019" t="s">
        <v>101</v>
      </c>
      <c r="F1019" s="57" t="s">
        <v>107</v>
      </c>
      <c r="G1019" s="124">
        <v>180</v>
      </c>
      <c r="H1019" t="s">
        <v>330</v>
      </c>
      <c r="I1019" s="34">
        <v>5</v>
      </c>
    </row>
    <row r="1020" spans="1:9" x14ac:dyDescent="0.3">
      <c r="A1020">
        <v>9</v>
      </c>
      <c r="B1020" t="s">
        <v>239</v>
      </c>
      <c r="C1020" t="s">
        <v>193</v>
      </c>
      <c r="D1020" t="s">
        <v>195</v>
      </c>
      <c r="E1020" t="s">
        <v>101</v>
      </c>
      <c r="F1020" s="57" t="s">
        <v>107</v>
      </c>
      <c r="G1020" s="124">
        <v>179.2</v>
      </c>
      <c r="H1020" t="s">
        <v>329</v>
      </c>
      <c r="I1020" s="34">
        <v>9</v>
      </c>
    </row>
    <row r="1021" spans="1:9" x14ac:dyDescent="0.3">
      <c r="A1021">
        <v>7</v>
      </c>
      <c r="B1021" t="s">
        <v>239</v>
      </c>
      <c r="C1021" t="s">
        <v>193</v>
      </c>
      <c r="D1021" t="s">
        <v>188</v>
      </c>
      <c r="E1021" t="s">
        <v>101</v>
      </c>
      <c r="F1021" s="57" t="s">
        <v>107</v>
      </c>
      <c r="G1021" s="124">
        <v>176.55</v>
      </c>
      <c r="H1021" s="53" t="s">
        <v>330</v>
      </c>
      <c r="I1021" s="77">
        <v>7</v>
      </c>
    </row>
    <row r="1022" spans="1:9" x14ac:dyDescent="0.3">
      <c r="A1022">
        <v>4</v>
      </c>
      <c r="B1022" t="s">
        <v>239</v>
      </c>
      <c r="C1022" t="s">
        <v>193</v>
      </c>
      <c r="D1022" t="s">
        <v>188</v>
      </c>
      <c r="E1022" s="1" t="s">
        <v>101</v>
      </c>
      <c r="F1022" s="32" t="s">
        <v>107</v>
      </c>
      <c r="G1022" s="124">
        <v>169.65</v>
      </c>
      <c r="H1022" t="s">
        <v>330</v>
      </c>
      <c r="I1022" s="34">
        <v>4</v>
      </c>
    </row>
    <row r="1023" spans="1:9" x14ac:dyDescent="0.3">
      <c r="A1023">
        <v>6</v>
      </c>
      <c r="B1023" t="s">
        <v>239</v>
      </c>
      <c r="C1023" t="s">
        <v>193</v>
      </c>
      <c r="D1023" t="s">
        <v>188</v>
      </c>
      <c r="E1023" t="s">
        <v>101</v>
      </c>
      <c r="F1023" s="57" t="s">
        <v>107</v>
      </c>
      <c r="G1023" s="124">
        <v>163.80000000000001</v>
      </c>
      <c r="H1023" t="s">
        <v>330</v>
      </c>
      <c r="I1023" s="34">
        <v>6</v>
      </c>
    </row>
    <row r="1024" spans="1:9" x14ac:dyDescent="0.3">
      <c r="A1024" s="53">
        <v>11</v>
      </c>
      <c r="B1024" t="s">
        <v>239</v>
      </c>
      <c r="C1024" s="53" t="s">
        <v>191</v>
      </c>
      <c r="D1024" s="53" t="s">
        <v>238</v>
      </c>
      <c r="E1024" s="53" t="s">
        <v>101</v>
      </c>
      <c r="F1024" s="57" t="s">
        <v>107</v>
      </c>
      <c r="G1024" s="124">
        <v>160</v>
      </c>
      <c r="H1024" t="s">
        <v>331</v>
      </c>
      <c r="I1024" s="34">
        <v>11</v>
      </c>
    </row>
    <row r="1025" spans="1:9" x14ac:dyDescent="0.3">
      <c r="A1025" s="53">
        <v>11</v>
      </c>
      <c r="B1025" t="s">
        <v>239</v>
      </c>
      <c r="C1025" s="53" t="s">
        <v>192</v>
      </c>
      <c r="D1025" s="53" t="s">
        <v>238</v>
      </c>
      <c r="E1025" s="53" t="s">
        <v>101</v>
      </c>
      <c r="F1025" s="57" t="s">
        <v>107</v>
      </c>
      <c r="G1025" s="124">
        <v>160</v>
      </c>
      <c r="H1025" s="53" t="s">
        <v>332</v>
      </c>
      <c r="I1025" s="77">
        <v>11</v>
      </c>
    </row>
    <row r="1026" spans="1:9" x14ac:dyDescent="0.3">
      <c r="A1026">
        <v>6</v>
      </c>
      <c r="B1026" t="s">
        <v>239</v>
      </c>
      <c r="C1026" t="s">
        <v>193</v>
      </c>
      <c r="D1026" t="s">
        <v>195</v>
      </c>
      <c r="E1026" t="s">
        <v>101</v>
      </c>
      <c r="F1026" s="57" t="s">
        <v>107</v>
      </c>
      <c r="G1026" s="124">
        <v>159.6</v>
      </c>
      <c r="H1026" t="s">
        <v>329</v>
      </c>
      <c r="I1026" s="34">
        <v>6</v>
      </c>
    </row>
    <row r="1027" spans="1:9" x14ac:dyDescent="0.3">
      <c r="A1027">
        <v>6</v>
      </c>
      <c r="B1027" t="s">
        <v>239</v>
      </c>
      <c r="C1027" t="s">
        <v>192</v>
      </c>
      <c r="D1027" t="s">
        <v>238</v>
      </c>
      <c r="E1027" t="s">
        <v>101</v>
      </c>
      <c r="F1027" s="57" t="s">
        <v>107</v>
      </c>
      <c r="G1027" s="124">
        <v>157</v>
      </c>
      <c r="H1027" s="53" t="s">
        <v>332</v>
      </c>
      <c r="I1027" s="77">
        <v>6</v>
      </c>
    </row>
    <row r="1028" spans="1:9" x14ac:dyDescent="0.3">
      <c r="A1028">
        <v>5</v>
      </c>
      <c r="B1028" t="s">
        <v>239</v>
      </c>
      <c r="C1028" t="s">
        <v>192</v>
      </c>
      <c r="D1028" t="s">
        <v>238</v>
      </c>
      <c r="E1028" t="s">
        <v>101</v>
      </c>
      <c r="F1028" s="57" t="s">
        <v>107</v>
      </c>
      <c r="G1028" s="124">
        <v>151</v>
      </c>
      <c r="H1028" s="53" t="s">
        <v>332</v>
      </c>
      <c r="I1028" s="77">
        <v>5</v>
      </c>
    </row>
    <row r="1029" spans="1:9" x14ac:dyDescent="0.3">
      <c r="A1029">
        <v>5</v>
      </c>
      <c r="B1029" t="s">
        <v>239</v>
      </c>
      <c r="C1029" t="s">
        <v>191</v>
      </c>
      <c r="D1029" t="s">
        <v>238</v>
      </c>
      <c r="E1029" s="1" t="s">
        <v>101</v>
      </c>
      <c r="F1029" s="54" t="s">
        <v>107</v>
      </c>
      <c r="G1029" s="124">
        <v>150</v>
      </c>
      <c r="H1029" s="53" t="s">
        <v>331</v>
      </c>
      <c r="I1029" s="77">
        <v>5</v>
      </c>
    </row>
    <row r="1030" spans="1:9" x14ac:dyDescent="0.3">
      <c r="A1030">
        <v>6</v>
      </c>
      <c r="B1030" t="s">
        <v>239</v>
      </c>
      <c r="C1030" t="s">
        <v>191</v>
      </c>
      <c r="D1030" t="s">
        <v>238</v>
      </c>
      <c r="E1030" t="s">
        <v>101</v>
      </c>
      <c r="F1030" s="57" t="s">
        <v>107</v>
      </c>
      <c r="G1030" s="124">
        <v>150</v>
      </c>
      <c r="H1030" t="s">
        <v>331</v>
      </c>
      <c r="I1030" s="34">
        <v>6</v>
      </c>
    </row>
    <row r="1031" spans="1:9" x14ac:dyDescent="0.3">
      <c r="A1031">
        <v>10</v>
      </c>
      <c r="B1031" t="s">
        <v>239</v>
      </c>
      <c r="C1031" t="s">
        <v>191</v>
      </c>
      <c r="D1031" t="s">
        <v>238</v>
      </c>
      <c r="E1031" t="s">
        <v>101</v>
      </c>
      <c r="F1031" s="57" t="s">
        <v>107</v>
      </c>
      <c r="G1031" s="124">
        <v>150</v>
      </c>
      <c r="H1031" s="53" t="s">
        <v>331</v>
      </c>
      <c r="I1031" s="77">
        <v>10</v>
      </c>
    </row>
    <row r="1032" spans="1:9" x14ac:dyDescent="0.3">
      <c r="A1032">
        <v>4</v>
      </c>
      <c r="B1032" t="s">
        <v>239</v>
      </c>
      <c r="C1032" t="s">
        <v>192</v>
      </c>
      <c r="D1032" t="s">
        <v>238</v>
      </c>
      <c r="E1032" s="1" t="s">
        <v>101</v>
      </c>
      <c r="F1032" s="54" t="s">
        <v>107</v>
      </c>
      <c r="G1032" s="124">
        <v>149</v>
      </c>
      <c r="H1032" s="53" t="s">
        <v>332</v>
      </c>
      <c r="I1032" s="77">
        <v>4</v>
      </c>
    </row>
    <row r="1033" spans="1:9" x14ac:dyDescent="0.3">
      <c r="A1033">
        <v>3</v>
      </c>
      <c r="B1033" t="s">
        <v>239</v>
      </c>
      <c r="C1033" t="s">
        <v>192</v>
      </c>
      <c r="D1033" t="s">
        <v>238</v>
      </c>
      <c r="E1033" s="1" t="s">
        <v>101</v>
      </c>
      <c r="F1033" s="32" t="s">
        <v>107</v>
      </c>
      <c r="G1033" s="124">
        <v>147</v>
      </c>
      <c r="H1033" t="s">
        <v>332</v>
      </c>
      <c r="I1033" s="34">
        <v>3</v>
      </c>
    </row>
    <row r="1034" spans="1:9" x14ac:dyDescent="0.3">
      <c r="A1034">
        <v>9</v>
      </c>
      <c r="B1034" t="s">
        <v>239</v>
      </c>
      <c r="C1034" t="s">
        <v>192</v>
      </c>
      <c r="D1034" t="s">
        <v>238</v>
      </c>
      <c r="E1034" t="s">
        <v>101</v>
      </c>
      <c r="F1034" s="57" t="s">
        <v>107</v>
      </c>
      <c r="G1034" s="124">
        <v>145</v>
      </c>
      <c r="H1034" s="53" t="s">
        <v>332</v>
      </c>
      <c r="I1034" s="77">
        <v>9</v>
      </c>
    </row>
    <row r="1035" spans="1:9" x14ac:dyDescent="0.3">
      <c r="A1035">
        <v>9</v>
      </c>
      <c r="B1035" t="s">
        <v>239</v>
      </c>
      <c r="C1035" t="s">
        <v>193</v>
      </c>
      <c r="D1035" t="s">
        <v>188</v>
      </c>
      <c r="E1035" t="s">
        <v>101</v>
      </c>
      <c r="F1035" s="57" t="s">
        <v>107</v>
      </c>
      <c r="G1035" s="124">
        <v>133</v>
      </c>
      <c r="H1035" t="s">
        <v>330</v>
      </c>
      <c r="I1035" s="34">
        <v>9</v>
      </c>
    </row>
    <row r="1036" spans="1:9" x14ac:dyDescent="0.3">
      <c r="A1036">
        <v>4</v>
      </c>
      <c r="B1036" t="s">
        <v>239</v>
      </c>
      <c r="C1036" t="s">
        <v>193</v>
      </c>
      <c r="D1036" t="s">
        <v>238</v>
      </c>
      <c r="E1036" s="1" t="s">
        <v>101</v>
      </c>
      <c r="F1036" s="32" t="s">
        <v>107</v>
      </c>
      <c r="G1036" s="124">
        <v>29.8</v>
      </c>
      <c r="H1036" t="s">
        <v>333</v>
      </c>
      <c r="I1036" s="34">
        <v>4</v>
      </c>
    </row>
    <row r="1037" spans="1:9" x14ac:dyDescent="0.3">
      <c r="A1037">
        <v>3</v>
      </c>
      <c r="B1037" t="s">
        <v>239</v>
      </c>
      <c r="C1037" t="s">
        <v>193</v>
      </c>
      <c r="D1037" t="s">
        <v>238</v>
      </c>
      <c r="E1037" s="1" t="s">
        <v>101</v>
      </c>
      <c r="F1037" s="54" t="s">
        <v>107</v>
      </c>
      <c r="G1037" s="124">
        <v>29.4</v>
      </c>
      <c r="H1037" s="53" t="s">
        <v>333</v>
      </c>
      <c r="I1037" s="77">
        <v>3</v>
      </c>
    </row>
    <row r="1038" spans="1:9" x14ac:dyDescent="0.3">
      <c r="A1038">
        <v>10</v>
      </c>
      <c r="B1038" t="s">
        <v>239</v>
      </c>
      <c r="C1038" t="s">
        <v>193</v>
      </c>
      <c r="D1038" t="s">
        <v>238</v>
      </c>
      <c r="E1038" t="s">
        <v>101</v>
      </c>
      <c r="F1038" s="57" t="s">
        <v>107</v>
      </c>
      <c r="G1038" s="124">
        <v>28.35</v>
      </c>
      <c r="H1038" t="s">
        <v>333</v>
      </c>
      <c r="I1038" s="34">
        <v>10</v>
      </c>
    </row>
    <row r="1039" spans="1:9" x14ac:dyDescent="0.3">
      <c r="A1039">
        <v>9</v>
      </c>
      <c r="B1039" t="s">
        <v>239</v>
      </c>
      <c r="C1039" t="s">
        <v>193</v>
      </c>
      <c r="D1039" t="s">
        <v>238</v>
      </c>
      <c r="E1039" t="s">
        <v>101</v>
      </c>
      <c r="F1039" s="57" t="s">
        <v>107</v>
      </c>
      <c r="G1039" s="124">
        <v>27.55</v>
      </c>
      <c r="H1039" t="s">
        <v>333</v>
      </c>
      <c r="I1039" s="34">
        <v>9</v>
      </c>
    </row>
    <row r="1040" spans="1:9" x14ac:dyDescent="0.3">
      <c r="A1040" s="53">
        <v>11</v>
      </c>
      <c r="B1040" t="s">
        <v>239</v>
      </c>
      <c r="C1040" s="53" t="s">
        <v>193</v>
      </c>
      <c r="D1040" s="53" t="s">
        <v>238</v>
      </c>
      <c r="E1040" s="53" t="s">
        <v>101</v>
      </c>
      <c r="F1040" s="57" t="s">
        <v>107</v>
      </c>
      <c r="G1040" s="124">
        <v>25.6</v>
      </c>
      <c r="H1040" t="s">
        <v>333</v>
      </c>
      <c r="I1040" s="34">
        <v>11</v>
      </c>
    </row>
    <row r="1041" spans="1:9" x14ac:dyDescent="0.3">
      <c r="A1041">
        <v>6</v>
      </c>
      <c r="B1041" t="s">
        <v>239</v>
      </c>
      <c r="C1041" t="s">
        <v>193</v>
      </c>
      <c r="D1041" t="s">
        <v>238</v>
      </c>
      <c r="E1041" t="s">
        <v>101</v>
      </c>
      <c r="F1041" s="57" t="s">
        <v>107</v>
      </c>
      <c r="G1041" s="124">
        <v>23.55</v>
      </c>
      <c r="H1041" s="53" t="s">
        <v>333</v>
      </c>
      <c r="I1041" s="77">
        <v>6</v>
      </c>
    </row>
    <row r="1042" spans="1:9" x14ac:dyDescent="0.3">
      <c r="A1042">
        <v>5</v>
      </c>
      <c r="B1042" t="s">
        <v>239</v>
      </c>
      <c r="C1042" t="s">
        <v>193</v>
      </c>
      <c r="D1042" t="s">
        <v>238</v>
      </c>
      <c r="E1042" t="s">
        <v>101</v>
      </c>
      <c r="F1042" s="57" t="s">
        <v>107</v>
      </c>
      <c r="G1042" s="124">
        <v>22.65</v>
      </c>
      <c r="H1042" t="s">
        <v>333</v>
      </c>
      <c r="I1042" s="34">
        <v>5</v>
      </c>
    </row>
    <row r="1043" spans="1:9" x14ac:dyDescent="0.3">
      <c r="A1043">
        <v>8</v>
      </c>
      <c r="B1043" t="s">
        <v>239</v>
      </c>
      <c r="C1043" t="s">
        <v>191</v>
      </c>
      <c r="D1043" t="s">
        <v>188</v>
      </c>
      <c r="E1043" t="s">
        <v>103</v>
      </c>
      <c r="F1043" s="57" t="s">
        <v>110</v>
      </c>
      <c r="G1043" s="124">
        <v>2400</v>
      </c>
      <c r="H1043" t="s">
        <v>334</v>
      </c>
      <c r="I1043" s="34">
        <v>8</v>
      </c>
    </row>
    <row r="1044" spans="1:9" x14ac:dyDescent="0.3">
      <c r="A1044">
        <v>7</v>
      </c>
      <c r="B1044" t="s">
        <v>239</v>
      </c>
      <c r="C1044" t="s">
        <v>191</v>
      </c>
      <c r="D1044" t="s">
        <v>188</v>
      </c>
      <c r="E1044" t="s">
        <v>103</v>
      </c>
      <c r="F1044" s="57" t="s">
        <v>110</v>
      </c>
      <c r="G1044" s="124">
        <v>2200</v>
      </c>
      <c r="H1044" t="s">
        <v>334</v>
      </c>
      <c r="I1044" s="34">
        <v>7</v>
      </c>
    </row>
    <row r="1045" spans="1:9" x14ac:dyDescent="0.3">
      <c r="A1045">
        <v>2</v>
      </c>
      <c r="B1045" t="s">
        <v>239</v>
      </c>
      <c r="C1045" t="s">
        <v>191</v>
      </c>
      <c r="D1045" t="s">
        <v>188</v>
      </c>
      <c r="E1045" s="1" t="s">
        <v>103</v>
      </c>
      <c r="F1045" s="54" t="s">
        <v>110</v>
      </c>
      <c r="G1045" s="124">
        <v>2000</v>
      </c>
      <c r="H1045" t="s">
        <v>334</v>
      </c>
      <c r="I1045" s="34">
        <v>2</v>
      </c>
    </row>
    <row r="1046" spans="1:9" x14ac:dyDescent="0.3">
      <c r="A1046">
        <v>1</v>
      </c>
      <c r="B1046" t="s">
        <v>239</v>
      </c>
      <c r="C1046" t="s">
        <v>191</v>
      </c>
      <c r="D1046" t="s">
        <v>188</v>
      </c>
      <c r="E1046" s="1" t="s">
        <v>103</v>
      </c>
      <c r="F1046" s="54" t="s">
        <v>110</v>
      </c>
      <c r="G1046" s="124">
        <v>1900</v>
      </c>
      <c r="H1046" t="s">
        <v>334</v>
      </c>
      <c r="I1046" s="34">
        <v>1</v>
      </c>
    </row>
    <row r="1047" spans="1:9" x14ac:dyDescent="0.3">
      <c r="A1047">
        <v>8</v>
      </c>
      <c r="B1047" t="s">
        <v>239</v>
      </c>
      <c r="C1047" t="s">
        <v>191</v>
      </c>
      <c r="D1047" t="s">
        <v>195</v>
      </c>
      <c r="E1047" t="s">
        <v>103</v>
      </c>
      <c r="F1047" s="57" t="s">
        <v>110</v>
      </c>
      <c r="G1047" s="124">
        <v>1750</v>
      </c>
      <c r="H1047" t="s">
        <v>335</v>
      </c>
      <c r="I1047" s="34">
        <v>8</v>
      </c>
    </row>
    <row r="1048" spans="1:9" x14ac:dyDescent="0.3">
      <c r="A1048">
        <v>6</v>
      </c>
      <c r="B1048" t="s">
        <v>239</v>
      </c>
      <c r="C1048" t="s">
        <v>191</v>
      </c>
      <c r="D1048" t="s">
        <v>188</v>
      </c>
      <c r="E1048" t="s">
        <v>103</v>
      </c>
      <c r="F1048" s="57" t="s">
        <v>110</v>
      </c>
      <c r="G1048" s="124">
        <v>1700</v>
      </c>
      <c r="H1048" t="s">
        <v>334</v>
      </c>
      <c r="I1048" s="34">
        <v>6</v>
      </c>
    </row>
    <row r="1049" spans="1:9" x14ac:dyDescent="0.3">
      <c r="A1049">
        <v>1</v>
      </c>
      <c r="B1049" t="s">
        <v>239</v>
      </c>
      <c r="C1049" t="s">
        <v>191</v>
      </c>
      <c r="D1049" t="s">
        <v>195</v>
      </c>
      <c r="E1049" s="1" t="s">
        <v>103</v>
      </c>
      <c r="F1049" s="54" t="s">
        <v>110</v>
      </c>
      <c r="G1049" s="124">
        <v>1650</v>
      </c>
      <c r="H1049" t="s">
        <v>335</v>
      </c>
      <c r="I1049" s="34">
        <v>1</v>
      </c>
    </row>
    <row r="1050" spans="1:9" x14ac:dyDescent="0.3">
      <c r="A1050">
        <v>12</v>
      </c>
      <c r="B1050" t="s">
        <v>239</v>
      </c>
      <c r="C1050" t="s">
        <v>191</v>
      </c>
      <c r="D1050" t="s">
        <v>188</v>
      </c>
      <c r="E1050" t="s">
        <v>103</v>
      </c>
      <c r="F1050" s="57" t="s">
        <v>110</v>
      </c>
      <c r="G1050" s="124">
        <v>1600</v>
      </c>
      <c r="H1050" t="s">
        <v>334</v>
      </c>
      <c r="I1050" s="34">
        <v>12</v>
      </c>
    </row>
    <row r="1051" spans="1:9" x14ac:dyDescent="0.3">
      <c r="A1051">
        <v>6</v>
      </c>
      <c r="B1051" t="s">
        <v>239</v>
      </c>
      <c r="C1051" t="s">
        <v>191</v>
      </c>
      <c r="D1051" t="s">
        <v>195</v>
      </c>
      <c r="E1051" t="s">
        <v>103</v>
      </c>
      <c r="F1051" s="57" t="s">
        <v>110</v>
      </c>
      <c r="G1051" s="124">
        <v>1600</v>
      </c>
      <c r="H1051" t="s">
        <v>335</v>
      </c>
      <c r="I1051" s="34">
        <v>6</v>
      </c>
    </row>
    <row r="1052" spans="1:9" x14ac:dyDescent="0.3">
      <c r="A1052">
        <v>4</v>
      </c>
      <c r="B1052" t="s">
        <v>239</v>
      </c>
      <c r="C1052" t="s">
        <v>191</v>
      </c>
      <c r="D1052" t="s">
        <v>188</v>
      </c>
      <c r="E1052" s="1" t="s">
        <v>103</v>
      </c>
      <c r="F1052" s="54" t="s">
        <v>110</v>
      </c>
      <c r="G1052" s="124">
        <v>1500</v>
      </c>
      <c r="H1052" t="s">
        <v>334</v>
      </c>
      <c r="I1052" s="34">
        <v>4</v>
      </c>
    </row>
    <row r="1053" spans="1:9" x14ac:dyDescent="0.3">
      <c r="A1053">
        <v>5</v>
      </c>
      <c r="B1053" t="s">
        <v>239</v>
      </c>
      <c r="C1053" t="s">
        <v>191</v>
      </c>
      <c r="D1053" t="s">
        <v>188</v>
      </c>
      <c r="E1053" s="1" t="s">
        <v>103</v>
      </c>
      <c r="F1053" s="54" t="s">
        <v>110</v>
      </c>
      <c r="G1053" s="124">
        <v>1500</v>
      </c>
      <c r="H1053" t="s">
        <v>334</v>
      </c>
      <c r="I1053" s="34">
        <v>5</v>
      </c>
    </row>
    <row r="1054" spans="1:9" x14ac:dyDescent="0.3">
      <c r="A1054">
        <v>7</v>
      </c>
      <c r="B1054" t="s">
        <v>239</v>
      </c>
      <c r="C1054" t="s">
        <v>191</v>
      </c>
      <c r="D1054" t="s">
        <v>195</v>
      </c>
      <c r="E1054" t="s">
        <v>103</v>
      </c>
      <c r="F1054" s="57" t="s">
        <v>110</v>
      </c>
      <c r="G1054" s="124">
        <v>1500</v>
      </c>
      <c r="H1054" t="s">
        <v>335</v>
      </c>
      <c r="I1054" s="34">
        <v>7</v>
      </c>
    </row>
    <row r="1055" spans="1:9" x14ac:dyDescent="0.3">
      <c r="A1055">
        <v>2</v>
      </c>
      <c r="B1055" t="s">
        <v>239</v>
      </c>
      <c r="C1055" t="s">
        <v>191</v>
      </c>
      <c r="D1055" t="s">
        <v>195</v>
      </c>
      <c r="E1055" s="1" t="s">
        <v>103</v>
      </c>
      <c r="F1055" s="54" t="s">
        <v>110</v>
      </c>
      <c r="G1055" s="124">
        <v>1400</v>
      </c>
      <c r="H1055" t="s">
        <v>335</v>
      </c>
      <c r="I1055" s="34">
        <v>2</v>
      </c>
    </row>
    <row r="1056" spans="1:9" x14ac:dyDescent="0.3">
      <c r="A1056">
        <v>10</v>
      </c>
      <c r="B1056" t="s">
        <v>239</v>
      </c>
      <c r="C1056" t="s">
        <v>191</v>
      </c>
      <c r="D1056" t="s">
        <v>195</v>
      </c>
      <c r="E1056" t="s">
        <v>103</v>
      </c>
      <c r="F1056" s="57" t="s">
        <v>110</v>
      </c>
      <c r="G1056" s="124">
        <v>1330</v>
      </c>
      <c r="H1056" t="s">
        <v>335</v>
      </c>
      <c r="I1056" s="34">
        <v>10</v>
      </c>
    </row>
    <row r="1057" spans="1:9" x14ac:dyDescent="0.3">
      <c r="A1057">
        <v>9</v>
      </c>
      <c r="B1057" t="s">
        <v>239</v>
      </c>
      <c r="C1057" t="s">
        <v>191</v>
      </c>
      <c r="D1057" t="s">
        <v>188</v>
      </c>
      <c r="E1057" t="s">
        <v>103</v>
      </c>
      <c r="F1057" s="57" t="s">
        <v>110</v>
      </c>
      <c r="G1057" s="124">
        <v>1300</v>
      </c>
      <c r="H1057" t="s">
        <v>334</v>
      </c>
      <c r="I1057" s="34">
        <v>9</v>
      </c>
    </row>
    <row r="1058" spans="1:9" x14ac:dyDescent="0.3">
      <c r="A1058">
        <v>10</v>
      </c>
      <c r="B1058" t="s">
        <v>239</v>
      </c>
      <c r="C1058" t="s">
        <v>191</v>
      </c>
      <c r="D1058" t="s">
        <v>188</v>
      </c>
      <c r="E1058" t="s">
        <v>103</v>
      </c>
      <c r="F1058" s="57" t="s">
        <v>110</v>
      </c>
      <c r="G1058" s="124">
        <v>1300</v>
      </c>
      <c r="H1058" t="s">
        <v>334</v>
      </c>
      <c r="I1058" s="34">
        <v>10</v>
      </c>
    </row>
    <row r="1059" spans="1:9" x14ac:dyDescent="0.3">
      <c r="A1059">
        <v>3</v>
      </c>
      <c r="B1059" t="s">
        <v>239</v>
      </c>
      <c r="C1059" t="s">
        <v>191</v>
      </c>
      <c r="D1059" t="s">
        <v>188</v>
      </c>
      <c r="E1059" s="1" t="s">
        <v>103</v>
      </c>
      <c r="F1059" s="54" t="s">
        <v>110</v>
      </c>
      <c r="G1059" s="124">
        <v>1200</v>
      </c>
      <c r="H1059" t="s">
        <v>334</v>
      </c>
      <c r="I1059" s="34">
        <v>3</v>
      </c>
    </row>
    <row r="1060" spans="1:9" x14ac:dyDescent="0.3">
      <c r="A1060" s="53">
        <v>11</v>
      </c>
      <c r="B1060" t="s">
        <v>239</v>
      </c>
      <c r="C1060" s="53" t="s">
        <v>191</v>
      </c>
      <c r="D1060" s="53" t="s">
        <v>188</v>
      </c>
      <c r="E1060" s="53" t="s">
        <v>103</v>
      </c>
      <c r="F1060" s="57" t="s">
        <v>110</v>
      </c>
      <c r="G1060" s="124">
        <v>1100</v>
      </c>
      <c r="H1060" s="53" t="s">
        <v>334</v>
      </c>
      <c r="I1060" s="77">
        <v>11</v>
      </c>
    </row>
    <row r="1061" spans="1:9" x14ac:dyDescent="0.3">
      <c r="A1061">
        <v>9</v>
      </c>
      <c r="B1061" t="s">
        <v>239</v>
      </c>
      <c r="C1061" t="s">
        <v>191</v>
      </c>
      <c r="D1061" t="s">
        <v>195</v>
      </c>
      <c r="E1061" t="s">
        <v>103</v>
      </c>
      <c r="F1061" s="57" t="s">
        <v>110</v>
      </c>
      <c r="G1061" s="124">
        <v>1020</v>
      </c>
      <c r="H1061" t="s">
        <v>335</v>
      </c>
      <c r="I1061" s="34">
        <v>9</v>
      </c>
    </row>
    <row r="1062" spans="1:9" x14ac:dyDescent="0.3">
      <c r="A1062">
        <v>4</v>
      </c>
      <c r="B1062" t="s">
        <v>239</v>
      </c>
      <c r="C1062" t="s">
        <v>191</v>
      </c>
      <c r="D1062" t="s">
        <v>195</v>
      </c>
      <c r="E1062" s="1" t="s">
        <v>103</v>
      </c>
      <c r="F1062" s="54" t="s">
        <v>110</v>
      </c>
      <c r="G1062" s="124">
        <v>1000</v>
      </c>
      <c r="H1062" t="s">
        <v>335</v>
      </c>
      <c r="I1062" s="34">
        <v>4</v>
      </c>
    </row>
    <row r="1063" spans="1:9" x14ac:dyDescent="0.3">
      <c r="A1063">
        <v>12</v>
      </c>
      <c r="B1063" t="s">
        <v>239</v>
      </c>
      <c r="C1063" t="s">
        <v>191</v>
      </c>
      <c r="D1063" t="s">
        <v>195</v>
      </c>
      <c r="E1063" t="s">
        <v>103</v>
      </c>
      <c r="F1063" s="57" t="s">
        <v>110</v>
      </c>
      <c r="G1063" s="124">
        <v>1000</v>
      </c>
      <c r="H1063" t="s">
        <v>335</v>
      </c>
      <c r="I1063" s="34">
        <v>12</v>
      </c>
    </row>
    <row r="1064" spans="1:9" x14ac:dyDescent="0.3">
      <c r="A1064" s="53">
        <v>11</v>
      </c>
      <c r="B1064" t="s">
        <v>239</v>
      </c>
      <c r="C1064" s="53" t="s">
        <v>191</v>
      </c>
      <c r="D1064" s="53" t="s">
        <v>195</v>
      </c>
      <c r="E1064" s="53" t="s">
        <v>103</v>
      </c>
      <c r="F1064" s="57" t="s">
        <v>110</v>
      </c>
      <c r="G1064" s="124">
        <v>900</v>
      </c>
      <c r="H1064" t="s">
        <v>335</v>
      </c>
      <c r="I1064" s="34">
        <v>11</v>
      </c>
    </row>
    <row r="1065" spans="1:9" x14ac:dyDescent="0.3">
      <c r="A1065">
        <v>5</v>
      </c>
      <c r="B1065" t="s">
        <v>239</v>
      </c>
      <c r="C1065" t="s">
        <v>191</v>
      </c>
      <c r="D1065" t="s">
        <v>195</v>
      </c>
      <c r="E1065" s="1" t="s">
        <v>103</v>
      </c>
      <c r="F1065" s="54" t="s">
        <v>110</v>
      </c>
      <c r="G1065" s="124">
        <v>800</v>
      </c>
      <c r="H1065" t="s">
        <v>335</v>
      </c>
      <c r="I1065" s="34">
        <v>5</v>
      </c>
    </row>
    <row r="1066" spans="1:9" x14ac:dyDescent="0.3">
      <c r="A1066">
        <v>3</v>
      </c>
      <c r="B1066" t="s">
        <v>239</v>
      </c>
      <c r="C1066" t="s">
        <v>191</v>
      </c>
      <c r="D1066" t="s">
        <v>195</v>
      </c>
      <c r="E1066" s="1" t="s">
        <v>103</v>
      </c>
      <c r="F1066" s="54" t="s">
        <v>110</v>
      </c>
      <c r="G1066" s="124">
        <v>750</v>
      </c>
      <c r="H1066" t="s">
        <v>335</v>
      </c>
      <c r="I1066" s="34">
        <v>3</v>
      </c>
    </row>
    <row r="1067" spans="1:9" x14ac:dyDescent="0.3">
      <c r="A1067">
        <v>8</v>
      </c>
      <c r="B1067" t="s">
        <v>239</v>
      </c>
      <c r="C1067" t="s">
        <v>193</v>
      </c>
      <c r="D1067" t="s">
        <v>188</v>
      </c>
      <c r="E1067" t="s">
        <v>103</v>
      </c>
      <c r="F1067" s="57" t="s">
        <v>110</v>
      </c>
      <c r="G1067" s="124">
        <v>684</v>
      </c>
      <c r="H1067" t="s">
        <v>336</v>
      </c>
      <c r="I1067" s="34">
        <v>8</v>
      </c>
    </row>
    <row r="1068" spans="1:9" x14ac:dyDescent="0.3">
      <c r="A1068">
        <v>7</v>
      </c>
      <c r="B1068" t="s">
        <v>239</v>
      </c>
      <c r="C1068" t="s">
        <v>193</v>
      </c>
      <c r="D1068" t="s">
        <v>188</v>
      </c>
      <c r="E1068" t="s">
        <v>103</v>
      </c>
      <c r="F1068" s="57" t="s">
        <v>110</v>
      </c>
      <c r="G1068" s="124">
        <v>565.4</v>
      </c>
      <c r="H1068" s="53" t="s">
        <v>336</v>
      </c>
      <c r="I1068" s="77">
        <v>7</v>
      </c>
    </row>
    <row r="1069" spans="1:9" x14ac:dyDescent="0.3">
      <c r="A1069">
        <v>8</v>
      </c>
      <c r="B1069" t="s">
        <v>239</v>
      </c>
      <c r="C1069" t="s">
        <v>193</v>
      </c>
      <c r="D1069" t="s">
        <v>195</v>
      </c>
      <c r="E1069" t="s">
        <v>103</v>
      </c>
      <c r="F1069" s="57" t="s">
        <v>110</v>
      </c>
      <c r="G1069" s="124">
        <v>488.25</v>
      </c>
      <c r="H1069" t="s">
        <v>337</v>
      </c>
      <c r="I1069" s="34">
        <v>8</v>
      </c>
    </row>
    <row r="1070" spans="1:9" x14ac:dyDescent="0.3">
      <c r="A1070">
        <v>1</v>
      </c>
      <c r="B1070" t="s">
        <v>239</v>
      </c>
      <c r="C1070" t="s">
        <v>193</v>
      </c>
      <c r="D1070" t="s">
        <v>188</v>
      </c>
      <c r="E1070" s="1" t="s">
        <v>103</v>
      </c>
      <c r="F1070" s="54" t="s">
        <v>110</v>
      </c>
      <c r="G1070" s="124">
        <v>408.5</v>
      </c>
      <c r="H1070" t="s">
        <v>336</v>
      </c>
      <c r="I1070" s="34">
        <v>1</v>
      </c>
    </row>
    <row r="1071" spans="1:9" x14ac:dyDescent="0.3">
      <c r="A1071">
        <v>2</v>
      </c>
      <c r="B1071" t="s">
        <v>239</v>
      </c>
      <c r="C1071" t="s">
        <v>193</v>
      </c>
      <c r="D1071" t="s">
        <v>188</v>
      </c>
      <c r="E1071" s="1" t="s">
        <v>103</v>
      </c>
      <c r="F1071" s="54" t="s">
        <v>110</v>
      </c>
      <c r="G1071" s="124">
        <v>382</v>
      </c>
      <c r="H1071" t="s">
        <v>336</v>
      </c>
      <c r="I1071" s="34">
        <v>2</v>
      </c>
    </row>
    <row r="1072" spans="1:9" x14ac:dyDescent="0.3">
      <c r="A1072">
        <v>7</v>
      </c>
      <c r="B1072" t="s">
        <v>239</v>
      </c>
      <c r="C1072" t="s">
        <v>193</v>
      </c>
      <c r="D1072" t="s">
        <v>195</v>
      </c>
      <c r="E1072" t="s">
        <v>103</v>
      </c>
      <c r="F1072" s="57" t="s">
        <v>110</v>
      </c>
      <c r="G1072" s="124">
        <v>372</v>
      </c>
      <c r="H1072" t="s">
        <v>337</v>
      </c>
      <c r="I1072" s="34">
        <v>7</v>
      </c>
    </row>
    <row r="1073" spans="1:9" x14ac:dyDescent="0.3">
      <c r="A1073">
        <v>6</v>
      </c>
      <c r="B1073" t="s">
        <v>239</v>
      </c>
      <c r="C1073" t="s">
        <v>193</v>
      </c>
      <c r="D1073" t="s">
        <v>188</v>
      </c>
      <c r="E1073" t="s">
        <v>103</v>
      </c>
      <c r="F1073" s="57" t="s">
        <v>110</v>
      </c>
      <c r="G1073" s="124">
        <v>365.5</v>
      </c>
      <c r="H1073" t="s">
        <v>336</v>
      </c>
      <c r="I1073" s="34">
        <v>6</v>
      </c>
    </row>
    <row r="1074" spans="1:9" x14ac:dyDescent="0.3">
      <c r="A1074">
        <v>5</v>
      </c>
      <c r="B1074" t="s">
        <v>239</v>
      </c>
      <c r="C1074" t="s">
        <v>193</v>
      </c>
      <c r="D1074" t="s">
        <v>188</v>
      </c>
      <c r="E1074" t="s">
        <v>103</v>
      </c>
      <c r="F1074" s="57" t="s">
        <v>110</v>
      </c>
      <c r="G1074" s="124">
        <v>363</v>
      </c>
      <c r="H1074" s="53" t="s">
        <v>336</v>
      </c>
      <c r="I1074" s="77">
        <v>5</v>
      </c>
    </row>
    <row r="1075" spans="1:9" x14ac:dyDescent="0.3">
      <c r="A1075">
        <v>12</v>
      </c>
      <c r="B1075" t="s">
        <v>239</v>
      </c>
      <c r="C1075" t="s">
        <v>193</v>
      </c>
      <c r="D1075" t="s">
        <v>188</v>
      </c>
      <c r="E1075" t="s">
        <v>103</v>
      </c>
      <c r="F1075" s="57" t="s">
        <v>110</v>
      </c>
      <c r="G1075" s="124">
        <v>355.2</v>
      </c>
      <c r="H1075" s="53" t="s">
        <v>336</v>
      </c>
      <c r="I1075" s="77">
        <v>12</v>
      </c>
    </row>
    <row r="1076" spans="1:9" x14ac:dyDescent="0.3">
      <c r="A1076">
        <v>1</v>
      </c>
      <c r="B1076" t="s">
        <v>239</v>
      </c>
      <c r="C1076" t="s">
        <v>193</v>
      </c>
      <c r="D1076" t="s">
        <v>195</v>
      </c>
      <c r="E1076" s="1" t="s">
        <v>103</v>
      </c>
      <c r="F1076" s="54" t="s">
        <v>110</v>
      </c>
      <c r="G1076" s="124">
        <v>349.8</v>
      </c>
      <c r="H1076" t="s">
        <v>337</v>
      </c>
      <c r="I1076" s="34">
        <v>1</v>
      </c>
    </row>
    <row r="1077" spans="1:9" x14ac:dyDescent="0.3">
      <c r="A1077">
        <v>6</v>
      </c>
      <c r="B1077" t="s">
        <v>239</v>
      </c>
      <c r="C1077" t="s">
        <v>193</v>
      </c>
      <c r="D1077" t="s">
        <v>195</v>
      </c>
      <c r="E1077" t="s">
        <v>103</v>
      </c>
      <c r="F1077" s="57" t="s">
        <v>110</v>
      </c>
      <c r="G1077" s="124">
        <v>324.8</v>
      </c>
      <c r="H1077" t="s">
        <v>337</v>
      </c>
      <c r="I1077" s="34">
        <v>6</v>
      </c>
    </row>
    <row r="1078" spans="1:9" x14ac:dyDescent="0.3">
      <c r="A1078">
        <v>4</v>
      </c>
      <c r="B1078" t="s">
        <v>239</v>
      </c>
      <c r="C1078" t="s">
        <v>193</v>
      </c>
      <c r="D1078" t="s">
        <v>188</v>
      </c>
      <c r="E1078" s="1" t="s">
        <v>103</v>
      </c>
      <c r="F1078" s="54" t="s">
        <v>110</v>
      </c>
      <c r="G1078" s="124">
        <v>312</v>
      </c>
      <c r="H1078" t="s">
        <v>336</v>
      </c>
      <c r="I1078" s="34">
        <v>4</v>
      </c>
    </row>
    <row r="1079" spans="1:9" x14ac:dyDescent="0.3">
      <c r="A1079">
        <v>9</v>
      </c>
      <c r="B1079" t="s">
        <v>239</v>
      </c>
      <c r="C1079" t="s">
        <v>193</v>
      </c>
      <c r="D1079" t="s">
        <v>188</v>
      </c>
      <c r="E1079" t="s">
        <v>103</v>
      </c>
      <c r="F1079" s="57" t="s">
        <v>110</v>
      </c>
      <c r="G1079" s="124">
        <v>305.5</v>
      </c>
      <c r="H1079" t="s">
        <v>336</v>
      </c>
      <c r="I1079" s="34">
        <v>9</v>
      </c>
    </row>
    <row r="1080" spans="1:9" x14ac:dyDescent="0.3">
      <c r="A1080">
        <v>10</v>
      </c>
      <c r="B1080" t="s">
        <v>239</v>
      </c>
      <c r="C1080" t="s">
        <v>193</v>
      </c>
      <c r="D1080" t="s">
        <v>188</v>
      </c>
      <c r="E1080" t="s">
        <v>103</v>
      </c>
      <c r="F1080" s="57" t="s">
        <v>110</v>
      </c>
      <c r="G1080" s="124">
        <v>293.8</v>
      </c>
      <c r="H1080" s="53" t="s">
        <v>336</v>
      </c>
      <c r="I1080" s="77">
        <v>10</v>
      </c>
    </row>
    <row r="1081" spans="1:9" x14ac:dyDescent="0.3">
      <c r="A1081">
        <v>10</v>
      </c>
      <c r="B1081" t="s">
        <v>239</v>
      </c>
      <c r="C1081" t="s">
        <v>193</v>
      </c>
      <c r="D1081" t="s">
        <v>195</v>
      </c>
      <c r="E1081" t="s">
        <v>103</v>
      </c>
      <c r="F1081" s="57" t="s">
        <v>110</v>
      </c>
      <c r="G1081" s="124">
        <v>289.94</v>
      </c>
      <c r="H1081" t="s">
        <v>337</v>
      </c>
      <c r="I1081" s="34">
        <v>10</v>
      </c>
    </row>
    <row r="1082" spans="1:9" x14ac:dyDescent="0.3">
      <c r="A1082">
        <v>8</v>
      </c>
      <c r="B1082" t="s">
        <v>239</v>
      </c>
      <c r="C1082" t="s">
        <v>192</v>
      </c>
      <c r="D1082" t="s">
        <v>188</v>
      </c>
      <c r="E1082" t="s">
        <v>103</v>
      </c>
      <c r="F1082" s="57" t="s">
        <v>110</v>
      </c>
      <c r="G1082" s="124">
        <v>285</v>
      </c>
      <c r="H1082" t="s">
        <v>338</v>
      </c>
      <c r="I1082" s="34">
        <v>8</v>
      </c>
    </row>
    <row r="1083" spans="1:9" x14ac:dyDescent="0.3">
      <c r="A1083">
        <v>8</v>
      </c>
      <c r="B1083" t="s">
        <v>239</v>
      </c>
      <c r="C1083" t="s">
        <v>192</v>
      </c>
      <c r="D1083" t="s">
        <v>195</v>
      </c>
      <c r="E1083" t="s">
        <v>103</v>
      </c>
      <c r="F1083" s="57" t="s">
        <v>110</v>
      </c>
      <c r="G1083" s="124">
        <v>279</v>
      </c>
      <c r="H1083" t="s">
        <v>339</v>
      </c>
      <c r="I1083" s="34">
        <v>8</v>
      </c>
    </row>
    <row r="1084" spans="1:9" x14ac:dyDescent="0.3">
      <c r="A1084">
        <v>3</v>
      </c>
      <c r="B1084" t="s">
        <v>239</v>
      </c>
      <c r="C1084" t="s">
        <v>193</v>
      </c>
      <c r="D1084" t="s">
        <v>188</v>
      </c>
      <c r="E1084" s="1" t="s">
        <v>103</v>
      </c>
      <c r="F1084" s="32" t="s">
        <v>110</v>
      </c>
      <c r="G1084" s="124">
        <v>269.27999999999997</v>
      </c>
      <c r="H1084" t="s">
        <v>336</v>
      </c>
      <c r="I1084" s="34">
        <v>3</v>
      </c>
    </row>
    <row r="1085" spans="1:9" x14ac:dyDescent="0.3">
      <c r="A1085">
        <v>2</v>
      </c>
      <c r="B1085" t="s">
        <v>239</v>
      </c>
      <c r="C1085" t="s">
        <v>193</v>
      </c>
      <c r="D1085" t="s">
        <v>195</v>
      </c>
      <c r="E1085" s="1" t="s">
        <v>103</v>
      </c>
      <c r="F1085" s="54" t="s">
        <v>110</v>
      </c>
      <c r="G1085" s="124">
        <v>265.64999999999998</v>
      </c>
      <c r="H1085" t="s">
        <v>337</v>
      </c>
      <c r="I1085" s="34">
        <v>2</v>
      </c>
    </row>
    <row r="1086" spans="1:9" x14ac:dyDescent="0.3">
      <c r="A1086">
        <v>7</v>
      </c>
      <c r="B1086" t="s">
        <v>239</v>
      </c>
      <c r="C1086" t="s">
        <v>192</v>
      </c>
      <c r="D1086" t="s">
        <v>188</v>
      </c>
      <c r="E1086" t="s">
        <v>103</v>
      </c>
      <c r="F1086" s="57" t="s">
        <v>110</v>
      </c>
      <c r="G1086" s="124">
        <v>257</v>
      </c>
      <c r="H1086" t="s">
        <v>338</v>
      </c>
      <c r="I1086" s="34">
        <v>7</v>
      </c>
    </row>
    <row r="1087" spans="1:9" x14ac:dyDescent="0.3">
      <c r="A1087">
        <v>7</v>
      </c>
      <c r="B1087" t="s">
        <v>239</v>
      </c>
      <c r="C1087" t="s">
        <v>192</v>
      </c>
      <c r="D1087" t="s">
        <v>195</v>
      </c>
      <c r="E1087" t="s">
        <v>103</v>
      </c>
      <c r="F1087" s="57" t="s">
        <v>110</v>
      </c>
      <c r="G1087" s="124">
        <v>248</v>
      </c>
      <c r="H1087" t="s">
        <v>339</v>
      </c>
      <c r="I1087" s="34">
        <v>7</v>
      </c>
    </row>
    <row r="1088" spans="1:9" x14ac:dyDescent="0.3">
      <c r="A1088">
        <v>5</v>
      </c>
      <c r="B1088" t="s">
        <v>239</v>
      </c>
      <c r="C1088" t="s">
        <v>192</v>
      </c>
      <c r="D1088" t="s">
        <v>188</v>
      </c>
      <c r="E1088" t="s">
        <v>103</v>
      </c>
      <c r="F1088" s="57" t="s">
        <v>110</v>
      </c>
      <c r="G1088" s="124">
        <v>242</v>
      </c>
      <c r="H1088" t="s">
        <v>338</v>
      </c>
      <c r="I1088" s="34">
        <v>5</v>
      </c>
    </row>
    <row r="1089" spans="1:9" x14ac:dyDescent="0.3">
      <c r="A1089" s="53">
        <v>11</v>
      </c>
      <c r="B1089" t="s">
        <v>239</v>
      </c>
      <c r="C1089" s="53" t="s">
        <v>193</v>
      </c>
      <c r="D1089" s="53" t="s">
        <v>188</v>
      </c>
      <c r="E1089" s="53" t="s">
        <v>103</v>
      </c>
      <c r="F1089" s="57" t="s">
        <v>110</v>
      </c>
      <c r="G1089" s="124">
        <v>242</v>
      </c>
      <c r="H1089" s="53" t="s">
        <v>336</v>
      </c>
      <c r="I1089" s="77">
        <v>11</v>
      </c>
    </row>
    <row r="1090" spans="1:9" x14ac:dyDescent="0.3">
      <c r="A1090">
        <v>9</v>
      </c>
      <c r="B1090" t="s">
        <v>239</v>
      </c>
      <c r="C1090" t="s">
        <v>193</v>
      </c>
      <c r="D1090" t="s">
        <v>195</v>
      </c>
      <c r="E1090" t="s">
        <v>103</v>
      </c>
      <c r="F1090" s="57" t="s">
        <v>110</v>
      </c>
      <c r="G1090" s="124">
        <v>238.68</v>
      </c>
      <c r="H1090" t="s">
        <v>337</v>
      </c>
      <c r="I1090" s="34">
        <v>9</v>
      </c>
    </row>
    <row r="1091" spans="1:9" x14ac:dyDescent="0.3">
      <c r="A1091">
        <v>9</v>
      </c>
      <c r="B1091" t="s">
        <v>239</v>
      </c>
      <c r="C1091" t="s">
        <v>192</v>
      </c>
      <c r="D1091" t="s">
        <v>188</v>
      </c>
      <c r="E1091" t="s">
        <v>103</v>
      </c>
      <c r="F1091" s="57" t="s">
        <v>110</v>
      </c>
      <c r="G1091" s="124">
        <v>235</v>
      </c>
      <c r="H1091" t="s">
        <v>338</v>
      </c>
      <c r="I1091" s="34">
        <v>9</v>
      </c>
    </row>
    <row r="1092" spans="1:9" x14ac:dyDescent="0.3">
      <c r="A1092">
        <v>9</v>
      </c>
      <c r="B1092" t="s">
        <v>239</v>
      </c>
      <c r="C1092" t="s">
        <v>192</v>
      </c>
      <c r="D1092" t="s">
        <v>195</v>
      </c>
      <c r="E1092" t="s">
        <v>103</v>
      </c>
      <c r="F1092" s="57" t="s">
        <v>110</v>
      </c>
      <c r="G1092" s="124">
        <v>234</v>
      </c>
      <c r="H1092" t="s">
        <v>339</v>
      </c>
      <c r="I1092" s="34">
        <v>9</v>
      </c>
    </row>
    <row r="1093" spans="1:9" x14ac:dyDescent="0.3">
      <c r="A1093">
        <v>5</v>
      </c>
      <c r="B1093" t="s">
        <v>239</v>
      </c>
      <c r="C1093" t="s">
        <v>192</v>
      </c>
      <c r="D1093" t="s">
        <v>195</v>
      </c>
      <c r="E1093" t="s">
        <v>103</v>
      </c>
      <c r="F1093" s="57" t="s">
        <v>110</v>
      </c>
      <c r="G1093" s="124">
        <v>228</v>
      </c>
      <c r="H1093" t="s">
        <v>339</v>
      </c>
      <c r="I1093" s="34">
        <v>5</v>
      </c>
    </row>
    <row r="1094" spans="1:9" x14ac:dyDescent="0.3">
      <c r="A1094">
        <v>10</v>
      </c>
      <c r="B1094" t="s">
        <v>239</v>
      </c>
      <c r="C1094" t="s">
        <v>192</v>
      </c>
      <c r="D1094" t="s">
        <v>188</v>
      </c>
      <c r="E1094" t="s">
        <v>103</v>
      </c>
      <c r="F1094" s="57" t="s">
        <v>110</v>
      </c>
      <c r="G1094" s="124">
        <v>226</v>
      </c>
      <c r="H1094" t="s">
        <v>338</v>
      </c>
      <c r="I1094" s="34">
        <v>10</v>
      </c>
    </row>
    <row r="1095" spans="1:9" x14ac:dyDescent="0.3">
      <c r="A1095">
        <v>3</v>
      </c>
      <c r="B1095" t="s">
        <v>239</v>
      </c>
      <c r="C1095" t="s">
        <v>192</v>
      </c>
      <c r="D1095" t="s">
        <v>188</v>
      </c>
      <c r="E1095" s="1" t="s">
        <v>103</v>
      </c>
      <c r="F1095" s="32" t="s">
        <v>110</v>
      </c>
      <c r="G1095" s="124">
        <v>224.4</v>
      </c>
      <c r="H1095" t="s">
        <v>338</v>
      </c>
      <c r="I1095" s="34">
        <v>3</v>
      </c>
    </row>
    <row r="1096" spans="1:9" x14ac:dyDescent="0.3">
      <c r="A1096">
        <v>12</v>
      </c>
      <c r="B1096" t="s">
        <v>239</v>
      </c>
      <c r="C1096" t="s">
        <v>192</v>
      </c>
      <c r="D1096" t="s">
        <v>188</v>
      </c>
      <c r="E1096" t="s">
        <v>103</v>
      </c>
      <c r="F1096" s="57" t="s">
        <v>110</v>
      </c>
      <c r="G1096" s="124">
        <v>222</v>
      </c>
      <c r="H1096" t="s">
        <v>338</v>
      </c>
      <c r="I1096" s="34">
        <v>12</v>
      </c>
    </row>
    <row r="1097" spans="1:9" x14ac:dyDescent="0.3">
      <c r="A1097" s="53">
        <v>11</v>
      </c>
      <c r="B1097" t="s">
        <v>239</v>
      </c>
      <c r="C1097" s="53" t="s">
        <v>192</v>
      </c>
      <c r="D1097" s="53" t="s">
        <v>188</v>
      </c>
      <c r="E1097" s="53" t="s">
        <v>103</v>
      </c>
      <c r="F1097" s="57" t="s">
        <v>110</v>
      </c>
      <c r="G1097" s="124">
        <v>220</v>
      </c>
      <c r="H1097" t="s">
        <v>338</v>
      </c>
      <c r="I1097" s="34">
        <v>11</v>
      </c>
    </row>
    <row r="1098" spans="1:9" x14ac:dyDescent="0.3">
      <c r="A1098">
        <v>10</v>
      </c>
      <c r="B1098" t="s">
        <v>239</v>
      </c>
      <c r="C1098" t="s">
        <v>192</v>
      </c>
      <c r="D1098" t="s">
        <v>195</v>
      </c>
      <c r="E1098" t="s">
        <v>103</v>
      </c>
      <c r="F1098" s="57" t="s">
        <v>110</v>
      </c>
      <c r="G1098" s="124">
        <v>218</v>
      </c>
      <c r="H1098" t="s">
        <v>339</v>
      </c>
      <c r="I1098" s="34">
        <v>10</v>
      </c>
    </row>
    <row r="1099" spans="1:9" x14ac:dyDescent="0.3">
      <c r="A1099">
        <v>1</v>
      </c>
      <c r="B1099" t="s">
        <v>239</v>
      </c>
      <c r="C1099" t="s">
        <v>192</v>
      </c>
      <c r="D1099" t="s">
        <v>188</v>
      </c>
      <c r="E1099" s="1" t="s">
        <v>103</v>
      </c>
      <c r="F1099" s="54" t="s">
        <v>110</v>
      </c>
      <c r="G1099" s="124">
        <v>215</v>
      </c>
      <c r="H1099" t="s">
        <v>338</v>
      </c>
      <c r="I1099" s="34">
        <v>1</v>
      </c>
    </row>
    <row r="1100" spans="1:9" x14ac:dyDescent="0.3">
      <c r="A1100">
        <v>6</v>
      </c>
      <c r="B1100" t="s">
        <v>239</v>
      </c>
      <c r="C1100" t="s">
        <v>192</v>
      </c>
      <c r="D1100" t="s">
        <v>188</v>
      </c>
      <c r="E1100" t="s">
        <v>103</v>
      </c>
      <c r="F1100" s="57" t="s">
        <v>110</v>
      </c>
      <c r="G1100" s="124">
        <v>215</v>
      </c>
      <c r="H1100" t="s">
        <v>338</v>
      </c>
      <c r="I1100" s="34">
        <v>6</v>
      </c>
    </row>
    <row r="1101" spans="1:9" x14ac:dyDescent="0.3">
      <c r="A1101">
        <v>12</v>
      </c>
      <c r="B1101" t="s">
        <v>239</v>
      </c>
      <c r="C1101" t="s">
        <v>192</v>
      </c>
      <c r="D1101" t="s">
        <v>195</v>
      </c>
      <c r="E1101" t="s">
        <v>103</v>
      </c>
      <c r="F1101" s="57" t="s">
        <v>110</v>
      </c>
      <c r="G1101" s="124">
        <v>213.56</v>
      </c>
      <c r="H1101" t="s">
        <v>339</v>
      </c>
      <c r="I1101" s="34">
        <v>12</v>
      </c>
    </row>
    <row r="1102" spans="1:9" x14ac:dyDescent="0.3">
      <c r="A1102">
        <v>12</v>
      </c>
      <c r="B1102" t="s">
        <v>239</v>
      </c>
      <c r="C1102" t="s">
        <v>193</v>
      </c>
      <c r="D1102" t="s">
        <v>195</v>
      </c>
      <c r="E1102" t="s">
        <v>103</v>
      </c>
      <c r="F1102" s="57" t="s">
        <v>110</v>
      </c>
      <c r="G1102" s="124">
        <v>213.56</v>
      </c>
      <c r="H1102" t="s">
        <v>337</v>
      </c>
      <c r="I1102" s="34">
        <v>12</v>
      </c>
    </row>
    <row r="1103" spans="1:9" x14ac:dyDescent="0.3">
      <c r="A1103">
        <v>1</v>
      </c>
      <c r="B1103" t="s">
        <v>239</v>
      </c>
      <c r="C1103" t="s">
        <v>192</v>
      </c>
      <c r="D1103" t="s">
        <v>195</v>
      </c>
      <c r="E1103" s="1" t="s">
        <v>103</v>
      </c>
      <c r="F1103" s="54" t="s">
        <v>110</v>
      </c>
      <c r="G1103" s="124">
        <v>212</v>
      </c>
      <c r="H1103" t="s">
        <v>339</v>
      </c>
      <c r="I1103" s="34">
        <v>1</v>
      </c>
    </row>
    <row r="1104" spans="1:9" x14ac:dyDescent="0.3">
      <c r="A1104" s="53">
        <v>11</v>
      </c>
      <c r="B1104" t="s">
        <v>239</v>
      </c>
      <c r="C1104" s="53" t="s">
        <v>192</v>
      </c>
      <c r="D1104" s="53" t="s">
        <v>195</v>
      </c>
      <c r="E1104" s="53" t="s">
        <v>103</v>
      </c>
      <c r="F1104" s="57" t="s">
        <v>110</v>
      </c>
      <c r="G1104" s="124">
        <v>211</v>
      </c>
      <c r="H1104" t="s">
        <v>339</v>
      </c>
      <c r="I1104" s="34">
        <v>11</v>
      </c>
    </row>
    <row r="1105" spans="1:9" x14ac:dyDescent="0.3">
      <c r="A1105">
        <v>4</v>
      </c>
      <c r="B1105" t="s">
        <v>239</v>
      </c>
      <c r="C1105" t="s">
        <v>192</v>
      </c>
      <c r="D1105" t="s">
        <v>188</v>
      </c>
      <c r="E1105" s="1" t="s">
        <v>103</v>
      </c>
      <c r="F1105" s="54" t="s">
        <v>110</v>
      </c>
      <c r="G1105" s="124">
        <v>208</v>
      </c>
      <c r="H1105" t="s">
        <v>338</v>
      </c>
      <c r="I1105" s="34">
        <v>4</v>
      </c>
    </row>
    <row r="1106" spans="1:9" x14ac:dyDescent="0.3">
      <c r="A1106">
        <v>4</v>
      </c>
      <c r="B1106" t="s">
        <v>239</v>
      </c>
      <c r="C1106" t="s">
        <v>192</v>
      </c>
      <c r="D1106" t="s">
        <v>195</v>
      </c>
      <c r="E1106" s="1" t="s">
        <v>103</v>
      </c>
      <c r="F1106" s="54" t="s">
        <v>110</v>
      </c>
      <c r="G1106" s="124">
        <v>206</v>
      </c>
      <c r="H1106" t="s">
        <v>339</v>
      </c>
      <c r="I1106" s="34">
        <v>4</v>
      </c>
    </row>
    <row r="1107" spans="1:9" x14ac:dyDescent="0.3">
      <c r="A1107">
        <v>4</v>
      </c>
      <c r="B1107" t="s">
        <v>239</v>
      </c>
      <c r="C1107" t="s">
        <v>193</v>
      </c>
      <c r="D1107" t="s">
        <v>195</v>
      </c>
      <c r="E1107" s="1" t="s">
        <v>103</v>
      </c>
      <c r="F1107" s="54" t="s">
        <v>110</v>
      </c>
      <c r="G1107" s="124">
        <v>206</v>
      </c>
      <c r="H1107" t="s">
        <v>337</v>
      </c>
      <c r="I1107" s="34">
        <v>4</v>
      </c>
    </row>
    <row r="1108" spans="1:9" x14ac:dyDescent="0.3">
      <c r="A1108">
        <v>6</v>
      </c>
      <c r="B1108" t="s">
        <v>239</v>
      </c>
      <c r="C1108" t="s">
        <v>192</v>
      </c>
      <c r="D1108" t="s">
        <v>195</v>
      </c>
      <c r="E1108" t="s">
        <v>103</v>
      </c>
      <c r="F1108" s="57" t="s">
        <v>110</v>
      </c>
      <c r="G1108" s="124">
        <v>203</v>
      </c>
      <c r="H1108" t="s">
        <v>339</v>
      </c>
      <c r="I1108" s="34">
        <v>6</v>
      </c>
    </row>
    <row r="1109" spans="1:9" x14ac:dyDescent="0.3">
      <c r="A1109">
        <v>3</v>
      </c>
      <c r="B1109" t="s">
        <v>239</v>
      </c>
      <c r="C1109" t="s">
        <v>192</v>
      </c>
      <c r="D1109" t="s">
        <v>195</v>
      </c>
      <c r="E1109" s="1" t="s">
        <v>103</v>
      </c>
      <c r="F1109" s="32" t="s">
        <v>110</v>
      </c>
      <c r="G1109" s="124">
        <v>202</v>
      </c>
      <c r="H1109" t="s">
        <v>339</v>
      </c>
      <c r="I1109" s="34">
        <v>3</v>
      </c>
    </row>
    <row r="1110" spans="1:9" x14ac:dyDescent="0.3">
      <c r="A1110">
        <v>2</v>
      </c>
      <c r="B1110" t="s">
        <v>239</v>
      </c>
      <c r="C1110" t="s">
        <v>192</v>
      </c>
      <c r="D1110" t="s">
        <v>188</v>
      </c>
      <c r="E1110" s="1" t="s">
        <v>103</v>
      </c>
      <c r="F1110" s="31" t="s">
        <v>110</v>
      </c>
      <c r="G1110" s="124">
        <v>191</v>
      </c>
      <c r="H1110" t="s">
        <v>338</v>
      </c>
      <c r="I1110" s="34">
        <v>2</v>
      </c>
    </row>
    <row r="1111" spans="1:9" x14ac:dyDescent="0.3">
      <c r="A1111" s="53">
        <v>11</v>
      </c>
      <c r="B1111" t="s">
        <v>239</v>
      </c>
      <c r="C1111" s="53" t="s">
        <v>193</v>
      </c>
      <c r="D1111" s="53" t="s">
        <v>195</v>
      </c>
      <c r="E1111" s="53" t="s">
        <v>103</v>
      </c>
      <c r="F1111" s="57" t="s">
        <v>110</v>
      </c>
      <c r="G1111" s="124">
        <v>189.9</v>
      </c>
      <c r="H1111" t="s">
        <v>337</v>
      </c>
      <c r="I1111" s="34">
        <v>11</v>
      </c>
    </row>
    <row r="1112" spans="1:9" x14ac:dyDescent="0.3">
      <c r="A1112">
        <v>2</v>
      </c>
      <c r="B1112" t="s">
        <v>239</v>
      </c>
      <c r="C1112" t="s">
        <v>192</v>
      </c>
      <c r="D1112" t="s">
        <v>195</v>
      </c>
      <c r="E1112" s="1" t="s">
        <v>103</v>
      </c>
      <c r="F1112" s="31" t="s">
        <v>110</v>
      </c>
      <c r="G1112" s="124">
        <v>189.75</v>
      </c>
      <c r="H1112" t="s">
        <v>339</v>
      </c>
      <c r="I1112" s="34">
        <v>2</v>
      </c>
    </row>
    <row r="1113" spans="1:9" x14ac:dyDescent="0.3">
      <c r="A1113">
        <v>5</v>
      </c>
      <c r="B1113" t="s">
        <v>239</v>
      </c>
      <c r="C1113" t="s">
        <v>193</v>
      </c>
      <c r="D1113" t="s">
        <v>195</v>
      </c>
      <c r="E1113" t="s">
        <v>103</v>
      </c>
      <c r="F1113" s="57" t="s">
        <v>110</v>
      </c>
      <c r="G1113" s="124">
        <v>182.4</v>
      </c>
      <c r="H1113" t="s">
        <v>337</v>
      </c>
      <c r="I1113" s="34">
        <v>5</v>
      </c>
    </row>
    <row r="1114" spans="1:9" x14ac:dyDescent="0.3">
      <c r="A1114">
        <v>3</v>
      </c>
      <c r="B1114" t="s">
        <v>239</v>
      </c>
      <c r="C1114" t="s">
        <v>193</v>
      </c>
      <c r="D1114" t="s">
        <v>195</v>
      </c>
      <c r="E1114" s="1" t="s">
        <v>103</v>
      </c>
      <c r="F1114" s="32" t="s">
        <v>110</v>
      </c>
      <c r="G1114" s="124">
        <v>151.5</v>
      </c>
      <c r="H1114" t="s">
        <v>337</v>
      </c>
      <c r="I1114" s="34">
        <v>3</v>
      </c>
    </row>
    <row r="1115" spans="1:9" x14ac:dyDescent="0.3">
      <c r="A1115">
        <v>10</v>
      </c>
      <c r="B1115" t="s">
        <v>239</v>
      </c>
      <c r="C1115" t="s">
        <v>191</v>
      </c>
      <c r="D1115" t="s">
        <v>188</v>
      </c>
      <c r="E1115" t="s">
        <v>75</v>
      </c>
      <c r="F1115" s="57" t="s">
        <v>113</v>
      </c>
      <c r="G1115" s="124">
        <v>1400</v>
      </c>
      <c r="H1115" t="s">
        <v>340</v>
      </c>
      <c r="I1115" s="34">
        <v>10</v>
      </c>
    </row>
    <row r="1116" spans="1:9" x14ac:dyDescent="0.3">
      <c r="A1116">
        <v>1</v>
      </c>
      <c r="B1116" t="s">
        <v>239</v>
      </c>
      <c r="C1116" t="s">
        <v>191</v>
      </c>
      <c r="D1116" t="s">
        <v>188</v>
      </c>
      <c r="E1116" s="1" t="s">
        <v>75</v>
      </c>
      <c r="F1116" s="32" t="s">
        <v>113</v>
      </c>
      <c r="G1116" s="124">
        <v>1300</v>
      </c>
      <c r="H1116" t="s">
        <v>340</v>
      </c>
      <c r="I1116" s="34">
        <v>1</v>
      </c>
    </row>
    <row r="1117" spans="1:9" x14ac:dyDescent="0.3">
      <c r="A1117">
        <v>2</v>
      </c>
      <c r="B1117" t="s">
        <v>239</v>
      </c>
      <c r="C1117" t="s">
        <v>191</v>
      </c>
      <c r="D1117" t="s">
        <v>188</v>
      </c>
      <c r="E1117" s="1" t="s">
        <v>75</v>
      </c>
      <c r="F1117" s="54" t="s">
        <v>113</v>
      </c>
      <c r="G1117" s="124">
        <v>1200</v>
      </c>
      <c r="H1117" t="s">
        <v>340</v>
      </c>
      <c r="I1117" s="34">
        <v>2</v>
      </c>
    </row>
    <row r="1118" spans="1:9" x14ac:dyDescent="0.3">
      <c r="A1118">
        <v>8</v>
      </c>
      <c r="B1118" t="s">
        <v>239</v>
      </c>
      <c r="C1118" t="s">
        <v>191</v>
      </c>
      <c r="D1118" t="s">
        <v>188</v>
      </c>
      <c r="E1118" t="s">
        <v>75</v>
      </c>
      <c r="F1118" s="57" t="s">
        <v>113</v>
      </c>
      <c r="G1118" s="124">
        <v>1100</v>
      </c>
      <c r="H1118" s="53" t="s">
        <v>340</v>
      </c>
      <c r="I1118" s="77">
        <v>8</v>
      </c>
    </row>
    <row r="1119" spans="1:9" x14ac:dyDescent="0.3">
      <c r="A1119">
        <v>1</v>
      </c>
      <c r="B1119" t="s">
        <v>239</v>
      </c>
      <c r="C1119" t="s">
        <v>191</v>
      </c>
      <c r="D1119" t="s">
        <v>195</v>
      </c>
      <c r="E1119" s="1" t="s">
        <v>75</v>
      </c>
      <c r="F1119" s="32" t="s">
        <v>113</v>
      </c>
      <c r="G1119" s="124">
        <v>1000</v>
      </c>
      <c r="H1119" t="s">
        <v>341</v>
      </c>
      <c r="I1119" s="34">
        <v>1</v>
      </c>
    </row>
    <row r="1120" spans="1:9" x14ac:dyDescent="0.3">
      <c r="A1120">
        <v>12</v>
      </c>
      <c r="B1120" t="s">
        <v>239</v>
      </c>
      <c r="C1120" t="s">
        <v>191</v>
      </c>
      <c r="D1120" t="s">
        <v>188</v>
      </c>
      <c r="E1120" t="s">
        <v>75</v>
      </c>
      <c r="F1120" s="57" t="s">
        <v>113</v>
      </c>
      <c r="G1120" s="124">
        <v>970</v>
      </c>
      <c r="H1120" t="s">
        <v>340</v>
      </c>
      <c r="I1120" s="34">
        <v>12</v>
      </c>
    </row>
    <row r="1121" spans="1:9" x14ac:dyDescent="0.3">
      <c r="A1121">
        <v>9</v>
      </c>
      <c r="B1121" t="s">
        <v>239</v>
      </c>
      <c r="C1121" t="s">
        <v>191</v>
      </c>
      <c r="D1121" t="s">
        <v>188</v>
      </c>
      <c r="E1121" t="s">
        <v>75</v>
      </c>
      <c r="F1121" s="57" t="s">
        <v>113</v>
      </c>
      <c r="G1121" s="124">
        <v>950</v>
      </c>
      <c r="H1121" s="53" t="s">
        <v>340</v>
      </c>
      <c r="I1121" s="77">
        <v>9</v>
      </c>
    </row>
    <row r="1122" spans="1:9" x14ac:dyDescent="0.3">
      <c r="A1122">
        <v>7</v>
      </c>
      <c r="B1122" t="s">
        <v>239</v>
      </c>
      <c r="C1122" t="s">
        <v>191</v>
      </c>
      <c r="D1122" t="s">
        <v>188</v>
      </c>
      <c r="E1122" t="s">
        <v>75</v>
      </c>
      <c r="F1122" s="57" t="s">
        <v>113</v>
      </c>
      <c r="G1122" s="124">
        <v>900</v>
      </c>
      <c r="H1122" t="s">
        <v>340</v>
      </c>
      <c r="I1122" s="34">
        <v>7</v>
      </c>
    </row>
    <row r="1123" spans="1:9" x14ac:dyDescent="0.3">
      <c r="A1123">
        <v>6</v>
      </c>
      <c r="B1123" t="s">
        <v>239</v>
      </c>
      <c r="C1123" t="s">
        <v>191</v>
      </c>
      <c r="D1123" t="s">
        <v>188</v>
      </c>
      <c r="E1123" t="s">
        <v>75</v>
      </c>
      <c r="F1123" s="57" t="s">
        <v>113</v>
      </c>
      <c r="G1123" s="124">
        <v>750</v>
      </c>
      <c r="H1123" s="53" t="s">
        <v>340</v>
      </c>
      <c r="I1123" s="77">
        <v>6</v>
      </c>
    </row>
    <row r="1124" spans="1:9" x14ac:dyDescent="0.3">
      <c r="A1124">
        <v>4</v>
      </c>
      <c r="B1124" t="s">
        <v>239</v>
      </c>
      <c r="C1124" t="s">
        <v>191</v>
      </c>
      <c r="D1124" t="s">
        <v>188</v>
      </c>
      <c r="E1124" s="1" t="s">
        <v>75</v>
      </c>
      <c r="F1124" s="31" t="s">
        <v>113</v>
      </c>
      <c r="G1124" s="124">
        <v>700</v>
      </c>
      <c r="H1124" t="s">
        <v>340</v>
      </c>
      <c r="I1124" s="34">
        <v>4</v>
      </c>
    </row>
    <row r="1125" spans="1:9" x14ac:dyDescent="0.3">
      <c r="A1125">
        <v>7</v>
      </c>
      <c r="B1125" t="s">
        <v>239</v>
      </c>
      <c r="C1125" t="s">
        <v>191</v>
      </c>
      <c r="D1125" t="s">
        <v>195</v>
      </c>
      <c r="E1125" t="s">
        <v>75</v>
      </c>
      <c r="F1125" s="57" t="s">
        <v>113</v>
      </c>
      <c r="G1125" s="124">
        <v>700</v>
      </c>
      <c r="H1125" t="s">
        <v>341</v>
      </c>
      <c r="I1125" s="34">
        <v>7</v>
      </c>
    </row>
    <row r="1126" spans="1:9" x14ac:dyDescent="0.3">
      <c r="A1126">
        <v>9</v>
      </c>
      <c r="B1126" t="s">
        <v>239</v>
      </c>
      <c r="C1126" t="s">
        <v>191</v>
      </c>
      <c r="D1126" t="s">
        <v>195</v>
      </c>
      <c r="E1126" t="s">
        <v>75</v>
      </c>
      <c r="F1126" s="57" t="s">
        <v>113</v>
      </c>
      <c r="G1126" s="124">
        <v>700</v>
      </c>
      <c r="H1126" t="s">
        <v>341</v>
      </c>
      <c r="I1126" s="34">
        <v>9</v>
      </c>
    </row>
    <row r="1127" spans="1:9" x14ac:dyDescent="0.3">
      <c r="A1127">
        <v>12</v>
      </c>
      <c r="B1127" t="s">
        <v>239</v>
      </c>
      <c r="C1127" t="s">
        <v>191</v>
      </c>
      <c r="D1127" t="s">
        <v>195</v>
      </c>
      <c r="E1127" t="s">
        <v>75</v>
      </c>
      <c r="F1127" s="57" t="s">
        <v>113</v>
      </c>
      <c r="G1127" s="124">
        <v>700</v>
      </c>
      <c r="H1127" t="s">
        <v>341</v>
      </c>
      <c r="I1127" s="34">
        <v>12</v>
      </c>
    </row>
    <row r="1128" spans="1:9" x14ac:dyDescent="0.3">
      <c r="A1128" s="53">
        <v>11</v>
      </c>
      <c r="B1128" t="s">
        <v>239</v>
      </c>
      <c r="C1128" s="53" t="s">
        <v>191</v>
      </c>
      <c r="D1128" s="53" t="s">
        <v>188</v>
      </c>
      <c r="E1128" s="53" t="s">
        <v>75</v>
      </c>
      <c r="F1128" s="57" t="s">
        <v>113</v>
      </c>
      <c r="G1128" s="124">
        <v>650</v>
      </c>
      <c r="H1128" t="s">
        <v>340</v>
      </c>
      <c r="I1128" s="34">
        <v>11</v>
      </c>
    </row>
    <row r="1129" spans="1:9" x14ac:dyDescent="0.3">
      <c r="A1129">
        <v>2</v>
      </c>
      <c r="B1129" t="s">
        <v>239</v>
      </c>
      <c r="C1129" t="s">
        <v>191</v>
      </c>
      <c r="D1129" t="s">
        <v>195</v>
      </c>
      <c r="E1129" s="1" t="s">
        <v>75</v>
      </c>
      <c r="F1129" s="54" t="s">
        <v>113</v>
      </c>
      <c r="G1129" s="124">
        <v>650</v>
      </c>
      <c r="H1129" t="s">
        <v>341</v>
      </c>
      <c r="I1129" s="34">
        <v>2</v>
      </c>
    </row>
    <row r="1130" spans="1:9" x14ac:dyDescent="0.3">
      <c r="A1130">
        <v>3</v>
      </c>
      <c r="B1130" t="s">
        <v>239</v>
      </c>
      <c r="C1130" t="s">
        <v>191</v>
      </c>
      <c r="D1130" t="s">
        <v>188</v>
      </c>
      <c r="E1130" s="1" t="s">
        <v>75</v>
      </c>
      <c r="F1130" s="54" t="s">
        <v>113</v>
      </c>
      <c r="G1130" s="124">
        <v>600</v>
      </c>
      <c r="H1130" t="s">
        <v>340</v>
      </c>
      <c r="I1130" s="34">
        <v>3</v>
      </c>
    </row>
    <row r="1131" spans="1:9" x14ac:dyDescent="0.3">
      <c r="A1131">
        <v>5</v>
      </c>
      <c r="B1131" t="s">
        <v>239</v>
      </c>
      <c r="C1131" t="s">
        <v>191</v>
      </c>
      <c r="D1131" t="s">
        <v>188</v>
      </c>
      <c r="E1131" s="1" t="s">
        <v>75</v>
      </c>
      <c r="F1131" s="32" t="s">
        <v>113</v>
      </c>
      <c r="G1131" s="124">
        <v>600</v>
      </c>
      <c r="H1131" t="s">
        <v>340</v>
      </c>
      <c r="I1131" s="34">
        <v>5</v>
      </c>
    </row>
    <row r="1132" spans="1:9" x14ac:dyDescent="0.3">
      <c r="A1132">
        <v>8</v>
      </c>
      <c r="B1132" t="s">
        <v>239</v>
      </c>
      <c r="C1132" t="s">
        <v>191</v>
      </c>
      <c r="D1132" t="s">
        <v>195</v>
      </c>
      <c r="E1132" t="s">
        <v>75</v>
      </c>
      <c r="F1132" s="57" t="s">
        <v>113</v>
      </c>
      <c r="G1132" s="124">
        <v>600</v>
      </c>
      <c r="H1132" t="s">
        <v>341</v>
      </c>
      <c r="I1132" s="34">
        <v>8</v>
      </c>
    </row>
    <row r="1133" spans="1:9" x14ac:dyDescent="0.3">
      <c r="A1133" s="53">
        <v>11</v>
      </c>
      <c r="B1133" t="s">
        <v>239</v>
      </c>
      <c r="C1133" s="53" t="s">
        <v>191</v>
      </c>
      <c r="D1133" s="53" t="s">
        <v>195</v>
      </c>
      <c r="E1133" s="53" t="s">
        <v>75</v>
      </c>
      <c r="F1133" s="57" t="s">
        <v>113</v>
      </c>
      <c r="G1133" s="124">
        <v>550</v>
      </c>
      <c r="H1133" t="s">
        <v>341</v>
      </c>
      <c r="I1133" s="34">
        <v>11</v>
      </c>
    </row>
    <row r="1134" spans="1:9" x14ac:dyDescent="0.3">
      <c r="A1134">
        <v>10</v>
      </c>
      <c r="B1134" t="s">
        <v>239</v>
      </c>
      <c r="C1134" t="s">
        <v>191</v>
      </c>
      <c r="D1134" t="s">
        <v>195</v>
      </c>
      <c r="E1134" t="s">
        <v>75</v>
      </c>
      <c r="F1134" s="57" t="s">
        <v>113</v>
      </c>
      <c r="G1134" s="124">
        <v>500</v>
      </c>
      <c r="H1134" t="s">
        <v>341</v>
      </c>
      <c r="I1134" s="34">
        <v>10</v>
      </c>
    </row>
    <row r="1135" spans="1:9" x14ac:dyDescent="0.3">
      <c r="A1135">
        <v>3</v>
      </c>
      <c r="B1135" t="s">
        <v>239</v>
      </c>
      <c r="C1135" t="s">
        <v>191</v>
      </c>
      <c r="D1135" t="s">
        <v>195</v>
      </c>
      <c r="E1135" s="1" t="s">
        <v>75</v>
      </c>
      <c r="F1135" s="54" t="s">
        <v>113</v>
      </c>
      <c r="G1135" s="124">
        <v>400</v>
      </c>
      <c r="H1135" t="s">
        <v>341</v>
      </c>
      <c r="I1135" s="34">
        <v>3</v>
      </c>
    </row>
    <row r="1136" spans="1:9" x14ac:dyDescent="0.3">
      <c r="A1136">
        <v>6</v>
      </c>
      <c r="B1136" t="s">
        <v>239</v>
      </c>
      <c r="C1136" t="s">
        <v>191</v>
      </c>
      <c r="D1136" t="s">
        <v>195</v>
      </c>
      <c r="E1136" t="s">
        <v>75</v>
      </c>
      <c r="F1136" s="57" t="s">
        <v>113</v>
      </c>
      <c r="G1136" s="124">
        <v>350</v>
      </c>
      <c r="H1136" t="s">
        <v>341</v>
      </c>
      <c r="I1136" s="34">
        <v>6</v>
      </c>
    </row>
    <row r="1137" spans="1:9" x14ac:dyDescent="0.3">
      <c r="A1137">
        <v>4</v>
      </c>
      <c r="B1137" t="s">
        <v>239</v>
      </c>
      <c r="C1137" t="s">
        <v>191</v>
      </c>
      <c r="D1137" t="s">
        <v>195</v>
      </c>
      <c r="E1137" s="1" t="s">
        <v>75</v>
      </c>
      <c r="F1137" s="31" t="s">
        <v>113</v>
      </c>
      <c r="G1137" s="124">
        <v>300</v>
      </c>
      <c r="H1137" t="s">
        <v>341</v>
      </c>
      <c r="I1137" s="34">
        <v>4</v>
      </c>
    </row>
    <row r="1138" spans="1:9" x14ac:dyDescent="0.3">
      <c r="A1138">
        <v>5</v>
      </c>
      <c r="B1138" t="s">
        <v>239</v>
      </c>
      <c r="C1138" t="s">
        <v>191</v>
      </c>
      <c r="D1138" t="s">
        <v>195</v>
      </c>
      <c r="E1138" s="1" t="s">
        <v>75</v>
      </c>
      <c r="F1138" s="32" t="s">
        <v>113</v>
      </c>
      <c r="G1138" s="124">
        <v>300</v>
      </c>
      <c r="H1138" t="s">
        <v>341</v>
      </c>
      <c r="I1138" s="34">
        <v>5</v>
      </c>
    </row>
    <row r="1139" spans="1:9" x14ac:dyDescent="0.3">
      <c r="A1139">
        <v>10</v>
      </c>
      <c r="B1139" t="s">
        <v>239</v>
      </c>
      <c r="C1139" t="s">
        <v>193</v>
      </c>
      <c r="D1139" t="s">
        <v>188</v>
      </c>
      <c r="E1139" t="s">
        <v>75</v>
      </c>
      <c r="F1139" s="57" t="s">
        <v>113</v>
      </c>
      <c r="G1139" s="124">
        <v>282.8</v>
      </c>
      <c r="H1139" t="s">
        <v>342</v>
      </c>
      <c r="I1139" s="34">
        <v>10</v>
      </c>
    </row>
    <row r="1140" spans="1:9" x14ac:dyDescent="0.3">
      <c r="A1140">
        <v>8</v>
      </c>
      <c r="B1140" t="s">
        <v>239</v>
      </c>
      <c r="C1140" t="s">
        <v>193</v>
      </c>
      <c r="D1140" t="s">
        <v>188</v>
      </c>
      <c r="E1140" t="s">
        <v>75</v>
      </c>
      <c r="F1140" s="57" t="s">
        <v>113</v>
      </c>
      <c r="G1140" s="124">
        <v>280.5</v>
      </c>
      <c r="H1140" t="s">
        <v>342</v>
      </c>
      <c r="I1140" s="34">
        <v>8</v>
      </c>
    </row>
    <row r="1141" spans="1:9" x14ac:dyDescent="0.3">
      <c r="A1141">
        <v>8</v>
      </c>
      <c r="B1141" t="s">
        <v>239</v>
      </c>
      <c r="C1141" t="s">
        <v>192</v>
      </c>
      <c r="D1141" t="s">
        <v>188</v>
      </c>
      <c r="E1141" t="s">
        <v>75</v>
      </c>
      <c r="F1141" s="57" t="s">
        <v>113</v>
      </c>
      <c r="G1141" s="124">
        <v>255</v>
      </c>
      <c r="H1141" t="s">
        <v>343</v>
      </c>
      <c r="I1141" s="34">
        <v>8</v>
      </c>
    </row>
    <row r="1142" spans="1:9" x14ac:dyDescent="0.3">
      <c r="A1142">
        <v>1</v>
      </c>
      <c r="B1142" t="s">
        <v>239</v>
      </c>
      <c r="C1142" t="s">
        <v>193</v>
      </c>
      <c r="D1142" t="s">
        <v>188</v>
      </c>
      <c r="E1142" s="1" t="s">
        <v>75</v>
      </c>
      <c r="F1142" s="32" t="s">
        <v>113</v>
      </c>
      <c r="G1142" s="124">
        <v>253.65600000000001</v>
      </c>
      <c r="H1142" t="s">
        <v>342</v>
      </c>
      <c r="I1142" s="34">
        <v>1</v>
      </c>
    </row>
    <row r="1143" spans="1:9" x14ac:dyDescent="0.3">
      <c r="A1143">
        <v>5</v>
      </c>
      <c r="B1143" t="s">
        <v>239</v>
      </c>
      <c r="C1143" t="s">
        <v>192</v>
      </c>
      <c r="D1143" t="s">
        <v>188</v>
      </c>
      <c r="E1143" t="s">
        <v>75</v>
      </c>
      <c r="F1143" s="57" t="s">
        <v>113</v>
      </c>
      <c r="G1143" s="124">
        <v>252</v>
      </c>
      <c r="H1143" t="s">
        <v>343</v>
      </c>
      <c r="I1143" s="34">
        <v>5</v>
      </c>
    </row>
    <row r="1144" spans="1:9" x14ac:dyDescent="0.3">
      <c r="A1144">
        <v>8</v>
      </c>
      <c r="B1144" t="s">
        <v>239</v>
      </c>
      <c r="C1144" t="s">
        <v>192</v>
      </c>
      <c r="D1144" t="s">
        <v>195</v>
      </c>
      <c r="E1144" t="s">
        <v>75</v>
      </c>
      <c r="F1144" s="57" t="s">
        <v>113</v>
      </c>
      <c r="G1144" s="124">
        <v>248</v>
      </c>
      <c r="H1144" t="s">
        <v>344</v>
      </c>
      <c r="I1144" s="34">
        <v>8</v>
      </c>
    </row>
    <row r="1145" spans="1:9" x14ac:dyDescent="0.3">
      <c r="A1145">
        <v>7</v>
      </c>
      <c r="B1145" t="s">
        <v>239</v>
      </c>
      <c r="C1145" t="s">
        <v>192</v>
      </c>
      <c r="D1145" t="s">
        <v>188</v>
      </c>
      <c r="E1145" t="s">
        <v>75</v>
      </c>
      <c r="F1145" s="57" t="s">
        <v>113</v>
      </c>
      <c r="G1145" s="124">
        <v>243</v>
      </c>
      <c r="H1145" t="s">
        <v>343</v>
      </c>
      <c r="I1145" s="34">
        <v>7</v>
      </c>
    </row>
    <row r="1146" spans="1:9" x14ac:dyDescent="0.3">
      <c r="A1146">
        <v>2</v>
      </c>
      <c r="B1146" t="s">
        <v>239</v>
      </c>
      <c r="C1146" t="s">
        <v>193</v>
      </c>
      <c r="D1146" t="s">
        <v>188</v>
      </c>
      <c r="E1146" s="1" t="s">
        <v>75</v>
      </c>
      <c r="F1146" s="54" t="s">
        <v>113</v>
      </c>
      <c r="G1146" s="124">
        <v>237.6</v>
      </c>
      <c r="H1146" t="s">
        <v>342</v>
      </c>
      <c r="I1146" s="34">
        <v>2</v>
      </c>
    </row>
    <row r="1147" spans="1:9" x14ac:dyDescent="0.3">
      <c r="A1147">
        <v>3</v>
      </c>
      <c r="B1147" t="s">
        <v>239</v>
      </c>
      <c r="C1147" t="s">
        <v>192</v>
      </c>
      <c r="D1147" t="s">
        <v>188</v>
      </c>
      <c r="E1147" s="1" t="s">
        <v>75</v>
      </c>
      <c r="F1147" s="54" t="s">
        <v>113</v>
      </c>
      <c r="G1147" s="124">
        <v>235</v>
      </c>
      <c r="H1147" t="s">
        <v>343</v>
      </c>
      <c r="I1147" s="34">
        <v>3</v>
      </c>
    </row>
    <row r="1148" spans="1:9" x14ac:dyDescent="0.3">
      <c r="A1148">
        <v>5</v>
      </c>
      <c r="B1148" t="s">
        <v>239</v>
      </c>
      <c r="C1148" t="s">
        <v>192</v>
      </c>
      <c r="D1148" t="s">
        <v>195</v>
      </c>
      <c r="E1148" t="s">
        <v>75</v>
      </c>
      <c r="F1148" s="57" t="s">
        <v>113</v>
      </c>
      <c r="G1148" s="124">
        <v>232</v>
      </c>
      <c r="H1148" t="s">
        <v>344</v>
      </c>
      <c r="I1148" s="34">
        <v>5</v>
      </c>
    </row>
    <row r="1149" spans="1:9" x14ac:dyDescent="0.3">
      <c r="A1149">
        <v>7</v>
      </c>
      <c r="B1149" t="s">
        <v>239</v>
      </c>
      <c r="C1149" t="s">
        <v>192</v>
      </c>
      <c r="D1149" t="s">
        <v>195</v>
      </c>
      <c r="E1149" t="s">
        <v>75</v>
      </c>
      <c r="F1149" s="57" t="s">
        <v>113</v>
      </c>
      <c r="G1149" s="124">
        <v>223</v>
      </c>
      <c r="H1149" t="s">
        <v>344</v>
      </c>
      <c r="I1149" s="34">
        <v>7</v>
      </c>
    </row>
    <row r="1150" spans="1:9" x14ac:dyDescent="0.3">
      <c r="A1150">
        <v>6</v>
      </c>
      <c r="B1150" t="s">
        <v>239</v>
      </c>
      <c r="C1150" t="s">
        <v>192</v>
      </c>
      <c r="D1150" t="s">
        <v>188</v>
      </c>
      <c r="E1150" t="s">
        <v>75</v>
      </c>
      <c r="F1150" s="57" t="s">
        <v>113</v>
      </c>
      <c r="G1150" s="124">
        <v>220</v>
      </c>
      <c r="H1150" t="s">
        <v>343</v>
      </c>
      <c r="I1150" s="34">
        <v>6</v>
      </c>
    </row>
    <row r="1151" spans="1:9" x14ac:dyDescent="0.3">
      <c r="A1151">
        <v>12</v>
      </c>
      <c r="B1151" t="s">
        <v>239</v>
      </c>
      <c r="C1151" t="s">
        <v>192</v>
      </c>
      <c r="D1151" t="s">
        <v>188</v>
      </c>
      <c r="E1151" t="s">
        <v>75</v>
      </c>
      <c r="F1151" s="57" t="s">
        <v>113</v>
      </c>
      <c r="G1151" s="124">
        <v>220</v>
      </c>
      <c r="H1151" t="s">
        <v>343</v>
      </c>
      <c r="I1151" s="34">
        <v>12</v>
      </c>
    </row>
    <row r="1152" spans="1:9" x14ac:dyDescent="0.3">
      <c r="A1152">
        <v>7</v>
      </c>
      <c r="B1152" t="s">
        <v>239</v>
      </c>
      <c r="C1152" t="s">
        <v>193</v>
      </c>
      <c r="D1152" t="s">
        <v>188</v>
      </c>
      <c r="E1152" t="s">
        <v>75</v>
      </c>
      <c r="F1152" s="57" t="s">
        <v>113</v>
      </c>
      <c r="G1152" s="124">
        <v>218.7</v>
      </c>
      <c r="H1152" t="s">
        <v>342</v>
      </c>
      <c r="I1152" s="34">
        <v>7</v>
      </c>
    </row>
    <row r="1153" spans="1:9" x14ac:dyDescent="0.3">
      <c r="A1153">
        <v>12</v>
      </c>
      <c r="B1153" t="s">
        <v>239</v>
      </c>
      <c r="C1153" t="s">
        <v>193</v>
      </c>
      <c r="D1153" t="s">
        <v>188</v>
      </c>
      <c r="E1153" t="s">
        <v>75</v>
      </c>
      <c r="F1153" s="57" t="s">
        <v>113</v>
      </c>
      <c r="G1153" s="124">
        <v>213.4</v>
      </c>
      <c r="H1153" s="53" t="s">
        <v>342</v>
      </c>
      <c r="I1153" s="77">
        <v>12</v>
      </c>
    </row>
    <row r="1154" spans="1:9" x14ac:dyDescent="0.3">
      <c r="A1154">
        <v>3</v>
      </c>
      <c r="B1154" t="s">
        <v>239</v>
      </c>
      <c r="C1154" t="s">
        <v>192</v>
      </c>
      <c r="D1154" t="s">
        <v>195</v>
      </c>
      <c r="E1154" s="1" t="s">
        <v>75</v>
      </c>
      <c r="F1154" s="54" t="s">
        <v>113</v>
      </c>
      <c r="G1154" s="124">
        <v>210</v>
      </c>
      <c r="H1154" t="s">
        <v>344</v>
      </c>
      <c r="I1154" s="34">
        <v>3</v>
      </c>
    </row>
    <row r="1155" spans="1:9" x14ac:dyDescent="0.3">
      <c r="A1155">
        <v>6</v>
      </c>
      <c r="B1155" t="s">
        <v>239</v>
      </c>
      <c r="C1155" t="s">
        <v>192</v>
      </c>
      <c r="D1155" t="s">
        <v>195</v>
      </c>
      <c r="E1155" t="s">
        <v>75</v>
      </c>
      <c r="F1155" s="57" t="s">
        <v>113</v>
      </c>
      <c r="G1155" s="124">
        <v>206</v>
      </c>
      <c r="H1155" t="s">
        <v>344</v>
      </c>
      <c r="I1155" s="34">
        <v>6</v>
      </c>
    </row>
    <row r="1156" spans="1:9" x14ac:dyDescent="0.3">
      <c r="A1156">
        <v>12</v>
      </c>
      <c r="B1156" t="s">
        <v>239</v>
      </c>
      <c r="C1156" t="s">
        <v>192</v>
      </c>
      <c r="D1156" t="s">
        <v>195</v>
      </c>
      <c r="E1156" t="s">
        <v>75</v>
      </c>
      <c r="F1156" s="57" t="s">
        <v>113</v>
      </c>
      <c r="G1156" s="124">
        <v>205</v>
      </c>
      <c r="H1156" t="s">
        <v>344</v>
      </c>
      <c r="I1156" s="34">
        <v>12</v>
      </c>
    </row>
    <row r="1157" spans="1:9" x14ac:dyDescent="0.3">
      <c r="A1157">
        <v>9</v>
      </c>
      <c r="B1157" t="s">
        <v>239</v>
      </c>
      <c r="C1157" t="s">
        <v>192</v>
      </c>
      <c r="D1157" t="s">
        <v>188</v>
      </c>
      <c r="E1157" t="s">
        <v>75</v>
      </c>
      <c r="F1157" s="57" t="s">
        <v>113</v>
      </c>
      <c r="G1157" s="124">
        <v>203</v>
      </c>
      <c r="H1157" t="s">
        <v>343</v>
      </c>
      <c r="I1157" s="34">
        <v>9</v>
      </c>
    </row>
    <row r="1158" spans="1:9" x14ac:dyDescent="0.3">
      <c r="A1158">
        <v>10</v>
      </c>
      <c r="B1158" t="s">
        <v>239</v>
      </c>
      <c r="C1158" t="s">
        <v>192</v>
      </c>
      <c r="D1158" t="s">
        <v>188</v>
      </c>
      <c r="E1158" t="s">
        <v>75</v>
      </c>
      <c r="F1158" s="57" t="s">
        <v>113</v>
      </c>
      <c r="G1158" s="124">
        <v>202</v>
      </c>
      <c r="H1158" t="s">
        <v>343</v>
      </c>
      <c r="I1158" s="34">
        <v>10</v>
      </c>
    </row>
    <row r="1159" spans="1:9" x14ac:dyDescent="0.3">
      <c r="A1159">
        <v>2</v>
      </c>
      <c r="B1159" t="s">
        <v>239</v>
      </c>
      <c r="C1159" t="s">
        <v>192</v>
      </c>
      <c r="D1159" t="s">
        <v>188</v>
      </c>
      <c r="E1159" s="1" t="s">
        <v>75</v>
      </c>
      <c r="F1159" s="31" t="s">
        <v>113</v>
      </c>
      <c r="G1159" s="124">
        <v>198</v>
      </c>
      <c r="H1159" t="s">
        <v>343</v>
      </c>
      <c r="I1159" s="34">
        <v>2</v>
      </c>
    </row>
    <row r="1160" spans="1:9" x14ac:dyDescent="0.3">
      <c r="A1160">
        <v>1</v>
      </c>
      <c r="B1160" t="s">
        <v>239</v>
      </c>
      <c r="C1160" t="s">
        <v>192</v>
      </c>
      <c r="D1160" t="s">
        <v>188</v>
      </c>
      <c r="E1160" s="1" t="s">
        <v>75</v>
      </c>
      <c r="F1160" s="31" t="s">
        <v>113</v>
      </c>
      <c r="G1160" s="124">
        <v>195.12</v>
      </c>
      <c r="H1160" t="s">
        <v>343</v>
      </c>
      <c r="I1160" s="34">
        <v>1</v>
      </c>
    </row>
    <row r="1161" spans="1:9" x14ac:dyDescent="0.3">
      <c r="A1161">
        <v>4</v>
      </c>
      <c r="B1161" t="s">
        <v>239</v>
      </c>
      <c r="C1161" t="s">
        <v>192</v>
      </c>
      <c r="D1161" t="s">
        <v>188</v>
      </c>
      <c r="E1161" s="1" t="s">
        <v>75</v>
      </c>
      <c r="F1161" s="31" t="s">
        <v>113</v>
      </c>
      <c r="G1161" s="124">
        <v>195</v>
      </c>
      <c r="H1161" t="s">
        <v>343</v>
      </c>
      <c r="I1161" s="34">
        <v>4</v>
      </c>
    </row>
    <row r="1162" spans="1:9" x14ac:dyDescent="0.3">
      <c r="A1162">
        <v>10</v>
      </c>
      <c r="B1162" t="s">
        <v>239</v>
      </c>
      <c r="C1162" t="s">
        <v>192</v>
      </c>
      <c r="D1162" t="s">
        <v>195</v>
      </c>
      <c r="E1162" t="s">
        <v>75</v>
      </c>
      <c r="F1162" s="57" t="s">
        <v>113</v>
      </c>
      <c r="G1162" s="124">
        <v>195</v>
      </c>
      <c r="H1162" t="s">
        <v>344</v>
      </c>
      <c r="I1162" s="34">
        <v>10</v>
      </c>
    </row>
    <row r="1163" spans="1:9" x14ac:dyDescent="0.3">
      <c r="A1163">
        <v>9</v>
      </c>
      <c r="B1163" t="s">
        <v>239</v>
      </c>
      <c r="C1163" t="s">
        <v>193</v>
      </c>
      <c r="D1163" t="s">
        <v>188</v>
      </c>
      <c r="E1163" t="s">
        <v>75</v>
      </c>
      <c r="F1163" s="57" t="s">
        <v>113</v>
      </c>
      <c r="G1163" s="124">
        <v>192.85</v>
      </c>
      <c r="H1163" s="53" t="s">
        <v>342</v>
      </c>
      <c r="I1163" s="77">
        <v>9</v>
      </c>
    </row>
    <row r="1164" spans="1:9" x14ac:dyDescent="0.3">
      <c r="A1164">
        <v>2</v>
      </c>
      <c r="B1164" t="s">
        <v>239</v>
      </c>
      <c r="C1164" t="s">
        <v>192</v>
      </c>
      <c r="D1164" t="s">
        <v>195</v>
      </c>
      <c r="E1164" s="1" t="s">
        <v>75</v>
      </c>
      <c r="F1164" s="31" t="s">
        <v>113</v>
      </c>
      <c r="G1164" s="124">
        <v>188</v>
      </c>
      <c r="H1164" t="s">
        <v>344</v>
      </c>
      <c r="I1164" s="34">
        <v>2</v>
      </c>
    </row>
    <row r="1165" spans="1:9" x14ac:dyDescent="0.3">
      <c r="A1165" s="53">
        <v>11</v>
      </c>
      <c r="B1165" t="s">
        <v>239</v>
      </c>
      <c r="C1165" s="53" t="s">
        <v>192</v>
      </c>
      <c r="D1165" s="53" t="s">
        <v>188</v>
      </c>
      <c r="E1165" s="53" t="s">
        <v>75</v>
      </c>
      <c r="F1165" s="57" t="s">
        <v>113</v>
      </c>
      <c r="G1165" s="124">
        <v>187</v>
      </c>
      <c r="H1165" t="s">
        <v>343</v>
      </c>
      <c r="I1165" s="34">
        <v>11</v>
      </c>
    </row>
    <row r="1166" spans="1:9" x14ac:dyDescent="0.3">
      <c r="A1166">
        <v>1</v>
      </c>
      <c r="B1166" t="s">
        <v>239</v>
      </c>
      <c r="C1166" t="s">
        <v>192</v>
      </c>
      <c r="D1166" t="s">
        <v>195</v>
      </c>
      <c r="E1166" s="1" t="s">
        <v>75</v>
      </c>
      <c r="F1166" s="31" t="s">
        <v>113</v>
      </c>
      <c r="G1166" s="124">
        <v>185</v>
      </c>
      <c r="H1166" s="53" t="s">
        <v>344</v>
      </c>
      <c r="I1166" s="77">
        <v>1</v>
      </c>
    </row>
    <row r="1167" spans="1:9" x14ac:dyDescent="0.3">
      <c r="A1167">
        <v>1</v>
      </c>
      <c r="B1167" t="s">
        <v>239</v>
      </c>
      <c r="C1167" t="s">
        <v>193</v>
      </c>
      <c r="D1167" t="s">
        <v>195</v>
      </c>
      <c r="E1167" s="1" t="s">
        <v>75</v>
      </c>
      <c r="F1167" s="32" t="s">
        <v>113</v>
      </c>
      <c r="G1167" s="124">
        <v>185</v>
      </c>
      <c r="H1167" s="53" t="s">
        <v>345</v>
      </c>
      <c r="I1167" s="77">
        <v>1</v>
      </c>
    </row>
    <row r="1168" spans="1:9" x14ac:dyDescent="0.3">
      <c r="A1168">
        <v>4</v>
      </c>
      <c r="B1168" t="s">
        <v>239</v>
      </c>
      <c r="C1168" t="s">
        <v>192</v>
      </c>
      <c r="D1168" t="s">
        <v>195</v>
      </c>
      <c r="E1168" s="1" t="s">
        <v>75</v>
      </c>
      <c r="F1168" s="31" t="s">
        <v>113</v>
      </c>
      <c r="G1168" s="124">
        <v>183</v>
      </c>
      <c r="H1168" t="s">
        <v>344</v>
      </c>
      <c r="I1168" s="34">
        <v>4</v>
      </c>
    </row>
    <row r="1169" spans="1:9" x14ac:dyDescent="0.3">
      <c r="A1169">
        <v>9</v>
      </c>
      <c r="B1169" t="s">
        <v>239</v>
      </c>
      <c r="C1169" t="s">
        <v>192</v>
      </c>
      <c r="D1169" t="s">
        <v>195</v>
      </c>
      <c r="E1169" t="s">
        <v>75</v>
      </c>
      <c r="F1169" s="57" t="s">
        <v>113</v>
      </c>
      <c r="G1169" s="124">
        <v>182</v>
      </c>
      <c r="H1169" t="s">
        <v>344</v>
      </c>
      <c r="I1169" s="34">
        <v>9</v>
      </c>
    </row>
    <row r="1170" spans="1:9" x14ac:dyDescent="0.3">
      <c r="A1170" s="53">
        <v>11</v>
      </c>
      <c r="B1170" t="s">
        <v>239</v>
      </c>
      <c r="C1170" s="53" t="s">
        <v>192</v>
      </c>
      <c r="D1170" s="53" t="s">
        <v>195</v>
      </c>
      <c r="E1170" s="53" t="s">
        <v>75</v>
      </c>
      <c r="F1170" s="57" t="s">
        <v>113</v>
      </c>
      <c r="G1170" s="124">
        <v>172</v>
      </c>
      <c r="H1170" t="s">
        <v>344</v>
      </c>
      <c r="I1170" s="34">
        <v>11</v>
      </c>
    </row>
    <row r="1171" spans="1:9" x14ac:dyDescent="0.3">
      <c r="A1171">
        <v>6</v>
      </c>
      <c r="B1171" t="s">
        <v>239</v>
      </c>
      <c r="C1171" t="s">
        <v>193</v>
      </c>
      <c r="D1171" t="s">
        <v>188</v>
      </c>
      <c r="E1171" t="s">
        <v>75</v>
      </c>
      <c r="F1171" s="57" t="s">
        <v>113</v>
      </c>
      <c r="G1171" s="124">
        <v>165</v>
      </c>
      <c r="H1171" t="s">
        <v>342</v>
      </c>
      <c r="I1171" s="34">
        <v>6</v>
      </c>
    </row>
    <row r="1172" spans="1:9" x14ac:dyDescent="0.3">
      <c r="A1172">
        <v>7</v>
      </c>
      <c r="B1172" t="s">
        <v>239</v>
      </c>
      <c r="C1172" t="s">
        <v>193</v>
      </c>
      <c r="D1172" t="s">
        <v>195</v>
      </c>
      <c r="E1172" t="s">
        <v>75</v>
      </c>
      <c r="F1172" s="57" t="s">
        <v>113</v>
      </c>
      <c r="G1172" s="124">
        <v>156.1</v>
      </c>
      <c r="H1172" t="s">
        <v>345</v>
      </c>
      <c r="I1172" s="34">
        <v>7</v>
      </c>
    </row>
    <row r="1173" spans="1:9" x14ac:dyDescent="0.3">
      <c r="A1173">
        <v>5</v>
      </c>
      <c r="B1173" t="s">
        <v>239</v>
      </c>
      <c r="C1173" t="s">
        <v>193</v>
      </c>
      <c r="D1173" t="s">
        <v>188</v>
      </c>
      <c r="E1173" t="s">
        <v>75</v>
      </c>
      <c r="F1173" s="57" t="s">
        <v>113</v>
      </c>
      <c r="G1173" s="124">
        <v>151.19999999999999</v>
      </c>
      <c r="H1173" t="s">
        <v>342</v>
      </c>
      <c r="I1173" s="34">
        <v>5</v>
      </c>
    </row>
    <row r="1174" spans="1:9" x14ac:dyDescent="0.3">
      <c r="A1174">
        <v>8</v>
      </c>
      <c r="B1174" t="s">
        <v>239</v>
      </c>
      <c r="C1174" t="s">
        <v>193</v>
      </c>
      <c r="D1174" t="s">
        <v>195</v>
      </c>
      <c r="E1174" t="s">
        <v>75</v>
      </c>
      <c r="F1174" s="57" t="s">
        <v>113</v>
      </c>
      <c r="G1174" s="124">
        <v>148.80000000000001</v>
      </c>
      <c r="H1174" t="s">
        <v>345</v>
      </c>
      <c r="I1174" s="34">
        <v>8</v>
      </c>
    </row>
    <row r="1175" spans="1:9" x14ac:dyDescent="0.3">
      <c r="A1175">
        <v>12</v>
      </c>
      <c r="B1175" t="s">
        <v>239</v>
      </c>
      <c r="C1175" t="s">
        <v>193</v>
      </c>
      <c r="D1175" t="s">
        <v>195</v>
      </c>
      <c r="E1175" t="s">
        <v>75</v>
      </c>
      <c r="F1175" s="57" t="s">
        <v>113</v>
      </c>
      <c r="G1175" s="124">
        <v>143.5</v>
      </c>
      <c r="H1175" t="s">
        <v>345</v>
      </c>
      <c r="I1175" s="34">
        <v>12</v>
      </c>
    </row>
    <row r="1176" spans="1:9" x14ac:dyDescent="0.3">
      <c r="A1176">
        <v>3</v>
      </c>
      <c r="B1176" t="s">
        <v>239</v>
      </c>
      <c r="C1176" t="s">
        <v>193</v>
      </c>
      <c r="D1176" t="s">
        <v>188</v>
      </c>
      <c r="E1176" s="1" t="s">
        <v>75</v>
      </c>
      <c r="F1176" s="54" t="s">
        <v>113</v>
      </c>
      <c r="G1176" s="124">
        <v>141</v>
      </c>
      <c r="H1176" t="s">
        <v>342</v>
      </c>
      <c r="I1176" s="34">
        <v>3</v>
      </c>
    </row>
    <row r="1177" spans="1:9" x14ac:dyDescent="0.3">
      <c r="A1177">
        <v>4</v>
      </c>
      <c r="B1177" t="s">
        <v>239</v>
      </c>
      <c r="C1177" t="s">
        <v>193</v>
      </c>
      <c r="D1177" t="s">
        <v>188</v>
      </c>
      <c r="E1177" s="1" t="s">
        <v>75</v>
      </c>
      <c r="F1177" s="54" t="s">
        <v>113</v>
      </c>
      <c r="G1177" s="124">
        <v>136.5</v>
      </c>
      <c r="H1177" t="s">
        <v>342</v>
      </c>
      <c r="I1177" s="34">
        <v>4</v>
      </c>
    </row>
    <row r="1178" spans="1:9" x14ac:dyDescent="0.3">
      <c r="A1178">
        <v>9</v>
      </c>
      <c r="B1178" t="s">
        <v>239</v>
      </c>
      <c r="C1178" t="s">
        <v>193</v>
      </c>
      <c r="D1178" t="s">
        <v>195</v>
      </c>
      <c r="E1178" t="s">
        <v>75</v>
      </c>
      <c r="F1178" s="57" t="s">
        <v>113</v>
      </c>
      <c r="G1178" s="124">
        <v>127.4</v>
      </c>
      <c r="H1178" t="s">
        <v>345</v>
      </c>
      <c r="I1178" s="34">
        <v>9</v>
      </c>
    </row>
    <row r="1179" spans="1:9" x14ac:dyDescent="0.3">
      <c r="A1179">
        <v>2</v>
      </c>
      <c r="B1179" t="s">
        <v>239</v>
      </c>
      <c r="C1179" t="s">
        <v>193</v>
      </c>
      <c r="D1179" t="s">
        <v>195</v>
      </c>
      <c r="E1179" s="1" t="s">
        <v>75</v>
      </c>
      <c r="F1179" s="54" t="s">
        <v>113</v>
      </c>
      <c r="G1179" s="124">
        <v>122.2</v>
      </c>
      <c r="H1179" s="53" t="s">
        <v>345</v>
      </c>
      <c r="I1179" s="77">
        <v>2</v>
      </c>
    </row>
    <row r="1180" spans="1:9" x14ac:dyDescent="0.3">
      <c r="A1180" s="53">
        <v>11</v>
      </c>
      <c r="B1180" t="s">
        <v>239</v>
      </c>
      <c r="C1180" s="53" t="s">
        <v>193</v>
      </c>
      <c r="D1180" s="53" t="s">
        <v>188</v>
      </c>
      <c r="E1180" s="53" t="s">
        <v>75</v>
      </c>
      <c r="F1180" s="57" t="s">
        <v>113</v>
      </c>
      <c r="G1180" s="124">
        <v>121.55</v>
      </c>
      <c r="H1180" t="s">
        <v>342</v>
      </c>
      <c r="I1180" s="34">
        <v>11</v>
      </c>
    </row>
    <row r="1181" spans="1:9" x14ac:dyDescent="0.3">
      <c r="A1181">
        <v>10</v>
      </c>
      <c r="B1181" t="s">
        <v>239</v>
      </c>
      <c r="C1181" t="s">
        <v>193</v>
      </c>
      <c r="D1181" t="s">
        <v>195</v>
      </c>
      <c r="E1181" t="s">
        <v>75</v>
      </c>
      <c r="F1181" s="57" t="s">
        <v>113</v>
      </c>
      <c r="G1181" s="124">
        <v>97.5</v>
      </c>
      <c r="H1181" t="s">
        <v>345</v>
      </c>
      <c r="I1181" s="34">
        <v>10</v>
      </c>
    </row>
    <row r="1182" spans="1:9" x14ac:dyDescent="0.3">
      <c r="A1182" s="53">
        <v>11</v>
      </c>
      <c r="B1182" t="s">
        <v>239</v>
      </c>
      <c r="C1182" s="53" t="s">
        <v>193</v>
      </c>
      <c r="D1182" s="53" t="s">
        <v>195</v>
      </c>
      <c r="E1182" s="53" t="s">
        <v>75</v>
      </c>
      <c r="F1182" s="57" t="s">
        <v>113</v>
      </c>
      <c r="G1182" s="124">
        <v>94.6</v>
      </c>
      <c r="H1182" t="s">
        <v>345</v>
      </c>
      <c r="I1182" s="34">
        <v>11</v>
      </c>
    </row>
    <row r="1183" spans="1:9" x14ac:dyDescent="0.3">
      <c r="A1183">
        <v>3</v>
      </c>
      <c r="B1183" t="s">
        <v>239</v>
      </c>
      <c r="C1183" t="s">
        <v>193</v>
      </c>
      <c r="D1183" t="s">
        <v>195</v>
      </c>
      <c r="E1183" s="1" t="s">
        <v>75</v>
      </c>
      <c r="F1183" s="54" t="s">
        <v>113</v>
      </c>
      <c r="G1183" s="124">
        <v>84</v>
      </c>
      <c r="H1183" t="s">
        <v>345</v>
      </c>
      <c r="I1183" s="34">
        <v>3</v>
      </c>
    </row>
    <row r="1184" spans="1:9" x14ac:dyDescent="0.3">
      <c r="A1184">
        <v>6</v>
      </c>
      <c r="B1184" t="s">
        <v>239</v>
      </c>
      <c r="C1184" t="s">
        <v>193</v>
      </c>
      <c r="D1184" t="s">
        <v>195</v>
      </c>
      <c r="E1184" t="s">
        <v>75</v>
      </c>
      <c r="F1184" s="57" t="s">
        <v>113</v>
      </c>
      <c r="G1184" s="124">
        <v>72.099999999999994</v>
      </c>
      <c r="H1184" t="s">
        <v>345</v>
      </c>
      <c r="I1184" s="34">
        <v>6</v>
      </c>
    </row>
    <row r="1185" spans="1:9" x14ac:dyDescent="0.3">
      <c r="A1185">
        <v>5</v>
      </c>
      <c r="B1185" t="s">
        <v>239</v>
      </c>
      <c r="C1185" t="s">
        <v>193</v>
      </c>
      <c r="D1185" t="s">
        <v>195</v>
      </c>
      <c r="E1185" t="s">
        <v>75</v>
      </c>
      <c r="F1185" s="57" t="s">
        <v>113</v>
      </c>
      <c r="G1185" s="124">
        <v>69.599999999999994</v>
      </c>
      <c r="H1185" t="s">
        <v>345</v>
      </c>
      <c r="I1185" s="34">
        <v>5</v>
      </c>
    </row>
    <row r="1186" spans="1:9" x14ac:dyDescent="0.3">
      <c r="A1186">
        <v>4</v>
      </c>
      <c r="B1186" t="s">
        <v>239</v>
      </c>
      <c r="C1186" t="s">
        <v>193</v>
      </c>
      <c r="D1186" t="s">
        <v>195</v>
      </c>
      <c r="E1186" s="1" t="s">
        <v>75</v>
      </c>
      <c r="F1186" s="54" t="s">
        <v>113</v>
      </c>
      <c r="G1186" s="124">
        <v>54.9</v>
      </c>
      <c r="H1186" t="s">
        <v>345</v>
      </c>
      <c r="I1186" s="34">
        <v>4</v>
      </c>
    </row>
    <row r="1187" spans="1:9" x14ac:dyDescent="0.3">
      <c r="A1187">
        <v>2</v>
      </c>
      <c r="B1187" t="s">
        <v>239</v>
      </c>
      <c r="C1187" t="s">
        <v>191</v>
      </c>
      <c r="D1187" t="s">
        <v>195</v>
      </c>
      <c r="E1187" s="1" t="s">
        <v>75</v>
      </c>
      <c r="F1187" s="54" t="s">
        <v>117</v>
      </c>
      <c r="G1187" s="124">
        <v>1550</v>
      </c>
      <c r="H1187" s="53" t="s">
        <v>346</v>
      </c>
      <c r="I1187" s="77">
        <v>2</v>
      </c>
    </row>
    <row r="1188" spans="1:9" x14ac:dyDescent="0.3">
      <c r="A1188">
        <v>1</v>
      </c>
      <c r="B1188" t="s">
        <v>239</v>
      </c>
      <c r="C1188" t="s">
        <v>191</v>
      </c>
      <c r="D1188" t="s">
        <v>188</v>
      </c>
      <c r="E1188" s="1" t="s">
        <v>75</v>
      </c>
      <c r="F1188" s="54" t="s">
        <v>117</v>
      </c>
      <c r="G1188" s="124">
        <v>1500</v>
      </c>
      <c r="H1188" t="s">
        <v>347</v>
      </c>
      <c r="I1188" s="34">
        <v>1</v>
      </c>
    </row>
    <row r="1189" spans="1:9" x14ac:dyDescent="0.3">
      <c r="A1189">
        <v>2</v>
      </c>
      <c r="B1189" t="s">
        <v>239</v>
      </c>
      <c r="C1189" t="s">
        <v>191</v>
      </c>
      <c r="D1189" t="s">
        <v>188</v>
      </c>
      <c r="E1189" s="1" t="s">
        <v>75</v>
      </c>
      <c r="F1189" s="54" t="s">
        <v>117</v>
      </c>
      <c r="G1189" s="124">
        <v>1400</v>
      </c>
      <c r="H1189" t="s">
        <v>347</v>
      </c>
      <c r="I1189" s="34">
        <v>2</v>
      </c>
    </row>
    <row r="1190" spans="1:9" x14ac:dyDescent="0.3">
      <c r="A1190">
        <v>10</v>
      </c>
      <c r="B1190" t="s">
        <v>239</v>
      </c>
      <c r="C1190" t="s">
        <v>191</v>
      </c>
      <c r="D1190" t="s">
        <v>188</v>
      </c>
      <c r="E1190" t="s">
        <v>75</v>
      </c>
      <c r="F1190" s="57" t="s">
        <v>117</v>
      </c>
      <c r="G1190" s="124">
        <v>1400</v>
      </c>
      <c r="H1190" t="s">
        <v>347</v>
      </c>
      <c r="I1190" s="34">
        <v>10</v>
      </c>
    </row>
    <row r="1191" spans="1:9" x14ac:dyDescent="0.3">
      <c r="A1191" s="53">
        <v>11</v>
      </c>
      <c r="B1191" t="s">
        <v>239</v>
      </c>
      <c r="C1191" s="53" t="s">
        <v>191</v>
      </c>
      <c r="D1191" s="53" t="s">
        <v>188</v>
      </c>
      <c r="E1191" s="53" t="s">
        <v>75</v>
      </c>
      <c r="F1191" s="57" t="s">
        <v>117</v>
      </c>
      <c r="G1191" s="124">
        <v>1300</v>
      </c>
      <c r="H1191" s="53" t="s">
        <v>347</v>
      </c>
      <c r="I1191" s="77">
        <v>11</v>
      </c>
    </row>
    <row r="1192" spans="1:9" x14ac:dyDescent="0.3">
      <c r="A1192">
        <v>1</v>
      </c>
      <c r="B1192" t="s">
        <v>239</v>
      </c>
      <c r="C1192" t="s">
        <v>191</v>
      </c>
      <c r="D1192" t="s">
        <v>195</v>
      </c>
      <c r="E1192" s="1" t="s">
        <v>75</v>
      </c>
      <c r="F1192" s="54" t="s">
        <v>117</v>
      </c>
      <c r="G1192" s="124">
        <v>1300</v>
      </c>
      <c r="H1192" t="s">
        <v>346</v>
      </c>
      <c r="I1192" s="34">
        <v>1</v>
      </c>
    </row>
    <row r="1193" spans="1:9" x14ac:dyDescent="0.3">
      <c r="A1193">
        <v>8</v>
      </c>
      <c r="B1193" t="s">
        <v>239</v>
      </c>
      <c r="C1193" t="s">
        <v>191</v>
      </c>
      <c r="D1193" t="s">
        <v>188</v>
      </c>
      <c r="E1193" t="s">
        <v>75</v>
      </c>
      <c r="F1193" s="57" t="s">
        <v>117</v>
      </c>
      <c r="G1193" s="124">
        <v>1250</v>
      </c>
      <c r="H1193" t="s">
        <v>347</v>
      </c>
      <c r="I1193" s="34">
        <v>8</v>
      </c>
    </row>
    <row r="1194" spans="1:9" x14ac:dyDescent="0.3">
      <c r="A1194">
        <v>9</v>
      </c>
      <c r="B1194" t="s">
        <v>239</v>
      </c>
      <c r="C1194" t="s">
        <v>191</v>
      </c>
      <c r="D1194" t="s">
        <v>188</v>
      </c>
      <c r="E1194" t="s">
        <v>75</v>
      </c>
      <c r="F1194" s="57" t="s">
        <v>117</v>
      </c>
      <c r="G1194" s="124">
        <v>1250</v>
      </c>
      <c r="H1194" s="53" t="s">
        <v>347</v>
      </c>
      <c r="I1194" s="77">
        <v>9</v>
      </c>
    </row>
    <row r="1195" spans="1:9" x14ac:dyDescent="0.3">
      <c r="A1195">
        <v>7</v>
      </c>
      <c r="B1195" t="s">
        <v>239</v>
      </c>
      <c r="C1195" t="s">
        <v>191</v>
      </c>
      <c r="D1195" t="s">
        <v>188</v>
      </c>
      <c r="E1195" t="s">
        <v>75</v>
      </c>
      <c r="F1195" s="57" t="s">
        <v>117</v>
      </c>
      <c r="G1195" s="124">
        <v>1150</v>
      </c>
      <c r="H1195" t="s">
        <v>347</v>
      </c>
      <c r="I1195" s="34">
        <v>7</v>
      </c>
    </row>
    <row r="1196" spans="1:9" x14ac:dyDescent="0.3">
      <c r="A1196">
        <v>12</v>
      </c>
      <c r="B1196" t="s">
        <v>239</v>
      </c>
      <c r="C1196" t="s">
        <v>191</v>
      </c>
      <c r="D1196" t="s">
        <v>188</v>
      </c>
      <c r="E1196" t="s">
        <v>75</v>
      </c>
      <c r="F1196" s="57" t="s">
        <v>117</v>
      </c>
      <c r="G1196" s="124">
        <v>1080</v>
      </c>
      <c r="H1196" t="s">
        <v>347</v>
      </c>
      <c r="I1196" s="34">
        <v>12</v>
      </c>
    </row>
    <row r="1197" spans="1:9" x14ac:dyDescent="0.3">
      <c r="A1197">
        <v>6</v>
      </c>
      <c r="B1197" t="s">
        <v>239</v>
      </c>
      <c r="C1197" t="s">
        <v>191</v>
      </c>
      <c r="D1197" t="s">
        <v>195</v>
      </c>
      <c r="E1197" t="s">
        <v>75</v>
      </c>
      <c r="F1197" s="57" t="s">
        <v>117</v>
      </c>
      <c r="G1197" s="124">
        <v>1050</v>
      </c>
      <c r="H1197" t="s">
        <v>346</v>
      </c>
      <c r="I1197" s="34">
        <v>6</v>
      </c>
    </row>
    <row r="1198" spans="1:9" x14ac:dyDescent="0.3">
      <c r="A1198">
        <v>7</v>
      </c>
      <c r="B1198" t="s">
        <v>239</v>
      </c>
      <c r="C1198" t="s">
        <v>191</v>
      </c>
      <c r="D1198" t="s">
        <v>195</v>
      </c>
      <c r="E1198" t="s">
        <v>75</v>
      </c>
      <c r="F1198" s="57" t="s">
        <v>117</v>
      </c>
      <c r="G1198" s="124">
        <v>1000</v>
      </c>
      <c r="H1198" t="s">
        <v>346</v>
      </c>
      <c r="I1198" s="34">
        <v>7</v>
      </c>
    </row>
    <row r="1199" spans="1:9" x14ac:dyDescent="0.3">
      <c r="A1199">
        <v>10</v>
      </c>
      <c r="B1199" t="s">
        <v>239</v>
      </c>
      <c r="C1199" t="s">
        <v>191</v>
      </c>
      <c r="D1199" t="s">
        <v>195</v>
      </c>
      <c r="E1199" t="s">
        <v>75</v>
      </c>
      <c r="F1199" s="57" t="s">
        <v>117</v>
      </c>
      <c r="G1199" s="124">
        <v>1000</v>
      </c>
      <c r="H1199" t="s">
        <v>346</v>
      </c>
      <c r="I1199" s="34">
        <v>10</v>
      </c>
    </row>
    <row r="1200" spans="1:9" x14ac:dyDescent="0.3">
      <c r="A1200">
        <v>6</v>
      </c>
      <c r="B1200" t="s">
        <v>239</v>
      </c>
      <c r="C1200" t="s">
        <v>191</v>
      </c>
      <c r="D1200" t="s">
        <v>188</v>
      </c>
      <c r="E1200" t="s">
        <v>75</v>
      </c>
      <c r="F1200" s="57" t="s">
        <v>117</v>
      </c>
      <c r="G1200" s="124">
        <v>950</v>
      </c>
      <c r="H1200" t="s">
        <v>347</v>
      </c>
      <c r="I1200" s="34">
        <v>6</v>
      </c>
    </row>
    <row r="1201" spans="1:9" x14ac:dyDescent="0.3">
      <c r="A1201">
        <v>5</v>
      </c>
      <c r="B1201" t="s">
        <v>239</v>
      </c>
      <c r="C1201" t="s">
        <v>191</v>
      </c>
      <c r="D1201" t="s">
        <v>195</v>
      </c>
      <c r="E1201" s="1" t="s">
        <v>75</v>
      </c>
      <c r="F1201" s="54" t="s">
        <v>117</v>
      </c>
      <c r="G1201" s="124">
        <v>950</v>
      </c>
      <c r="H1201" t="s">
        <v>346</v>
      </c>
      <c r="I1201" s="34">
        <v>5</v>
      </c>
    </row>
    <row r="1202" spans="1:9" x14ac:dyDescent="0.3">
      <c r="A1202" s="53">
        <v>11</v>
      </c>
      <c r="B1202" t="s">
        <v>239</v>
      </c>
      <c r="C1202" s="53" t="s">
        <v>191</v>
      </c>
      <c r="D1202" s="53" t="s">
        <v>195</v>
      </c>
      <c r="E1202" s="53" t="s">
        <v>75</v>
      </c>
      <c r="F1202" s="57" t="s">
        <v>117</v>
      </c>
      <c r="G1202" s="124">
        <v>900</v>
      </c>
      <c r="H1202" t="s">
        <v>346</v>
      </c>
      <c r="I1202" s="34">
        <v>11</v>
      </c>
    </row>
    <row r="1203" spans="1:9" x14ac:dyDescent="0.3">
      <c r="A1203">
        <v>5</v>
      </c>
      <c r="B1203" t="s">
        <v>239</v>
      </c>
      <c r="C1203" t="s">
        <v>191</v>
      </c>
      <c r="D1203" t="s">
        <v>188</v>
      </c>
      <c r="E1203" s="1" t="s">
        <v>75</v>
      </c>
      <c r="F1203" s="54" t="s">
        <v>117</v>
      </c>
      <c r="G1203" s="124">
        <v>850</v>
      </c>
      <c r="H1203" t="s">
        <v>347</v>
      </c>
      <c r="I1203" s="34">
        <v>5</v>
      </c>
    </row>
    <row r="1204" spans="1:9" x14ac:dyDescent="0.3">
      <c r="A1204">
        <v>4</v>
      </c>
      <c r="B1204" t="s">
        <v>239</v>
      </c>
      <c r="C1204" t="s">
        <v>191</v>
      </c>
      <c r="D1204" t="s">
        <v>195</v>
      </c>
      <c r="E1204" s="1" t="s">
        <v>75</v>
      </c>
      <c r="F1204" s="32" t="s">
        <v>117</v>
      </c>
      <c r="G1204" s="124">
        <v>850</v>
      </c>
      <c r="H1204" t="s">
        <v>346</v>
      </c>
      <c r="I1204" s="34">
        <v>4</v>
      </c>
    </row>
    <row r="1205" spans="1:9" x14ac:dyDescent="0.3">
      <c r="A1205">
        <v>3</v>
      </c>
      <c r="B1205" t="s">
        <v>239</v>
      </c>
      <c r="C1205" t="s">
        <v>191</v>
      </c>
      <c r="D1205" t="s">
        <v>195</v>
      </c>
      <c r="E1205" s="1" t="s">
        <v>75</v>
      </c>
      <c r="F1205" s="54" t="s">
        <v>117</v>
      </c>
      <c r="G1205" s="124">
        <v>800</v>
      </c>
      <c r="H1205" t="s">
        <v>346</v>
      </c>
      <c r="I1205" s="34">
        <v>3</v>
      </c>
    </row>
    <row r="1206" spans="1:9" x14ac:dyDescent="0.3">
      <c r="A1206">
        <v>9</v>
      </c>
      <c r="B1206" t="s">
        <v>239</v>
      </c>
      <c r="C1206" t="s">
        <v>191</v>
      </c>
      <c r="D1206" t="s">
        <v>195</v>
      </c>
      <c r="E1206" t="s">
        <v>75</v>
      </c>
      <c r="F1206" s="57" t="s">
        <v>117</v>
      </c>
      <c r="G1206" s="124">
        <v>780</v>
      </c>
      <c r="H1206" t="s">
        <v>346</v>
      </c>
      <c r="I1206" s="34">
        <v>9</v>
      </c>
    </row>
    <row r="1207" spans="1:9" x14ac:dyDescent="0.3">
      <c r="A1207">
        <v>4</v>
      </c>
      <c r="B1207" t="s">
        <v>239</v>
      </c>
      <c r="C1207" t="s">
        <v>191</v>
      </c>
      <c r="D1207" t="s">
        <v>188</v>
      </c>
      <c r="E1207" s="1" t="s">
        <v>75</v>
      </c>
      <c r="F1207" s="32" t="s">
        <v>117</v>
      </c>
      <c r="G1207" s="124">
        <v>750</v>
      </c>
      <c r="H1207" t="s">
        <v>347</v>
      </c>
      <c r="I1207" s="34">
        <v>4</v>
      </c>
    </row>
    <row r="1208" spans="1:9" x14ac:dyDescent="0.3">
      <c r="A1208">
        <v>3</v>
      </c>
      <c r="B1208" t="s">
        <v>239</v>
      </c>
      <c r="C1208" t="s">
        <v>191</v>
      </c>
      <c r="D1208" t="s">
        <v>188</v>
      </c>
      <c r="E1208" s="1" t="s">
        <v>75</v>
      </c>
      <c r="F1208" s="54" t="s">
        <v>117</v>
      </c>
      <c r="G1208" s="124">
        <v>700</v>
      </c>
      <c r="H1208" t="s">
        <v>347</v>
      </c>
      <c r="I1208" s="34">
        <v>3</v>
      </c>
    </row>
    <row r="1209" spans="1:9" x14ac:dyDescent="0.3">
      <c r="A1209">
        <v>12</v>
      </c>
      <c r="B1209" t="s">
        <v>239</v>
      </c>
      <c r="C1209" t="s">
        <v>191</v>
      </c>
      <c r="D1209" t="s">
        <v>195</v>
      </c>
      <c r="E1209" t="s">
        <v>75</v>
      </c>
      <c r="F1209" s="57" t="s">
        <v>117</v>
      </c>
      <c r="G1209" s="124">
        <v>650</v>
      </c>
      <c r="H1209" t="s">
        <v>346</v>
      </c>
      <c r="I1209" s="34">
        <v>12</v>
      </c>
    </row>
    <row r="1210" spans="1:9" x14ac:dyDescent="0.3">
      <c r="A1210">
        <v>8</v>
      </c>
      <c r="B1210" t="s">
        <v>239</v>
      </c>
      <c r="C1210" t="s">
        <v>191</v>
      </c>
      <c r="D1210" t="s">
        <v>195</v>
      </c>
      <c r="E1210" t="s">
        <v>75</v>
      </c>
      <c r="F1210" s="57" t="s">
        <v>117</v>
      </c>
      <c r="G1210" s="124">
        <v>600</v>
      </c>
      <c r="H1210" t="s">
        <v>346</v>
      </c>
      <c r="I1210" s="34">
        <v>8</v>
      </c>
    </row>
    <row r="1211" spans="1:9" x14ac:dyDescent="0.3">
      <c r="A1211">
        <v>8</v>
      </c>
      <c r="B1211" t="s">
        <v>239</v>
      </c>
      <c r="C1211" t="s">
        <v>193</v>
      </c>
      <c r="D1211" t="s">
        <v>188</v>
      </c>
      <c r="E1211" t="s">
        <v>75</v>
      </c>
      <c r="F1211" s="57" t="s">
        <v>117</v>
      </c>
      <c r="G1211" s="124">
        <v>590</v>
      </c>
      <c r="H1211" t="s">
        <v>348</v>
      </c>
      <c r="I1211" s="34">
        <v>8</v>
      </c>
    </row>
    <row r="1212" spans="1:9" x14ac:dyDescent="0.3">
      <c r="A1212">
        <v>1</v>
      </c>
      <c r="B1212" t="s">
        <v>239</v>
      </c>
      <c r="C1212" t="s">
        <v>193</v>
      </c>
      <c r="D1212" t="s">
        <v>188</v>
      </c>
      <c r="E1212" s="1" t="s">
        <v>75</v>
      </c>
      <c r="F1212" s="32" t="s">
        <v>117</v>
      </c>
      <c r="G1212" s="124">
        <v>574.5</v>
      </c>
      <c r="H1212" t="s">
        <v>348</v>
      </c>
      <c r="I1212" s="34">
        <v>1</v>
      </c>
    </row>
    <row r="1213" spans="1:9" x14ac:dyDescent="0.3">
      <c r="A1213">
        <v>2</v>
      </c>
      <c r="B1213" t="s">
        <v>239</v>
      </c>
      <c r="C1213" t="s">
        <v>193</v>
      </c>
      <c r="D1213" t="s">
        <v>195</v>
      </c>
      <c r="E1213" s="1" t="s">
        <v>75</v>
      </c>
      <c r="F1213" s="54" t="s">
        <v>117</v>
      </c>
      <c r="G1213" s="124">
        <v>567.29999999999995</v>
      </c>
      <c r="H1213" t="s">
        <v>349</v>
      </c>
      <c r="I1213" s="34">
        <v>2</v>
      </c>
    </row>
    <row r="1214" spans="1:9" x14ac:dyDescent="0.3">
      <c r="A1214">
        <v>10</v>
      </c>
      <c r="B1214" t="s">
        <v>239</v>
      </c>
      <c r="C1214" t="s">
        <v>193</v>
      </c>
      <c r="D1214" t="s">
        <v>188</v>
      </c>
      <c r="E1214" t="s">
        <v>75</v>
      </c>
      <c r="F1214" s="57" t="s">
        <v>117</v>
      </c>
      <c r="G1214" s="124">
        <v>532</v>
      </c>
      <c r="H1214" t="s">
        <v>348</v>
      </c>
      <c r="I1214" s="34">
        <v>10</v>
      </c>
    </row>
    <row r="1215" spans="1:9" x14ac:dyDescent="0.3">
      <c r="A1215">
        <v>2</v>
      </c>
      <c r="B1215" t="s">
        <v>239</v>
      </c>
      <c r="C1215" t="s">
        <v>193</v>
      </c>
      <c r="D1215" t="s">
        <v>188</v>
      </c>
      <c r="E1215" s="1" t="s">
        <v>75</v>
      </c>
      <c r="F1215" s="54" t="s">
        <v>117</v>
      </c>
      <c r="G1215" s="124">
        <v>515.20000000000005</v>
      </c>
      <c r="H1215" t="s">
        <v>348</v>
      </c>
      <c r="I1215" s="34">
        <v>2</v>
      </c>
    </row>
    <row r="1216" spans="1:9" x14ac:dyDescent="0.3">
      <c r="A1216">
        <v>7</v>
      </c>
      <c r="B1216" t="s">
        <v>239</v>
      </c>
      <c r="C1216" t="s">
        <v>193</v>
      </c>
      <c r="D1216" t="s">
        <v>188</v>
      </c>
      <c r="E1216" t="s">
        <v>75</v>
      </c>
      <c r="F1216" s="57" t="s">
        <v>117</v>
      </c>
      <c r="G1216" s="124">
        <v>488.75</v>
      </c>
      <c r="H1216" t="s">
        <v>348</v>
      </c>
      <c r="I1216" s="34">
        <v>7</v>
      </c>
    </row>
    <row r="1217" spans="1:9" x14ac:dyDescent="0.3">
      <c r="A1217">
        <v>9</v>
      </c>
      <c r="B1217" t="s">
        <v>239</v>
      </c>
      <c r="C1217" t="s">
        <v>193</v>
      </c>
      <c r="D1217" t="s">
        <v>188</v>
      </c>
      <c r="E1217" t="s">
        <v>75</v>
      </c>
      <c r="F1217" s="57" t="s">
        <v>117</v>
      </c>
      <c r="G1217" s="124">
        <v>477.5</v>
      </c>
      <c r="H1217" t="s">
        <v>348</v>
      </c>
      <c r="I1217" s="34">
        <v>9</v>
      </c>
    </row>
    <row r="1218" spans="1:9" x14ac:dyDescent="0.3">
      <c r="A1218">
        <v>8</v>
      </c>
      <c r="B1218" t="s">
        <v>239</v>
      </c>
      <c r="C1218" t="s">
        <v>192</v>
      </c>
      <c r="D1218" t="s">
        <v>188</v>
      </c>
      <c r="E1218" t="s">
        <v>75</v>
      </c>
      <c r="F1218" s="57" t="s">
        <v>117</v>
      </c>
      <c r="G1218" s="124">
        <v>472</v>
      </c>
      <c r="H1218" t="s">
        <v>350</v>
      </c>
      <c r="I1218" s="34">
        <v>8</v>
      </c>
    </row>
    <row r="1219" spans="1:9" x14ac:dyDescent="0.3">
      <c r="A1219">
        <v>8</v>
      </c>
      <c r="B1219" t="s">
        <v>239</v>
      </c>
      <c r="C1219" t="s">
        <v>192</v>
      </c>
      <c r="D1219" t="s">
        <v>195</v>
      </c>
      <c r="E1219" t="s">
        <v>75</v>
      </c>
      <c r="F1219" s="57" t="s">
        <v>117</v>
      </c>
      <c r="G1219" s="124">
        <v>465</v>
      </c>
      <c r="H1219" t="s">
        <v>351</v>
      </c>
      <c r="I1219" s="34">
        <v>8</v>
      </c>
    </row>
    <row r="1220" spans="1:9" x14ac:dyDescent="0.3">
      <c r="A1220" s="53">
        <v>11</v>
      </c>
      <c r="B1220" t="s">
        <v>239</v>
      </c>
      <c r="C1220" s="53" t="s">
        <v>193</v>
      </c>
      <c r="D1220" s="53" t="s">
        <v>188</v>
      </c>
      <c r="E1220" s="53" t="s">
        <v>75</v>
      </c>
      <c r="F1220" s="57" t="s">
        <v>117</v>
      </c>
      <c r="G1220" s="124">
        <v>456.3</v>
      </c>
      <c r="H1220" t="s">
        <v>348</v>
      </c>
      <c r="I1220" s="34">
        <v>11</v>
      </c>
    </row>
    <row r="1221" spans="1:9" x14ac:dyDescent="0.3">
      <c r="A1221">
        <v>1</v>
      </c>
      <c r="B1221" t="s">
        <v>239</v>
      </c>
      <c r="C1221" t="s">
        <v>193</v>
      </c>
      <c r="D1221" t="s">
        <v>195</v>
      </c>
      <c r="E1221" s="1" t="s">
        <v>75</v>
      </c>
      <c r="F1221" s="32" t="s">
        <v>117</v>
      </c>
      <c r="G1221" s="124">
        <v>448.5</v>
      </c>
      <c r="H1221" t="s">
        <v>349</v>
      </c>
      <c r="I1221" s="34">
        <v>1</v>
      </c>
    </row>
    <row r="1222" spans="1:9" x14ac:dyDescent="0.3">
      <c r="A1222">
        <v>7</v>
      </c>
      <c r="B1222" t="s">
        <v>239</v>
      </c>
      <c r="C1222" t="s">
        <v>192</v>
      </c>
      <c r="D1222" t="s">
        <v>188</v>
      </c>
      <c r="E1222" t="s">
        <v>75</v>
      </c>
      <c r="F1222" s="57" t="s">
        <v>117</v>
      </c>
      <c r="G1222" s="124">
        <v>425</v>
      </c>
      <c r="H1222" t="s">
        <v>350</v>
      </c>
      <c r="I1222" s="34">
        <v>7</v>
      </c>
    </row>
    <row r="1223" spans="1:9" x14ac:dyDescent="0.3">
      <c r="A1223">
        <v>5</v>
      </c>
      <c r="B1223" t="s">
        <v>239</v>
      </c>
      <c r="C1223" t="s">
        <v>192</v>
      </c>
      <c r="D1223" t="s">
        <v>188</v>
      </c>
      <c r="E1223" t="s">
        <v>75</v>
      </c>
      <c r="F1223" s="57" t="s">
        <v>117</v>
      </c>
      <c r="G1223" s="124">
        <v>417</v>
      </c>
      <c r="H1223" t="s">
        <v>350</v>
      </c>
      <c r="I1223" s="34">
        <v>5</v>
      </c>
    </row>
    <row r="1224" spans="1:9" x14ac:dyDescent="0.3">
      <c r="A1224">
        <v>12</v>
      </c>
      <c r="B1224" t="s">
        <v>239</v>
      </c>
      <c r="C1224" t="s">
        <v>193</v>
      </c>
      <c r="D1224" t="s">
        <v>188</v>
      </c>
      <c r="E1224" t="s">
        <v>75</v>
      </c>
      <c r="F1224" s="57" t="s">
        <v>117</v>
      </c>
      <c r="G1224" s="124">
        <v>415.8</v>
      </c>
      <c r="H1224" t="s">
        <v>348</v>
      </c>
      <c r="I1224" s="34">
        <v>12</v>
      </c>
    </row>
    <row r="1225" spans="1:9" x14ac:dyDescent="0.3">
      <c r="A1225">
        <v>7</v>
      </c>
      <c r="B1225" t="s">
        <v>239</v>
      </c>
      <c r="C1225" t="s">
        <v>192</v>
      </c>
      <c r="D1225" t="s">
        <v>195</v>
      </c>
      <c r="E1225" t="s">
        <v>75</v>
      </c>
      <c r="F1225" s="57" t="s">
        <v>117</v>
      </c>
      <c r="G1225" s="124">
        <v>415</v>
      </c>
      <c r="H1225" t="s">
        <v>351</v>
      </c>
      <c r="I1225" s="34">
        <v>7</v>
      </c>
    </row>
    <row r="1226" spans="1:9" x14ac:dyDescent="0.3">
      <c r="A1226">
        <v>7</v>
      </c>
      <c r="B1226" t="s">
        <v>239</v>
      </c>
      <c r="C1226" t="s">
        <v>193</v>
      </c>
      <c r="D1226" t="s">
        <v>195</v>
      </c>
      <c r="E1226" t="s">
        <v>75</v>
      </c>
      <c r="F1226" s="57" t="s">
        <v>117</v>
      </c>
      <c r="G1226" s="124">
        <v>415</v>
      </c>
      <c r="H1226" t="s">
        <v>349</v>
      </c>
      <c r="I1226" s="34">
        <v>7</v>
      </c>
    </row>
    <row r="1227" spans="1:9" x14ac:dyDescent="0.3">
      <c r="A1227">
        <v>3</v>
      </c>
      <c r="B1227" t="s">
        <v>239</v>
      </c>
      <c r="C1227" t="s">
        <v>192</v>
      </c>
      <c r="D1227" t="s">
        <v>188</v>
      </c>
      <c r="E1227" s="1" t="s">
        <v>75</v>
      </c>
      <c r="F1227" s="31" t="s">
        <v>117</v>
      </c>
      <c r="G1227" s="124">
        <v>405</v>
      </c>
      <c r="H1227" t="s">
        <v>350</v>
      </c>
      <c r="I1227" s="34">
        <v>3</v>
      </c>
    </row>
    <row r="1228" spans="1:9" x14ac:dyDescent="0.3">
      <c r="A1228">
        <v>6</v>
      </c>
      <c r="B1228" t="s">
        <v>239</v>
      </c>
      <c r="C1228" t="s">
        <v>192</v>
      </c>
      <c r="D1228" t="s">
        <v>188</v>
      </c>
      <c r="E1228" t="s">
        <v>75</v>
      </c>
      <c r="F1228" s="57" t="s">
        <v>117</v>
      </c>
      <c r="G1228" s="124">
        <v>387</v>
      </c>
      <c r="H1228" t="s">
        <v>350</v>
      </c>
      <c r="I1228" s="34">
        <v>6</v>
      </c>
    </row>
    <row r="1229" spans="1:9" x14ac:dyDescent="0.3">
      <c r="A1229">
        <v>12</v>
      </c>
      <c r="B1229" t="s">
        <v>239</v>
      </c>
      <c r="C1229" t="s">
        <v>192</v>
      </c>
      <c r="D1229" t="s">
        <v>188</v>
      </c>
      <c r="E1229" t="s">
        <v>75</v>
      </c>
      <c r="F1229" s="57" t="s">
        <v>117</v>
      </c>
      <c r="G1229" s="124">
        <v>385</v>
      </c>
      <c r="H1229" t="s">
        <v>350</v>
      </c>
      <c r="I1229" s="34">
        <v>12</v>
      </c>
    </row>
    <row r="1230" spans="1:9" x14ac:dyDescent="0.3">
      <c r="A1230">
        <v>3</v>
      </c>
      <c r="B1230" t="s">
        <v>239</v>
      </c>
      <c r="C1230" t="s">
        <v>192</v>
      </c>
      <c r="D1230" t="s">
        <v>195</v>
      </c>
      <c r="E1230" s="1" t="s">
        <v>75</v>
      </c>
      <c r="F1230" s="31" t="s">
        <v>117</v>
      </c>
      <c r="G1230" s="124">
        <v>385</v>
      </c>
      <c r="H1230" t="s">
        <v>351</v>
      </c>
      <c r="I1230" s="34">
        <v>3</v>
      </c>
    </row>
    <row r="1231" spans="1:9" x14ac:dyDescent="0.3">
      <c r="A1231">
        <v>1</v>
      </c>
      <c r="B1231" t="s">
        <v>239</v>
      </c>
      <c r="C1231" t="s">
        <v>192</v>
      </c>
      <c r="D1231" t="s">
        <v>188</v>
      </c>
      <c r="E1231" s="1" t="s">
        <v>75</v>
      </c>
      <c r="F1231" s="54" t="s">
        <v>117</v>
      </c>
      <c r="G1231" s="124">
        <v>383</v>
      </c>
      <c r="H1231" t="s">
        <v>350</v>
      </c>
      <c r="I1231" s="34">
        <v>1</v>
      </c>
    </row>
    <row r="1232" spans="1:9" x14ac:dyDescent="0.3">
      <c r="A1232">
        <v>9</v>
      </c>
      <c r="B1232" t="s">
        <v>239</v>
      </c>
      <c r="C1232" t="s">
        <v>192</v>
      </c>
      <c r="D1232" t="s">
        <v>188</v>
      </c>
      <c r="E1232" t="s">
        <v>75</v>
      </c>
      <c r="F1232" s="57" t="s">
        <v>117</v>
      </c>
      <c r="G1232" s="124">
        <v>382</v>
      </c>
      <c r="H1232" s="53" t="s">
        <v>350</v>
      </c>
      <c r="I1232" s="77">
        <v>9</v>
      </c>
    </row>
    <row r="1233" spans="1:9" x14ac:dyDescent="0.3">
      <c r="A1233">
        <v>10</v>
      </c>
      <c r="B1233" t="s">
        <v>239</v>
      </c>
      <c r="C1233" t="s">
        <v>192</v>
      </c>
      <c r="D1233" t="s">
        <v>188</v>
      </c>
      <c r="E1233" t="s">
        <v>75</v>
      </c>
      <c r="F1233" s="57" t="s">
        <v>117</v>
      </c>
      <c r="G1233" s="124">
        <v>380</v>
      </c>
      <c r="H1233" t="s">
        <v>350</v>
      </c>
      <c r="I1233" s="34">
        <v>10</v>
      </c>
    </row>
    <row r="1234" spans="1:9" x14ac:dyDescent="0.3">
      <c r="A1234">
        <v>5</v>
      </c>
      <c r="B1234" t="s">
        <v>239</v>
      </c>
      <c r="C1234" t="s">
        <v>192</v>
      </c>
      <c r="D1234" t="s">
        <v>195</v>
      </c>
      <c r="E1234" t="s">
        <v>75</v>
      </c>
      <c r="F1234" s="57" t="s">
        <v>117</v>
      </c>
      <c r="G1234" s="124">
        <v>377</v>
      </c>
      <c r="H1234" t="s">
        <v>351</v>
      </c>
      <c r="I1234" s="34">
        <v>5</v>
      </c>
    </row>
    <row r="1235" spans="1:9" x14ac:dyDescent="0.3">
      <c r="A1235">
        <v>6</v>
      </c>
      <c r="B1235" t="s">
        <v>239</v>
      </c>
      <c r="C1235" t="s">
        <v>193</v>
      </c>
      <c r="D1235" t="s">
        <v>195</v>
      </c>
      <c r="E1235" t="s">
        <v>75</v>
      </c>
      <c r="F1235" s="57" t="s">
        <v>117</v>
      </c>
      <c r="G1235" s="124">
        <v>370.65</v>
      </c>
      <c r="H1235" t="s">
        <v>349</v>
      </c>
      <c r="I1235" s="34">
        <v>6</v>
      </c>
    </row>
    <row r="1236" spans="1:9" x14ac:dyDescent="0.3">
      <c r="A1236">
        <v>2</v>
      </c>
      <c r="B1236" t="s">
        <v>239</v>
      </c>
      <c r="C1236" t="s">
        <v>192</v>
      </c>
      <c r="D1236" t="s">
        <v>188</v>
      </c>
      <c r="E1236" s="1" t="s">
        <v>75</v>
      </c>
      <c r="F1236" s="54" t="s">
        <v>117</v>
      </c>
      <c r="G1236" s="124">
        <v>368.00000000000006</v>
      </c>
      <c r="H1236" t="s">
        <v>350</v>
      </c>
      <c r="I1236" s="34">
        <v>2</v>
      </c>
    </row>
    <row r="1237" spans="1:9" x14ac:dyDescent="0.3">
      <c r="A1237">
        <v>6</v>
      </c>
      <c r="B1237" t="s">
        <v>239</v>
      </c>
      <c r="C1237" t="s">
        <v>193</v>
      </c>
      <c r="D1237" t="s">
        <v>188</v>
      </c>
      <c r="E1237" t="s">
        <v>75</v>
      </c>
      <c r="F1237" s="57" t="s">
        <v>117</v>
      </c>
      <c r="G1237" s="124">
        <v>367.65</v>
      </c>
      <c r="H1237" t="s">
        <v>348</v>
      </c>
      <c r="I1237" s="34">
        <v>6</v>
      </c>
    </row>
    <row r="1238" spans="1:9" x14ac:dyDescent="0.3">
      <c r="A1238">
        <v>2</v>
      </c>
      <c r="B1238" t="s">
        <v>239</v>
      </c>
      <c r="C1238" t="s">
        <v>192</v>
      </c>
      <c r="D1238" t="s">
        <v>195</v>
      </c>
      <c r="E1238" s="1" t="s">
        <v>75</v>
      </c>
      <c r="F1238" s="54" t="s">
        <v>117</v>
      </c>
      <c r="G1238" s="124">
        <v>366</v>
      </c>
      <c r="H1238" t="s">
        <v>351</v>
      </c>
      <c r="I1238" s="34">
        <v>2</v>
      </c>
    </row>
    <row r="1239" spans="1:9" x14ac:dyDescent="0.3">
      <c r="A1239">
        <v>4</v>
      </c>
      <c r="B1239" t="s">
        <v>239</v>
      </c>
      <c r="C1239" t="s">
        <v>192</v>
      </c>
      <c r="D1239" t="s">
        <v>188</v>
      </c>
      <c r="E1239" s="1" t="s">
        <v>75</v>
      </c>
      <c r="F1239" s="54" t="s">
        <v>117</v>
      </c>
      <c r="G1239" s="124">
        <v>365</v>
      </c>
      <c r="H1239" t="s">
        <v>350</v>
      </c>
      <c r="I1239" s="34">
        <v>4</v>
      </c>
    </row>
    <row r="1240" spans="1:9" x14ac:dyDescent="0.3">
      <c r="A1240">
        <v>4</v>
      </c>
      <c r="B1240" t="s">
        <v>239</v>
      </c>
      <c r="C1240" t="s">
        <v>192</v>
      </c>
      <c r="D1240" t="s">
        <v>195</v>
      </c>
      <c r="E1240" s="1" t="s">
        <v>75</v>
      </c>
      <c r="F1240" s="54" t="s">
        <v>117</v>
      </c>
      <c r="G1240" s="124">
        <v>360</v>
      </c>
      <c r="H1240" t="s">
        <v>351</v>
      </c>
      <c r="I1240" s="34">
        <v>4</v>
      </c>
    </row>
    <row r="1241" spans="1:9" x14ac:dyDescent="0.3">
      <c r="A1241">
        <v>5</v>
      </c>
      <c r="B1241" t="s">
        <v>239</v>
      </c>
      <c r="C1241" t="s">
        <v>193</v>
      </c>
      <c r="D1241" t="s">
        <v>195</v>
      </c>
      <c r="E1241" t="s">
        <v>75</v>
      </c>
      <c r="F1241" s="57" t="s">
        <v>117</v>
      </c>
      <c r="G1241" s="124">
        <v>358.15</v>
      </c>
      <c r="H1241" t="s">
        <v>349</v>
      </c>
      <c r="I1241" s="34">
        <v>5</v>
      </c>
    </row>
    <row r="1242" spans="1:9" x14ac:dyDescent="0.3">
      <c r="A1242">
        <v>5</v>
      </c>
      <c r="B1242" t="s">
        <v>239</v>
      </c>
      <c r="C1242" t="s">
        <v>193</v>
      </c>
      <c r="D1242" t="s">
        <v>188</v>
      </c>
      <c r="E1242" t="s">
        <v>75</v>
      </c>
      <c r="F1242" s="57" t="s">
        <v>117</v>
      </c>
      <c r="G1242" s="124">
        <v>354.45</v>
      </c>
      <c r="H1242" t="s">
        <v>348</v>
      </c>
      <c r="I1242" s="34">
        <v>5</v>
      </c>
    </row>
    <row r="1243" spans="1:9" x14ac:dyDescent="0.3">
      <c r="A1243">
        <v>6</v>
      </c>
      <c r="B1243" t="s">
        <v>239</v>
      </c>
      <c r="C1243" t="s">
        <v>192</v>
      </c>
      <c r="D1243" t="s">
        <v>195</v>
      </c>
      <c r="E1243" t="s">
        <v>75</v>
      </c>
      <c r="F1243" s="57" t="s">
        <v>117</v>
      </c>
      <c r="G1243" s="124">
        <v>353</v>
      </c>
      <c r="H1243" t="s">
        <v>351</v>
      </c>
      <c r="I1243" s="34">
        <v>6</v>
      </c>
    </row>
    <row r="1244" spans="1:9" x14ac:dyDescent="0.3">
      <c r="A1244" s="53">
        <v>11</v>
      </c>
      <c r="B1244" t="s">
        <v>239</v>
      </c>
      <c r="C1244" s="53" t="s">
        <v>192</v>
      </c>
      <c r="D1244" s="53" t="s">
        <v>188</v>
      </c>
      <c r="E1244" s="53" t="s">
        <v>75</v>
      </c>
      <c r="F1244" s="57" t="s">
        <v>117</v>
      </c>
      <c r="G1244" s="124">
        <v>351</v>
      </c>
      <c r="H1244" t="s">
        <v>350</v>
      </c>
      <c r="I1244" s="34">
        <v>11</v>
      </c>
    </row>
    <row r="1245" spans="1:9" x14ac:dyDescent="0.3">
      <c r="A1245">
        <v>1</v>
      </c>
      <c r="B1245" t="s">
        <v>239</v>
      </c>
      <c r="C1245" t="s">
        <v>192</v>
      </c>
      <c r="D1245" t="s">
        <v>195</v>
      </c>
      <c r="E1245" s="1" t="s">
        <v>75</v>
      </c>
      <c r="F1245" s="54" t="s">
        <v>117</v>
      </c>
      <c r="G1245" s="124">
        <v>345</v>
      </c>
      <c r="H1245" s="53" t="s">
        <v>351</v>
      </c>
      <c r="I1245" s="77">
        <v>1</v>
      </c>
    </row>
    <row r="1246" spans="1:9" x14ac:dyDescent="0.3">
      <c r="A1246">
        <v>12</v>
      </c>
      <c r="B1246" t="s">
        <v>239</v>
      </c>
      <c r="C1246" t="s">
        <v>192</v>
      </c>
      <c r="D1246" t="s">
        <v>195</v>
      </c>
      <c r="E1246" t="s">
        <v>75</v>
      </c>
      <c r="F1246" s="57" t="s">
        <v>117</v>
      </c>
      <c r="G1246" s="124">
        <v>340</v>
      </c>
      <c r="H1246" t="s">
        <v>351</v>
      </c>
      <c r="I1246" s="34">
        <v>12</v>
      </c>
    </row>
    <row r="1247" spans="1:9" x14ac:dyDescent="0.3">
      <c r="A1247" s="53">
        <v>11</v>
      </c>
      <c r="B1247" t="s">
        <v>239</v>
      </c>
      <c r="C1247" s="53" t="s">
        <v>192</v>
      </c>
      <c r="D1247" s="53" t="s">
        <v>195</v>
      </c>
      <c r="E1247" s="53" t="s">
        <v>75</v>
      </c>
      <c r="F1247" s="57" t="s">
        <v>117</v>
      </c>
      <c r="G1247" s="124">
        <v>335</v>
      </c>
      <c r="H1247" t="s">
        <v>351</v>
      </c>
      <c r="I1247" s="34">
        <v>11</v>
      </c>
    </row>
    <row r="1248" spans="1:9" x14ac:dyDescent="0.3">
      <c r="A1248">
        <v>9</v>
      </c>
      <c r="B1248" t="s">
        <v>239</v>
      </c>
      <c r="C1248" t="s">
        <v>192</v>
      </c>
      <c r="D1248" t="s">
        <v>195</v>
      </c>
      <c r="E1248" t="s">
        <v>75</v>
      </c>
      <c r="F1248" s="57" t="s">
        <v>117</v>
      </c>
      <c r="G1248" s="124">
        <v>331.99999999999994</v>
      </c>
      <c r="H1248" t="s">
        <v>351</v>
      </c>
      <c r="I1248" s="34">
        <v>9</v>
      </c>
    </row>
    <row r="1249" spans="1:9" x14ac:dyDescent="0.3">
      <c r="A1249">
        <v>10</v>
      </c>
      <c r="B1249" t="s">
        <v>239</v>
      </c>
      <c r="C1249" t="s">
        <v>192</v>
      </c>
      <c r="D1249" t="s">
        <v>195</v>
      </c>
      <c r="E1249" t="s">
        <v>75</v>
      </c>
      <c r="F1249" s="57" t="s">
        <v>117</v>
      </c>
      <c r="G1249" s="124">
        <v>310</v>
      </c>
      <c r="H1249" t="s">
        <v>351</v>
      </c>
      <c r="I1249" s="34">
        <v>10</v>
      </c>
    </row>
    <row r="1250" spans="1:9" x14ac:dyDescent="0.3">
      <c r="A1250">
        <v>10</v>
      </c>
      <c r="B1250" t="s">
        <v>239</v>
      </c>
      <c r="C1250" t="s">
        <v>193</v>
      </c>
      <c r="D1250" t="s">
        <v>195</v>
      </c>
      <c r="E1250" t="s">
        <v>75</v>
      </c>
      <c r="F1250" s="57" t="s">
        <v>117</v>
      </c>
      <c r="G1250" s="124">
        <v>310</v>
      </c>
      <c r="H1250" t="s">
        <v>349</v>
      </c>
      <c r="I1250" s="34">
        <v>10</v>
      </c>
    </row>
    <row r="1251" spans="1:9" x14ac:dyDescent="0.3">
      <c r="A1251">
        <v>3</v>
      </c>
      <c r="B1251" t="s">
        <v>239</v>
      </c>
      <c r="C1251" t="s">
        <v>193</v>
      </c>
      <c r="D1251" t="s">
        <v>195</v>
      </c>
      <c r="E1251" s="1" t="s">
        <v>75</v>
      </c>
      <c r="F1251" s="54" t="s">
        <v>117</v>
      </c>
      <c r="G1251" s="124">
        <v>308</v>
      </c>
      <c r="H1251" t="s">
        <v>349</v>
      </c>
      <c r="I1251" s="34">
        <v>3</v>
      </c>
    </row>
    <row r="1252" spans="1:9" x14ac:dyDescent="0.3">
      <c r="A1252">
        <v>4</v>
      </c>
      <c r="B1252" t="s">
        <v>239</v>
      </c>
      <c r="C1252" t="s">
        <v>193</v>
      </c>
      <c r="D1252" t="s">
        <v>195</v>
      </c>
      <c r="E1252" s="1" t="s">
        <v>75</v>
      </c>
      <c r="F1252" s="31" t="s">
        <v>117</v>
      </c>
      <c r="G1252" s="124">
        <v>306</v>
      </c>
      <c r="H1252" t="s">
        <v>349</v>
      </c>
      <c r="I1252" s="34">
        <v>4</v>
      </c>
    </row>
    <row r="1253" spans="1:9" x14ac:dyDescent="0.3">
      <c r="A1253" s="53">
        <v>11</v>
      </c>
      <c r="B1253" t="s">
        <v>239</v>
      </c>
      <c r="C1253" s="53" t="s">
        <v>193</v>
      </c>
      <c r="D1253" s="53" t="s">
        <v>195</v>
      </c>
      <c r="E1253" s="53" t="s">
        <v>75</v>
      </c>
      <c r="F1253" s="57" t="s">
        <v>117</v>
      </c>
      <c r="G1253" s="124">
        <v>301.5</v>
      </c>
      <c r="H1253" t="s">
        <v>349</v>
      </c>
      <c r="I1253" s="34">
        <v>11</v>
      </c>
    </row>
    <row r="1254" spans="1:9" x14ac:dyDescent="0.3">
      <c r="A1254">
        <v>3</v>
      </c>
      <c r="B1254" t="s">
        <v>239</v>
      </c>
      <c r="C1254" t="s">
        <v>193</v>
      </c>
      <c r="D1254" t="s">
        <v>188</v>
      </c>
      <c r="E1254" s="1" t="s">
        <v>75</v>
      </c>
      <c r="F1254" s="54" t="s">
        <v>117</v>
      </c>
      <c r="G1254" s="124">
        <v>283.5</v>
      </c>
      <c r="H1254" t="s">
        <v>348</v>
      </c>
      <c r="I1254" s="34">
        <v>3</v>
      </c>
    </row>
    <row r="1255" spans="1:9" x14ac:dyDescent="0.3">
      <c r="A1255">
        <v>8</v>
      </c>
      <c r="B1255" t="s">
        <v>239</v>
      </c>
      <c r="C1255" t="s">
        <v>193</v>
      </c>
      <c r="D1255" t="s">
        <v>195</v>
      </c>
      <c r="E1255" t="s">
        <v>75</v>
      </c>
      <c r="F1255" s="57" t="s">
        <v>117</v>
      </c>
      <c r="G1255" s="124">
        <v>279</v>
      </c>
      <c r="H1255" t="s">
        <v>349</v>
      </c>
      <c r="I1255" s="34">
        <v>8</v>
      </c>
    </row>
    <row r="1256" spans="1:9" x14ac:dyDescent="0.3">
      <c r="A1256">
        <v>4</v>
      </c>
      <c r="B1256" t="s">
        <v>239</v>
      </c>
      <c r="C1256" t="s">
        <v>193</v>
      </c>
      <c r="D1256" t="s">
        <v>188</v>
      </c>
      <c r="E1256" s="1" t="s">
        <v>75</v>
      </c>
      <c r="F1256" s="31" t="s">
        <v>117</v>
      </c>
      <c r="G1256" s="124">
        <v>273.75</v>
      </c>
      <c r="H1256" t="s">
        <v>348</v>
      </c>
      <c r="I1256" s="34">
        <v>4</v>
      </c>
    </row>
    <row r="1257" spans="1:9" x14ac:dyDescent="0.3">
      <c r="A1257">
        <v>9</v>
      </c>
      <c r="B1257" t="s">
        <v>239</v>
      </c>
      <c r="C1257" t="s">
        <v>193</v>
      </c>
      <c r="D1257" t="s">
        <v>195</v>
      </c>
      <c r="E1257" t="s">
        <v>75</v>
      </c>
      <c r="F1257" s="57" t="s">
        <v>117</v>
      </c>
      <c r="G1257" s="124">
        <v>258.95999999999998</v>
      </c>
      <c r="H1257" t="s">
        <v>349</v>
      </c>
      <c r="I1257" s="34">
        <v>9</v>
      </c>
    </row>
    <row r="1258" spans="1:9" x14ac:dyDescent="0.3">
      <c r="A1258">
        <v>12</v>
      </c>
      <c r="B1258" t="s">
        <v>239</v>
      </c>
      <c r="C1258" t="s">
        <v>193</v>
      </c>
      <c r="D1258" t="s">
        <v>195</v>
      </c>
      <c r="E1258" t="s">
        <v>75</v>
      </c>
      <c r="F1258" s="57" t="s">
        <v>117</v>
      </c>
      <c r="G1258" s="124">
        <v>221</v>
      </c>
      <c r="H1258" t="s">
        <v>349</v>
      </c>
      <c r="I1258" s="34">
        <v>12</v>
      </c>
    </row>
    <row r="1259" spans="1:9" x14ac:dyDescent="0.3">
      <c r="A1259">
        <v>6</v>
      </c>
      <c r="B1259" t="s">
        <v>239</v>
      </c>
      <c r="C1259" t="s">
        <v>191</v>
      </c>
      <c r="D1259" t="s">
        <v>195</v>
      </c>
      <c r="E1259" t="s">
        <v>105</v>
      </c>
      <c r="F1259" s="57" t="s">
        <v>119</v>
      </c>
      <c r="G1259" s="124">
        <v>3800</v>
      </c>
      <c r="H1259" t="s">
        <v>352</v>
      </c>
      <c r="I1259" s="34">
        <v>6</v>
      </c>
    </row>
    <row r="1260" spans="1:9" x14ac:dyDescent="0.3">
      <c r="A1260">
        <v>7</v>
      </c>
      <c r="B1260" t="s">
        <v>239</v>
      </c>
      <c r="C1260" t="s">
        <v>191</v>
      </c>
      <c r="D1260" t="s">
        <v>238</v>
      </c>
      <c r="E1260" t="s">
        <v>105</v>
      </c>
      <c r="F1260" s="57" t="s">
        <v>119</v>
      </c>
      <c r="G1260" s="124">
        <v>3600</v>
      </c>
      <c r="H1260" t="s">
        <v>353</v>
      </c>
      <c r="I1260" s="34">
        <v>7</v>
      </c>
    </row>
    <row r="1261" spans="1:9" x14ac:dyDescent="0.3">
      <c r="A1261">
        <v>4</v>
      </c>
      <c r="B1261" t="s">
        <v>239</v>
      </c>
      <c r="C1261" t="s">
        <v>191</v>
      </c>
      <c r="D1261" t="s">
        <v>238</v>
      </c>
      <c r="E1261" s="1" t="s">
        <v>105</v>
      </c>
      <c r="F1261" s="54" t="s">
        <v>119</v>
      </c>
      <c r="G1261" s="124">
        <v>3500</v>
      </c>
      <c r="H1261" s="53" t="s">
        <v>353</v>
      </c>
      <c r="I1261" s="77">
        <v>4</v>
      </c>
    </row>
    <row r="1262" spans="1:9" x14ac:dyDescent="0.3">
      <c r="A1262">
        <v>6</v>
      </c>
      <c r="B1262" t="s">
        <v>239</v>
      </c>
      <c r="C1262" t="s">
        <v>191</v>
      </c>
      <c r="D1262" t="s">
        <v>238</v>
      </c>
      <c r="E1262" t="s">
        <v>105</v>
      </c>
      <c r="F1262" s="57" t="s">
        <v>119</v>
      </c>
      <c r="G1262" s="124">
        <v>3500</v>
      </c>
      <c r="H1262" s="53" t="s">
        <v>353</v>
      </c>
      <c r="I1262" s="77">
        <v>6</v>
      </c>
    </row>
    <row r="1263" spans="1:9" x14ac:dyDescent="0.3">
      <c r="A1263">
        <v>10</v>
      </c>
      <c r="B1263" t="s">
        <v>239</v>
      </c>
      <c r="C1263" t="s">
        <v>191</v>
      </c>
      <c r="D1263" t="s">
        <v>238</v>
      </c>
      <c r="E1263" t="s">
        <v>105</v>
      </c>
      <c r="F1263" s="57" t="s">
        <v>119</v>
      </c>
      <c r="G1263" s="124">
        <v>3500</v>
      </c>
      <c r="H1263" t="s">
        <v>353</v>
      </c>
      <c r="I1263" s="34">
        <v>10</v>
      </c>
    </row>
    <row r="1264" spans="1:9" x14ac:dyDescent="0.3">
      <c r="A1264">
        <v>4</v>
      </c>
      <c r="B1264" t="s">
        <v>239</v>
      </c>
      <c r="C1264" t="s">
        <v>191</v>
      </c>
      <c r="D1264" t="s">
        <v>195</v>
      </c>
      <c r="E1264" s="1" t="s">
        <v>105</v>
      </c>
      <c r="F1264" s="54" t="s">
        <v>119</v>
      </c>
      <c r="G1264" s="124">
        <v>3100</v>
      </c>
      <c r="H1264" t="s">
        <v>352</v>
      </c>
      <c r="I1264" s="34">
        <v>4</v>
      </c>
    </row>
    <row r="1265" spans="1:9" x14ac:dyDescent="0.3">
      <c r="A1265">
        <v>5</v>
      </c>
      <c r="B1265" t="s">
        <v>239</v>
      </c>
      <c r="C1265" t="s">
        <v>191</v>
      </c>
      <c r="D1265" t="s">
        <v>238</v>
      </c>
      <c r="E1265" s="1" t="s">
        <v>105</v>
      </c>
      <c r="F1265" s="54" t="s">
        <v>119</v>
      </c>
      <c r="G1265" s="124">
        <v>3000</v>
      </c>
      <c r="H1265" s="53" t="s">
        <v>353</v>
      </c>
      <c r="I1265" s="77">
        <v>5</v>
      </c>
    </row>
    <row r="1266" spans="1:9" x14ac:dyDescent="0.3">
      <c r="A1266">
        <v>8</v>
      </c>
      <c r="B1266" t="s">
        <v>239</v>
      </c>
      <c r="C1266" t="s">
        <v>191</v>
      </c>
      <c r="D1266" t="s">
        <v>238</v>
      </c>
      <c r="E1266" t="s">
        <v>105</v>
      </c>
      <c r="F1266" s="57" t="s">
        <v>119</v>
      </c>
      <c r="G1266" s="124">
        <v>3000</v>
      </c>
      <c r="H1266" t="s">
        <v>353</v>
      </c>
      <c r="I1266" s="34">
        <v>8</v>
      </c>
    </row>
    <row r="1267" spans="1:9" x14ac:dyDescent="0.3">
      <c r="A1267">
        <v>9</v>
      </c>
      <c r="B1267" t="s">
        <v>239</v>
      </c>
      <c r="C1267" t="s">
        <v>191</v>
      </c>
      <c r="D1267" t="s">
        <v>238</v>
      </c>
      <c r="E1267" t="s">
        <v>105</v>
      </c>
      <c r="F1267" s="57" t="s">
        <v>119</v>
      </c>
      <c r="G1267" s="124">
        <v>3000</v>
      </c>
      <c r="H1267" t="s">
        <v>353</v>
      </c>
      <c r="I1267" s="34">
        <v>9</v>
      </c>
    </row>
    <row r="1268" spans="1:9" x14ac:dyDescent="0.3">
      <c r="A1268" s="53">
        <v>11</v>
      </c>
      <c r="B1268" t="s">
        <v>239</v>
      </c>
      <c r="C1268" s="53" t="s">
        <v>191</v>
      </c>
      <c r="D1268" s="53" t="s">
        <v>238</v>
      </c>
      <c r="E1268" s="53" t="s">
        <v>105</v>
      </c>
      <c r="F1268" s="57" t="s">
        <v>119</v>
      </c>
      <c r="G1268" s="124">
        <v>3000</v>
      </c>
      <c r="H1268" t="s">
        <v>353</v>
      </c>
      <c r="I1268" s="34">
        <v>11</v>
      </c>
    </row>
    <row r="1269" spans="1:9" x14ac:dyDescent="0.3">
      <c r="A1269">
        <v>3</v>
      </c>
      <c r="B1269" t="s">
        <v>239</v>
      </c>
      <c r="C1269" t="s">
        <v>191</v>
      </c>
      <c r="D1269" t="s">
        <v>195</v>
      </c>
      <c r="E1269" s="1" t="s">
        <v>105</v>
      </c>
      <c r="F1269" s="31" t="s">
        <v>119</v>
      </c>
      <c r="G1269" s="124">
        <v>3000</v>
      </c>
      <c r="H1269" t="s">
        <v>352</v>
      </c>
      <c r="I1269" s="34">
        <v>3</v>
      </c>
    </row>
    <row r="1270" spans="1:9" x14ac:dyDescent="0.3">
      <c r="A1270">
        <v>9</v>
      </c>
      <c r="B1270" t="s">
        <v>239</v>
      </c>
      <c r="C1270" t="s">
        <v>191</v>
      </c>
      <c r="D1270" t="s">
        <v>195</v>
      </c>
      <c r="E1270" t="s">
        <v>105</v>
      </c>
      <c r="F1270" s="57" t="s">
        <v>119</v>
      </c>
      <c r="G1270" s="124">
        <v>2800</v>
      </c>
      <c r="H1270" t="s">
        <v>352</v>
      </c>
      <c r="I1270" s="34">
        <v>9</v>
      </c>
    </row>
    <row r="1271" spans="1:9" x14ac:dyDescent="0.3">
      <c r="A1271">
        <v>7</v>
      </c>
      <c r="B1271" t="s">
        <v>239</v>
      </c>
      <c r="C1271" t="s">
        <v>191</v>
      </c>
      <c r="D1271" t="s">
        <v>195</v>
      </c>
      <c r="E1271" t="s">
        <v>105</v>
      </c>
      <c r="F1271" s="57" t="s">
        <v>119</v>
      </c>
      <c r="G1271" s="124">
        <v>2700</v>
      </c>
      <c r="H1271" t="s">
        <v>352</v>
      </c>
      <c r="I1271" s="34">
        <v>7</v>
      </c>
    </row>
    <row r="1272" spans="1:9" x14ac:dyDescent="0.3">
      <c r="A1272">
        <v>10</v>
      </c>
      <c r="B1272" t="s">
        <v>239</v>
      </c>
      <c r="C1272" t="s">
        <v>191</v>
      </c>
      <c r="D1272" t="s">
        <v>195</v>
      </c>
      <c r="E1272" t="s">
        <v>105</v>
      </c>
      <c r="F1272" s="57" t="s">
        <v>119</v>
      </c>
      <c r="G1272" s="124">
        <v>2600</v>
      </c>
      <c r="H1272" t="s">
        <v>352</v>
      </c>
      <c r="I1272" s="34">
        <v>10</v>
      </c>
    </row>
    <row r="1273" spans="1:9" x14ac:dyDescent="0.3">
      <c r="A1273">
        <v>2</v>
      </c>
      <c r="B1273" t="s">
        <v>239</v>
      </c>
      <c r="C1273" t="s">
        <v>191</v>
      </c>
      <c r="D1273" t="s">
        <v>238</v>
      </c>
      <c r="E1273" s="1" t="s">
        <v>105</v>
      </c>
      <c r="F1273" s="32" t="s">
        <v>119</v>
      </c>
      <c r="G1273" s="124">
        <v>2500</v>
      </c>
      <c r="H1273" t="s">
        <v>353</v>
      </c>
      <c r="I1273" s="34">
        <v>2</v>
      </c>
    </row>
    <row r="1274" spans="1:9" x14ac:dyDescent="0.3">
      <c r="A1274">
        <v>12</v>
      </c>
      <c r="B1274" t="s">
        <v>239</v>
      </c>
      <c r="C1274" t="s">
        <v>191</v>
      </c>
      <c r="D1274" t="s">
        <v>238</v>
      </c>
      <c r="E1274" t="s">
        <v>105</v>
      </c>
      <c r="F1274" s="57" t="s">
        <v>119</v>
      </c>
      <c r="G1274" s="124">
        <v>2500</v>
      </c>
      <c r="H1274" t="s">
        <v>353</v>
      </c>
      <c r="I1274" s="34">
        <v>12</v>
      </c>
    </row>
    <row r="1275" spans="1:9" x14ac:dyDescent="0.3">
      <c r="A1275">
        <v>8</v>
      </c>
      <c r="B1275" t="s">
        <v>239</v>
      </c>
      <c r="C1275" t="s">
        <v>191</v>
      </c>
      <c r="D1275" t="s">
        <v>195</v>
      </c>
      <c r="E1275" t="s">
        <v>105</v>
      </c>
      <c r="F1275" s="57" t="s">
        <v>119</v>
      </c>
      <c r="G1275" s="124">
        <v>2500</v>
      </c>
      <c r="H1275" t="s">
        <v>352</v>
      </c>
      <c r="I1275" s="34">
        <v>8</v>
      </c>
    </row>
    <row r="1276" spans="1:9" x14ac:dyDescent="0.3">
      <c r="A1276">
        <v>5</v>
      </c>
      <c r="B1276" t="s">
        <v>239</v>
      </c>
      <c r="C1276" t="s">
        <v>191</v>
      </c>
      <c r="D1276" t="s">
        <v>195</v>
      </c>
      <c r="E1276" s="1" t="s">
        <v>105</v>
      </c>
      <c r="F1276" s="54" t="s">
        <v>119</v>
      </c>
      <c r="G1276" s="124">
        <v>2300</v>
      </c>
      <c r="H1276" t="s">
        <v>352</v>
      </c>
      <c r="I1276" s="34">
        <v>5</v>
      </c>
    </row>
    <row r="1277" spans="1:9" x14ac:dyDescent="0.3">
      <c r="A1277">
        <v>12</v>
      </c>
      <c r="B1277" t="s">
        <v>239</v>
      </c>
      <c r="C1277" t="s">
        <v>191</v>
      </c>
      <c r="D1277" t="s">
        <v>195</v>
      </c>
      <c r="E1277" t="s">
        <v>105</v>
      </c>
      <c r="F1277" s="57" t="s">
        <v>119</v>
      </c>
      <c r="G1277" s="124">
        <v>2300</v>
      </c>
      <c r="H1277" t="s">
        <v>352</v>
      </c>
      <c r="I1277" s="34">
        <v>12</v>
      </c>
    </row>
    <row r="1278" spans="1:9" x14ac:dyDescent="0.3">
      <c r="A1278">
        <v>3</v>
      </c>
      <c r="B1278" t="s">
        <v>239</v>
      </c>
      <c r="C1278" t="s">
        <v>191</v>
      </c>
      <c r="D1278" t="s">
        <v>238</v>
      </c>
      <c r="E1278" s="1" t="s">
        <v>105</v>
      </c>
      <c r="F1278" s="31" t="s">
        <v>119</v>
      </c>
      <c r="G1278" s="124">
        <v>2200</v>
      </c>
      <c r="H1278" t="s">
        <v>353</v>
      </c>
      <c r="I1278" s="34">
        <v>3</v>
      </c>
    </row>
    <row r="1279" spans="1:9" x14ac:dyDescent="0.3">
      <c r="A1279" s="53">
        <v>11</v>
      </c>
      <c r="B1279" t="s">
        <v>239</v>
      </c>
      <c r="C1279" s="53" t="s">
        <v>191</v>
      </c>
      <c r="D1279" s="53" t="s">
        <v>195</v>
      </c>
      <c r="E1279" s="53" t="s">
        <v>105</v>
      </c>
      <c r="F1279" s="57" t="s">
        <v>119</v>
      </c>
      <c r="G1279" s="124">
        <v>2200</v>
      </c>
      <c r="H1279" t="s">
        <v>352</v>
      </c>
      <c r="I1279" s="34">
        <v>11</v>
      </c>
    </row>
    <row r="1280" spans="1:9" x14ac:dyDescent="0.3">
      <c r="A1280">
        <v>1</v>
      </c>
      <c r="B1280" t="s">
        <v>239</v>
      </c>
      <c r="C1280" t="s">
        <v>191</v>
      </c>
      <c r="D1280" t="s">
        <v>238</v>
      </c>
      <c r="E1280" s="1" t="s">
        <v>105</v>
      </c>
      <c r="F1280" s="32" t="s">
        <v>119</v>
      </c>
      <c r="G1280" s="124">
        <v>2100</v>
      </c>
      <c r="H1280" t="s">
        <v>353</v>
      </c>
      <c r="I1280" s="34">
        <v>1</v>
      </c>
    </row>
    <row r="1281" spans="1:9" x14ac:dyDescent="0.3">
      <c r="A1281">
        <v>4</v>
      </c>
      <c r="B1281" t="s">
        <v>239</v>
      </c>
      <c r="C1281" t="s">
        <v>191</v>
      </c>
      <c r="D1281" t="s">
        <v>188</v>
      </c>
      <c r="E1281" s="1" t="s">
        <v>105</v>
      </c>
      <c r="F1281" s="54" t="s">
        <v>119</v>
      </c>
      <c r="G1281" s="124">
        <v>1800</v>
      </c>
      <c r="H1281" t="s">
        <v>354</v>
      </c>
      <c r="I1281" s="34">
        <v>4</v>
      </c>
    </row>
    <row r="1282" spans="1:9" x14ac:dyDescent="0.3">
      <c r="A1282">
        <v>8</v>
      </c>
      <c r="B1282" t="s">
        <v>239</v>
      </c>
      <c r="C1282" t="s">
        <v>191</v>
      </c>
      <c r="D1282" t="s">
        <v>188</v>
      </c>
      <c r="E1282" t="s">
        <v>105</v>
      </c>
      <c r="F1282" s="57" t="s">
        <v>119</v>
      </c>
      <c r="G1282" s="124">
        <v>1700</v>
      </c>
      <c r="H1282" t="s">
        <v>354</v>
      </c>
      <c r="I1282" s="34">
        <v>8</v>
      </c>
    </row>
    <row r="1283" spans="1:9" x14ac:dyDescent="0.3">
      <c r="A1283">
        <v>12</v>
      </c>
      <c r="B1283" t="s">
        <v>239</v>
      </c>
      <c r="C1283" t="s">
        <v>191</v>
      </c>
      <c r="D1283" t="s">
        <v>188</v>
      </c>
      <c r="E1283" t="s">
        <v>105</v>
      </c>
      <c r="F1283" s="57" t="s">
        <v>119</v>
      </c>
      <c r="G1283" s="124">
        <v>1700</v>
      </c>
      <c r="H1283" t="s">
        <v>354</v>
      </c>
      <c r="I1283" s="34">
        <v>12</v>
      </c>
    </row>
    <row r="1284" spans="1:9" x14ac:dyDescent="0.3">
      <c r="A1284">
        <v>2</v>
      </c>
      <c r="B1284" t="s">
        <v>239</v>
      </c>
      <c r="C1284" t="s">
        <v>191</v>
      </c>
      <c r="D1284" t="s">
        <v>195</v>
      </c>
      <c r="E1284" s="1" t="s">
        <v>105</v>
      </c>
      <c r="F1284" s="32" t="s">
        <v>119</v>
      </c>
      <c r="G1284" s="124">
        <v>1650</v>
      </c>
      <c r="H1284" s="53" t="s">
        <v>352</v>
      </c>
      <c r="I1284" s="77">
        <v>2</v>
      </c>
    </row>
    <row r="1285" spans="1:9" x14ac:dyDescent="0.3">
      <c r="A1285">
        <v>10</v>
      </c>
      <c r="B1285" t="s">
        <v>239</v>
      </c>
      <c r="C1285" t="s">
        <v>191</v>
      </c>
      <c r="D1285" t="s">
        <v>188</v>
      </c>
      <c r="E1285" t="s">
        <v>105</v>
      </c>
      <c r="F1285" s="57" t="s">
        <v>119</v>
      </c>
      <c r="G1285" s="124">
        <v>1450</v>
      </c>
      <c r="H1285" s="53" t="s">
        <v>354</v>
      </c>
      <c r="I1285" s="77">
        <v>10</v>
      </c>
    </row>
    <row r="1286" spans="1:9" x14ac:dyDescent="0.3">
      <c r="A1286">
        <v>9</v>
      </c>
      <c r="B1286" t="s">
        <v>239</v>
      </c>
      <c r="C1286" t="s">
        <v>191</v>
      </c>
      <c r="D1286" t="s">
        <v>188</v>
      </c>
      <c r="E1286" t="s">
        <v>105</v>
      </c>
      <c r="F1286" s="57" t="s">
        <v>119</v>
      </c>
      <c r="G1286" s="124">
        <v>1400</v>
      </c>
      <c r="H1286" s="53" t="s">
        <v>354</v>
      </c>
      <c r="I1286" s="77">
        <v>9</v>
      </c>
    </row>
    <row r="1287" spans="1:9" x14ac:dyDescent="0.3">
      <c r="A1287">
        <v>5</v>
      </c>
      <c r="B1287" t="s">
        <v>239</v>
      </c>
      <c r="C1287" t="s">
        <v>191</v>
      </c>
      <c r="D1287" t="s">
        <v>188</v>
      </c>
      <c r="E1287" s="1" t="s">
        <v>105</v>
      </c>
      <c r="F1287" s="54" t="s">
        <v>119</v>
      </c>
      <c r="G1287" s="124">
        <v>1300</v>
      </c>
      <c r="H1287" t="s">
        <v>354</v>
      </c>
      <c r="I1287" s="34">
        <v>5</v>
      </c>
    </row>
    <row r="1288" spans="1:9" x14ac:dyDescent="0.3">
      <c r="A1288" s="53">
        <v>11</v>
      </c>
      <c r="B1288" t="s">
        <v>239</v>
      </c>
      <c r="C1288" s="53" t="s">
        <v>191</v>
      </c>
      <c r="D1288" s="53" t="s">
        <v>188</v>
      </c>
      <c r="E1288" s="53" t="s">
        <v>105</v>
      </c>
      <c r="F1288" s="57" t="s">
        <v>119</v>
      </c>
      <c r="G1288" s="124">
        <v>1300</v>
      </c>
      <c r="H1288" t="s">
        <v>354</v>
      </c>
      <c r="I1288" s="34">
        <v>11</v>
      </c>
    </row>
    <row r="1289" spans="1:9" x14ac:dyDescent="0.3">
      <c r="A1289">
        <v>3</v>
      </c>
      <c r="B1289" t="s">
        <v>239</v>
      </c>
      <c r="C1289" t="s">
        <v>191</v>
      </c>
      <c r="D1289" t="s">
        <v>188</v>
      </c>
      <c r="E1289" s="1" t="s">
        <v>105</v>
      </c>
      <c r="F1289" s="31" t="s">
        <v>119</v>
      </c>
      <c r="G1289" s="124">
        <v>1150</v>
      </c>
      <c r="H1289" t="s">
        <v>354</v>
      </c>
      <c r="I1289" s="34">
        <v>3</v>
      </c>
    </row>
    <row r="1290" spans="1:9" x14ac:dyDescent="0.3">
      <c r="A1290">
        <v>1</v>
      </c>
      <c r="B1290" t="s">
        <v>239</v>
      </c>
      <c r="C1290" t="s">
        <v>191</v>
      </c>
      <c r="D1290" t="s">
        <v>195</v>
      </c>
      <c r="E1290" s="1" t="s">
        <v>105</v>
      </c>
      <c r="F1290" s="32" t="s">
        <v>119</v>
      </c>
      <c r="G1290" s="124">
        <v>1150</v>
      </c>
      <c r="H1290" t="s">
        <v>352</v>
      </c>
      <c r="I1290" s="34">
        <v>1</v>
      </c>
    </row>
    <row r="1291" spans="1:9" x14ac:dyDescent="0.3">
      <c r="A1291">
        <v>2</v>
      </c>
      <c r="B1291" t="s">
        <v>239</v>
      </c>
      <c r="C1291" t="s">
        <v>191</v>
      </c>
      <c r="D1291" t="s">
        <v>188</v>
      </c>
      <c r="E1291" s="1" t="s">
        <v>105</v>
      </c>
      <c r="F1291" s="32" t="s">
        <v>119</v>
      </c>
      <c r="G1291" s="124">
        <v>1100</v>
      </c>
      <c r="H1291" t="s">
        <v>354</v>
      </c>
      <c r="I1291" s="34">
        <v>2</v>
      </c>
    </row>
    <row r="1292" spans="1:9" x14ac:dyDescent="0.3">
      <c r="A1292">
        <v>6</v>
      </c>
      <c r="B1292" t="s">
        <v>239</v>
      </c>
      <c r="C1292" t="s">
        <v>191</v>
      </c>
      <c r="D1292" t="s">
        <v>188</v>
      </c>
      <c r="E1292" t="s">
        <v>105</v>
      </c>
      <c r="F1292" s="57" t="s">
        <v>119</v>
      </c>
      <c r="G1292" s="124">
        <v>1100</v>
      </c>
      <c r="H1292" t="s">
        <v>354</v>
      </c>
      <c r="I1292" s="34">
        <v>6</v>
      </c>
    </row>
    <row r="1293" spans="1:9" x14ac:dyDescent="0.3">
      <c r="A1293">
        <v>7</v>
      </c>
      <c r="B1293" t="s">
        <v>239</v>
      </c>
      <c r="C1293" t="s">
        <v>191</v>
      </c>
      <c r="D1293" t="s">
        <v>188</v>
      </c>
      <c r="E1293" t="s">
        <v>105</v>
      </c>
      <c r="F1293" s="57" t="s">
        <v>119</v>
      </c>
      <c r="G1293" s="124">
        <v>1050</v>
      </c>
      <c r="H1293" t="s">
        <v>354</v>
      </c>
      <c r="I1293" s="34">
        <v>7</v>
      </c>
    </row>
    <row r="1294" spans="1:9" x14ac:dyDescent="0.3">
      <c r="A1294">
        <v>1</v>
      </c>
      <c r="B1294" t="s">
        <v>239</v>
      </c>
      <c r="C1294" t="s">
        <v>191</v>
      </c>
      <c r="D1294" t="s">
        <v>188</v>
      </c>
      <c r="E1294" s="1" t="s">
        <v>105</v>
      </c>
      <c r="F1294" s="32" t="s">
        <v>119</v>
      </c>
      <c r="G1294" s="124">
        <v>950</v>
      </c>
      <c r="H1294" t="s">
        <v>354</v>
      </c>
      <c r="I1294" s="34">
        <v>1</v>
      </c>
    </row>
    <row r="1295" spans="1:9" x14ac:dyDescent="0.3">
      <c r="A1295">
        <v>6</v>
      </c>
      <c r="B1295" t="s">
        <v>239</v>
      </c>
      <c r="C1295" t="s">
        <v>193</v>
      </c>
      <c r="D1295" t="s">
        <v>195</v>
      </c>
      <c r="E1295" t="s">
        <v>105</v>
      </c>
      <c r="F1295" s="57" t="s">
        <v>119</v>
      </c>
      <c r="G1295" s="124">
        <v>723.91139999999996</v>
      </c>
      <c r="H1295" t="s">
        <v>355</v>
      </c>
      <c r="I1295" s="34">
        <v>6</v>
      </c>
    </row>
    <row r="1296" spans="1:9" x14ac:dyDescent="0.3">
      <c r="A1296">
        <v>4</v>
      </c>
      <c r="B1296" t="s">
        <v>239</v>
      </c>
      <c r="C1296" t="s">
        <v>193</v>
      </c>
      <c r="D1296" t="s">
        <v>195</v>
      </c>
      <c r="E1296" s="1" t="s">
        <v>105</v>
      </c>
      <c r="F1296" s="31" t="s">
        <v>119</v>
      </c>
      <c r="G1296" s="124">
        <v>545.6</v>
      </c>
      <c r="H1296" t="s">
        <v>355</v>
      </c>
      <c r="I1296" s="34">
        <v>4</v>
      </c>
    </row>
    <row r="1297" spans="1:9" x14ac:dyDescent="0.3">
      <c r="A1297">
        <v>3</v>
      </c>
      <c r="B1297" t="s">
        <v>239</v>
      </c>
      <c r="C1297" t="s">
        <v>193</v>
      </c>
      <c r="D1297" t="s">
        <v>195</v>
      </c>
      <c r="E1297" s="1" t="s">
        <v>105</v>
      </c>
      <c r="F1297" s="54" t="s">
        <v>119</v>
      </c>
      <c r="G1297" s="124">
        <v>525</v>
      </c>
      <c r="H1297" t="s">
        <v>355</v>
      </c>
      <c r="I1297" s="34">
        <v>3</v>
      </c>
    </row>
    <row r="1298" spans="1:9" x14ac:dyDescent="0.3">
      <c r="A1298">
        <v>9</v>
      </c>
      <c r="B1298" t="s">
        <v>239</v>
      </c>
      <c r="C1298" t="s">
        <v>193</v>
      </c>
      <c r="D1298" t="s">
        <v>195</v>
      </c>
      <c r="E1298" t="s">
        <v>105</v>
      </c>
      <c r="F1298" s="57" t="s">
        <v>119</v>
      </c>
      <c r="G1298" s="124">
        <v>515.20000000000005</v>
      </c>
      <c r="H1298" t="s">
        <v>355</v>
      </c>
      <c r="I1298" s="34">
        <v>9</v>
      </c>
    </row>
    <row r="1299" spans="1:9" x14ac:dyDescent="0.3">
      <c r="A1299">
        <v>7</v>
      </c>
      <c r="B1299" t="s">
        <v>239</v>
      </c>
      <c r="C1299" t="s">
        <v>193</v>
      </c>
      <c r="D1299" t="s">
        <v>195</v>
      </c>
      <c r="E1299" t="s">
        <v>105</v>
      </c>
      <c r="F1299" s="57" t="s">
        <v>119</v>
      </c>
      <c r="G1299" s="124">
        <v>494.67239999999998</v>
      </c>
      <c r="H1299" t="s">
        <v>355</v>
      </c>
      <c r="I1299" s="34">
        <v>7</v>
      </c>
    </row>
    <row r="1300" spans="1:9" x14ac:dyDescent="0.3">
      <c r="A1300">
        <v>8</v>
      </c>
      <c r="B1300" t="s">
        <v>239</v>
      </c>
      <c r="C1300" t="s">
        <v>193</v>
      </c>
      <c r="D1300" t="s">
        <v>195</v>
      </c>
      <c r="E1300" t="s">
        <v>105</v>
      </c>
      <c r="F1300" s="57" t="s">
        <v>119</v>
      </c>
      <c r="G1300" s="124">
        <v>471.25</v>
      </c>
      <c r="H1300" t="s">
        <v>355</v>
      </c>
      <c r="I1300" s="34">
        <v>8</v>
      </c>
    </row>
    <row r="1301" spans="1:9" x14ac:dyDescent="0.3">
      <c r="A1301">
        <v>10</v>
      </c>
      <c r="B1301" t="s">
        <v>239</v>
      </c>
      <c r="C1301" t="s">
        <v>193</v>
      </c>
      <c r="D1301" t="s">
        <v>195</v>
      </c>
      <c r="E1301" t="s">
        <v>105</v>
      </c>
      <c r="F1301" s="57" t="s">
        <v>119</v>
      </c>
      <c r="G1301" s="124">
        <v>438.1</v>
      </c>
      <c r="H1301" t="s">
        <v>355</v>
      </c>
      <c r="I1301" s="34">
        <v>10</v>
      </c>
    </row>
    <row r="1302" spans="1:9" x14ac:dyDescent="0.3">
      <c r="A1302">
        <v>5</v>
      </c>
      <c r="B1302" t="s">
        <v>239</v>
      </c>
      <c r="C1302" t="s">
        <v>193</v>
      </c>
      <c r="D1302" t="s">
        <v>195</v>
      </c>
      <c r="E1302" t="s">
        <v>105</v>
      </c>
      <c r="F1302" s="57" t="s">
        <v>119</v>
      </c>
      <c r="G1302" s="124">
        <v>430.1</v>
      </c>
      <c r="H1302" t="s">
        <v>355</v>
      </c>
      <c r="I1302" s="34">
        <v>5</v>
      </c>
    </row>
    <row r="1303" spans="1:9" x14ac:dyDescent="0.3">
      <c r="A1303">
        <v>12</v>
      </c>
      <c r="B1303" t="s">
        <v>239</v>
      </c>
      <c r="C1303" t="s">
        <v>193</v>
      </c>
      <c r="D1303" t="s">
        <v>195</v>
      </c>
      <c r="E1303" t="s">
        <v>105</v>
      </c>
      <c r="F1303" s="57" t="s">
        <v>119</v>
      </c>
      <c r="G1303" s="124">
        <v>394.22</v>
      </c>
      <c r="H1303" t="s">
        <v>355</v>
      </c>
      <c r="I1303" s="34">
        <v>12</v>
      </c>
    </row>
    <row r="1304" spans="1:9" x14ac:dyDescent="0.3">
      <c r="A1304" s="53">
        <v>11</v>
      </c>
      <c r="B1304" t="s">
        <v>239</v>
      </c>
      <c r="C1304" s="53" t="s">
        <v>193</v>
      </c>
      <c r="D1304" s="53" t="s">
        <v>195</v>
      </c>
      <c r="E1304" s="53" t="s">
        <v>105</v>
      </c>
      <c r="F1304" s="57" t="s">
        <v>119</v>
      </c>
      <c r="G1304" s="124">
        <v>374</v>
      </c>
      <c r="H1304" t="s">
        <v>355</v>
      </c>
      <c r="I1304" s="34">
        <v>11</v>
      </c>
    </row>
    <row r="1305" spans="1:9" x14ac:dyDescent="0.3">
      <c r="A1305">
        <v>7</v>
      </c>
      <c r="B1305" t="s">
        <v>239</v>
      </c>
      <c r="C1305" t="s">
        <v>193</v>
      </c>
      <c r="D1305" t="s">
        <v>238</v>
      </c>
      <c r="E1305" t="s">
        <v>105</v>
      </c>
      <c r="F1305" s="57" t="s">
        <v>119</v>
      </c>
      <c r="G1305" s="124">
        <v>331.2</v>
      </c>
      <c r="H1305" s="53" t="s">
        <v>356</v>
      </c>
      <c r="I1305" s="77">
        <v>7</v>
      </c>
    </row>
    <row r="1306" spans="1:9" x14ac:dyDescent="0.3">
      <c r="A1306">
        <v>2</v>
      </c>
      <c r="B1306" t="s">
        <v>239</v>
      </c>
      <c r="C1306" t="s">
        <v>193</v>
      </c>
      <c r="D1306" t="s">
        <v>195</v>
      </c>
      <c r="E1306" s="1" t="s">
        <v>105</v>
      </c>
      <c r="F1306" s="54" t="s">
        <v>119</v>
      </c>
      <c r="G1306" s="124">
        <v>326.7</v>
      </c>
      <c r="H1306" t="s">
        <v>355</v>
      </c>
      <c r="I1306" s="34">
        <v>2</v>
      </c>
    </row>
    <row r="1307" spans="1:9" x14ac:dyDescent="0.3">
      <c r="A1307">
        <v>8</v>
      </c>
      <c r="B1307" t="s">
        <v>239</v>
      </c>
      <c r="C1307" t="s">
        <v>193</v>
      </c>
      <c r="D1307" t="s">
        <v>188</v>
      </c>
      <c r="E1307" t="s">
        <v>105</v>
      </c>
      <c r="F1307" s="57" t="s">
        <v>119</v>
      </c>
      <c r="G1307" s="124">
        <v>322.14999999999998</v>
      </c>
      <c r="H1307" t="s">
        <v>357</v>
      </c>
      <c r="I1307" s="34">
        <v>8</v>
      </c>
    </row>
    <row r="1308" spans="1:9" x14ac:dyDescent="0.3">
      <c r="A1308">
        <v>10</v>
      </c>
      <c r="B1308" t="s">
        <v>239</v>
      </c>
      <c r="C1308" t="s">
        <v>193</v>
      </c>
      <c r="D1308" t="s">
        <v>238</v>
      </c>
      <c r="E1308" t="s">
        <v>105</v>
      </c>
      <c r="F1308" s="57" t="s">
        <v>119</v>
      </c>
      <c r="G1308" s="124">
        <v>322</v>
      </c>
      <c r="H1308" s="53" t="s">
        <v>356</v>
      </c>
      <c r="I1308" s="77">
        <v>10</v>
      </c>
    </row>
    <row r="1309" spans="1:9" x14ac:dyDescent="0.3">
      <c r="A1309">
        <v>4</v>
      </c>
      <c r="B1309" t="s">
        <v>239</v>
      </c>
      <c r="C1309" t="s">
        <v>193</v>
      </c>
      <c r="D1309" t="s">
        <v>188</v>
      </c>
      <c r="E1309" s="1" t="s">
        <v>105</v>
      </c>
      <c r="F1309" s="31" t="s">
        <v>119</v>
      </c>
      <c r="G1309" s="124">
        <v>316.8</v>
      </c>
      <c r="H1309" t="s">
        <v>357</v>
      </c>
      <c r="I1309" s="34">
        <v>4</v>
      </c>
    </row>
    <row r="1310" spans="1:9" x14ac:dyDescent="0.3">
      <c r="A1310">
        <v>4</v>
      </c>
      <c r="B1310" t="s">
        <v>239</v>
      </c>
      <c r="C1310" t="s">
        <v>193</v>
      </c>
      <c r="D1310" t="s">
        <v>238</v>
      </c>
      <c r="E1310" s="1" t="s">
        <v>105</v>
      </c>
      <c r="F1310" s="31" t="s">
        <v>119</v>
      </c>
      <c r="G1310" s="124">
        <v>315</v>
      </c>
      <c r="H1310" s="53" t="s">
        <v>356</v>
      </c>
      <c r="I1310" s="77">
        <v>4</v>
      </c>
    </row>
    <row r="1311" spans="1:9" x14ac:dyDescent="0.3">
      <c r="A1311">
        <v>6</v>
      </c>
      <c r="B1311" t="s">
        <v>239</v>
      </c>
      <c r="C1311" t="s">
        <v>193</v>
      </c>
      <c r="D1311" t="s">
        <v>238</v>
      </c>
      <c r="E1311" t="s">
        <v>105</v>
      </c>
      <c r="F1311" s="57" t="s">
        <v>119</v>
      </c>
      <c r="G1311" s="124">
        <v>315</v>
      </c>
      <c r="H1311" s="53" t="s">
        <v>356</v>
      </c>
      <c r="I1311" s="77">
        <v>6</v>
      </c>
    </row>
    <row r="1312" spans="1:9" x14ac:dyDescent="0.3">
      <c r="A1312">
        <v>12</v>
      </c>
      <c r="B1312" t="s">
        <v>239</v>
      </c>
      <c r="C1312" t="s">
        <v>193</v>
      </c>
      <c r="D1312" t="s">
        <v>188</v>
      </c>
      <c r="E1312" t="s">
        <v>105</v>
      </c>
      <c r="F1312" s="57" t="s">
        <v>119</v>
      </c>
      <c r="G1312" s="124">
        <v>288.45004999999998</v>
      </c>
      <c r="H1312" s="53" t="s">
        <v>357</v>
      </c>
      <c r="I1312" s="77">
        <v>12</v>
      </c>
    </row>
    <row r="1313" spans="1:9" x14ac:dyDescent="0.3">
      <c r="A1313">
        <v>8</v>
      </c>
      <c r="B1313" t="s">
        <v>239</v>
      </c>
      <c r="C1313" t="s">
        <v>193</v>
      </c>
      <c r="D1313" t="s">
        <v>238</v>
      </c>
      <c r="E1313" t="s">
        <v>105</v>
      </c>
      <c r="F1313" s="57" t="s">
        <v>119</v>
      </c>
      <c r="G1313" s="124">
        <v>276</v>
      </c>
      <c r="H1313" s="53" t="s">
        <v>356</v>
      </c>
      <c r="I1313" s="77">
        <v>8</v>
      </c>
    </row>
    <row r="1314" spans="1:9" x14ac:dyDescent="0.3">
      <c r="A1314">
        <v>9</v>
      </c>
      <c r="B1314" t="s">
        <v>239</v>
      </c>
      <c r="C1314" t="s">
        <v>193</v>
      </c>
      <c r="D1314" t="s">
        <v>238</v>
      </c>
      <c r="E1314" t="s">
        <v>105</v>
      </c>
      <c r="F1314" s="57" t="s">
        <v>119</v>
      </c>
      <c r="G1314" s="124">
        <v>276</v>
      </c>
      <c r="H1314" t="s">
        <v>356</v>
      </c>
      <c r="I1314" s="34">
        <v>9</v>
      </c>
    </row>
    <row r="1315" spans="1:9" x14ac:dyDescent="0.3">
      <c r="A1315">
        <v>5</v>
      </c>
      <c r="B1315" t="s">
        <v>239</v>
      </c>
      <c r="C1315" t="s">
        <v>193</v>
      </c>
      <c r="D1315" t="s">
        <v>238</v>
      </c>
      <c r="E1315" t="s">
        <v>105</v>
      </c>
      <c r="F1315" s="57" t="s">
        <v>119</v>
      </c>
      <c r="G1315" s="124">
        <v>270</v>
      </c>
      <c r="H1315" t="s">
        <v>356</v>
      </c>
      <c r="I1315" s="34">
        <v>5</v>
      </c>
    </row>
    <row r="1316" spans="1:9" x14ac:dyDescent="0.3">
      <c r="A1316" s="53">
        <v>11</v>
      </c>
      <c r="B1316" t="s">
        <v>239</v>
      </c>
      <c r="C1316" s="53" t="s">
        <v>193</v>
      </c>
      <c r="D1316" s="53" t="s">
        <v>238</v>
      </c>
      <c r="E1316" s="53" t="s">
        <v>105</v>
      </c>
      <c r="F1316" s="57" t="s">
        <v>119</v>
      </c>
      <c r="G1316" s="124">
        <v>270</v>
      </c>
      <c r="H1316" s="53" t="s">
        <v>356</v>
      </c>
      <c r="I1316" s="77">
        <v>11</v>
      </c>
    </row>
    <row r="1317" spans="1:9" x14ac:dyDescent="0.3">
      <c r="A1317">
        <v>9</v>
      </c>
      <c r="B1317" t="s">
        <v>239</v>
      </c>
      <c r="C1317" t="s">
        <v>193</v>
      </c>
      <c r="D1317" t="s">
        <v>188</v>
      </c>
      <c r="E1317" t="s">
        <v>105</v>
      </c>
      <c r="F1317" s="57" t="s">
        <v>119</v>
      </c>
      <c r="G1317" s="124">
        <v>260.39999999999998</v>
      </c>
      <c r="H1317" s="53" t="s">
        <v>357</v>
      </c>
      <c r="I1317" s="77">
        <v>9</v>
      </c>
    </row>
    <row r="1318" spans="1:9" x14ac:dyDescent="0.3">
      <c r="A1318">
        <v>10</v>
      </c>
      <c r="B1318" t="s">
        <v>239</v>
      </c>
      <c r="C1318" t="s">
        <v>193</v>
      </c>
      <c r="D1318" t="s">
        <v>188</v>
      </c>
      <c r="E1318" t="s">
        <v>105</v>
      </c>
      <c r="F1318" s="57" t="s">
        <v>119</v>
      </c>
      <c r="G1318" s="124">
        <v>247.95</v>
      </c>
      <c r="H1318" s="53" t="s">
        <v>357</v>
      </c>
      <c r="I1318" s="77">
        <v>10</v>
      </c>
    </row>
    <row r="1319" spans="1:9" x14ac:dyDescent="0.3">
      <c r="A1319">
        <v>5</v>
      </c>
      <c r="B1319" t="s">
        <v>239</v>
      </c>
      <c r="C1319" t="s">
        <v>193</v>
      </c>
      <c r="D1319" t="s">
        <v>188</v>
      </c>
      <c r="E1319" t="s">
        <v>105</v>
      </c>
      <c r="F1319" s="57" t="s">
        <v>119</v>
      </c>
      <c r="G1319" s="124">
        <v>240.5</v>
      </c>
      <c r="H1319" t="s">
        <v>357</v>
      </c>
      <c r="I1319" s="34">
        <v>5</v>
      </c>
    </row>
    <row r="1320" spans="1:9" x14ac:dyDescent="0.3">
      <c r="A1320">
        <v>12</v>
      </c>
      <c r="B1320" t="s">
        <v>239</v>
      </c>
      <c r="C1320" t="s">
        <v>193</v>
      </c>
      <c r="D1320" t="s">
        <v>238</v>
      </c>
      <c r="E1320" t="s">
        <v>105</v>
      </c>
      <c r="F1320" s="57" t="s">
        <v>119</v>
      </c>
      <c r="G1320" s="124">
        <v>230</v>
      </c>
      <c r="H1320" t="s">
        <v>356</v>
      </c>
      <c r="I1320" s="34">
        <v>12</v>
      </c>
    </row>
    <row r="1321" spans="1:9" x14ac:dyDescent="0.3">
      <c r="A1321">
        <v>2</v>
      </c>
      <c r="B1321" t="s">
        <v>239</v>
      </c>
      <c r="C1321" t="s">
        <v>193</v>
      </c>
      <c r="D1321" t="s">
        <v>238</v>
      </c>
      <c r="E1321" s="1" t="s">
        <v>105</v>
      </c>
      <c r="F1321" s="54" t="s">
        <v>119</v>
      </c>
      <c r="G1321" s="124">
        <v>225</v>
      </c>
      <c r="H1321" s="53" t="s">
        <v>356</v>
      </c>
      <c r="I1321" s="77">
        <v>2</v>
      </c>
    </row>
    <row r="1322" spans="1:9" x14ac:dyDescent="0.3">
      <c r="A1322" s="53">
        <v>11</v>
      </c>
      <c r="B1322" t="s">
        <v>239</v>
      </c>
      <c r="C1322" s="53" t="s">
        <v>193</v>
      </c>
      <c r="D1322" s="53" t="s">
        <v>188</v>
      </c>
      <c r="E1322" s="53" t="s">
        <v>105</v>
      </c>
      <c r="F1322" s="57" t="s">
        <v>119</v>
      </c>
      <c r="G1322" s="124">
        <v>219.7</v>
      </c>
      <c r="H1322" s="53" t="s">
        <v>357</v>
      </c>
      <c r="I1322" s="77">
        <v>11</v>
      </c>
    </row>
    <row r="1323" spans="1:9" x14ac:dyDescent="0.3">
      <c r="A1323">
        <v>6</v>
      </c>
      <c r="B1323" t="s">
        <v>239</v>
      </c>
      <c r="C1323" t="s">
        <v>193</v>
      </c>
      <c r="D1323" t="s">
        <v>188</v>
      </c>
      <c r="E1323" t="s">
        <v>105</v>
      </c>
      <c r="F1323" s="57" t="s">
        <v>119</v>
      </c>
      <c r="G1323" s="124">
        <v>211.31</v>
      </c>
      <c r="H1323" t="s">
        <v>357</v>
      </c>
      <c r="I1323" s="34">
        <v>6</v>
      </c>
    </row>
    <row r="1324" spans="1:9" x14ac:dyDescent="0.3">
      <c r="A1324">
        <v>3</v>
      </c>
      <c r="B1324" t="s">
        <v>239</v>
      </c>
      <c r="C1324" t="s">
        <v>193</v>
      </c>
      <c r="D1324" t="s">
        <v>188</v>
      </c>
      <c r="E1324" s="1" t="s">
        <v>105</v>
      </c>
      <c r="F1324" s="54" t="s">
        <v>119</v>
      </c>
      <c r="G1324" s="124">
        <v>209.3</v>
      </c>
      <c r="H1324" t="s">
        <v>357</v>
      </c>
      <c r="I1324" s="34">
        <v>3</v>
      </c>
    </row>
    <row r="1325" spans="1:9" x14ac:dyDescent="0.3">
      <c r="A1325">
        <v>1</v>
      </c>
      <c r="B1325" t="s">
        <v>239</v>
      </c>
      <c r="C1325" t="s">
        <v>193</v>
      </c>
      <c r="D1325" t="s">
        <v>195</v>
      </c>
      <c r="E1325" s="1" t="s">
        <v>105</v>
      </c>
      <c r="F1325" s="31" t="s">
        <v>119</v>
      </c>
      <c r="G1325" s="124">
        <v>206.36750000000001</v>
      </c>
      <c r="H1325" t="s">
        <v>355</v>
      </c>
      <c r="I1325" s="34">
        <v>1</v>
      </c>
    </row>
    <row r="1326" spans="1:9" x14ac:dyDescent="0.3">
      <c r="A1326">
        <v>2</v>
      </c>
      <c r="B1326" t="s">
        <v>239</v>
      </c>
      <c r="C1326" t="s">
        <v>193</v>
      </c>
      <c r="D1326" t="s">
        <v>188</v>
      </c>
      <c r="E1326" s="1" t="s">
        <v>105</v>
      </c>
      <c r="F1326" s="54" t="s">
        <v>119</v>
      </c>
      <c r="G1326" s="124">
        <v>203.5</v>
      </c>
      <c r="H1326" t="s">
        <v>357</v>
      </c>
      <c r="I1326" s="34">
        <v>2</v>
      </c>
    </row>
    <row r="1327" spans="1:9" x14ac:dyDescent="0.3">
      <c r="A1327">
        <v>3</v>
      </c>
      <c r="B1327" t="s">
        <v>239</v>
      </c>
      <c r="C1327" t="s">
        <v>193</v>
      </c>
      <c r="D1327" t="s">
        <v>238</v>
      </c>
      <c r="E1327" s="1" t="s">
        <v>105</v>
      </c>
      <c r="F1327" s="54" t="s">
        <v>119</v>
      </c>
      <c r="G1327" s="124">
        <v>198</v>
      </c>
      <c r="H1327" t="s">
        <v>356</v>
      </c>
      <c r="I1327" s="34">
        <v>3</v>
      </c>
    </row>
    <row r="1328" spans="1:9" x14ac:dyDescent="0.3">
      <c r="A1328">
        <v>2</v>
      </c>
      <c r="B1328" t="s">
        <v>239</v>
      </c>
      <c r="C1328" t="s">
        <v>192</v>
      </c>
      <c r="D1328" t="s">
        <v>195</v>
      </c>
      <c r="E1328" s="1" t="s">
        <v>105</v>
      </c>
      <c r="F1328" s="31" t="s">
        <v>119</v>
      </c>
      <c r="G1328" s="124">
        <v>198</v>
      </c>
      <c r="H1328" t="s">
        <v>358</v>
      </c>
      <c r="I1328" s="34">
        <v>2</v>
      </c>
    </row>
    <row r="1329" spans="1:9" x14ac:dyDescent="0.3">
      <c r="A1329">
        <v>1</v>
      </c>
      <c r="B1329" t="s">
        <v>239</v>
      </c>
      <c r="C1329" t="s">
        <v>193</v>
      </c>
      <c r="D1329" t="s">
        <v>238</v>
      </c>
      <c r="E1329" s="1" t="s">
        <v>105</v>
      </c>
      <c r="F1329" s="31" t="s">
        <v>119</v>
      </c>
      <c r="G1329" s="124">
        <v>193.2</v>
      </c>
      <c r="H1329" t="s">
        <v>356</v>
      </c>
      <c r="I1329" s="34">
        <v>1</v>
      </c>
    </row>
    <row r="1330" spans="1:9" x14ac:dyDescent="0.3">
      <c r="A1330">
        <v>7</v>
      </c>
      <c r="B1330" t="s">
        <v>239</v>
      </c>
      <c r="C1330" t="s">
        <v>193</v>
      </c>
      <c r="D1330" t="s">
        <v>188</v>
      </c>
      <c r="E1330" t="s">
        <v>105</v>
      </c>
      <c r="F1330" s="57" t="s">
        <v>119</v>
      </c>
      <c r="G1330" s="124">
        <v>192.465</v>
      </c>
      <c r="H1330" t="s">
        <v>357</v>
      </c>
      <c r="I1330" s="34">
        <v>7</v>
      </c>
    </row>
    <row r="1331" spans="1:9" x14ac:dyDescent="0.3">
      <c r="A1331">
        <v>6</v>
      </c>
      <c r="B1331" t="s">
        <v>239</v>
      </c>
      <c r="C1331" t="s">
        <v>192</v>
      </c>
      <c r="D1331" t="s">
        <v>188</v>
      </c>
      <c r="E1331" t="s">
        <v>105</v>
      </c>
      <c r="F1331" s="57" t="s">
        <v>119</v>
      </c>
      <c r="G1331" s="124">
        <v>192.1</v>
      </c>
      <c r="H1331" s="53" t="s">
        <v>359</v>
      </c>
      <c r="I1331" s="77">
        <v>6</v>
      </c>
    </row>
    <row r="1332" spans="1:9" x14ac:dyDescent="0.3">
      <c r="A1332">
        <v>6</v>
      </c>
      <c r="B1332" t="s">
        <v>239</v>
      </c>
      <c r="C1332" t="s">
        <v>192</v>
      </c>
      <c r="D1332" t="s">
        <v>195</v>
      </c>
      <c r="E1332" t="s">
        <v>105</v>
      </c>
      <c r="F1332" s="57" t="s">
        <v>119</v>
      </c>
      <c r="G1332" s="124">
        <v>190.50299999999999</v>
      </c>
      <c r="H1332" t="s">
        <v>358</v>
      </c>
      <c r="I1332" s="34">
        <v>6</v>
      </c>
    </row>
    <row r="1333" spans="1:9" x14ac:dyDescent="0.3">
      <c r="A1333">
        <v>8</v>
      </c>
      <c r="B1333" t="s">
        <v>239</v>
      </c>
      <c r="C1333" t="s">
        <v>192</v>
      </c>
      <c r="D1333" t="s">
        <v>188</v>
      </c>
      <c r="E1333" t="s">
        <v>105</v>
      </c>
      <c r="F1333" s="57" t="s">
        <v>119</v>
      </c>
      <c r="G1333" s="124">
        <v>189.5</v>
      </c>
      <c r="H1333" t="s">
        <v>359</v>
      </c>
      <c r="I1333" s="34">
        <v>8</v>
      </c>
    </row>
    <row r="1334" spans="1:9" x14ac:dyDescent="0.3">
      <c r="A1334">
        <v>8</v>
      </c>
      <c r="B1334" t="s">
        <v>239</v>
      </c>
      <c r="C1334" t="s">
        <v>192</v>
      </c>
      <c r="D1334" t="s">
        <v>195</v>
      </c>
      <c r="E1334" t="s">
        <v>105</v>
      </c>
      <c r="F1334" s="57" t="s">
        <v>119</v>
      </c>
      <c r="G1334" s="124">
        <v>188.5</v>
      </c>
      <c r="H1334" t="s">
        <v>358</v>
      </c>
      <c r="I1334" s="34">
        <v>8</v>
      </c>
    </row>
    <row r="1335" spans="1:9" x14ac:dyDescent="0.3">
      <c r="A1335">
        <v>5</v>
      </c>
      <c r="B1335" t="s">
        <v>239</v>
      </c>
      <c r="C1335" t="s">
        <v>192</v>
      </c>
      <c r="D1335" t="s">
        <v>195</v>
      </c>
      <c r="E1335" t="s">
        <v>105</v>
      </c>
      <c r="F1335" s="57" t="s">
        <v>119</v>
      </c>
      <c r="G1335" s="124">
        <v>187</v>
      </c>
      <c r="H1335" t="s">
        <v>358</v>
      </c>
      <c r="I1335" s="34">
        <v>5</v>
      </c>
    </row>
    <row r="1336" spans="1:9" x14ac:dyDescent="0.3">
      <c r="A1336">
        <v>9</v>
      </c>
      <c r="B1336" t="s">
        <v>239</v>
      </c>
      <c r="C1336" t="s">
        <v>192</v>
      </c>
      <c r="D1336" t="s">
        <v>188</v>
      </c>
      <c r="E1336" t="s">
        <v>105</v>
      </c>
      <c r="F1336" s="57" t="s">
        <v>119</v>
      </c>
      <c r="G1336" s="124">
        <v>186</v>
      </c>
      <c r="H1336" t="s">
        <v>359</v>
      </c>
      <c r="I1336" s="34">
        <v>9</v>
      </c>
    </row>
    <row r="1337" spans="1:9" x14ac:dyDescent="0.3">
      <c r="A1337">
        <v>2</v>
      </c>
      <c r="B1337" t="s">
        <v>239</v>
      </c>
      <c r="C1337" t="s">
        <v>192</v>
      </c>
      <c r="D1337" t="s">
        <v>188</v>
      </c>
      <c r="E1337" s="1" t="s">
        <v>105</v>
      </c>
      <c r="F1337" s="31" t="s">
        <v>119</v>
      </c>
      <c r="G1337" s="124">
        <v>185</v>
      </c>
      <c r="H1337" t="s">
        <v>359</v>
      </c>
      <c r="I1337" s="34">
        <v>2</v>
      </c>
    </row>
    <row r="1338" spans="1:9" x14ac:dyDescent="0.3">
      <c r="A1338">
        <v>5</v>
      </c>
      <c r="B1338" t="s">
        <v>239</v>
      </c>
      <c r="C1338" t="s">
        <v>192</v>
      </c>
      <c r="D1338" t="s">
        <v>188</v>
      </c>
      <c r="E1338" t="s">
        <v>105</v>
      </c>
      <c r="F1338" s="57" t="s">
        <v>119</v>
      </c>
      <c r="G1338" s="124">
        <v>185</v>
      </c>
      <c r="H1338" t="s">
        <v>359</v>
      </c>
      <c r="I1338" s="34">
        <v>5</v>
      </c>
    </row>
    <row r="1339" spans="1:9" x14ac:dyDescent="0.3">
      <c r="A1339">
        <v>9</v>
      </c>
      <c r="B1339" t="s">
        <v>239</v>
      </c>
      <c r="C1339" t="s">
        <v>192</v>
      </c>
      <c r="D1339" t="s">
        <v>195</v>
      </c>
      <c r="E1339" t="s">
        <v>105</v>
      </c>
      <c r="F1339" s="57" t="s">
        <v>119</v>
      </c>
      <c r="G1339" s="124">
        <v>184</v>
      </c>
      <c r="H1339" t="s">
        <v>358</v>
      </c>
      <c r="I1339" s="34">
        <v>9</v>
      </c>
    </row>
    <row r="1340" spans="1:9" x14ac:dyDescent="0.3">
      <c r="A1340">
        <v>7</v>
      </c>
      <c r="B1340" t="s">
        <v>239</v>
      </c>
      <c r="C1340" t="s">
        <v>192</v>
      </c>
      <c r="D1340" t="s">
        <v>188</v>
      </c>
      <c r="E1340" t="s">
        <v>105</v>
      </c>
      <c r="F1340" s="57" t="s">
        <v>119</v>
      </c>
      <c r="G1340" s="124">
        <v>183.3</v>
      </c>
      <c r="H1340" t="s">
        <v>359</v>
      </c>
      <c r="I1340" s="34">
        <v>7</v>
      </c>
    </row>
    <row r="1341" spans="1:9" x14ac:dyDescent="0.3">
      <c r="A1341">
        <v>7</v>
      </c>
      <c r="B1341" t="s">
        <v>239</v>
      </c>
      <c r="C1341" t="s">
        <v>192</v>
      </c>
      <c r="D1341" t="s">
        <v>195</v>
      </c>
      <c r="E1341" t="s">
        <v>105</v>
      </c>
      <c r="F1341" s="57" t="s">
        <v>119</v>
      </c>
      <c r="G1341" s="124">
        <v>183.21199999999999</v>
      </c>
      <c r="H1341" t="s">
        <v>358</v>
      </c>
      <c r="I1341" s="34">
        <v>7</v>
      </c>
    </row>
    <row r="1342" spans="1:9" x14ac:dyDescent="0.3">
      <c r="A1342">
        <v>3</v>
      </c>
      <c r="B1342" t="s">
        <v>239</v>
      </c>
      <c r="C1342" t="s">
        <v>192</v>
      </c>
      <c r="D1342" t="s">
        <v>188</v>
      </c>
      <c r="E1342" s="1" t="s">
        <v>105</v>
      </c>
      <c r="F1342" s="54" t="s">
        <v>119</v>
      </c>
      <c r="G1342" s="124">
        <v>182</v>
      </c>
      <c r="H1342" t="s">
        <v>359</v>
      </c>
      <c r="I1342" s="34">
        <v>3</v>
      </c>
    </row>
    <row r="1343" spans="1:9" x14ac:dyDescent="0.3">
      <c r="A1343">
        <v>1</v>
      </c>
      <c r="B1343" t="s">
        <v>239</v>
      </c>
      <c r="C1343" t="s">
        <v>192</v>
      </c>
      <c r="D1343" t="s">
        <v>195</v>
      </c>
      <c r="E1343" s="1" t="s">
        <v>105</v>
      </c>
      <c r="F1343" s="32" t="s">
        <v>119</v>
      </c>
      <c r="G1343" s="124">
        <v>179.45</v>
      </c>
      <c r="H1343" s="53" t="s">
        <v>358</v>
      </c>
      <c r="I1343" s="77">
        <v>1</v>
      </c>
    </row>
    <row r="1344" spans="1:9" x14ac:dyDescent="0.3">
      <c r="A1344">
        <v>1</v>
      </c>
      <c r="B1344" t="s">
        <v>239</v>
      </c>
      <c r="C1344" t="s">
        <v>192</v>
      </c>
      <c r="D1344" t="s">
        <v>188</v>
      </c>
      <c r="E1344" s="1" t="s">
        <v>105</v>
      </c>
      <c r="F1344" s="32" t="s">
        <v>119</v>
      </c>
      <c r="G1344" s="124">
        <v>179.32499999999999</v>
      </c>
      <c r="H1344" t="s">
        <v>359</v>
      </c>
      <c r="I1344" s="34">
        <v>1</v>
      </c>
    </row>
    <row r="1345" spans="1:9" x14ac:dyDescent="0.3">
      <c r="A1345">
        <v>4</v>
      </c>
      <c r="B1345" t="s">
        <v>239</v>
      </c>
      <c r="C1345" t="s">
        <v>192</v>
      </c>
      <c r="D1345" t="s">
        <v>188</v>
      </c>
      <c r="E1345" s="1" t="s">
        <v>105</v>
      </c>
      <c r="F1345" s="32" t="s">
        <v>119</v>
      </c>
      <c r="G1345" s="124">
        <v>176</v>
      </c>
      <c r="H1345" t="s">
        <v>359</v>
      </c>
      <c r="I1345" s="34">
        <v>4</v>
      </c>
    </row>
    <row r="1346" spans="1:9" x14ac:dyDescent="0.3">
      <c r="A1346">
        <v>4</v>
      </c>
      <c r="B1346" t="s">
        <v>239</v>
      </c>
      <c r="C1346" t="s">
        <v>192</v>
      </c>
      <c r="D1346" t="s">
        <v>195</v>
      </c>
      <c r="E1346" s="1" t="s">
        <v>105</v>
      </c>
      <c r="F1346" s="32" t="s">
        <v>119</v>
      </c>
      <c r="G1346" s="124">
        <v>176</v>
      </c>
      <c r="H1346" t="s">
        <v>358</v>
      </c>
      <c r="I1346" s="34">
        <v>4</v>
      </c>
    </row>
    <row r="1347" spans="1:9" x14ac:dyDescent="0.3">
      <c r="A1347">
        <v>3</v>
      </c>
      <c r="B1347" t="s">
        <v>239</v>
      </c>
      <c r="C1347" t="s">
        <v>192</v>
      </c>
      <c r="D1347" t="s">
        <v>195</v>
      </c>
      <c r="E1347" s="1" t="s">
        <v>105</v>
      </c>
      <c r="F1347" s="54" t="s">
        <v>119</v>
      </c>
      <c r="G1347" s="124">
        <v>175</v>
      </c>
      <c r="H1347" t="s">
        <v>358</v>
      </c>
      <c r="I1347" s="34">
        <v>3</v>
      </c>
    </row>
    <row r="1348" spans="1:9" x14ac:dyDescent="0.3">
      <c r="A1348">
        <v>12</v>
      </c>
      <c r="B1348" t="s">
        <v>239</v>
      </c>
      <c r="C1348" t="s">
        <v>192</v>
      </c>
      <c r="D1348" t="s">
        <v>195</v>
      </c>
      <c r="E1348" t="s">
        <v>105</v>
      </c>
      <c r="F1348" s="57" t="s">
        <v>119</v>
      </c>
      <c r="G1348" s="124">
        <v>171.4</v>
      </c>
      <c r="H1348" t="s">
        <v>358</v>
      </c>
      <c r="I1348" s="34">
        <v>12</v>
      </c>
    </row>
    <row r="1349" spans="1:9" x14ac:dyDescent="0.3">
      <c r="A1349">
        <v>10</v>
      </c>
      <c r="B1349" t="s">
        <v>239</v>
      </c>
      <c r="C1349" t="s">
        <v>192</v>
      </c>
      <c r="D1349" t="s">
        <v>188</v>
      </c>
      <c r="E1349" t="s">
        <v>105</v>
      </c>
      <c r="F1349" s="57" t="s">
        <v>119</v>
      </c>
      <c r="G1349" s="124">
        <v>171</v>
      </c>
      <c r="H1349" t="s">
        <v>359</v>
      </c>
      <c r="I1349" s="34">
        <v>10</v>
      </c>
    </row>
    <row r="1350" spans="1:9" x14ac:dyDescent="0.3">
      <c r="A1350">
        <v>1</v>
      </c>
      <c r="B1350" t="s">
        <v>239</v>
      </c>
      <c r="C1350" t="s">
        <v>193</v>
      </c>
      <c r="D1350" t="s">
        <v>188</v>
      </c>
      <c r="E1350" s="1" t="s">
        <v>105</v>
      </c>
      <c r="F1350" s="31" t="s">
        <v>119</v>
      </c>
      <c r="G1350" s="124">
        <v>170.35874999999999</v>
      </c>
      <c r="H1350" t="s">
        <v>357</v>
      </c>
      <c r="I1350" s="34">
        <v>1</v>
      </c>
    </row>
    <row r="1351" spans="1:9" x14ac:dyDescent="0.3">
      <c r="A1351" s="53">
        <v>11</v>
      </c>
      <c r="B1351" t="s">
        <v>239</v>
      </c>
      <c r="C1351" s="53" t="s">
        <v>192</v>
      </c>
      <c r="D1351" s="53" t="s">
        <v>195</v>
      </c>
      <c r="E1351" s="53" t="s">
        <v>105</v>
      </c>
      <c r="F1351" s="57" t="s">
        <v>119</v>
      </c>
      <c r="G1351" s="124">
        <v>170</v>
      </c>
      <c r="H1351" t="s">
        <v>358</v>
      </c>
      <c r="I1351" s="34">
        <v>11</v>
      </c>
    </row>
    <row r="1352" spans="1:9" x14ac:dyDescent="0.3">
      <c r="A1352">
        <v>12</v>
      </c>
      <c r="B1352" t="s">
        <v>239</v>
      </c>
      <c r="C1352" t="s">
        <v>192</v>
      </c>
      <c r="D1352" t="s">
        <v>188</v>
      </c>
      <c r="E1352" t="s">
        <v>105</v>
      </c>
      <c r="F1352" s="57" t="s">
        <v>119</v>
      </c>
      <c r="G1352" s="124">
        <v>169.6765</v>
      </c>
      <c r="H1352" t="s">
        <v>359</v>
      </c>
      <c r="I1352" s="34">
        <v>12</v>
      </c>
    </row>
    <row r="1353" spans="1:9" x14ac:dyDescent="0.3">
      <c r="A1353" s="53">
        <v>11</v>
      </c>
      <c r="B1353" t="s">
        <v>239</v>
      </c>
      <c r="C1353" s="53" t="s">
        <v>192</v>
      </c>
      <c r="D1353" s="53" t="s">
        <v>188</v>
      </c>
      <c r="E1353" s="53" t="s">
        <v>105</v>
      </c>
      <c r="F1353" s="57" t="s">
        <v>119</v>
      </c>
      <c r="G1353" s="124">
        <v>169</v>
      </c>
      <c r="H1353" s="53" t="s">
        <v>359</v>
      </c>
      <c r="I1353" s="77">
        <v>11</v>
      </c>
    </row>
    <row r="1354" spans="1:9" x14ac:dyDescent="0.3">
      <c r="A1354">
        <v>10</v>
      </c>
      <c r="B1354" t="s">
        <v>239</v>
      </c>
      <c r="C1354" t="s">
        <v>192</v>
      </c>
      <c r="D1354" t="s">
        <v>195</v>
      </c>
      <c r="E1354" t="s">
        <v>105</v>
      </c>
      <c r="F1354" s="57" t="s">
        <v>119</v>
      </c>
      <c r="G1354" s="124">
        <v>168.5</v>
      </c>
      <c r="H1354" t="s">
        <v>358</v>
      </c>
      <c r="I1354" s="34">
        <v>10</v>
      </c>
    </row>
    <row r="1355" spans="1:9" x14ac:dyDescent="0.3">
      <c r="A1355">
        <v>1</v>
      </c>
      <c r="B1355" t="s">
        <v>239</v>
      </c>
      <c r="C1355" t="s">
        <v>192</v>
      </c>
      <c r="D1355" t="s">
        <v>238</v>
      </c>
      <c r="E1355" s="1" t="s">
        <v>105</v>
      </c>
      <c r="F1355" s="32" t="s">
        <v>119</v>
      </c>
      <c r="G1355" s="124">
        <v>92</v>
      </c>
      <c r="H1355" t="s">
        <v>360</v>
      </c>
      <c r="I1355" s="34">
        <v>1</v>
      </c>
    </row>
    <row r="1356" spans="1:9" x14ac:dyDescent="0.3">
      <c r="A1356">
        <v>7</v>
      </c>
      <c r="B1356" t="s">
        <v>239</v>
      </c>
      <c r="C1356" t="s">
        <v>192</v>
      </c>
      <c r="D1356" t="s">
        <v>238</v>
      </c>
      <c r="E1356" t="s">
        <v>105</v>
      </c>
      <c r="F1356" s="57" t="s">
        <v>119</v>
      </c>
      <c r="G1356" s="124">
        <v>92</v>
      </c>
      <c r="H1356" s="53" t="s">
        <v>360</v>
      </c>
      <c r="I1356" s="77">
        <v>7</v>
      </c>
    </row>
    <row r="1357" spans="1:9" x14ac:dyDescent="0.3">
      <c r="A1357">
        <v>8</v>
      </c>
      <c r="B1357" t="s">
        <v>239</v>
      </c>
      <c r="C1357" t="s">
        <v>192</v>
      </c>
      <c r="D1357" t="s">
        <v>238</v>
      </c>
      <c r="E1357" t="s">
        <v>105</v>
      </c>
      <c r="F1357" s="57" t="s">
        <v>119</v>
      </c>
      <c r="G1357" s="124">
        <v>92</v>
      </c>
      <c r="H1357" t="s">
        <v>360</v>
      </c>
      <c r="I1357" s="34">
        <v>8</v>
      </c>
    </row>
    <row r="1358" spans="1:9" x14ac:dyDescent="0.3">
      <c r="A1358">
        <v>9</v>
      </c>
      <c r="B1358" t="s">
        <v>239</v>
      </c>
      <c r="C1358" t="s">
        <v>192</v>
      </c>
      <c r="D1358" t="s">
        <v>238</v>
      </c>
      <c r="E1358" t="s">
        <v>105</v>
      </c>
      <c r="F1358" s="57" t="s">
        <v>119</v>
      </c>
      <c r="G1358" s="124">
        <v>92</v>
      </c>
      <c r="H1358" t="s">
        <v>360</v>
      </c>
      <c r="I1358" s="34">
        <v>9</v>
      </c>
    </row>
    <row r="1359" spans="1:9" x14ac:dyDescent="0.3">
      <c r="A1359">
        <v>10</v>
      </c>
      <c r="B1359" t="s">
        <v>239</v>
      </c>
      <c r="C1359" t="s">
        <v>192</v>
      </c>
      <c r="D1359" t="s">
        <v>238</v>
      </c>
      <c r="E1359" t="s">
        <v>105</v>
      </c>
      <c r="F1359" s="57" t="s">
        <v>119</v>
      </c>
      <c r="G1359" s="124">
        <v>92</v>
      </c>
      <c r="H1359" s="53" t="s">
        <v>360</v>
      </c>
      <c r="I1359" s="77">
        <v>10</v>
      </c>
    </row>
    <row r="1360" spans="1:9" x14ac:dyDescent="0.3">
      <c r="A1360">
        <v>12</v>
      </c>
      <c r="B1360" t="s">
        <v>239</v>
      </c>
      <c r="C1360" t="s">
        <v>192</v>
      </c>
      <c r="D1360" t="s">
        <v>238</v>
      </c>
      <c r="E1360" t="s">
        <v>105</v>
      </c>
      <c r="F1360" s="125" t="s">
        <v>119</v>
      </c>
      <c r="G1360" s="124">
        <v>92</v>
      </c>
      <c r="H1360" t="s">
        <v>360</v>
      </c>
      <c r="I1360" s="34">
        <v>12</v>
      </c>
    </row>
    <row r="1361" spans="1:9" x14ac:dyDescent="0.3">
      <c r="A1361">
        <v>2</v>
      </c>
      <c r="B1361" t="s">
        <v>239</v>
      </c>
      <c r="C1361" t="s">
        <v>192</v>
      </c>
      <c r="D1361" t="s">
        <v>238</v>
      </c>
      <c r="E1361" s="1" t="s">
        <v>105</v>
      </c>
      <c r="F1361" s="31" t="s">
        <v>119</v>
      </c>
      <c r="G1361" s="124">
        <v>90</v>
      </c>
      <c r="H1361" t="s">
        <v>360</v>
      </c>
      <c r="I1361" s="34">
        <v>2</v>
      </c>
    </row>
    <row r="1362" spans="1:9" x14ac:dyDescent="0.3">
      <c r="A1362">
        <v>3</v>
      </c>
      <c r="B1362" t="s">
        <v>239</v>
      </c>
      <c r="C1362" t="s">
        <v>192</v>
      </c>
      <c r="D1362" t="s">
        <v>238</v>
      </c>
      <c r="E1362" s="1" t="s">
        <v>105</v>
      </c>
      <c r="F1362" s="54" t="s">
        <v>119</v>
      </c>
      <c r="G1362" s="124">
        <v>90</v>
      </c>
      <c r="H1362" t="s">
        <v>360</v>
      </c>
      <c r="I1362" s="34">
        <v>3</v>
      </c>
    </row>
    <row r="1363" spans="1:9" x14ac:dyDescent="0.3">
      <c r="A1363">
        <v>4</v>
      </c>
      <c r="B1363" t="s">
        <v>239</v>
      </c>
      <c r="C1363" t="s">
        <v>192</v>
      </c>
      <c r="D1363" t="s">
        <v>238</v>
      </c>
      <c r="E1363" s="1" t="s">
        <v>105</v>
      </c>
      <c r="F1363" s="32" t="s">
        <v>119</v>
      </c>
      <c r="G1363" s="124">
        <v>90</v>
      </c>
      <c r="H1363" t="s">
        <v>360</v>
      </c>
      <c r="I1363" s="34">
        <v>4</v>
      </c>
    </row>
    <row r="1364" spans="1:9" x14ac:dyDescent="0.3">
      <c r="A1364">
        <v>5</v>
      </c>
      <c r="B1364" t="s">
        <v>239</v>
      </c>
      <c r="C1364" t="s">
        <v>192</v>
      </c>
      <c r="D1364" t="s">
        <v>238</v>
      </c>
      <c r="E1364" t="s">
        <v>105</v>
      </c>
      <c r="F1364" s="57" t="s">
        <v>119</v>
      </c>
      <c r="G1364" s="124">
        <v>90</v>
      </c>
      <c r="H1364" s="53" t="s">
        <v>360</v>
      </c>
      <c r="I1364" s="77">
        <v>5</v>
      </c>
    </row>
    <row r="1365" spans="1:9" x14ac:dyDescent="0.3">
      <c r="A1365">
        <v>6</v>
      </c>
      <c r="B1365" t="s">
        <v>239</v>
      </c>
      <c r="C1365" t="s">
        <v>192</v>
      </c>
      <c r="D1365" t="s">
        <v>238</v>
      </c>
      <c r="E1365" t="s">
        <v>105</v>
      </c>
      <c r="F1365" s="57" t="s">
        <v>119</v>
      </c>
      <c r="G1365" s="124">
        <v>90</v>
      </c>
      <c r="H1365" t="s">
        <v>360</v>
      </c>
      <c r="I1365" s="34">
        <v>6</v>
      </c>
    </row>
    <row r="1366" spans="1:9" x14ac:dyDescent="0.3">
      <c r="A1366" s="53">
        <v>11</v>
      </c>
      <c r="B1366" t="s">
        <v>239</v>
      </c>
      <c r="C1366" s="53" t="s">
        <v>192</v>
      </c>
      <c r="D1366" s="53" t="s">
        <v>238</v>
      </c>
      <c r="E1366" s="53" t="s">
        <v>105</v>
      </c>
      <c r="F1366" s="57" t="s">
        <v>119</v>
      </c>
      <c r="G1366" s="124">
        <v>90</v>
      </c>
      <c r="H1366" t="s">
        <v>360</v>
      </c>
      <c r="I1366" s="34">
        <v>11</v>
      </c>
    </row>
    <row r="1367" spans="1:9" x14ac:dyDescent="0.3">
      <c r="A1367">
        <v>8</v>
      </c>
      <c r="B1367" t="s">
        <v>239</v>
      </c>
      <c r="C1367" t="s">
        <v>192</v>
      </c>
      <c r="D1367" t="s">
        <v>188</v>
      </c>
      <c r="E1367" t="s">
        <v>75</v>
      </c>
      <c r="F1367" s="57" t="s">
        <v>122</v>
      </c>
      <c r="G1367" s="124">
        <v>398</v>
      </c>
      <c r="H1367" s="53" t="s">
        <v>361</v>
      </c>
      <c r="I1367" s="77">
        <v>8</v>
      </c>
    </row>
    <row r="1368" spans="1:9" x14ac:dyDescent="0.3">
      <c r="A1368">
        <v>7</v>
      </c>
      <c r="B1368" t="s">
        <v>239</v>
      </c>
      <c r="C1368" t="s">
        <v>192</v>
      </c>
      <c r="D1368" t="s">
        <v>195</v>
      </c>
      <c r="E1368" t="s">
        <v>75</v>
      </c>
      <c r="F1368" s="57" t="s">
        <v>122</v>
      </c>
      <c r="G1368" s="124">
        <v>390</v>
      </c>
      <c r="H1368" t="s">
        <v>362</v>
      </c>
      <c r="I1368" s="34">
        <v>7</v>
      </c>
    </row>
    <row r="1369" spans="1:9" x14ac:dyDescent="0.3">
      <c r="A1369">
        <v>5</v>
      </c>
      <c r="B1369" t="s">
        <v>239</v>
      </c>
      <c r="C1369" t="s">
        <v>192</v>
      </c>
      <c r="D1369" t="s">
        <v>188</v>
      </c>
      <c r="E1369" t="s">
        <v>75</v>
      </c>
      <c r="F1369" s="57" t="s">
        <v>122</v>
      </c>
      <c r="G1369" s="124">
        <v>375</v>
      </c>
      <c r="H1369" t="s">
        <v>361</v>
      </c>
      <c r="I1369" s="34">
        <v>5</v>
      </c>
    </row>
    <row r="1370" spans="1:9" x14ac:dyDescent="0.3">
      <c r="A1370">
        <v>7</v>
      </c>
      <c r="B1370" t="s">
        <v>239</v>
      </c>
      <c r="C1370" t="s">
        <v>192</v>
      </c>
      <c r="D1370" t="s">
        <v>188</v>
      </c>
      <c r="E1370" t="s">
        <v>75</v>
      </c>
      <c r="F1370" s="57" t="s">
        <v>122</v>
      </c>
      <c r="G1370" s="124">
        <v>366</v>
      </c>
      <c r="H1370" t="s">
        <v>361</v>
      </c>
      <c r="I1370" s="34">
        <v>7</v>
      </c>
    </row>
    <row r="1371" spans="1:9" x14ac:dyDescent="0.3">
      <c r="A1371">
        <v>3</v>
      </c>
      <c r="B1371" t="s">
        <v>239</v>
      </c>
      <c r="C1371" t="s">
        <v>192</v>
      </c>
      <c r="D1371" t="s">
        <v>188</v>
      </c>
      <c r="E1371" s="1" t="s">
        <v>75</v>
      </c>
      <c r="F1371" s="32" t="s">
        <v>122</v>
      </c>
      <c r="G1371" s="124">
        <v>362</v>
      </c>
      <c r="H1371" t="s">
        <v>361</v>
      </c>
      <c r="I1371" s="34">
        <v>3</v>
      </c>
    </row>
    <row r="1372" spans="1:9" x14ac:dyDescent="0.3">
      <c r="A1372">
        <v>9</v>
      </c>
      <c r="B1372" t="s">
        <v>239</v>
      </c>
      <c r="C1372" t="s">
        <v>192</v>
      </c>
      <c r="D1372" t="s">
        <v>188</v>
      </c>
      <c r="E1372" t="s">
        <v>75</v>
      </c>
      <c r="F1372" s="57" t="s">
        <v>122</v>
      </c>
      <c r="G1372" s="124">
        <v>340</v>
      </c>
      <c r="H1372" t="s">
        <v>361</v>
      </c>
      <c r="I1372" s="34">
        <v>9</v>
      </c>
    </row>
    <row r="1373" spans="1:9" x14ac:dyDescent="0.3">
      <c r="A1373">
        <v>10</v>
      </c>
      <c r="B1373" t="s">
        <v>239</v>
      </c>
      <c r="C1373" t="s">
        <v>191</v>
      </c>
      <c r="D1373" t="s">
        <v>188</v>
      </c>
      <c r="E1373" t="s">
        <v>75</v>
      </c>
      <c r="F1373" s="57" t="s">
        <v>122</v>
      </c>
      <c r="G1373" s="124">
        <v>340</v>
      </c>
      <c r="H1373" t="s">
        <v>363</v>
      </c>
      <c r="I1373" s="34">
        <v>10</v>
      </c>
    </row>
    <row r="1374" spans="1:9" x14ac:dyDescent="0.3">
      <c r="A1374">
        <v>8</v>
      </c>
      <c r="B1374" t="s">
        <v>239</v>
      </c>
      <c r="C1374" t="s">
        <v>192</v>
      </c>
      <c r="D1374" t="s">
        <v>195</v>
      </c>
      <c r="E1374" t="s">
        <v>75</v>
      </c>
      <c r="F1374" s="57" t="s">
        <v>122</v>
      </c>
      <c r="G1374" s="124">
        <v>340</v>
      </c>
      <c r="H1374" t="s">
        <v>362</v>
      </c>
      <c r="I1374" s="34">
        <v>8</v>
      </c>
    </row>
    <row r="1375" spans="1:9" x14ac:dyDescent="0.3">
      <c r="A1375">
        <v>10</v>
      </c>
      <c r="B1375" t="s">
        <v>239</v>
      </c>
      <c r="C1375" t="s">
        <v>192</v>
      </c>
      <c r="D1375" t="s">
        <v>188</v>
      </c>
      <c r="E1375" t="s">
        <v>75</v>
      </c>
      <c r="F1375" s="57" t="s">
        <v>122</v>
      </c>
      <c r="G1375" s="124">
        <v>335</v>
      </c>
      <c r="H1375" t="s">
        <v>361</v>
      </c>
      <c r="I1375" s="34">
        <v>10</v>
      </c>
    </row>
    <row r="1376" spans="1:9" x14ac:dyDescent="0.3">
      <c r="A1376">
        <v>1</v>
      </c>
      <c r="B1376" t="s">
        <v>239</v>
      </c>
      <c r="C1376" t="s">
        <v>192</v>
      </c>
      <c r="D1376" t="s">
        <v>188</v>
      </c>
      <c r="E1376" s="1" t="s">
        <v>75</v>
      </c>
      <c r="F1376" s="54" t="s">
        <v>122</v>
      </c>
      <c r="G1376" s="124">
        <v>332</v>
      </c>
      <c r="H1376" t="s">
        <v>361</v>
      </c>
      <c r="I1376" s="34">
        <v>1</v>
      </c>
    </row>
    <row r="1377" spans="1:9" x14ac:dyDescent="0.3">
      <c r="A1377">
        <v>6</v>
      </c>
      <c r="B1377" t="s">
        <v>239</v>
      </c>
      <c r="C1377" t="s">
        <v>192</v>
      </c>
      <c r="D1377" t="s">
        <v>188</v>
      </c>
      <c r="E1377" t="s">
        <v>75</v>
      </c>
      <c r="F1377" s="57" t="s">
        <v>122</v>
      </c>
      <c r="G1377" s="124">
        <v>329</v>
      </c>
      <c r="H1377" t="s">
        <v>361</v>
      </c>
      <c r="I1377" s="34">
        <v>6</v>
      </c>
    </row>
    <row r="1378" spans="1:9" x14ac:dyDescent="0.3">
      <c r="A1378">
        <v>4</v>
      </c>
      <c r="B1378" t="s">
        <v>239</v>
      </c>
      <c r="C1378" t="s">
        <v>192</v>
      </c>
      <c r="D1378" t="s">
        <v>188</v>
      </c>
      <c r="E1378" s="1" t="s">
        <v>75</v>
      </c>
      <c r="F1378" s="54" t="s">
        <v>122</v>
      </c>
      <c r="G1378" s="124">
        <v>327</v>
      </c>
      <c r="H1378" t="s">
        <v>361</v>
      </c>
      <c r="I1378" s="34">
        <v>4</v>
      </c>
    </row>
    <row r="1379" spans="1:9" x14ac:dyDescent="0.3">
      <c r="A1379">
        <v>1</v>
      </c>
      <c r="B1379" t="s">
        <v>239</v>
      </c>
      <c r="C1379" t="s">
        <v>191</v>
      </c>
      <c r="D1379" t="s">
        <v>188</v>
      </c>
      <c r="E1379" s="1" t="s">
        <v>75</v>
      </c>
      <c r="F1379" s="54" t="s">
        <v>122</v>
      </c>
      <c r="G1379" s="124">
        <v>320</v>
      </c>
      <c r="H1379" t="s">
        <v>363</v>
      </c>
      <c r="I1379" s="34">
        <v>1</v>
      </c>
    </row>
    <row r="1380" spans="1:9" x14ac:dyDescent="0.3">
      <c r="A1380">
        <v>2</v>
      </c>
      <c r="B1380" t="s">
        <v>239</v>
      </c>
      <c r="C1380" t="s">
        <v>192</v>
      </c>
      <c r="D1380" t="s">
        <v>188</v>
      </c>
      <c r="E1380" s="1" t="s">
        <v>75</v>
      </c>
      <c r="F1380" s="31" t="s">
        <v>122</v>
      </c>
      <c r="G1380" s="124">
        <v>320</v>
      </c>
      <c r="H1380" t="s">
        <v>361</v>
      </c>
      <c r="I1380" s="34">
        <v>2</v>
      </c>
    </row>
    <row r="1381" spans="1:9" x14ac:dyDescent="0.3">
      <c r="A1381">
        <v>9</v>
      </c>
      <c r="B1381" t="s">
        <v>239</v>
      </c>
      <c r="C1381" t="s">
        <v>192</v>
      </c>
      <c r="D1381" t="s">
        <v>195</v>
      </c>
      <c r="E1381" t="s">
        <v>75</v>
      </c>
      <c r="F1381" s="57" t="s">
        <v>122</v>
      </c>
      <c r="G1381" s="124">
        <v>320</v>
      </c>
      <c r="H1381" t="s">
        <v>362</v>
      </c>
      <c r="I1381" s="34">
        <v>9</v>
      </c>
    </row>
    <row r="1382" spans="1:9" x14ac:dyDescent="0.3">
      <c r="A1382">
        <v>10</v>
      </c>
      <c r="B1382" t="s">
        <v>239</v>
      </c>
      <c r="C1382" t="s">
        <v>192</v>
      </c>
      <c r="D1382" t="s">
        <v>195</v>
      </c>
      <c r="E1382" t="s">
        <v>75</v>
      </c>
      <c r="F1382" s="57" t="s">
        <v>122</v>
      </c>
      <c r="G1382" s="124">
        <v>320</v>
      </c>
      <c r="H1382" t="s">
        <v>362</v>
      </c>
      <c r="I1382" s="34">
        <v>10</v>
      </c>
    </row>
    <row r="1383" spans="1:9" x14ac:dyDescent="0.3">
      <c r="A1383">
        <v>12</v>
      </c>
      <c r="B1383" t="s">
        <v>239</v>
      </c>
      <c r="C1383" t="s">
        <v>192</v>
      </c>
      <c r="D1383" t="s">
        <v>188</v>
      </c>
      <c r="E1383" t="s">
        <v>75</v>
      </c>
      <c r="F1383" s="57" t="s">
        <v>122</v>
      </c>
      <c r="G1383" s="124">
        <v>318</v>
      </c>
      <c r="H1383" s="53" t="s">
        <v>361</v>
      </c>
      <c r="I1383" s="77">
        <v>12</v>
      </c>
    </row>
    <row r="1384" spans="1:9" x14ac:dyDescent="0.3">
      <c r="A1384">
        <v>12</v>
      </c>
      <c r="B1384" t="s">
        <v>239</v>
      </c>
      <c r="C1384" t="s">
        <v>192</v>
      </c>
      <c r="D1384" t="s">
        <v>195</v>
      </c>
      <c r="E1384" t="s">
        <v>75</v>
      </c>
      <c r="F1384" s="57" t="s">
        <v>122</v>
      </c>
      <c r="G1384" s="124">
        <v>312.98</v>
      </c>
      <c r="H1384" t="s">
        <v>362</v>
      </c>
      <c r="I1384" s="34">
        <v>12</v>
      </c>
    </row>
    <row r="1385" spans="1:9" x14ac:dyDescent="0.3">
      <c r="A1385">
        <v>8</v>
      </c>
      <c r="B1385" t="s">
        <v>239</v>
      </c>
      <c r="C1385" t="s">
        <v>191</v>
      </c>
      <c r="D1385" t="s">
        <v>188</v>
      </c>
      <c r="E1385" t="s">
        <v>75</v>
      </c>
      <c r="F1385" s="57" t="s">
        <v>122</v>
      </c>
      <c r="G1385" s="124">
        <v>310</v>
      </c>
      <c r="H1385" t="s">
        <v>363</v>
      </c>
      <c r="I1385" s="34">
        <v>8</v>
      </c>
    </row>
    <row r="1386" spans="1:9" x14ac:dyDescent="0.3">
      <c r="A1386" s="53">
        <v>11</v>
      </c>
      <c r="B1386" t="s">
        <v>239</v>
      </c>
      <c r="C1386" s="53" t="s">
        <v>192</v>
      </c>
      <c r="D1386" s="53" t="s">
        <v>188</v>
      </c>
      <c r="E1386" s="53" t="s">
        <v>75</v>
      </c>
      <c r="F1386" s="57" t="s">
        <v>122</v>
      </c>
      <c r="G1386" s="124">
        <v>305</v>
      </c>
      <c r="H1386" t="s">
        <v>361</v>
      </c>
      <c r="I1386" s="34">
        <v>11</v>
      </c>
    </row>
    <row r="1387" spans="1:9" x14ac:dyDescent="0.3">
      <c r="A1387">
        <v>2</v>
      </c>
      <c r="B1387" t="s">
        <v>239</v>
      </c>
      <c r="C1387" t="s">
        <v>191</v>
      </c>
      <c r="D1387" t="s">
        <v>188</v>
      </c>
      <c r="E1387" s="1" t="s">
        <v>75</v>
      </c>
      <c r="F1387" s="54" t="s">
        <v>122</v>
      </c>
      <c r="G1387" s="124">
        <v>300</v>
      </c>
      <c r="H1387" t="s">
        <v>363</v>
      </c>
      <c r="I1387" s="34">
        <v>2</v>
      </c>
    </row>
    <row r="1388" spans="1:9" x14ac:dyDescent="0.3">
      <c r="A1388">
        <v>7</v>
      </c>
      <c r="B1388" t="s">
        <v>239</v>
      </c>
      <c r="C1388" t="s">
        <v>191</v>
      </c>
      <c r="D1388" t="s">
        <v>188</v>
      </c>
      <c r="E1388" t="s">
        <v>75</v>
      </c>
      <c r="F1388" s="57" t="s">
        <v>122</v>
      </c>
      <c r="G1388" s="124">
        <v>300</v>
      </c>
      <c r="H1388" t="s">
        <v>363</v>
      </c>
      <c r="I1388" s="34">
        <v>7</v>
      </c>
    </row>
    <row r="1389" spans="1:9" x14ac:dyDescent="0.3">
      <c r="A1389">
        <v>12</v>
      </c>
      <c r="B1389" t="s">
        <v>239</v>
      </c>
      <c r="C1389" t="s">
        <v>191</v>
      </c>
      <c r="D1389" t="s">
        <v>188</v>
      </c>
      <c r="E1389" t="s">
        <v>75</v>
      </c>
      <c r="F1389" s="57" t="s">
        <v>122</v>
      </c>
      <c r="G1389" s="124">
        <v>300</v>
      </c>
      <c r="H1389" t="s">
        <v>363</v>
      </c>
      <c r="I1389" s="34">
        <v>12</v>
      </c>
    </row>
    <row r="1390" spans="1:9" x14ac:dyDescent="0.3">
      <c r="A1390">
        <v>2</v>
      </c>
      <c r="B1390" t="s">
        <v>239</v>
      </c>
      <c r="C1390" t="s">
        <v>192</v>
      </c>
      <c r="D1390" t="s">
        <v>195</v>
      </c>
      <c r="E1390" s="1" t="s">
        <v>75</v>
      </c>
      <c r="F1390" s="31" t="s">
        <v>122</v>
      </c>
      <c r="G1390" s="124">
        <v>300</v>
      </c>
      <c r="H1390" t="s">
        <v>362</v>
      </c>
      <c r="I1390" s="34">
        <v>2</v>
      </c>
    </row>
    <row r="1391" spans="1:9" x14ac:dyDescent="0.3">
      <c r="A1391">
        <v>6</v>
      </c>
      <c r="B1391" t="s">
        <v>239</v>
      </c>
      <c r="C1391" t="s">
        <v>192</v>
      </c>
      <c r="D1391" t="s">
        <v>195</v>
      </c>
      <c r="E1391" t="s">
        <v>75</v>
      </c>
      <c r="F1391" s="57" t="s">
        <v>122</v>
      </c>
      <c r="G1391" s="124">
        <v>292.86500000000001</v>
      </c>
      <c r="H1391" t="s">
        <v>362</v>
      </c>
      <c r="I1391" s="34">
        <v>6</v>
      </c>
    </row>
    <row r="1392" spans="1:9" x14ac:dyDescent="0.3">
      <c r="A1392">
        <v>3</v>
      </c>
      <c r="B1392" t="s">
        <v>239</v>
      </c>
      <c r="C1392" t="s">
        <v>192</v>
      </c>
      <c r="D1392" t="s">
        <v>195</v>
      </c>
      <c r="E1392" s="1" t="s">
        <v>75</v>
      </c>
      <c r="F1392" s="32" t="s">
        <v>122</v>
      </c>
      <c r="G1392" s="124">
        <v>287</v>
      </c>
      <c r="H1392" t="s">
        <v>362</v>
      </c>
      <c r="I1392" s="34">
        <v>3</v>
      </c>
    </row>
    <row r="1393" spans="1:9" x14ac:dyDescent="0.3">
      <c r="A1393">
        <v>5</v>
      </c>
      <c r="B1393" t="s">
        <v>239</v>
      </c>
      <c r="C1393" t="s">
        <v>192</v>
      </c>
      <c r="D1393" t="s">
        <v>195</v>
      </c>
      <c r="E1393" t="s">
        <v>75</v>
      </c>
      <c r="F1393" s="57" t="s">
        <v>122</v>
      </c>
      <c r="G1393" s="124">
        <v>280</v>
      </c>
      <c r="H1393" t="s">
        <v>362</v>
      </c>
      <c r="I1393" s="34">
        <v>5</v>
      </c>
    </row>
    <row r="1394" spans="1:9" x14ac:dyDescent="0.3">
      <c r="A1394">
        <v>1</v>
      </c>
      <c r="B1394" t="s">
        <v>239</v>
      </c>
      <c r="C1394" t="s">
        <v>192</v>
      </c>
      <c r="D1394" t="s">
        <v>195</v>
      </c>
      <c r="E1394" s="1" t="s">
        <v>75</v>
      </c>
      <c r="F1394" s="54" t="s">
        <v>122</v>
      </c>
      <c r="G1394" s="124">
        <v>277</v>
      </c>
      <c r="H1394" t="s">
        <v>362</v>
      </c>
      <c r="I1394" s="34">
        <v>1</v>
      </c>
    </row>
    <row r="1395" spans="1:9" x14ac:dyDescent="0.3">
      <c r="A1395">
        <v>4</v>
      </c>
      <c r="B1395" t="s">
        <v>239</v>
      </c>
      <c r="C1395" t="s">
        <v>192</v>
      </c>
      <c r="D1395" t="s">
        <v>195</v>
      </c>
      <c r="E1395" s="1" t="s">
        <v>75</v>
      </c>
      <c r="F1395" s="54" t="s">
        <v>122</v>
      </c>
      <c r="G1395" s="124">
        <v>277</v>
      </c>
      <c r="H1395" t="s">
        <v>362</v>
      </c>
      <c r="I1395" s="34">
        <v>4</v>
      </c>
    </row>
    <row r="1396" spans="1:9" x14ac:dyDescent="0.3">
      <c r="A1396" s="53">
        <v>11</v>
      </c>
      <c r="B1396" t="s">
        <v>239</v>
      </c>
      <c r="C1396" s="53" t="s">
        <v>192</v>
      </c>
      <c r="D1396" s="53" t="s">
        <v>195</v>
      </c>
      <c r="E1396" s="53" t="s">
        <v>75</v>
      </c>
      <c r="F1396" s="57" t="s">
        <v>122</v>
      </c>
      <c r="G1396" s="124">
        <v>272</v>
      </c>
      <c r="H1396" t="s">
        <v>362</v>
      </c>
      <c r="I1396" s="34">
        <v>11</v>
      </c>
    </row>
    <row r="1397" spans="1:9" x14ac:dyDescent="0.3">
      <c r="A1397">
        <v>9</v>
      </c>
      <c r="B1397" t="s">
        <v>239</v>
      </c>
      <c r="C1397" t="s">
        <v>191</v>
      </c>
      <c r="D1397" t="s">
        <v>188</v>
      </c>
      <c r="E1397" t="s">
        <v>75</v>
      </c>
      <c r="F1397" s="57" t="s">
        <v>122</v>
      </c>
      <c r="G1397" s="124">
        <v>250</v>
      </c>
      <c r="H1397" t="s">
        <v>363</v>
      </c>
      <c r="I1397" s="34">
        <v>9</v>
      </c>
    </row>
    <row r="1398" spans="1:9" x14ac:dyDescent="0.3">
      <c r="A1398" s="53">
        <v>11</v>
      </c>
      <c r="B1398" t="s">
        <v>239</v>
      </c>
      <c r="C1398" s="53" t="s">
        <v>191</v>
      </c>
      <c r="D1398" s="53" t="s">
        <v>188</v>
      </c>
      <c r="E1398" s="53" t="s">
        <v>75</v>
      </c>
      <c r="F1398" s="57" t="s">
        <v>122</v>
      </c>
      <c r="G1398" s="124">
        <v>250</v>
      </c>
      <c r="H1398" s="53" t="s">
        <v>363</v>
      </c>
      <c r="I1398" s="77">
        <v>11</v>
      </c>
    </row>
    <row r="1399" spans="1:9" x14ac:dyDescent="0.3">
      <c r="A1399">
        <v>6</v>
      </c>
      <c r="B1399" t="s">
        <v>239</v>
      </c>
      <c r="C1399" t="s">
        <v>191</v>
      </c>
      <c r="D1399" t="s">
        <v>188</v>
      </c>
      <c r="E1399" t="s">
        <v>75</v>
      </c>
      <c r="F1399" s="57" t="s">
        <v>122</v>
      </c>
      <c r="G1399" s="124">
        <v>230</v>
      </c>
      <c r="H1399" t="s">
        <v>363</v>
      </c>
      <c r="I1399" s="34">
        <v>6</v>
      </c>
    </row>
    <row r="1400" spans="1:9" x14ac:dyDescent="0.3">
      <c r="A1400">
        <v>5</v>
      </c>
      <c r="B1400" t="s">
        <v>239</v>
      </c>
      <c r="C1400" t="s">
        <v>191</v>
      </c>
      <c r="D1400" t="s">
        <v>188</v>
      </c>
      <c r="E1400" s="1" t="s">
        <v>75</v>
      </c>
      <c r="F1400" s="54" t="s">
        <v>122</v>
      </c>
      <c r="G1400" s="124">
        <v>170</v>
      </c>
      <c r="H1400" t="s">
        <v>363</v>
      </c>
      <c r="I1400" s="34">
        <v>5</v>
      </c>
    </row>
    <row r="1401" spans="1:9" x14ac:dyDescent="0.3">
      <c r="A1401">
        <v>3</v>
      </c>
      <c r="B1401" t="s">
        <v>239</v>
      </c>
      <c r="C1401" t="s">
        <v>191</v>
      </c>
      <c r="D1401" t="s">
        <v>188</v>
      </c>
      <c r="E1401" s="1" t="s">
        <v>75</v>
      </c>
      <c r="F1401" s="32" t="s">
        <v>122</v>
      </c>
      <c r="G1401" s="124">
        <v>140</v>
      </c>
      <c r="H1401" t="s">
        <v>363</v>
      </c>
      <c r="I1401" s="34">
        <v>3</v>
      </c>
    </row>
    <row r="1402" spans="1:9" x14ac:dyDescent="0.3">
      <c r="A1402">
        <v>4</v>
      </c>
      <c r="B1402" t="s">
        <v>239</v>
      </c>
      <c r="C1402" t="s">
        <v>191</v>
      </c>
      <c r="D1402" t="s">
        <v>188</v>
      </c>
      <c r="E1402" s="1" t="s">
        <v>75</v>
      </c>
      <c r="F1402" s="31" t="s">
        <v>122</v>
      </c>
      <c r="G1402" s="124">
        <v>130</v>
      </c>
      <c r="H1402" t="s">
        <v>363</v>
      </c>
      <c r="I1402" s="34">
        <v>4</v>
      </c>
    </row>
    <row r="1403" spans="1:9" x14ac:dyDescent="0.3">
      <c r="A1403">
        <v>8</v>
      </c>
      <c r="B1403" t="s">
        <v>239</v>
      </c>
      <c r="C1403" t="s">
        <v>193</v>
      </c>
      <c r="D1403" t="s">
        <v>188</v>
      </c>
      <c r="E1403" t="s">
        <v>75</v>
      </c>
      <c r="F1403" s="57" t="s">
        <v>122</v>
      </c>
      <c r="G1403" s="124">
        <v>123.38</v>
      </c>
      <c r="H1403" t="s">
        <v>364</v>
      </c>
      <c r="I1403" s="34">
        <v>8</v>
      </c>
    </row>
    <row r="1404" spans="1:9" x14ac:dyDescent="0.3">
      <c r="A1404">
        <v>9</v>
      </c>
      <c r="B1404" t="s">
        <v>239</v>
      </c>
      <c r="C1404" t="s">
        <v>191</v>
      </c>
      <c r="D1404" t="s">
        <v>195</v>
      </c>
      <c r="E1404" t="s">
        <v>75</v>
      </c>
      <c r="F1404" s="57" t="s">
        <v>122</v>
      </c>
      <c r="G1404" s="124">
        <v>120</v>
      </c>
      <c r="H1404" t="s">
        <v>365</v>
      </c>
      <c r="I1404" s="34">
        <v>9</v>
      </c>
    </row>
    <row r="1405" spans="1:9" x14ac:dyDescent="0.3">
      <c r="A1405">
        <v>10</v>
      </c>
      <c r="B1405" t="s">
        <v>239</v>
      </c>
      <c r="C1405" t="s">
        <v>193</v>
      </c>
      <c r="D1405" t="s">
        <v>188</v>
      </c>
      <c r="E1405" t="s">
        <v>75</v>
      </c>
      <c r="F1405" s="57" t="s">
        <v>122</v>
      </c>
      <c r="G1405" s="124">
        <v>113.9</v>
      </c>
      <c r="H1405" t="s">
        <v>364</v>
      </c>
      <c r="I1405" s="34">
        <v>10</v>
      </c>
    </row>
    <row r="1406" spans="1:9" x14ac:dyDescent="0.3">
      <c r="A1406">
        <v>7</v>
      </c>
      <c r="B1406" t="s">
        <v>239</v>
      </c>
      <c r="C1406" t="s">
        <v>193</v>
      </c>
      <c r="D1406" t="s">
        <v>188</v>
      </c>
      <c r="E1406" t="s">
        <v>75</v>
      </c>
      <c r="F1406" s="57" t="s">
        <v>122</v>
      </c>
      <c r="G1406" s="124">
        <v>109.8</v>
      </c>
      <c r="H1406" t="s">
        <v>364</v>
      </c>
      <c r="I1406" s="34">
        <v>7</v>
      </c>
    </row>
    <row r="1407" spans="1:9" x14ac:dyDescent="0.3">
      <c r="A1407">
        <v>1</v>
      </c>
      <c r="B1407" t="s">
        <v>239</v>
      </c>
      <c r="C1407" t="s">
        <v>193</v>
      </c>
      <c r="D1407" t="s">
        <v>188</v>
      </c>
      <c r="E1407" s="1" t="s">
        <v>75</v>
      </c>
      <c r="F1407" s="54" t="s">
        <v>122</v>
      </c>
      <c r="G1407" s="124">
        <v>106.24</v>
      </c>
      <c r="H1407" t="s">
        <v>364</v>
      </c>
      <c r="I1407" s="34">
        <v>1</v>
      </c>
    </row>
    <row r="1408" spans="1:9" x14ac:dyDescent="0.3">
      <c r="A1408">
        <v>1</v>
      </c>
      <c r="B1408" t="s">
        <v>239</v>
      </c>
      <c r="C1408" t="s">
        <v>191</v>
      </c>
      <c r="D1408" t="s">
        <v>195</v>
      </c>
      <c r="E1408" s="1" t="s">
        <v>75</v>
      </c>
      <c r="F1408" s="54" t="s">
        <v>122</v>
      </c>
      <c r="G1408" s="124">
        <v>100</v>
      </c>
      <c r="H1408" t="s">
        <v>365</v>
      </c>
      <c r="I1408" s="34">
        <v>1</v>
      </c>
    </row>
    <row r="1409" spans="1:9" x14ac:dyDescent="0.3">
      <c r="A1409">
        <v>2</v>
      </c>
      <c r="B1409" t="s">
        <v>239</v>
      </c>
      <c r="C1409" t="s">
        <v>193</v>
      </c>
      <c r="D1409" t="s">
        <v>188</v>
      </c>
      <c r="E1409" s="1" t="s">
        <v>75</v>
      </c>
      <c r="F1409" s="32" t="s">
        <v>122</v>
      </c>
      <c r="G1409" s="124">
        <v>96</v>
      </c>
      <c r="H1409" t="s">
        <v>364</v>
      </c>
      <c r="I1409" s="34">
        <v>2</v>
      </c>
    </row>
    <row r="1410" spans="1:9" x14ac:dyDescent="0.3">
      <c r="A1410">
        <v>12</v>
      </c>
      <c r="B1410" t="s">
        <v>239</v>
      </c>
      <c r="C1410" t="s">
        <v>193</v>
      </c>
      <c r="D1410" t="s">
        <v>188</v>
      </c>
      <c r="E1410" t="s">
        <v>75</v>
      </c>
      <c r="F1410" s="57" t="s">
        <v>122</v>
      </c>
      <c r="G1410" s="124">
        <v>95.4</v>
      </c>
      <c r="H1410" t="s">
        <v>364</v>
      </c>
      <c r="I1410" s="34">
        <v>12</v>
      </c>
    </row>
    <row r="1411" spans="1:9" x14ac:dyDescent="0.3">
      <c r="A1411">
        <v>9</v>
      </c>
      <c r="B1411" t="s">
        <v>239</v>
      </c>
      <c r="C1411" t="s">
        <v>193</v>
      </c>
      <c r="D1411" t="s">
        <v>188</v>
      </c>
      <c r="E1411" t="s">
        <v>75</v>
      </c>
      <c r="F1411" s="57" t="s">
        <v>122</v>
      </c>
      <c r="G1411" s="124">
        <v>85</v>
      </c>
      <c r="H1411" s="53" t="s">
        <v>364</v>
      </c>
      <c r="I1411" s="77">
        <v>9</v>
      </c>
    </row>
    <row r="1412" spans="1:9" x14ac:dyDescent="0.3">
      <c r="A1412">
        <v>2</v>
      </c>
      <c r="B1412" t="s">
        <v>239</v>
      </c>
      <c r="C1412" t="s">
        <v>191</v>
      </c>
      <c r="D1412" t="s">
        <v>195</v>
      </c>
      <c r="E1412" s="1" t="s">
        <v>75</v>
      </c>
      <c r="F1412" s="54" t="s">
        <v>122</v>
      </c>
      <c r="G1412" s="124">
        <v>80</v>
      </c>
      <c r="H1412" s="53" t="s">
        <v>365</v>
      </c>
      <c r="I1412" s="77">
        <v>2</v>
      </c>
    </row>
    <row r="1413" spans="1:9" x14ac:dyDescent="0.3">
      <c r="A1413">
        <v>10</v>
      </c>
      <c r="B1413" t="s">
        <v>239</v>
      </c>
      <c r="C1413" t="s">
        <v>191</v>
      </c>
      <c r="D1413" t="s">
        <v>195</v>
      </c>
      <c r="E1413" t="s">
        <v>75</v>
      </c>
      <c r="F1413" s="57" t="s">
        <v>122</v>
      </c>
      <c r="G1413" s="124">
        <v>80</v>
      </c>
      <c r="H1413" t="s">
        <v>365</v>
      </c>
      <c r="I1413" s="34">
        <v>10</v>
      </c>
    </row>
    <row r="1414" spans="1:9" x14ac:dyDescent="0.3">
      <c r="A1414" s="53">
        <v>11</v>
      </c>
      <c r="B1414" t="s">
        <v>239</v>
      </c>
      <c r="C1414" s="53" t="s">
        <v>191</v>
      </c>
      <c r="D1414" s="53" t="s">
        <v>195</v>
      </c>
      <c r="E1414" s="53" t="s">
        <v>75</v>
      </c>
      <c r="F1414" s="57" t="s">
        <v>122</v>
      </c>
      <c r="G1414" s="124">
        <v>80</v>
      </c>
      <c r="H1414" t="s">
        <v>365</v>
      </c>
      <c r="I1414" s="34">
        <v>11</v>
      </c>
    </row>
    <row r="1415" spans="1:9" x14ac:dyDescent="0.3">
      <c r="A1415">
        <v>12</v>
      </c>
      <c r="B1415" t="s">
        <v>239</v>
      </c>
      <c r="C1415" t="s">
        <v>191</v>
      </c>
      <c r="D1415" t="s">
        <v>195</v>
      </c>
      <c r="E1415" t="s">
        <v>75</v>
      </c>
      <c r="F1415" s="57" t="s">
        <v>122</v>
      </c>
      <c r="G1415" s="124">
        <v>80</v>
      </c>
      <c r="H1415" t="s">
        <v>365</v>
      </c>
      <c r="I1415" s="34">
        <v>12</v>
      </c>
    </row>
    <row r="1416" spans="1:9" x14ac:dyDescent="0.3">
      <c r="A1416" s="53">
        <v>11</v>
      </c>
      <c r="B1416" t="s">
        <v>239</v>
      </c>
      <c r="C1416" s="53" t="s">
        <v>193</v>
      </c>
      <c r="D1416" s="53" t="s">
        <v>188</v>
      </c>
      <c r="E1416" s="53" t="s">
        <v>75</v>
      </c>
      <c r="F1416" s="57" t="s">
        <v>122</v>
      </c>
      <c r="G1416" s="124">
        <v>76.25</v>
      </c>
      <c r="H1416" t="s">
        <v>364</v>
      </c>
      <c r="I1416" s="34">
        <v>11</v>
      </c>
    </row>
    <row r="1417" spans="1:9" x14ac:dyDescent="0.3">
      <c r="A1417">
        <v>6</v>
      </c>
      <c r="B1417" t="s">
        <v>239</v>
      </c>
      <c r="C1417" t="s">
        <v>193</v>
      </c>
      <c r="D1417" t="s">
        <v>188</v>
      </c>
      <c r="E1417" t="s">
        <v>75</v>
      </c>
      <c r="F1417" s="57" t="s">
        <v>122</v>
      </c>
      <c r="G1417" s="124">
        <v>75.67</v>
      </c>
      <c r="H1417" t="s">
        <v>364</v>
      </c>
      <c r="I1417" s="34">
        <v>6</v>
      </c>
    </row>
    <row r="1418" spans="1:9" x14ac:dyDescent="0.3">
      <c r="A1418">
        <v>7</v>
      </c>
      <c r="B1418" t="s">
        <v>239</v>
      </c>
      <c r="C1418" t="s">
        <v>191</v>
      </c>
      <c r="D1418" t="s">
        <v>195</v>
      </c>
      <c r="E1418" t="s">
        <v>75</v>
      </c>
      <c r="F1418" s="57" t="s">
        <v>122</v>
      </c>
      <c r="G1418" s="124">
        <v>70</v>
      </c>
      <c r="H1418" t="s">
        <v>365</v>
      </c>
      <c r="I1418" s="34">
        <v>7</v>
      </c>
    </row>
    <row r="1419" spans="1:9" x14ac:dyDescent="0.3">
      <c r="A1419">
        <v>5</v>
      </c>
      <c r="B1419" t="s">
        <v>239</v>
      </c>
      <c r="C1419" t="s">
        <v>193</v>
      </c>
      <c r="D1419" t="s">
        <v>188</v>
      </c>
      <c r="E1419" t="s">
        <v>75</v>
      </c>
      <c r="F1419" s="57" t="s">
        <v>122</v>
      </c>
      <c r="G1419" s="124">
        <v>63.75</v>
      </c>
      <c r="H1419" t="s">
        <v>364</v>
      </c>
      <c r="I1419" s="34">
        <v>5</v>
      </c>
    </row>
    <row r="1420" spans="1:9" x14ac:dyDescent="0.3">
      <c r="A1420">
        <v>3</v>
      </c>
      <c r="B1420" t="s">
        <v>239</v>
      </c>
      <c r="C1420" t="s">
        <v>193</v>
      </c>
      <c r="D1420" t="s">
        <v>188</v>
      </c>
      <c r="E1420" s="1" t="s">
        <v>75</v>
      </c>
      <c r="F1420" s="54" t="s">
        <v>122</v>
      </c>
      <c r="G1420" s="124">
        <v>50.68</v>
      </c>
      <c r="H1420" t="s">
        <v>364</v>
      </c>
      <c r="I1420" s="34">
        <v>3</v>
      </c>
    </row>
    <row r="1421" spans="1:9" x14ac:dyDescent="0.3">
      <c r="A1421">
        <v>8</v>
      </c>
      <c r="B1421" t="s">
        <v>239</v>
      </c>
      <c r="C1421" t="s">
        <v>191</v>
      </c>
      <c r="D1421" t="s">
        <v>195</v>
      </c>
      <c r="E1421" t="s">
        <v>75</v>
      </c>
      <c r="F1421" s="57" t="s">
        <v>122</v>
      </c>
      <c r="G1421" s="124">
        <v>50</v>
      </c>
      <c r="H1421" t="s">
        <v>365</v>
      </c>
      <c r="I1421" s="34">
        <v>8</v>
      </c>
    </row>
    <row r="1422" spans="1:9" x14ac:dyDescent="0.3">
      <c r="A1422">
        <v>4</v>
      </c>
      <c r="B1422" t="s">
        <v>239</v>
      </c>
      <c r="C1422" t="s">
        <v>193</v>
      </c>
      <c r="D1422" t="s">
        <v>188</v>
      </c>
      <c r="E1422" s="1" t="s">
        <v>75</v>
      </c>
      <c r="F1422" s="32" t="s">
        <v>122</v>
      </c>
      <c r="G1422" s="124">
        <v>42.51</v>
      </c>
      <c r="H1422" t="s">
        <v>364</v>
      </c>
      <c r="I1422" s="34">
        <v>4</v>
      </c>
    </row>
    <row r="1423" spans="1:9" x14ac:dyDescent="0.3">
      <c r="A1423">
        <v>4</v>
      </c>
      <c r="B1423" t="s">
        <v>239</v>
      </c>
      <c r="C1423" t="s">
        <v>191</v>
      </c>
      <c r="D1423" t="s">
        <v>195</v>
      </c>
      <c r="E1423" s="1" t="s">
        <v>75</v>
      </c>
      <c r="F1423" s="31" t="s">
        <v>122</v>
      </c>
      <c r="G1423" s="124">
        <v>40</v>
      </c>
      <c r="H1423" t="s">
        <v>365</v>
      </c>
      <c r="I1423" s="34">
        <v>4</v>
      </c>
    </row>
    <row r="1424" spans="1:9" x14ac:dyDescent="0.3">
      <c r="A1424">
        <v>6</v>
      </c>
      <c r="B1424" t="s">
        <v>239</v>
      </c>
      <c r="C1424" t="s">
        <v>191</v>
      </c>
      <c r="D1424" t="s">
        <v>195</v>
      </c>
      <c r="E1424" t="s">
        <v>75</v>
      </c>
      <c r="F1424" s="57" t="s">
        <v>122</v>
      </c>
      <c r="G1424" s="124">
        <v>40</v>
      </c>
      <c r="H1424" t="s">
        <v>365</v>
      </c>
      <c r="I1424" s="34">
        <v>6</v>
      </c>
    </row>
    <row r="1425" spans="1:9" x14ac:dyDescent="0.3">
      <c r="A1425">
        <v>9</v>
      </c>
      <c r="B1425" t="s">
        <v>239</v>
      </c>
      <c r="C1425" t="s">
        <v>193</v>
      </c>
      <c r="D1425" t="s">
        <v>195</v>
      </c>
      <c r="E1425" t="s">
        <v>75</v>
      </c>
      <c r="F1425" s="57" t="s">
        <v>122</v>
      </c>
      <c r="G1425" s="124">
        <v>38.4</v>
      </c>
      <c r="H1425" t="s">
        <v>366</v>
      </c>
      <c r="I1425" s="34">
        <v>9</v>
      </c>
    </row>
    <row r="1426" spans="1:9" x14ac:dyDescent="0.3">
      <c r="A1426">
        <v>5</v>
      </c>
      <c r="B1426" t="s">
        <v>239</v>
      </c>
      <c r="C1426" t="s">
        <v>191</v>
      </c>
      <c r="D1426" t="s">
        <v>195</v>
      </c>
      <c r="E1426" s="1" t="s">
        <v>75</v>
      </c>
      <c r="F1426" s="54" t="s">
        <v>122</v>
      </c>
      <c r="G1426" s="124">
        <v>30</v>
      </c>
      <c r="H1426" t="s">
        <v>365</v>
      </c>
      <c r="I1426" s="34">
        <v>5</v>
      </c>
    </row>
    <row r="1427" spans="1:9" x14ac:dyDescent="0.3">
      <c r="A1427">
        <v>1</v>
      </c>
      <c r="B1427" t="s">
        <v>239</v>
      </c>
      <c r="C1427" t="s">
        <v>193</v>
      </c>
      <c r="D1427" t="s">
        <v>195</v>
      </c>
      <c r="E1427" s="1" t="s">
        <v>75</v>
      </c>
      <c r="F1427" s="54" t="s">
        <v>122</v>
      </c>
      <c r="G1427" s="124">
        <v>27.7</v>
      </c>
      <c r="H1427" t="s">
        <v>366</v>
      </c>
      <c r="I1427" s="34">
        <v>1</v>
      </c>
    </row>
    <row r="1428" spans="1:9" x14ac:dyDescent="0.3">
      <c r="A1428">
        <v>7</v>
      </c>
      <c r="B1428" t="s">
        <v>239</v>
      </c>
      <c r="C1428" t="s">
        <v>193</v>
      </c>
      <c r="D1428" t="s">
        <v>195</v>
      </c>
      <c r="E1428" t="s">
        <v>75</v>
      </c>
      <c r="F1428" s="57" t="s">
        <v>122</v>
      </c>
      <c r="G1428" s="124">
        <v>27.3</v>
      </c>
      <c r="H1428" t="s">
        <v>366</v>
      </c>
      <c r="I1428" s="34">
        <v>7</v>
      </c>
    </row>
    <row r="1429" spans="1:9" x14ac:dyDescent="0.3">
      <c r="A1429">
        <v>10</v>
      </c>
      <c r="B1429" t="s">
        <v>239</v>
      </c>
      <c r="C1429" t="s">
        <v>193</v>
      </c>
      <c r="D1429" t="s">
        <v>195</v>
      </c>
      <c r="E1429" t="s">
        <v>75</v>
      </c>
      <c r="F1429" s="57" t="s">
        <v>122</v>
      </c>
      <c r="G1429" s="124">
        <v>25.6</v>
      </c>
      <c r="H1429" t="s">
        <v>366</v>
      </c>
      <c r="I1429" s="34">
        <v>10</v>
      </c>
    </row>
    <row r="1430" spans="1:9" x14ac:dyDescent="0.3">
      <c r="A1430">
        <v>12</v>
      </c>
      <c r="B1430" t="s">
        <v>239</v>
      </c>
      <c r="C1430" t="s">
        <v>193</v>
      </c>
      <c r="D1430" t="s">
        <v>195</v>
      </c>
      <c r="E1430" t="s">
        <v>75</v>
      </c>
      <c r="F1430" s="57" t="s">
        <v>122</v>
      </c>
      <c r="G1430" s="124">
        <v>25.038400000000003</v>
      </c>
      <c r="H1430" t="s">
        <v>366</v>
      </c>
      <c r="I1430" s="34">
        <v>12</v>
      </c>
    </row>
    <row r="1431" spans="1:9" x14ac:dyDescent="0.3">
      <c r="A1431">
        <v>2</v>
      </c>
      <c r="B1431" t="s">
        <v>239</v>
      </c>
      <c r="C1431" t="s">
        <v>193</v>
      </c>
      <c r="D1431" t="s">
        <v>195</v>
      </c>
      <c r="E1431" s="1" t="s">
        <v>75</v>
      </c>
      <c r="F1431" s="32" t="s">
        <v>122</v>
      </c>
      <c r="G1431" s="124">
        <v>24</v>
      </c>
      <c r="H1431" s="53" t="s">
        <v>366</v>
      </c>
      <c r="I1431" s="77">
        <v>2</v>
      </c>
    </row>
    <row r="1432" spans="1:9" x14ac:dyDescent="0.3">
      <c r="A1432" s="53">
        <v>11</v>
      </c>
      <c r="B1432" t="s">
        <v>239</v>
      </c>
      <c r="C1432" s="53" t="s">
        <v>193</v>
      </c>
      <c r="D1432" s="53" t="s">
        <v>195</v>
      </c>
      <c r="E1432" s="53" t="s">
        <v>75</v>
      </c>
      <c r="F1432" s="57" t="s">
        <v>122</v>
      </c>
      <c r="G1432" s="124">
        <v>21.76</v>
      </c>
      <c r="H1432" t="s">
        <v>366</v>
      </c>
      <c r="I1432" s="34">
        <v>11</v>
      </c>
    </row>
    <row r="1433" spans="1:9" x14ac:dyDescent="0.3">
      <c r="A1433">
        <v>3</v>
      </c>
      <c r="B1433" t="s">
        <v>239</v>
      </c>
      <c r="C1433" t="s">
        <v>191</v>
      </c>
      <c r="D1433" t="s">
        <v>195</v>
      </c>
      <c r="E1433" s="1" t="s">
        <v>75</v>
      </c>
      <c r="F1433" s="32" t="s">
        <v>122</v>
      </c>
      <c r="G1433" s="124">
        <v>20</v>
      </c>
      <c r="H1433" t="s">
        <v>365</v>
      </c>
      <c r="I1433" s="34">
        <v>3</v>
      </c>
    </row>
    <row r="1434" spans="1:9" x14ac:dyDescent="0.3">
      <c r="A1434">
        <v>8</v>
      </c>
      <c r="B1434" t="s">
        <v>239</v>
      </c>
      <c r="C1434" t="s">
        <v>193</v>
      </c>
      <c r="D1434" t="s">
        <v>195</v>
      </c>
      <c r="E1434" t="s">
        <v>75</v>
      </c>
      <c r="F1434" s="57" t="s">
        <v>122</v>
      </c>
      <c r="G1434" s="124">
        <v>17</v>
      </c>
      <c r="H1434" t="s">
        <v>366</v>
      </c>
      <c r="I1434" s="34">
        <v>8</v>
      </c>
    </row>
    <row r="1435" spans="1:9" x14ac:dyDescent="0.3">
      <c r="A1435">
        <v>6</v>
      </c>
      <c r="B1435" t="s">
        <v>239</v>
      </c>
      <c r="C1435" t="s">
        <v>193</v>
      </c>
      <c r="D1435" t="s">
        <v>195</v>
      </c>
      <c r="E1435" t="s">
        <v>75</v>
      </c>
      <c r="F1435" s="57" t="s">
        <v>122</v>
      </c>
      <c r="G1435" s="124">
        <v>11.714600000000001</v>
      </c>
      <c r="H1435" t="s">
        <v>366</v>
      </c>
      <c r="I1435" s="34">
        <v>6</v>
      </c>
    </row>
    <row r="1436" spans="1:9" x14ac:dyDescent="0.3">
      <c r="A1436">
        <v>4</v>
      </c>
      <c r="B1436" t="s">
        <v>239</v>
      </c>
      <c r="C1436" t="s">
        <v>193</v>
      </c>
      <c r="D1436" t="s">
        <v>195</v>
      </c>
      <c r="E1436" s="1" t="s">
        <v>75</v>
      </c>
      <c r="F1436" s="32" t="s">
        <v>122</v>
      </c>
      <c r="G1436" s="124">
        <v>11.08</v>
      </c>
      <c r="H1436" t="s">
        <v>366</v>
      </c>
      <c r="I1436" s="34">
        <v>4</v>
      </c>
    </row>
    <row r="1437" spans="1:9" x14ac:dyDescent="0.3">
      <c r="A1437">
        <v>5</v>
      </c>
      <c r="B1437" t="s">
        <v>239</v>
      </c>
      <c r="C1437" t="s">
        <v>193</v>
      </c>
      <c r="D1437" t="s">
        <v>195</v>
      </c>
      <c r="E1437" t="s">
        <v>75</v>
      </c>
      <c r="F1437" s="57" t="s">
        <v>122</v>
      </c>
      <c r="G1437" s="124">
        <v>8.4</v>
      </c>
      <c r="H1437" t="s">
        <v>366</v>
      </c>
      <c r="I1437" s="34">
        <v>5</v>
      </c>
    </row>
    <row r="1438" spans="1:9" x14ac:dyDescent="0.3">
      <c r="A1438">
        <v>3</v>
      </c>
      <c r="B1438" t="s">
        <v>239</v>
      </c>
      <c r="C1438" t="s">
        <v>193</v>
      </c>
      <c r="D1438" t="s">
        <v>195</v>
      </c>
      <c r="E1438" s="1" t="s">
        <v>75</v>
      </c>
      <c r="F1438" s="54" t="s">
        <v>122</v>
      </c>
      <c r="G1438" s="124">
        <v>5.74</v>
      </c>
      <c r="H1438" t="s">
        <v>366</v>
      </c>
      <c r="I1438" s="34">
        <v>3</v>
      </c>
    </row>
    <row r="1439" spans="1:9" x14ac:dyDescent="0.3">
      <c r="A1439">
        <v>8</v>
      </c>
      <c r="B1439" t="s">
        <v>239</v>
      </c>
      <c r="C1439" t="s">
        <v>191</v>
      </c>
      <c r="D1439" t="s">
        <v>188</v>
      </c>
      <c r="E1439" t="s">
        <v>78</v>
      </c>
      <c r="F1439" s="57" t="s">
        <v>124</v>
      </c>
      <c r="G1439" s="124">
        <v>1150</v>
      </c>
      <c r="H1439" s="53" t="s">
        <v>367</v>
      </c>
      <c r="I1439" s="77">
        <v>8</v>
      </c>
    </row>
    <row r="1440" spans="1:9" x14ac:dyDescent="0.3">
      <c r="A1440">
        <v>6</v>
      </c>
      <c r="B1440" t="s">
        <v>239</v>
      </c>
      <c r="C1440" t="s">
        <v>191</v>
      </c>
      <c r="D1440" t="s">
        <v>188</v>
      </c>
      <c r="E1440" t="s">
        <v>78</v>
      </c>
      <c r="F1440" s="57" t="s">
        <v>124</v>
      </c>
      <c r="G1440" s="124">
        <v>900</v>
      </c>
      <c r="H1440" t="s">
        <v>367</v>
      </c>
      <c r="I1440" s="34">
        <v>6</v>
      </c>
    </row>
    <row r="1441" spans="1:9" x14ac:dyDescent="0.3">
      <c r="A1441">
        <v>7</v>
      </c>
      <c r="B1441" t="s">
        <v>239</v>
      </c>
      <c r="C1441" t="s">
        <v>191</v>
      </c>
      <c r="D1441" t="s">
        <v>188</v>
      </c>
      <c r="E1441" t="s">
        <v>78</v>
      </c>
      <c r="F1441" s="57" t="s">
        <v>124</v>
      </c>
      <c r="G1441" s="124">
        <v>800</v>
      </c>
      <c r="H1441" t="s">
        <v>367</v>
      </c>
      <c r="I1441" s="34">
        <v>7</v>
      </c>
    </row>
    <row r="1442" spans="1:9" x14ac:dyDescent="0.3">
      <c r="A1442">
        <v>5</v>
      </c>
      <c r="B1442" t="s">
        <v>239</v>
      </c>
      <c r="C1442" t="s">
        <v>191</v>
      </c>
      <c r="D1442" t="s">
        <v>188</v>
      </c>
      <c r="E1442" s="1" t="s">
        <v>78</v>
      </c>
      <c r="F1442" s="54" t="s">
        <v>124</v>
      </c>
      <c r="G1442" s="124">
        <v>750</v>
      </c>
      <c r="H1442" t="s">
        <v>367</v>
      </c>
      <c r="I1442" s="34">
        <v>5</v>
      </c>
    </row>
    <row r="1443" spans="1:9" x14ac:dyDescent="0.3">
      <c r="A1443">
        <v>12</v>
      </c>
      <c r="B1443" t="s">
        <v>239</v>
      </c>
      <c r="C1443" t="s">
        <v>191</v>
      </c>
      <c r="D1443" t="s">
        <v>188</v>
      </c>
      <c r="E1443" t="s">
        <v>78</v>
      </c>
      <c r="F1443" s="57" t="s">
        <v>124</v>
      </c>
      <c r="G1443" s="124">
        <v>750</v>
      </c>
      <c r="H1443" t="s">
        <v>367</v>
      </c>
      <c r="I1443" s="34">
        <v>12</v>
      </c>
    </row>
    <row r="1444" spans="1:9" x14ac:dyDescent="0.3">
      <c r="A1444">
        <v>1</v>
      </c>
      <c r="B1444" t="s">
        <v>239</v>
      </c>
      <c r="C1444" t="s">
        <v>191</v>
      </c>
      <c r="D1444" t="s">
        <v>188</v>
      </c>
      <c r="E1444" s="1" t="s">
        <v>78</v>
      </c>
      <c r="F1444" s="54" t="s">
        <v>124</v>
      </c>
      <c r="G1444" s="124">
        <v>700</v>
      </c>
      <c r="H1444" t="s">
        <v>367</v>
      </c>
      <c r="I1444" s="34">
        <v>1</v>
      </c>
    </row>
    <row r="1445" spans="1:9" x14ac:dyDescent="0.3">
      <c r="A1445">
        <v>8</v>
      </c>
      <c r="B1445" t="s">
        <v>239</v>
      </c>
      <c r="C1445" t="s">
        <v>191</v>
      </c>
      <c r="D1445" t="s">
        <v>195</v>
      </c>
      <c r="E1445" t="s">
        <v>78</v>
      </c>
      <c r="F1445" s="57" t="s">
        <v>124</v>
      </c>
      <c r="G1445" s="124">
        <v>700</v>
      </c>
      <c r="H1445" t="s">
        <v>368</v>
      </c>
      <c r="I1445" s="34">
        <v>8</v>
      </c>
    </row>
    <row r="1446" spans="1:9" x14ac:dyDescent="0.3">
      <c r="A1446">
        <v>2</v>
      </c>
      <c r="B1446" t="s">
        <v>239</v>
      </c>
      <c r="C1446" t="s">
        <v>191</v>
      </c>
      <c r="D1446" t="s">
        <v>188</v>
      </c>
      <c r="E1446" s="1" t="s">
        <v>78</v>
      </c>
      <c r="F1446" s="31" t="s">
        <v>124</v>
      </c>
      <c r="G1446" s="124">
        <v>600</v>
      </c>
      <c r="H1446" t="s">
        <v>367</v>
      </c>
      <c r="I1446" s="34">
        <v>2</v>
      </c>
    </row>
    <row r="1447" spans="1:9" x14ac:dyDescent="0.3">
      <c r="A1447">
        <v>9</v>
      </c>
      <c r="B1447" t="s">
        <v>239</v>
      </c>
      <c r="C1447" t="s">
        <v>191</v>
      </c>
      <c r="D1447" t="s">
        <v>188</v>
      </c>
      <c r="E1447" t="s">
        <v>78</v>
      </c>
      <c r="F1447" s="57" t="s">
        <v>124</v>
      </c>
      <c r="G1447" s="124">
        <v>600</v>
      </c>
      <c r="H1447" t="s">
        <v>367</v>
      </c>
      <c r="I1447" s="34">
        <v>9</v>
      </c>
    </row>
    <row r="1448" spans="1:9" x14ac:dyDescent="0.3">
      <c r="A1448">
        <v>10</v>
      </c>
      <c r="B1448" t="s">
        <v>239</v>
      </c>
      <c r="C1448" t="s">
        <v>191</v>
      </c>
      <c r="D1448" t="s">
        <v>188</v>
      </c>
      <c r="E1448" t="s">
        <v>78</v>
      </c>
      <c r="F1448" s="57" t="s">
        <v>124</v>
      </c>
      <c r="G1448" s="124">
        <v>600</v>
      </c>
      <c r="H1448" t="s">
        <v>367</v>
      </c>
      <c r="I1448" s="34">
        <v>10</v>
      </c>
    </row>
    <row r="1449" spans="1:9" x14ac:dyDescent="0.3">
      <c r="A1449">
        <v>7</v>
      </c>
      <c r="B1449" t="s">
        <v>239</v>
      </c>
      <c r="C1449" t="s">
        <v>191</v>
      </c>
      <c r="D1449" t="s">
        <v>195</v>
      </c>
      <c r="E1449" t="s">
        <v>78</v>
      </c>
      <c r="F1449" s="57" t="s">
        <v>124</v>
      </c>
      <c r="G1449" s="124">
        <v>600</v>
      </c>
      <c r="H1449" t="s">
        <v>368</v>
      </c>
      <c r="I1449" s="34">
        <v>7</v>
      </c>
    </row>
    <row r="1450" spans="1:9" x14ac:dyDescent="0.3">
      <c r="A1450">
        <v>1</v>
      </c>
      <c r="B1450" t="s">
        <v>239</v>
      </c>
      <c r="C1450" t="s">
        <v>191</v>
      </c>
      <c r="D1450" t="s">
        <v>195</v>
      </c>
      <c r="E1450" s="1" t="s">
        <v>78</v>
      </c>
      <c r="F1450" s="54" t="s">
        <v>124</v>
      </c>
      <c r="G1450" s="124">
        <v>550</v>
      </c>
      <c r="H1450" s="53" t="s">
        <v>368</v>
      </c>
      <c r="I1450" s="77">
        <v>1</v>
      </c>
    </row>
    <row r="1451" spans="1:9" x14ac:dyDescent="0.3">
      <c r="A1451">
        <v>12</v>
      </c>
      <c r="B1451" t="s">
        <v>239</v>
      </c>
      <c r="C1451" t="s">
        <v>191</v>
      </c>
      <c r="D1451" t="s">
        <v>195</v>
      </c>
      <c r="E1451" t="s">
        <v>78</v>
      </c>
      <c r="F1451" s="57" t="s">
        <v>124</v>
      </c>
      <c r="G1451" s="124">
        <v>550</v>
      </c>
      <c r="H1451" t="s">
        <v>368</v>
      </c>
      <c r="I1451" s="34">
        <v>12</v>
      </c>
    </row>
    <row r="1452" spans="1:9" x14ac:dyDescent="0.3">
      <c r="A1452">
        <v>4</v>
      </c>
      <c r="B1452" t="s">
        <v>239</v>
      </c>
      <c r="C1452" t="s">
        <v>191</v>
      </c>
      <c r="D1452" t="s">
        <v>188</v>
      </c>
      <c r="E1452" s="1" t="s">
        <v>78</v>
      </c>
      <c r="F1452" s="54" t="s">
        <v>124</v>
      </c>
      <c r="G1452" s="124">
        <v>520</v>
      </c>
      <c r="H1452" t="s">
        <v>367</v>
      </c>
      <c r="I1452" s="34">
        <v>4</v>
      </c>
    </row>
    <row r="1453" spans="1:9" x14ac:dyDescent="0.3">
      <c r="A1453" s="53">
        <v>11</v>
      </c>
      <c r="B1453" t="s">
        <v>239</v>
      </c>
      <c r="C1453" s="53" t="s">
        <v>191</v>
      </c>
      <c r="D1453" s="53" t="s">
        <v>188</v>
      </c>
      <c r="E1453" s="53" t="s">
        <v>78</v>
      </c>
      <c r="F1453" s="57" t="s">
        <v>124</v>
      </c>
      <c r="G1453" s="124">
        <v>500</v>
      </c>
      <c r="H1453" t="s">
        <v>367</v>
      </c>
      <c r="I1453" s="34">
        <v>11</v>
      </c>
    </row>
    <row r="1454" spans="1:9" x14ac:dyDescent="0.3">
      <c r="A1454">
        <v>2</v>
      </c>
      <c r="B1454" t="s">
        <v>239</v>
      </c>
      <c r="C1454" t="s">
        <v>191</v>
      </c>
      <c r="D1454" t="s">
        <v>195</v>
      </c>
      <c r="E1454" s="1" t="s">
        <v>78</v>
      </c>
      <c r="F1454" s="31" t="s">
        <v>124</v>
      </c>
      <c r="G1454" s="124">
        <v>500</v>
      </c>
      <c r="H1454" t="s">
        <v>368</v>
      </c>
      <c r="I1454" s="34">
        <v>2</v>
      </c>
    </row>
    <row r="1455" spans="1:9" x14ac:dyDescent="0.3">
      <c r="A1455">
        <v>8</v>
      </c>
      <c r="B1455" t="s">
        <v>239</v>
      </c>
      <c r="C1455" t="s">
        <v>193</v>
      </c>
      <c r="D1455" t="s">
        <v>188</v>
      </c>
      <c r="E1455" t="s">
        <v>78</v>
      </c>
      <c r="F1455" s="57" t="s">
        <v>124</v>
      </c>
      <c r="G1455" s="124">
        <v>450.8</v>
      </c>
      <c r="H1455" s="53" t="s">
        <v>369</v>
      </c>
      <c r="I1455" s="77">
        <v>8</v>
      </c>
    </row>
    <row r="1456" spans="1:9" x14ac:dyDescent="0.3">
      <c r="A1456">
        <v>1</v>
      </c>
      <c r="B1456" t="s">
        <v>239</v>
      </c>
      <c r="C1456" t="s">
        <v>192</v>
      </c>
      <c r="D1456" t="s">
        <v>188</v>
      </c>
      <c r="E1456" s="1" t="s">
        <v>78</v>
      </c>
      <c r="F1456" s="54" t="s">
        <v>124</v>
      </c>
      <c r="G1456" s="124">
        <v>425</v>
      </c>
      <c r="H1456" t="s">
        <v>370</v>
      </c>
      <c r="I1456" s="34">
        <v>1</v>
      </c>
    </row>
    <row r="1457" spans="1:9" x14ac:dyDescent="0.3">
      <c r="A1457">
        <v>1</v>
      </c>
      <c r="B1457" t="s">
        <v>239</v>
      </c>
      <c r="C1457" t="s">
        <v>192</v>
      </c>
      <c r="D1457" t="s">
        <v>195</v>
      </c>
      <c r="E1457" s="1" t="s">
        <v>78</v>
      </c>
      <c r="F1457" s="54" t="s">
        <v>124</v>
      </c>
      <c r="G1457" s="124">
        <v>423</v>
      </c>
      <c r="H1457" s="53" t="s">
        <v>371</v>
      </c>
      <c r="I1457" s="77">
        <v>1</v>
      </c>
    </row>
    <row r="1458" spans="1:9" x14ac:dyDescent="0.3">
      <c r="A1458">
        <v>9</v>
      </c>
      <c r="B1458" t="s">
        <v>239</v>
      </c>
      <c r="C1458" t="s">
        <v>191</v>
      </c>
      <c r="D1458" t="s">
        <v>195</v>
      </c>
      <c r="E1458" t="s">
        <v>78</v>
      </c>
      <c r="F1458" s="57" t="s">
        <v>124</v>
      </c>
      <c r="G1458" s="124">
        <v>420</v>
      </c>
      <c r="H1458" t="s">
        <v>368</v>
      </c>
      <c r="I1458" s="34">
        <v>9</v>
      </c>
    </row>
    <row r="1459" spans="1:9" x14ac:dyDescent="0.3">
      <c r="A1459">
        <v>5</v>
      </c>
      <c r="B1459" t="s">
        <v>239</v>
      </c>
      <c r="C1459" t="s">
        <v>191</v>
      </c>
      <c r="D1459" t="s">
        <v>195</v>
      </c>
      <c r="E1459" s="1" t="s">
        <v>78</v>
      </c>
      <c r="F1459" s="54" t="s">
        <v>124</v>
      </c>
      <c r="G1459" s="124">
        <v>400</v>
      </c>
      <c r="H1459" t="s">
        <v>368</v>
      </c>
      <c r="I1459" s="34">
        <v>5</v>
      </c>
    </row>
    <row r="1460" spans="1:9" x14ac:dyDescent="0.3">
      <c r="A1460">
        <v>10</v>
      </c>
      <c r="B1460" t="s">
        <v>239</v>
      </c>
      <c r="C1460" t="s">
        <v>191</v>
      </c>
      <c r="D1460" t="s">
        <v>195</v>
      </c>
      <c r="E1460" t="s">
        <v>78</v>
      </c>
      <c r="F1460" s="57" t="s">
        <v>124</v>
      </c>
      <c r="G1460" s="124">
        <v>400</v>
      </c>
      <c r="H1460" t="s">
        <v>368</v>
      </c>
      <c r="I1460" s="34">
        <v>10</v>
      </c>
    </row>
    <row r="1461" spans="1:9" x14ac:dyDescent="0.3">
      <c r="A1461">
        <v>8</v>
      </c>
      <c r="B1461" t="s">
        <v>239</v>
      </c>
      <c r="C1461" t="s">
        <v>192</v>
      </c>
      <c r="D1461" t="s">
        <v>188</v>
      </c>
      <c r="E1461" t="s">
        <v>78</v>
      </c>
      <c r="F1461" s="57" t="s">
        <v>124</v>
      </c>
      <c r="G1461" s="124">
        <v>392</v>
      </c>
      <c r="H1461" s="53" t="s">
        <v>370</v>
      </c>
      <c r="I1461" s="77">
        <v>8</v>
      </c>
    </row>
    <row r="1462" spans="1:9" x14ac:dyDescent="0.3">
      <c r="A1462">
        <v>7</v>
      </c>
      <c r="B1462" t="s">
        <v>239</v>
      </c>
      <c r="C1462" t="s">
        <v>192</v>
      </c>
      <c r="D1462" t="s">
        <v>195</v>
      </c>
      <c r="E1462" t="s">
        <v>78</v>
      </c>
      <c r="F1462" s="57" t="s">
        <v>124</v>
      </c>
      <c r="G1462" s="124">
        <v>391</v>
      </c>
      <c r="H1462" t="s">
        <v>371</v>
      </c>
      <c r="I1462" s="34">
        <v>7</v>
      </c>
    </row>
    <row r="1463" spans="1:9" x14ac:dyDescent="0.3">
      <c r="A1463">
        <v>10</v>
      </c>
      <c r="B1463" t="s">
        <v>239</v>
      </c>
      <c r="C1463" t="s">
        <v>192</v>
      </c>
      <c r="D1463" t="s">
        <v>188</v>
      </c>
      <c r="E1463" t="s">
        <v>78</v>
      </c>
      <c r="F1463" s="57" t="s">
        <v>124</v>
      </c>
      <c r="G1463" s="124">
        <v>385</v>
      </c>
      <c r="H1463" s="53" t="s">
        <v>370</v>
      </c>
      <c r="I1463" s="77">
        <v>10</v>
      </c>
    </row>
    <row r="1464" spans="1:9" x14ac:dyDescent="0.3">
      <c r="A1464">
        <v>3</v>
      </c>
      <c r="B1464" t="s">
        <v>239</v>
      </c>
      <c r="C1464" t="s">
        <v>192</v>
      </c>
      <c r="D1464" t="s">
        <v>195</v>
      </c>
      <c r="E1464" s="1" t="s">
        <v>78</v>
      </c>
      <c r="F1464" s="31" t="s">
        <v>124</v>
      </c>
      <c r="G1464" s="124">
        <v>380</v>
      </c>
      <c r="H1464" t="s">
        <v>371</v>
      </c>
      <c r="I1464" s="34">
        <v>3</v>
      </c>
    </row>
    <row r="1465" spans="1:9" x14ac:dyDescent="0.3">
      <c r="A1465">
        <v>4</v>
      </c>
      <c r="B1465" t="s">
        <v>239</v>
      </c>
      <c r="C1465" t="s">
        <v>191</v>
      </c>
      <c r="D1465" t="s">
        <v>195</v>
      </c>
      <c r="E1465" s="1" t="s">
        <v>78</v>
      </c>
      <c r="F1465" s="54" t="s">
        <v>124</v>
      </c>
      <c r="G1465" s="124">
        <v>380</v>
      </c>
      <c r="H1465" t="s">
        <v>368</v>
      </c>
      <c r="I1465" s="34">
        <v>4</v>
      </c>
    </row>
    <row r="1466" spans="1:9" x14ac:dyDescent="0.3">
      <c r="A1466">
        <v>8</v>
      </c>
      <c r="B1466" t="s">
        <v>239</v>
      </c>
      <c r="C1466" t="s">
        <v>192</v>
      </c>
      <c r="D1466" t="s">
        <v>195</v>
      </c>
      <c r="E1466" t="s">
        <v>78</v>
      </c>
      <c r="F1466" s="57" t="s">
        <v>124</v>
      </c>
      <c r="G1466" s="124">
        <v>380</v>
      </c>
      <c r="H1466" t="s">
        <v>371</v>
      </c>
      <c r="I1466" s="34">
        <v>8</v>
      </c>
    </row>
    <row r="1467" spans="1:9" x14ac:dyDescent="0.3">
      <c r="A1467">
        <v>7</v>
      </c>
      <c r="B1467" t="s">
        <v>239</v>
      </c>
      <c r="C1467" t="s">
        <v>192</v>
      </c>
      <c r="D1467" t="s">
        <v>188</v>
      </c>
      <c r="E1467" t="s">
        <v>78</v>
      </c>
      <c r="F1467" s="57" t="s">
        <v>124</v>
      </c>
      <c r="G1467" s="124">
        <v>377</v>
      </c>
      <c r="H1467" t="s">
        <v>370</v>
      </c>
      <c r="I1467" s="34">
        <v>7</v>
      </c>
    </row>
    <row r="1468" spans="1:9" x14ac:dyDescent="0.3">
      <c r="A1468">
        <v>2</v>
      </c>
      <c r="B1468" t="s">
        <v>239</v>
      </c>
      <c r="C1468" t="s">
        <v>192</v>
      </c>
      <c r="D1468" t="s">
        <v>195</v>
      </c>
      <c r="E1468" s="1" t="s">
        <v>78</v>
      </c>
      <c r="F1468" s="54" t="s">
        <v>124</v>
      </c>
      <c r="G1468" s="124">
        <v>377</v>
      </c>
      <c r="H1468" s="53" t="s">
        <v>371</v>
      </c>
      <c r="I1468" s="77">
        <v>2</v>
      </c>
    </row>
    <row r="1469" spans="1:9" x14ac:dyDescent="0.3">
      <c r="A1469">
        <v>2</v>
      </c>
      <c r="B1469" t="s">
        <v>239</v>
      </c>
      <c r="C1469" t="s">
        <v>192</v>
      </c>
      <c r="D1469" t="s">
        <v>188</v>
      </c>
      <c r="E1469" s="1" t="s">
        <v>78</v>
      </c>
      <c r="F1469" s="54" t="s">
        <v>124</v>
      </c>
      <c r="G1469" s="124">
        <v>368.4</v>
      </c>
      <c r="H1469" t="s">
        <v>370</v>
      </c>
      <c r="I1469" s="34">
        <v>2</v>
      </c>
    </row>
    <row r="1470" spans="1:9" x14ac:dyDescent="0.3">
      <c r="A1470">
        <v>3</v>
      </c>
      <c r="B1470" t="s">
        <v>239</v>
      </c>
      <c r="C1470" t="s">
        <v>192</v>
      </c>
      <c r="D1470" t="s">
        <v>188</v>
      </c>
      <c r="E1470" s="1" t="s">
        <v>78</v>
      </c>
      <c r="F1470" s="31" t="s">
        <v>124</v>
      </c>
      <c r="G1470" s="124">
        <v>358</v>
      </c>
      <c r="H1470" t="s">
        <v>370</v>
      </c>
      <c r="I1470" s="34">
        <v>3</v>
      </c>
    </row>
    <row r="1471" spans="1:9" x14ac:dyDescent="0.3">
      <c r="A1471">
        <v>12</v>
      </c>
      <c r="B1471" t="s">
        <v>239</v>
      </c>
      <c r="C1471" t="s">
        <v>192</v>
      </c>
      <c r="D1471" t="s">
        <v>188</v>
      </c>
      <c r="E1471" t="s">
        <v>78</v>
      </c>
      <c r="F1471" s="57" t="s">
        <v>124</v>
      </c>
      <c r="G1471" s="124">
        <v>352</v>
      </c>
      <c r="H1471" t="s">
        <v>370</v>
      </c>
      <c r="I1471" s="34">
        <v>12</v>
      </c>
    </row>
    <row r="1472" spans="1:9" x14ac:dyDescent="0.3">
      <c r="A1472">
        <v>10</v>
      </c>
      <c r="B1472" t="s">
        <v>239</v>
      </c>
      <c r="C1472" t="s">
        <v>192</v>
      </c>
      <c r="D1472" t="s">
        <v>195</v>
      </c>
      <c r="E1472" t="s">
        <v>78</v>
      </c>
      <c r="F1472" s="57" t="s">
        <v>124</v>
      </c>
      <c r="G1472" s="124">
        <v>345</v>
      </c>
      <c r="H1472" t="s">
        <v>371</v>
      </c>
      <c r="I1472" s="34">
        <v>10</v>
      </c>
    </row>
    <row r="1473" spans="1:9" x14ac:dyDescent="0.3">
      <c r="A1473">
        <v>9</v>
      </c>
      <c r="B1473" t="s">
        <v>239</v>
      </c>
      <c r="C1473" t="s">
        <v>192</v>
      </c>
      <c r="D1473" t="s">
        <v>188</v>
      </c>
      <c r="E1473" t="s">
        <v>78</v>
      </c>
      <c r="F1473" s="57" t="s">
        <v>124</v>
      </c>
      <c r="G1473" s="124">
        <v>340</v>
      </c>
      <c r="H1473" s="53" t="s">
        <v>370</v>
      </c>
      <c r="I1473" s="77">
        <v>9</v>
      </c>
    </row>
    <row r="1474" spans="1:9" x14ac:dyDescent="0.3">
      <c r="A1474">
        <v>12</v>
      </c>
      <c r="B1474" t="s">
        <v>239</v>
      </c>
      <c r="C1474" t="s">
        <v>192</v>
      </c>
      <c r="D1474" t="s">
        <v>195</v>
      </c>
      <c r="E1474" t="s">
        <v>78</v>
      </c>
      <c r="F1474" s="57" t="s">
        <v>124</v>
      </c>
      <c r="G1474" s="124">
        <v>337</v>
      </c>
      <c r="H1474" t="s">
        <v>371</v>
      </c>
      <c r="I1474" s="34">
        <v>12</v>
      </c>
    </row>
    <row r="1475" spans="1:9" x14ac:dyDescent="0.3">
      <c r="A1475">
        <v>9</v>
      </c>
      <c r="B1475" t="s">
        <v>239</v>
      </c>
      <c r="C1475" t="s">
        <v>192</v>
      </c>
      <c r="D1475" t="s">
        <v>195</v>
      </c>
      <c r="E1475" t="s">
        <v>78</v>
      </c>
      <c r="F1475" s="57" t="s">
        <v>124</v>
      </c>
      <c r="G1475" s="124">
        <v>336</v>
      </c>
      <c r="H1475" t="s">
        <v>371</v>
      </c>
      <c r="I1475" s="34">
        <v>9</v>
      </c>
    </row>
    <row r="1476" spans="1:9" x14ac:dyDescent="0.3">
      <c r="A1476">
        <v>5</v>
      </c>
      <c r="B1476" t="s">
        <v>239</v>
      </c>
      <c r="C1476" t="s">
        <v>192</v>
      </c>
      <c r="D1476" t="s">
        <v>195</v>
      </c>
      <c r="E1476" t="s">
        <v>78</v>
      </c>
      <c r="F1476" s="57" t="s">
        <v>124</v>
      </c>
      <c r="G1476" s="124">
        <v>325</v>
      </c>
      <c r="H1476" t="s">
        <v>371</v>
      </c>
      <c r="I1476" s="34">
        <v>5</v>
      </c>
    </row>
    <row r="1477" spans="1:9" x14ac:dyDescent="0.3">
      <c r="A1477">
        <v>6</v>
      </c>
      <c r="B1477" t="s">
        <v>239</v>
      </c>
      <c r="C1477" t="s">
        <v>192</v>
      </c>
      <c r="D1477" t="s">
        <v>195</v>
      </c>
      <c r="E1477" t="s">
        <v>78</v>
      </c>
      <c r="F1477" s="57" t="s">
        <v>124</v>
      </c>
      <c r="G1477" s="124">
        <v>322</v>
      </c>
      <c r="H1477" t="s">
        <v>371</v>
      </c>
      <c r="I1477" s="34">
        <v>6</v>
      </c>
    </row>
    <row r="1478" spans="1:9" x14ac:dyDescent="0.3">
      <c r="A1478">
        <v>5</v>
      </c>
      <c r="B1478" t="s">
        <v>239</v>
      </c>
      <c r="C1478" t="s">
        <v>192</v>
      </c>
      <c r="D1478" t="s">
        <v>188</v>
      </c>
      <c r="E1478" t="s">
        <v>78</v>
      </c>
      <c r="F1478" s="57" t="s">
        <v>124</v>
      </c>
      <c r="G1478" s="124">
        <v>317</v>
      </c>
      <c r="H1478" t="s">
        <v>370</v>
      </c>
      <c r="I1478" s="34">
        <v>5</v>
      </c>
    </row>
    <row r="1479" spans="1:9" x14ac:dyDescent="0.3">
      <c r="A1479" s="53">
        <v>11</v>
      </c>
      <c r="B1479" t="s">
        <v>239</v>
      </c>
      <c r="C1479" s="53" t="s">
        <v>192</v>
      </c>
      <c r="D1479" s="53" t="s">
        <v>188</v>
      </c>
      <c r="E1479" s="53" t="s">
        <v>78</v>
      </c>
      <c r="F1479" s="57" t="s">
        <v>124</v>
      </c>
      <c r="G1479" s="124">
        <v>305</v>
      </c>
      <c r="H1479" t="s">
        <v>370</v>
      </c>
      <c r="I1479" s="34">
        <v>11</v>
      </c>
    </row>
    <row r="1480" spans="1:9" x14ac:dyDescent="0.3">
      <c r="A1480">
        <v>4</v>
      </c>
      <c r="B1480" t="s">
        <v>239</v>
      </c>
      <c r="C1480" t="s">
        <v>192</v>
      </c>
      <c r="D1480" t="s">
        <v>195</v>
      </c>
      <c r="E1480" s="1" t="s">
        <v>78</v>
      </c>
      <c r="F1480" s="31" t="s">
        <v>124</v>
      </c>
      <c r="G1480" s="124">
        <v>303</v>
      </c>
      <c r="H1480" t="s">
        <v>371</v>
      </c>
      <c r="I1480" s="34">
        <v>4</v>
      </c>
    </row>
    <row r="1481" spans="1:9" x14ac:dyDescent="0.3">
      <c r="A1481">
        <v>7</v>
      </c>
      <c r="B1481" t="s">
        <v>239</v>
      </c>
      <c r="C1481" t="s">
        <v>193</v>
      </c>
      <c r="D1481" t="s">
        <v>188</v>
      </c>
      <c r="E1481" t="s">
        <v>78</v>
      </c>
      <c r="F1481" s="57" t="s">
        <v>124</v>
      </c>
      <c r="G1481" s="124">
        <v>301.60000000000002</v>
      </c>
      <c r="H1481" t="s">
        <v>369</v>
      </c>
      <c r="I1481" s="34">
        <v>7</v>
      </c>
    </row>
    <row r="1482" spans="1:9" x14ac:dyDescent="0.3">
      <c r="A1482">
        <v>6</v>
      </c>
      <c r="B1482" t="s">
        <v>239</v>
      </c>
      <c r="C1482" t="s">
        <v>192</v>
      </c>
      <c r="D1482" t="s">
        <v>188</v>
      </c>
      <c r="E1482" t="s">
        <v>78</v>
      </c>
      <c r="F1482" s="57" t="s">
        <v>124</v>
      </c>
      <c r="G1482" s="124">
        <v>301</v>
      </c>
      <c r="H1482" t="s">
        <v>370</v>
      </c>
      <c r="I1482" s="34">
        <v>6</v>
      </c>
    </row>
    <row r="1483" spans="1:9" x14ac:dyDescent="0.3">
      <c r="A1483">
        <v>6</v>
      </c>
      <c r="B1483" t="s">
        <v>239</v>
      </c>
      <c r="C1483" t="s">
        <v>191</v>
      </c>
      <c r="D1483" t="s">
        <v>195</v>
      </c>
      <c r="E1483" t="s">
        <v>78</v>
      </c>
      <c r="F1483" s="57" t="s">
        <v>124</v>
      </c>
      <c r="G1483" s="124">
        <v>300</v>
      </c>
      <c r="H1483" t="s">
        <v>368</v>
      </c>
      <c r="I1483" s="34">
        <v>6</v>
      </c>
    </row>
    <row r="1484" spans="1:9" x14ac:dyDescent="0.3">
      <c r="A1484" s="53">
        <v>11</v>
      </c>
      <c r="B1484" t="s">
        <v>239</v>
      </c>
      <c r="C1484" s="53" t="s">
        <v>191</v>
      </c>
      <c r="D1484" s="53" t="s">
        <v>195</v>
      </c>
      <c r="E1484" s="53" t="s">
        <v>78</v>
      </c>
      <c r="F1484" s="57" t="s">
        <v>124</v>
      </c>
      <c r="G1484" s="124">
        <v>300</v>
      </c>
      <c r="H1484" t="s">
        <v>368</v>
      </c>
      <c r="I1484" s="34">
        <v>11</v>
      </c>
    </row>
    <row r="1485" spans="1:9" x14ac:dyDescent="0.3">
      <c r="A1485">
        <v>1</v>
      </c>
      <c r="B1485" t="s">
        <v>239</v>
      </c>
      <c r="C1485" t="s">
        <v>193</v>
      </c>
      <c r="D1485" t="s">
        <v>188</v>
      </c>
      <c r="E1485" s="1" t="s">
        <v>78</v>
      </c>
      <c r="F1485" s="54" t="s">
        <v>124</v>
      </c>
      <c r="G1485" s="124">
        <v>297.5</v>
      </c>
      <c r="H1485" t="s">
        <v>369</v>
      </c>
      <c r="I1485" s="34">
        <v>1</v>
      </c>
    </row>
    <row r="1486" spans="1:9" x14ac:dyDescent="0.3">
      <c r="A1486">
        <v>4</v>
      </c>
      <c r="B1486" t="s">
        <v>239</v>
      </c>
      <c r="C1486" t="s">
        <v>192</v>
      </c>
      <c r="D1486" t="s">
        <v>188</v>
      </c>
      <c r="E1486" s="1" t="s">
        <v>78</v>
      </c>
      <c r="F1486" s="31" t="s">
        <v>124</v>
      </c>
      <c r="G1486" s="124">
        <v>285</v>
      </c>
      <c r="H1486" t="s">
        <v>370</v>
      </c>
      <c r="I1486" s="34">
        <v>4</v>
      </c>
    </row>
    <row r="1487" spans="1:9" x14ac:dyDescent="0.3">
      <c r="A1487" s="53">
        <v>11</v>
      </c>
      <c r="B1487" t="s">
        <v>239</v>
      </c>
      <c r="C1487" s="53" t="s">
        <v>192</v>
      </c>
      <c r="D1487" s="53" t="s">
        <v>195</v>
      </c>
      <c r="E1487" s="53" t="s">
        <v>78</v>
      </c>
      <c r="F1487" s="57" t="s">
        <v>124</v>
      </c>
      <c r="G1487" s="124">
        <v>285</v>
      </c>
      <c r="H1487" t="s">
        <v>371</v>
      </c>
      <c r="I1487" s="34">
        <v>11</v>
      </c>
    </row>
    <row r="1488" spans="1:9" x14ac:dyDescent="0.3">
      <c r="A1488">
        <v>3</v>
      </c>
      <c r="B1488" t="s">
        <v>239</v>
      </c>
      <c r="C1488" t="s">
        <v>191</v>
      </c>
      <c r="D1488" t="s">
        <v>188</v>
      </c>
      <c r="E1488" s="1" t="s">
        <v>78</v>
      </c>
      <c r="F1488" s="31" t="s">
        <v>124</v>
      </c>
      <c r="G1488" s="124">
        <v>280</v>
      </c>
      <c r="H1488" t="s">
        <v>367</v>
      </c>
      <c r="I1488" s="34">
        <v>3</v>
      </c>
    </row>
    <row r="1489" spans="1:9" x14ac:dyDescent="0.3">
      <c r="A1489">
        <v>6</v>
      </c>
      <c r="B1489" t="s">
        <v>239</v>
      </c>
      <c r="C1489" t="s">
        <v>193</v>
      </c>
      <c r="D1489" t="s">
        <v>188</v>
      </c>
      <c r="E1489" t="s">
        <v>78</v>
      </c>
      <c r="F1489" s="57" t="s">
        <v>124</v>
      </c>
      <c r="G1489" s="124">
        <v>270.89999999999998</v>
      </c>
      <c r="H1489" t="s">
        <v>369</v>
      </c>
      <c r="I1489" s="34">
        <v>6</v>
      </c>
    </row>
    <row r="1490" spans="1:9" x14ac:dyDescent="0.3">
      <c r="A1490">
        <v>8</v>
      </c>
      <c r="B1490" t="s">
        <v>239</v>
      </c>
      <c r="C1490" t="s">
        <v>193</v>
      </c>
      <c r="D1490" t="s">
        <v>195</v>
      </c>
      <c r="E1490" t="s">
        <v>78</v>
      </c>
      <c r="F1490" s="57" t="s">
        <v>124</v>
      </c>
      <c r="G1490" s="124">
        <v>266</v>
      </c>
      <c r="H1490" t="s">
        <v>372</v>
      </c>
      <c r="I1490" s="34">
        <v>8</v>
      </c>
    </row>
    <row r="1491" spans="1:9" x14ac:dyDescent="0.3">
      <c r="A1491">
        <v>12</v>
      </c>
      <c r="B1491" t="s">
        <v>239</v>
      </c>
      <c r="C1491" t="s">
        <v>193</v>
      </c>
      <c r="D1491" t="s">
        <v>188</v>
      </c>
      <c r="E1491" t="s">
        <v>78</v>
      </c>
      <c r="F1491" s="57" t="s">
        <v>124</v>
      </c>
      <c r="G1491" s="124">
        <v>264</v>
      </c>
      <c r="H1491" t="s">
        <v>369</v>
      </c>
      <c r="I1491" s="34">
        <v>12</v>
      </c>
    </row>
    <row r="1492" spans="1:9" x14ac:dyDescent="0.3">
      <c r="A1492">
        <v>5</v>
      </c>
      <c r="B1492" t="s">
        <v>239</v>
      </c>
      <c r="C1492" t="s">
        <v>193</v>
      </c>
      <c r="D1492" t="s">
        <v>188</v>
      </c>
      <c r="E1492" t="s">
        <v>78</v>
      </c>
      <c r="F1492" s="57" t="s">
        <v>124</v>
      </c>
      <c r="G1492" s="124">
        <v>237.75</v>
      </c>
      <c r="H1492" t="s">
        <v>369</v>
      </c>
      <c r="I1492" s="34">
        <v>5</v>
      </c>
    </row>
    <row r="1493" spans="1:9" x14ac:dyDescent="0.3">
      <c r="A1493">
        <v>7</v>
      </c>
      <c r="B1493" t="s">
        <v>239</v>
      </c>
      <c r="C1493" t="s">
        <v>193</v>
      </c>
      <c r="D1493" t="s">
        <v>195</v>
      </c>
      <c r="E1493" t="s">
        <v>78</v>
      </c>
      <c r="F1493" s="57" t="s">
        <v>124</v>
      </c>
      <c r="G1493" s="124">
        <v>234.6</v>
      </c>
      <c r="H1493" t="s">
        <v>372</v>
      </c>
      <c r="I1493" s="34">
        <v>7</v>
      </c>
    </row>
    <row r="1494" spans="1:9" x14ac:dyDescent="0.3">
      <c r="A1494">
        <v>1</v>
      </c>
      <c r="B1494" t="s">
        <v>239</v>
      </c>
      <c r="C1494" t="s">
        <v>193</v>
      </c>
      <c r="D1494" t="s">
        <v>195</v>
      </c>
      <c r="E1494" s="1" t="s">
        <v>78</v>
      </c>
      <c r="F1494" s="54" t="s">
        <v>124</v>
      </c>
      <c r="G1494" s="124">
        <v>232.65</v>
      </c>
      <c r="H1494" s="53" t="s">
        <v>372</v>
      </c>
      <c r="I1494" s="77">
        <v>1</v>
      </c>
    </row>
    <row r="1495" spans="1:9" x14ac:dyDescent="0.3">
      <c r="A1495">
        <v>10</v>
      </c>
      <c r="B1495" t="s">
        <v>239</v>
      </c>
      <c r="C1495" t="s">
        <v>193</v>
      </c>
      <c r="D1495" t="s">
        <v>188</v>
      </c>
      <c r="E1495" t="s">
        <v>78</v>
      </c>
      <c r="F1495" s="57" t="s">
        <v>124</v>
      </c>
      <c r="G1495" s="124">
        <v>231</v>
      </c>
      <c r="H1495" s="53" t="s">
        <v>369</v>
      </c>
      <c r="I1495" s="77">
        <v>10</v>
      </c>
    </row>
    <row r="1496" spans="1:9" x14ac:dyDescent="0.3">
      <c r="A1496">
        <v>2</v>
      </c>
      <c r="B1496" t="s">
        <v>239</v>
      </c>
      <c r="C1496" t="s">
        <v>193</v>
      </c>
      <c r="D1496" t="s">
        <v>188</v>
      </c>
      <c r="E1496" s="1" t="s">
        <v>78</v>
      </c>
      <c r="F1496" s="54" t="s">
        <v>124</v>
      </c>
      <c r="G1496" s="124">
        <v>221.04</v>
      </c>
      <c r="H1496" t="s">
        <v>369</v>
      </c>
      <c r="I1496" s="34">
        <v>2</v>
      </c>
    </row>
    <row r="1497" spans="1:9" x14ac:dyDescent="0.3">
      <c r="A1497">
        <v>9</v>
      </c>
      <c r="B1497" t="s">
        <v>239</v>
      </c>
      <c r="C1497" t="s">
        <v>193</v>
      </c>
      <c r="D1497" t="s">
        <v>188</v>
      </c>
      <c r="E1497" t="s">
        <v>78</v>
      </c>
      <c r="F1497" s="57" t="s">
        <v>124</v>
      </c>
      <c r="G1497" s="124">
        <v>204</v>
      </c>
      <c r="H1497" t="s">
        <v>369</v>
      </c>
      <c r="I1497" s="34">
        <v>9</v>
      </c>
    </row>
    <row r="1498" spans="1:9" x14ac:dyDescent="0.3">
      <c r="A1498">
        <v>3</v>
      </c>
      <c r="B1498" t="s">
        <v>239</v>
      </c>
      <c r="C1498" t="s">
        <v>191</v>
      </c>
      <c r="D1498" t="s">
        <v>195</v>
      </c>
      <c r="E1498" s="1" t="s">
        <v>78</v>
      </c>
      <c r="F1498" s="31" t="s">
        <v>124</v>
      </c>
      <c r="G1498" s="124">
        <v>200</v>
      </c>
      <c r="H1498" t="s">
        <v>368</v>
      </c>
      <c r="I1498" s="34">
        <v>3</v>
      </c>
    </row>
    <row r="1499" spans="1:9" x14ac:dyDescent="0.3">
      <c r="A1499">
        <v>2</v>
      </c>
      <c r="B1499" t="s">
        <v>239</v>
      </c>
      <c r="C1499" t="s">
        <v>193</v>
      </c>
      <c r="D1499" t="s">
        <v>195</v>
      </c>
      <c r="E1499" s="1" t="s">
        <v>78</v>
      </c>
      <c r="F1499" s="54" t="s">
        <v>124</v>
      </c>
      <c r="G1499" s="124">
        <v>188.5</v>
      </c>
      <c r="H1499" t="s">
        <v>372</v>
      </c>
      <c r="I1499" s="34">
        <v>2</v>
      </c>
    </row>
    <row r="1500" spans="1:9" x14ac:dyDescent="0.3">
      <c r="A1500">
        <v>12</v>
      </c>
      <c r="B1500" t="s">
        <v>239</v>
      </c>
      <c r="C1500" t="s">
        <v>193</v>
      </c>
      <c r="D1500" t="s">
        <v>195</v>
      </c>
      <c r="E1500" t="s">
        <v>78</v>
      </c>
      <c r="F1500" s="57" t="s">
        <v>124</v>
      </c>
      <c r="G1500" s="124">
        <v>185.35</v>
      </c>
      <c r="H1500" t="s">
        <v>372</v>
      </c>
      <c r="I1500" s="34">
        <v>12</v>
      </c>
    </row>
    <row r="1501" spans="1:9" x14ac:dyDescent="0.3">
      <c r="A1501" s="53">
        <v>11</v>
      </c>
      <c r="B1501" t="s">
        <v>239</v>
      </c>
      <c r="C1501" s="53" t="s">
        <v>193</v>
      </c>
      <c r="D1501" s="53" t="s">
        <v>188</v>
      </c>
      <c r="E1501" s="53" t="s">
        <v>78</v>
      </c>
      <c r="F1501" s="57" t="s">
        <v>124</v>
      </c>
      <c r="G1501" s="124">
        <v>152.5</v>
      </c>
      <c r="H1501" t="s">
        <v>369</v>
      </c>
      <c r="I1501" s="34">
        <v>11</v>
      </c>
    </row>
    <row r="1502" spans="1:9" x14ac:dyDescent="0.3">
      <c r="A1502">
        <v>4</v>
      </c>
      <c r="B1502" t="s">
        <v>239</v>
      </c>
      <c r="C1502" t="s">
        <v>193</v>
      </c>
      <c r="D1502" t="s">
        <v>188</v>
      </c>
      <c r="E1502" s="1" t="s">
        <v>78</v>
      </c>
      <c r="F1502" s="31" t="s">
        <v>124</v>
      </c>
      <c r="G1502" s="124">
        <v>148.19999999999999</v>
      </c>
      <c r="H1502" t="s">
        <v>369</v>
      </c>
      <c r="I1502" s="34">
        <v>4</v>
      </c>
    </row>
    <row r="1503" spans="1:9" x14ac:dyDescent="0.3">
      <c r="A1503">
        <v>9</v>
      </c>
      <c r="B1503" t="s">
        <v>239</v>
      </c>
      <c r="C1503" t="s">
        <v>193</v>
      </c>
      <c r="D1503" t="s">
        <v>195</v>
      </c>
      <c r="E1503" t="s">
        <v>78</v>
      </c>
      <c r="F1503" s="57" t="s">
        <v>124</v>
      </c>
      <c r="G1503" s="124">
        <v>141.12</v>
      </c>
      <c r="H1503" t="s">
        <v>372</v>
      </c>
      <c r="I1503" s="34">
        <v>9</v>
      </c>
    </row>
    <row r="1504" spans="1:9" x14ac:dyDescent="0.3">
      <c r="A1504">
        <v>10</v>
      </c>
      <c r="B1504" t="s">
        <v>239</v>
      </c>
      <c r="C1504" t="s">
        <v>193</v>
      </c>
      <c r="D1504" t="s">
        <v>195</v>
      </c>
      <c r="E1504" t="s">
        <v>78</v>
      </c>
      <c r="F1504" s="57" t="s">
        <v>124</v>
      </c>
      <c r="G1504" s="124">
        <v>138</v>
      </c>
      <c r="H1504" t="s">
        <v>372</v>
      </c>
      <c r="I1504" s="34">
        <v>10</v>
      </c>
    </row>
    <row r="1505" spans="1:9" x14ac:dyDescent="0.3">
      <c r="A1505">
        <v>5</v>
      </c>
      <c r="B1505" t="s">
        <v>239</v>
      </c>
      <c r="C1505" t="s">
        <v>193</v>
      </c>
      <c r="D1505" t="s">
        <v>195</v>
      </c>
      <c r="E1505" t="s">
        <v>78</v>
      </c>
      <c r="F1505" s="57" t="s">
        <v>124</v>
      </c>
      <c r="G1505" s="124">
        <v>130</v>
      </c>
      <c r="H1505" t="s">
        <v>372</v>
      </c>
      <c r="I1505" s="34">
        <v>5</v>
      </c>
    </row>
    <row r="1506" spans="1:9" x14ac:dyDescent="0.3">
      <c r="A1506">
        <v>4</v>
      </c>
      <c r="B1506" t="s">
        <v>239</v>
      </c>
      <c r="C1506" t="s">
        <v>193</v>
      </c>
      <c r="D1506" t="s">
        <v>195</v>
      </c>
      <c r="E1506" s="1" t="s">
        <v>78</v>
      </c>
      <c r="F1506" s="31" t="s">
        <v>124</v>
      </c>
      <c r="G1506" s="124">
        <v>115.14</v>
      </c>
      <c r="H1506" t="s">
        <v>372</v>
      </c>
      <c r="I1506" s="34">
        <v>4</v>
      </c>
    </row>
    <row r="1507" spans="1:9" x14ac:dyDescent="0.3">
      <c r="A1507">
        <v>3</v>
      </c>
      <c r="B1507" t="s">
        <v>239</v>
      </c>
      <c r="C1507" t="s">
        <v>193</v>
      </c>
      <c r="D1507" t="s">
        <v>188</v>
      </c>
      <c r="E1507" s="1" t="s">
        <v>78</v>
      </c>
      <c r="F1507" s="54" t="s">
        <v>124</v>
      </c>
      <c r="G1507" s="124">
        <v>100.24</v>
      </c>
      <c r="H1507" t="s">
        <v>369</v>
      </c>
      <c r="I1507" s="34">
        <v>3</v>
      </c>
    </row>
    <row r="1508" spans="1:9" x14ac:dyDescent="0.3">
      <c r="A1508">
        <v>6</v>
      </c>
      <c r="B1508" t="s">
        <v>239</v>
      </c>
      <c r="C1508" t="s">
        <v>193</v>
      </c>
      <c r="D1508" t="s">
        <v>195</v>
      </c>
      <c r="E1508" t="s">
        <v>78</v>
      </c>
      <c r="F1508" s="57" t="s">
        <v>124</v>
      </c>
      <c r="G1508" s="124">
        <v>96.6</v>
      </c>
      <c r="H1508" t="s">
        <v>372</v>
      </c>
      <c r="I1508" s="34">
        <v>6</v>
      </c>
    </row>
    <row r="1509" spans="1:9" x14ac:dyDescent="0.3">
      <c r="A1509" s="53">
        <v>11</v>
      </c>
      <c r="B1509" t="s">
        <v>239</v>
      </c>
      <c r="C1509" s="53" t="s">
        <v>193</v>
      </c>
      <c r="D1509" s="53" t="s">
        <v>195</v>
      </c>
      <c r="E1509" s="53" t="s">
        <v>78</v>
      </c>
      <c r="F1509" s="57" t="s">
        <v>124</v>
      </c>
      <c r="G1509" s="124">
        <v>85.5</v>
      </c>
      <c r="H1509" t="s">
        <v>372</v>
      </c>
      <c r="I1509" s="34">
        <v>11</v>
      </c>
    </row>
    <row r="1510" spans="1:9" x14ac:dyDescent="0.3">
      <c r="A1510">
        <v>3</v>
      </c>
      <c r="B1510" t="s">
        <v>239</v>
      </c>
      <c r="C1510" t="s">
        <v>193</v>
      </c>
      <c r="D1510" t="s">
        <v>195</v>
      </c>
      <c r="E1510" s="1" t="s">
        <v>78</v>
      </c>
      <c r="F1510" s="54" t="s">
        <v>124</v>
      </c>
      <c r="G1510" s="124">
        <v>76</v>
      </c>
      <c r="H1510" t="s">
        <v>372</v>
      </c>
      <c r="I1510" s="34">
        <v>3</v>
      </c>
    </row>
    <row r="1511" spans="1:9" x14ac:dyDescent="0.3">
      <c r="A1511">
        <v>8</v>
      </c>
      <c r="B1511" t="s">
        <v>239</v>
      </c>
      <c r="C1511" t="s">
        <v>191</v>
      </c>
      <c r="D1511" t="s">
        <v>195</v>
      </c>
      <c r="E1511" t="s">
        <v>185</v>
      </c>
      <c r="F1511" s="57" t="s">
        <v>128</v>
      </c>
      <c r="G1511" s="124">
        <v>1500</v>
      </c>
      <c r="H1511" t="s">
        <v>373</v>
      </c>
      <c r="I1511" s="34">
        <v>8</v>
      </c>
    </row>
    <row r="1512" spans="1:9" x14ac:dyDescent="0.3">
      <c r="A1512">
        <v>7</v>
      </c>
      <c r="B1512" t="s">
        <v>239</v>
      </c>
      <c r="C1512" t="s">
        <v>191</v>
      </c>
      <c r="D1512" t="s">
        <v>195</v>
      </c>
      <c r="E1512" t="s">
        <v>185</v>
      </c>
      <c r="F1512" s="57" t="s">
        <v>128</v>
      </c>
      <c r="G1512" s="124">
        <v>1200</v>
      </c>
      <c r="H1512" t="s">
        <v>373</v>
      </c>
      <c r="I1512" s="34">
        <v>7</v>
      </c>
    </row>
    <row r="1513" spans="1:9" x14ac:dyDescent="0.3">
      <c r="A1513" s="53">
        <v>11</v>
      </c>
      <c r="B1513" t="s">
        <v>239</v>
      </c>
      <c r="C1513" s="53" t="s">
        <v>191</v>
      </c>
      <c r="D1513" s="53" t="s">
        <v>195</v>
      </c>
      <c r="E1513" s="53" t="s">
        <v>185</v>
      </c>
      <c r="F1513" s="57" t="s">
        <v>128</v>
      </c>
      <c r="G1513" s="124">
        <v>1200</v>
      </c>
      <c r="H1513" t="s">
        <v>373</v>
      </c>
      <c r="I1513" s="34">
        <v>11</v>
      </c>
    </row>
    <row r="1514" spans="1:9" x14ac:dyDescent="0.3">
      <c r="A1514">
        <v>2</v>
      </c>
      <c r="B1514" t="s">
        <v>239</v>
      </c>
      <c r="C1514" t="s">
        <v>191</v>
      </c>
      <c r="D1514" t="s">
        <v>195</v>
      </c>
      <c r="E1514" s="1" t="s">
        <v>185</v>
      </c>
      <c r="F1514" s="54" t="s">
        <v>128</v>
      </c>
      <c r="G1514" s="124">
        <v>1100</v>
      </c>
      <c r="H1514" t="s">
        <v>373</v>
      </c>
      <c r="I1514" s="34">
        <v>2</v>
      </c>
    </row>
    <row r="1515" spans="1:9" x14ac:dyDescent="0.3">
      <c r="A1515">
        <v>5</v>
      </c>
      <c r="B1515" t="s">
        <v>239</v>
      </c>
      <c r="C1515" t="s">
        <v>191</v>
      </c>
      <c r="D1515" t="s">
        <v>195</v>
      </c>
      <c r="E1515" t="s">
        <v>185</v>
      </c>
      <c r="F1515" s="57" t="s">
        <v>128</v>
      </c>
      <c r="G1515" s="124">
        <v>1100</v>
      </c>
      <c r="H1515" t="s">
        <v>373</v>
      </c>
      <c r="I1515" s="34">
        <v>5</v>
      </c>
    </row>
    <row r="1516" spans="1:9" x14ac:dyDescent="0.3">
      <c r="A1516">
        <v>9</v>
      </c>
      <c r="B1516" t="s">
        <v>239</v>
      </c>
      <c r="C1516" t="s">
        <v>191</v>
      </c>
      <c r="D1516" t="s">
        <v>195</v>
      </c>
      <c r="E1516" t="s">
        <v>185</v>
      </c>
      <c r="F1516" s="57" t="s">
        <v>128</v>
      </c>
      <c r="G1516" s="124">
        <v>1100</v>
      </c>
      <c r="H1516" t="s">
        <v>373</v>
      </c>
      <c r="I1516" s="34">
        <v>9</v>
      </c>
    </row>
    <row r="1517" spans="1:9" x14ac:dyDescent="0.3">
      <c r="A1517">
        <v>4</v>
      </c>
      <c r="B1517" t="s">
        <v>239</v>
      </c>
      <c r="C1517" t="s">
        <v>191</v>
      </c>
      <c r="D1517" t="s">
        <v>238</v>
      </c>
      <c r="E1517" s="1" t="s">
        <v>185</v>
      </c>
      <c r="F1517" s="31" t="s">
        <v>128</v>
      </c>
      <c r="G1517" s="124">
        <v>1000</v>
      </c>
      <c r="H1517" t="s">
        <v>374</v>
      </c>
      <c r="I1517" s="34">
        <v>4</v>
      </c>
    </row>
    <row r="1518" spans="1:9" x14ac:dyDescent="0.3">
      <c r="A1518">
        <v>1</v>
      </c>
      <c r="B1518" t="s">
        <v>239</v>
      </c>
      <c r="C1518" t="s">
        <v>191</v>
      </c>
      <c r="D1518" t="s">
        <v>195</v>
      </c>
      <c r="E1518" s="1" t="s">
        <v>185</v>
      </c>
      <c r="F1518" s="54" t="s">
        <v>128</v>
      </c>
      <c r="G1518" s="124">
        <v>1000</v>
      </c>
      <c r="H1518" t="s">
        <v>373</v>
      </c>
      <c r="I1518" s="34">
        <v>1</v>
      </c>
    </row>
    <row r="1519" spans="1:9" x14ac:dyDescent="0.3">
      <c r="A1519">
        <v>3</v>
      </c>
      <c r="B1519" t="s">
        <v>239</v>
      </c>
      <c r="C1519" t="s">
        <v>191</v>
      </c>
      <c r="D1519" t="s">
        <v>195</v>
      </c>
      <c r="E1519" s="1" t="s">
        <v>185</v>
      </c>
      <c r="F1519" s="31" t="s">
        <v>128</v>
      </c>
      <c r="G1519" s="124">
        <v>1000</v>
      </c>
      <c r="H1519" t="s">
        <v>373</v>
      </c>
      <c r="I1519" s="34">
        <v>3</v>
      </c>
    </row>
    <row r="1520" spans="1:9" x14ac:dyDescent="0.3">
      <c r="A1520">
        <v>4</v>
      </c>
      <c r="B1520" t="s">
        <v>239</v>
      </c>
      <c r="C1520" t="s">
        <v>191</v>
      </c>
      <c r="D1520" t="s">
        <v>195</v>
      </c>
      <c r="E1520" s="1" t="s">
        <v>185</v>
      </c>
      <c r="F1520" s="31" t="s">
        <v>128</v>
      </c>
      <c r="G1520" s="124">
        <v>1000</v>
      </c>
      <c r="H1520" t="s">
        <v>373</v>
      </c>
      <c r="I1520" s="34">
        <v>4</v>
      </c>
    </row>
    <row r="1521" spans="1:9" x14ac:dyDescent="0.3">
      <c r="A1521">
        <v>6</v>
      </c>
      <c r="B1521" t="s">
        <v>239</v>
      </c>
      <c r="C1521" t="s">
        <v>191</v>
      </c>
      <c r="D1521" t="s">
        <v>195</v>
      </c>
      <c r="E1521" t="s">
        <v>185</v>
      </c>
      <c r="F1521" s="57" t="s">
        <v>128</v>
      </c>
      <c r="G1521" s="124">
        <v>1000</v>
      </c>
      <c r="H1521" t="s">
        <v>373</v>
      </c>
      <c r="I1521" s="34">
        <v>6</v>
      </c>
    </row>
    <row r="1522" spans="1:9" x14ac:dyDescent="0.3">
      <c r="A1522">
        <v>10</v>
      </c>
      <c r="B1522" t="s">
        <v>239</v>
      </c>
      <c r="C1522" t="s">
        <v>191</v>
      </c>
      <c r="D1522" t="s">
        <v>195</v>
      </c>
      <c r="E1522" t="s">
        <v>185</v>
      </c>
      <c r="F1522" s="125" t="s">
        <v>128</v>
      </c>
      <c r="G1522" s="124">
        <v>1000</v>
      </c>
      <c r="H1522" t="s">
        <v>373</v>
      </c>
      <c r="I1522" s="34">
        <v>10</v>
      </c>
    </row>
    <row r="1523" spans="1:9" x14ac:dyDescent="0.3">
      <c r="A1523">
        <v>12</v>
      </c>
      <c r="B1523" t="s">
        <v>239</v>
      </c>
      <c r="C1523" t="s">
        <v>191</v>
      </c>
      <c r="D1523" t="s">
        <v>195</v>
      </c>
      <c r="E1523" t="s">
        <v>185</v>
      </c>
      <c r="F1523" s="57" t="s">
        <v>128</v>
      </c>
      <c r="G1523" s="124">
        <v>1000</v>
      </c>
      <c r="H1523" t="s">
        <v>373</v>
      </c>
      <c r="I1523" s="34">
        <v>12</v>
      </c>
    </row>
    <row r="1524" spans="1:9" x14ac:dyDescent="0.3">
      <c r="A1524">
        <v>7</v>
      </c>
      <c r="B1524" t="s">
        <v>239</v>
      </c>
      <c r="C1524" t="s">
        <v>191</v>
      </c>
      <c r="D1524" t="s">
        <v>188</v>
      </c>
      <c r="E1524" t="s">
        <v>185</v>
      </c>
      <c r="F1524" s="57" t="s">
        <v>128</v>
      </c>
      <c r="G1524" s="124">
        <v>850</v>
      </c>
      <c r="H1524" s="53" t="s">
        <v>375</v>
      </c>
      <c r="I1524" s="77">
        <v>7</v>
      </c>
    </row>
    <row r="1525" spans="1:9" x14ac:dyDescent="0.3">
      <c r="A1525">
        <v>10</v>
      </c>
      <c r="B1525" t="s">
        <v>239</v>
      </c>
      <c r="C1525" t="s">
        <v>191</v>
      </c>
      <c r="D1525" t="s">
        <v>188</v>
      </c>
      <c r="E1525" t="s">
        <v>185</v>
      </c>
      <c r="F1525" s="57" t="s">
        <v>128</v>
      </c>
      <c r="G1525" s="124">
        <v>810</v>
      </c>
      <c r="H1525" t="s">
        <v>375</v>
      </c>
      <c r="I1525" s="34">
        <v>10</v>
      </c>
    </row>
    <row r="1526" spans="1:9" x14ac:dyDescent="0.3">
      <c r="A1526">
        <v>8</v>
      </c>
      <c r="B1526" t="s">
        <v>239</v>
      </c>
      <c r="C1526" t="s">
        <v>191</v>
      </c>
      <c r="D1526" t="s">
        <v>188</v>
      </c>
      <c r="E1526" t="s">
        <v>185</v>
      </c>
      <c r="F1526" s="57" t="s">
        <v>128</v>
      </c>
      <c r="G1526" s="124">
        <v>800</v>
      </c>
      <c r="H1526" s="53" t="s">
        <v>375</v>
      </c>
      <c r="I1526" s="77">
        <v>8</v>
      </c>
    </row>
    <row r="1527" spans="1:9" x14ac:dyDescent="0.3">
      <c r="A1527">
        <v>3</v>
      </c>
      <c r="B1527" t="s">
        <v>239</v>
      </c>
      <c r="C1527" t="s">
        <v>191</v>
      </c>
      <c r="D1527" t="s">
        <v>238</v>
      </c>
      <c r="E1527" s="1" t="s">
        <v>185</v>
      </c>
      <c r="F1527" s="31" t="s">
        <v>128</v>
      </c>
      <c r="G1527" s="124">
        <v>800</v>
      </c>
      <c r="H1527" s="53" t="s">
        <v>374</v>
      </c>
      <c r="I1527" s="77">
        <v>3</v>
      </c>
    </row>
    <row r="1528" spans="1:9" x14ac:dyDescent="0.3">
      <c r="A1528">
        <v>6</v>
      </c>
      <c r="B1528" t="s">
        <v>239</v>
      </c>
      <c r="C1528" t="s">
        <v>191</v>
      </c>
      <c r="D1528" t="s">
        <v>238</v>
      </c>
      <c r="E1528" t="s">
        <v>185</v>
      </c>
      <c r="F1528" s="57" t="s">
        <v>128</v>
      </c>
      <c r="G1528" s="124">
        <v>800</v>
      </c>
      <c r="H1528" s="53" t="s">
        <v>374</v>
      </c>
      <c r="I1528" s="77">
        <v>6</v>
      </c>
    </row>
    <row r="1529" spans="1:9" x14ac:dyDescent="0.3">
      <c r="A1529">
        <v>9</v>
      </c>
      <c r="B1529" t="s">
        <v>239</v>
      </c>
      <c r="C1529" t="s">
        <v>191</v>
      </c>
      <c r="D1529" t="s">
        <v>238</v>
      </c>
      <c r="E1529" t="s">
        <v>185</v>
      </c>
      <c r="F1529" s="57" t="s">
        <v>128</v>
      </c>
      <c r="G1529" s="124">
        <v>800</v>
      </c>
      <c r="H1529" s="53" t="s">
        <v>374</v>
      </c>
      <c r="I1529" s="77">
        <v>9</v>
      </c>
    </row>
    <row r="1530" spans="1:9" x14ac:dyDescent="0.3">
      <c r="A1530">
        <v>10</v>
      </c>
      <c r="B1530" t="s">
        <v>239</v>
      </c>
      <c r="C1530" t="s">
        <v>191</v>
      </c>
      <c r="D1530" t="s">
        <v>238</v>
      </c>
      <c r="E1530" t="s">
        <v>185</v>
      </c>
      <c r="F1530" s="57" t="s">
        <v>128</v>
      </c>
      <c r="G1530" s="124">
        <v>800</v>
      </c>
      <c r="H1530" t="s">
        <v>374</v>
      </c>
      <c r="I1530" s="34">
        <v>10</v>
      </c>
    </row>
    <row r="1531" spans="1:9" x14ac:dyDescent="0.3">
      <c r="A1531" s="53">
        <v>11</v>
      </c>
      <c r="B1531" t="s">
        <v>239</v>
      </c>
      <c r="C1531" s="53" t="s">
        <v>191</v>
      </c>
      <c r="D1531" s="53" t="s">
        <v>238</v>
      </c>
      <c r="E1531" s="53" t="s">
        <v>185</v>
      </c>
      <c r="F1531" s="57" t="s">
        <v>128</v>
      </c>
      <c r="G1531" s="124">
        <v>800</v>
      </c>
      <c r="H1531" t="s">
        <v>374</v>
      </c>
      <c r="I1531" s="34">
        <v>11</v>
      </c>
    </row>
    <row r="1532" spans="1:9" x14ac:dyDescent="0.3">
      <c r="A1532" s="53">
        <v>11</v>
      </c>
      <c r="B1532" t="s">
        <v>239</v>
      </c>
      <c r="C1532" s="53" t="s">
        <v>191</v>
      </c>
      <c r="D1532" s="53" t="s">
        <v>188</v>
      </c>
      <c r="E1532" s="53" t="s">
        <v>185</v>
      </c>
      <c r="F1532" s="57" t="s">
        <v>128</v>
      </c>
      <c r="G1532" s="124">
        <v>740</v>
      </c>
      <c r="H1532" t="s">
        <v>375</v>
      </c>
      <c r="I1532" s="34">
        <v>11</v>
      </c>
    </row>
    <row r="1533" spans="1:9" x14ac:dyDescent="0.3">
      <c r="A1533">
        <v>6</v>
      </c>
      <c r="B1533" t="s">
        <v>239</v>
      </c>
      <c r="C1533" t="s">
        <v>191</v>
      </c>
      <c r="D1533" t="s">
        <v>188</v>
      </c>
      <c r="E1533" t="s">
        <v>185</v>
      </c>
      <c r="F1533" s="57" t="s">
        <v>128</v>
      </c>
      <c r="G1533" s="124">
        <v>700</v>
      </c>
      <c r="H1533" t="s">
        <v>375</v>
      </c>
      <c r="I1533" s="34">
        <v>6</v>
      </c>
    </row>
    <row r="1534" spans="1:9" x14ac:dyDescent="0.3">
      <c r="A1534">
        <v>9</v>
      </c>
      <c r="B1534" t="s">
        <v>239</v>
      </c>
      <c r="C1534" t="s">
        <v>191</v>
      </c>
      <c r="D1534" t="s">
        <v>188</v>
      </c>
      <c r="E1534" t="s">
        <v>185</v>
      </c>
      <c r="F1534" s="57" t="s">
        <v>128</v>
      </c>
      <c r="G1534" s="124">
        <v>700</v>
      </c>
      <c r="H1534" t="s">
        <v>375</v>
      </c>
      <c r="I1534" s="34">
        <v>9</v>
      </c>
    </row>
    <row r="1535" spans="1:9" x14ac:dyDescent="0.3">
      <c r="A1535">
        <v>5</v>
      </c>
      <c r="B1535" t="s">
        <v>239</v>
      </c>
      <c r="C1535" t="s">
        <v>191</v>
      </c>
      <c r="D1535" t="s">
        <v>238</v>
      </c>
      <c r="E1535" t="s">
        <v>185</v>
      </c>
      <c r="F1535" s="57" t="s">
        <v>128</v>
      </c>
      <c r="G1535" s="124">
        <v>700</v>
      </c>
      <c r="H1535" t="s">
        <v>374</v>
      </c>
      <c r="I1535" s="34">
        <v>5</v>
      </c>
    </row>
    <row r="1536" spans="1:9" x14ac:dyDescent="0.3">
      <c r="A1536">
        <v>8</v>
      </c>
      <c r="B1536" t="s">
        <v>239</v>
      </c>
      <c r="C1536" t="s">
        <v>191</v>
      </c>
      <c r="D1536" t="s">
        <v>238</v>
      </c>
      <c r="E1536" t="s">
        <v>185</v>
      </c>
      <c r="F1536" s="57" t="s">
        <v>128</v>
      </c>
      <c r="G1536" s="124">
        <v>700</v>
      </c>
      <c r="H1536" t="s">
        <v>374</v>
      </c>
      <c r="I1536" s="34">
        <v>8</v>
      </c>
    </row>
    <row r="1537" spans="1:9" x14ac:dyDescent="0.3">
      <c r="A1537">
        <v>1</v>
      </c>
      <c r="B1537" t="s">
        <v>239</v>
      </c>
      <c r="C1537" t="s">
        <v>191</v>
      </c>
      <c r="D1537" t="s">
        <v>188</v>
      </c>
      <c r="E1537" s="1" t="s">
        <v>185</v>
      </c>
      <c r="F1537" s="54" t="s">
        <v>128</v>
      </c>
      <c r="G1537" s="124">
        <v>660</v>
      </c>
      <c r="H1537" t="s">
        <v>375</v>
      </c>
      <c r="I1537" s="34">
        <v>1</v>
      </c>
    </row>
    <row r="1538" spans="1:9" x14ac:dyDescent="0.3">
      <c r="A1538">
        <v>12</v>
      </c>
      <c r="B1538" t="s">
        <v>239</v>
      </c>
      <c r="C1538" t="s">
        <v>191</v>
      </c>
      <c r="D1538" t="s">
        <v>238</v>
      </c>
      <c r="E1538" t="s">
        <v>185</v>
      </c>
      <c r="F1538" s="57" t="s">
        <v>128</v>
      </c>
      <c r="G1538" s="124">
        <v>650</v>
      </c>
      <c r="H1538" t="s">
        <v>374</v>
      </c>
      <c r="I1538" s="34">
        <v>12</v>
      </c>
    </row>
    <row r="1539" spans="1:9" x14ac:dyDescent="0.3">
      <c r="A1539">
        <v>2</v>
      </c>
      <c r="B1539" t="s">
        <v>239</v>
      </c>
      <c r="C1539" t="s">
        <v>191</v>
      </c>
      <c r="D1539" t="s">
        <v>188</v>
      </c>
      <c r="E1539" s="1" t="s">
        <v>185</v>
      </c>
      <c r="F1539" s="54" t="s">
        <v>128</v>
      </c>
      <c r="G1539" s="124">
        <v>600</v>
      </c>
      <c r="H1539" t="s">
        <v>375</v>
      </c>
      <c r="I1539" s="34">
        <v>2</v>
      </c>
    </row>
    <row r="1540" spans="1:9" x14ac:dyDescent="0.3">
      <c r="A1540">
        <v>3</v>
      </c>
      <c r="B1540" t="s">
        <v>239</v>
      </c>
      <c r="C1540" t="s">
        <v>191</v>
      </c>
      <c r="D1540" t="s">
        <v>188</v>
      </c>
      <c r="E1540" s="1" t="s">
        <v>185</v>
      </c>
      <c r="F1540" s="31" t="s">
        <v>128</v>
      </c>
      <c r="G1540" s="124">
        <v>600</v>
      </c>
      <c r="H1540" t="s">
        <v>375</v>
      </c>
      <c r="I1540" s="34">
        <v>3</v>
      </c>
    </row>
    <row r="1541" spans="1:9" x14ac:dyDescent="0.3">
      <c r="A1541">
        <v>7</v>
      </c>
      <c r="B1541" t="s">
        <v>239</v>
      </c>
      <c r="C1541" t="s">
        <v>191</v>
      </c>
      <c r="D1541" t="s">
        <v>238</v>
      </c>
      <c r="E1541" t="s">
        <v>185</v>
      </c>
      <c r="F1541" s="57" t="s">
        <v>128</v>
      </c>
      <c r="G1541" s="124">
        <v>600</v>
      </c>
      <c r="H1541" t="s">
        <v>374</v>
      </c>
      <c r="I1541" s="34">
        <v>7</v>
      </c>
    </row>
    <row r="1542" spans="1:9" x14ac:dyDescent="0.3">
      <c r="A1542">
        <v>12</v>
      </c>
      <c r="B1542" t="s">
        <v>239</v>
      </c>
      <c r="C1542" t="s">
        <v>191</v>
      </c>
      <c r="D1542" t="s">
        <v>188</v>
      </c>
      <c r="E1542" t="s">
        <v>185</v>
      </c>
      <c r="F1542" s="57" t="s">
        <v>128</v>
      </c>
      <c r="G1542" s="124">
        <v>540</v>
      </c>
      <c r="H1542" t="s">
        <v>375</v>
      </c>
      <c r="I1542" s="34">
        <v>12</v>
      </c>
    </row>
    <row r="1543" spans="1:9" x14ac:dyDescent="0.3">
      <c r="A1543">
        <v>4</v>
      </c>
      <c r="B1543" t="s">
        <v>239</v>
      </c>
      <c r="C1543" t="s">
        <v>191</v>
      </c>
      <c r="D1543" t="s">
        <v>188</v>
      </c>
      <c r="E1543" s="1" t="s">
        <v>185</v>
      </c>
      <c r="F1543" s="31" t="s">
        <v>128</v>
      </c>
      <c r="G1543" s="124">
        <v>500</v>
      </c>
      <c r="H1543" t="s">
        <v>375</v>
      </c>
      <c r="I1543" s="34">
        <v>4</v>
      </c>
    </row>
    <row r="1544" spans="1:9" x14ac:dyDescent="0.3">
      <c r="A1544">
        <v>5</v>
      </c>
      <c r="B1544" t="s">
        <v>239</v>
      </c>
      <c r="C1544" t="s">
        <v>191</v>
      </c>
      <c r="D1544" t="s">
        <v>188</v>
      </c>
      <c r="E1544" t="s">
        <v>185</v>
      </c>
      <c r="F1544" s="57" t="s">
        <v>128</v>
      </c>
      <c r="G1544" s="124">
        <v>500</v>
      </c>
      <c r="H1544" t="s">
        <v>375</v>
      </c>
      <c r="I1544" s="34">
        <v>5</v>
      </c>
    </row>
    <row r="1545" spans="1:9" x14ac:dyDescent="0.3">
      <c r="A1545">
        <v>1</v>
      </c>
      <c r="B1545" t="s">
        <v>239</v>
      </c>
      <c r="C1545" t="s">
        <v>191</v>
      </c>
      <c r="D1545" t="s">
        <v>238</v>
      </c>
      <c r="E1545" s="1" t="s">
        <v>185</v>
      </c>
      <c r="F1545" s="54" t="s">
        <v>128</v>
      </c>
      <c r="G1545" s="124">
        <v>500</v>
      </c>
      <c r="H1545" s="53" t="s">
        <v>374</v>
      </c>
      <c r="I1545" s="77">
        <v>1</v>
      </c>
    </row>
    <row r="1546" spans="1:9" x14ac:dyDescent="0.3">
      <c r="A1546">
        <v>2</v>
      </c>
      <c r="B1546" t="s">
        <v>239</v>
      </c>
      <c r="C1546" t="s">
        <v>191</v>
      </c>
      <c r="D1546" t="s">
        <v>238</v>
      </c>
      <c r="E1546" s="1" t="s">
        <v>185</v>
      </c>
      <c r="F1546" s="54" t="s">
        <v>128</v>
      </c>
      <c r="G1546" s="124">
        <v>450</v>
      </c>
      <c r="H1546" t="s">
        <v>374</v>
      </c>
      <c r="I1546" s="34">
        <v>2</v>
      </c>
    </row>
    <row r="1547" spans="1:9" x14ac:dyDescent="0.3">
      <c r="A1547">
        <v>8</v>
      </c>
      <c r="B1547" t="s">
        <v>239</v>
      </c>
      <c r="C1547" t="s">
        <v>193</v>
      </c>
      <c r="D1547" t="s">
        <v>195</v>
      </c>
      <c r="E1547" t="s">
        <v>185</v>
      </c>
      <c r="F1547" s="57" t="s">
        <v>128</v>
      </c>
      <c r="G1547" s="124">
        <v>199.5</v>
      </c>
      <c r="H1547" t="s">
        <v>376</v>
      </c>
      <c r="I1547" s="34">
        <v>8</v>
      </c>
    </row>
    <row r="1548" spans="1:9" x14ac:dyDescent="0.3">
      <c r="A1548">
        <v>7</v>
      </c>
      <c r="B1548" t="s">
        <v>239</v>
      </c>
      <c r="C1548" t="s">
        <v>193</v>
      </c>
      <c r="D1548" t="s">
        <v>195</v>
      </c>
      <c r="E1548" t="s">
        <v>185</v>
      </c>
      <c r="F1548" s="57" t="s">
        <v>128</v>
      </c>
      <c r="G1548" s="124">
        <v>151.19999999999999</v>
      </c>
      <c r="H1548" t="s">
        <v>376</v>
      </c>
      <c r="I1548" s="34">
        <v>7</v>
      </c>
    </row>
    <row r="1549" spans="1:9" x14ac:dyDescent="0.3">
      <c r="A1549">
        <v>8</v>
      </c>
      <c r="B1549" t="s">
        <v>239</v>
      </c>
      <c r="C1549" t="s">
        <v>192</v>
      </c>
      <c r="D1549" t="s">
        <v>188</v>
      </c>
      <c r="E1549" t="s">
        <v>185</v>
      </c>
      <c r="F1549" s="57" t="s">
        <v>128</v>
      </c>
      <c r="G1549" s="124">
        <v>133</v>
      </c>
      <c r="H1549" t="s">
        <v>377</v>
      </c>
      <c r="I1549" s="34">
        <v>8</v>
      </c>
    </row>
    <row r="1550" spans="1:9" x14ac:dyDescent="0.3">
      <c r="A1550">
        <v>8</v>
      </c>
      <c r="B1550" t="s">
        <v>239</v>
      </c>
      <c r="C1550" t="s">
        <v>192</v>
      </c>
      <c r="D1550" t="s">
        <v>195</v>
      </c>
      <c r="E1550" t="s">
        <v>185</v>
      </c>
      <c r="F1550" s="57" t="s">
        <v>128</v>
      </c>
      <c r="G1550" s="124">
        <v>133</v>
      </c>
      <c r="H1550" t="s">
        <v>378</v>
      </c>
      <c r="I1550" s="34">
        <v>8</v>
      </c>
    </row>
    <row r="1551" spans="1:9" x14ac:dyDescent="0.3">
      <c r="A1551">
        <v>7</v>
      </c>
      <c r="B1551" t="s">
        <v>239</v>
      </c>
      <c r="C1551" t="s">
        <v>192</v>
      </c>
      <c r="D1551" t="s">
        <v>195</v>
      </c>
      <c r="E1551" t="s">
        <v>185</v>
      </c>
      <c r="F1551" s="57" t="s">
        <v>128</v>
      </c>
      <c r="G1551" s="124">
        <v>126</v>
      </c>
      <c r="H1551" t="s">
        <v>378</v>
      </c>
      <c r="I1551" s="34">
        <v>7</v>
      </c>
    </row>
    <row r="1552" spans="1:9" x14ac:dyDescent="0.3">
      <c r="A1552">
        <v>7</v>
      </c>
      <c r="B1552" t="s">
        <v>239</v>
      </c>
      <c r="C1552" t="s">
        <v>192</v>
      </c>
      <c r="D1552" t="s">
        <v>188</v>
      </c>
      <c r="E1552" t="s">
        <v>185</v>
      </c>
      <c r="F1552" s="57" t="s">
        <v>128</v>
      </c>
      <c r="G1552" s="124">
        <v>122</v>
      </c>
      <c r="H1552" t="s">
        <v>377</v>
      </c>
      <c r="I1552" s="34">
        <v>7</v>
      </c>
    </row>
    <row r="1553" spans="1:9" x14ac:dyDescent="0.3">
      <c r="A1553">
        <v>5</v>
      </c>
      <c r="B1553" t="s">
        <v>239</v>
      </c>
      <c r="C1553" t="s">
        <v>192</v>
      </c>
      <c r="D1553" t="s">
        <v>188</v>
      </c>
      <c r="E1553" t="s">
        <v>185</v>
      </c>
      <c r="F1553" s="57" t="s">
        <v>128</v>
      </c>
      <c r="G1553" s="124">
        <v>113</v>
      </c>
      <c r="H1553" t="s">
        <v>377</v>
      </c>
      <c r="I1553" s="34">
        <v>5</v>
      </c>
    </row>
    <row r="1554" spans="1:9" x14ac:dyDescent="0.3">
      <c r="A1554" s="53">
        <v>11</v>
      </c>
      <c r="B1554" t="s">
        <v>239</v>
      </c>
      <c r="C1554" s="53" t="s">
        <v>193</v>
      </c>
      <c r="D1554" s="53" t="s">
        <v>195</v>
      </c>
      <c r="E1554" s="53" t="s">
        <v>185</v>
      </c>
      <c r="F1554" s="57" t="s">
        <v>128</v>
      </c>
      <c r="G1554" s="124">
        <v>108.48</v>
      </c>
      <c r="H1554" t="s">
        <v>376</v>
      </c>
      <c r="I1554" s="34">
        <v>11</v>
      </c>
    </row>
    <row r="1555" spans="1:9" x14ac:dyDescent="0.3">
      <c r="A1555">
        <v>6</v>
      </c>
      <c r="B1555" t="s">
        <v>239</v>
      </c>
      <c r="C1555" t="s">
        <v>192</v>
      </c>
      <c r="D1555" t="s">
        <v>188</v>
      </c>
      <c r="E1555" t="s">
        <v>185</v>
      </c>
      <c r="F1555" s="57" t="s">
        <v>128</v>
      </c>
      <c r="G1555" s="124">
        <v>107</v>
      </c>
      <c r="H1555" t="s">
        <v>377</v>
      </c>
      <c r="I1555" s="34">
        <v>6</v>
      </c>
    </row>
    <row r="1556" spans="1:9" x14ac:dyDescent="0.3">
      <c r="A1556">
        <v>5</v>
      </c>
      <c r="B1556" t="s">
        <v>239</v>
      </c>
      <c r="C1556" t="s">
        <v>193</v>
      </c>
      <c r="D1556" t="s">
        <v>195</v>
      </c>
      <c r="E1556" t="s">
        <v>185</v>
      </c>
      <c r="F1556" s="57" t="s">
        <v>128</v>
      </c>
      <c r="G1556" s="124">
        <v>106.7</v>
      </c>
      <c r="H1556" t="s">
        <v>376</v>
      </c>
      <c r="I1556" s="34">
        <v>5</v>
      </c>
    </row>
    <row r="1557" spans="1:9" x14ac:dyDescent="0.3">
      <c r="A1557">
        <v>8</v>
      </c>
      <c r="B1557" t="s">
        <v>239</v>
      </c>
      <c r="C1557" t="s">
        <v>193</v>
      </c>
      <c r="D1557" t="s">
        <v>188</v>
      </c>
      <c r="E1557" t="s">
        <v>185</v>
      </c>
      <c r="F1557" s="57" t="s">
        <v>128</v>
      </c>
      <c r="G1557" s="124">
        <v>106.4</v>
      </c>
      <c r="H1557" t="s">
        <v>379</v>
      </c>
      <c r="I1557" s="34">
        <v>8</v>
      </c>
    </row>
    <row r="1558" spans="1:9" x14ac:dyDescent="0.3">
      <c r="A1558">
        <v>10</v>
      </c>
      <c r="B1558" t="s">
        <v>239</v>
      </c>
      <c r="C1558" t="s">
        <v>192</v>
      </c>
      <c r="D1558" t="s">
        <v>188</v>
      </c>
      <c r="E1558" t="s">
        <v>185</v>
      </c>
      <c r="F1558" s="57" t="s">
        <v>128</v>
      </c>
      <c r="G1558" s="124">
        <v>105</v>
      </c>
      <c r="H1558" t="s">
        <v>377</v>
      </c>
      <c r="I1558" s="34">
        <v>10</v>
      </c>
    </row>
    <row r="1559" spans="1:9" x14ac:dyDescent="0.3">
      <c r="A1559">
        <v>7</v>
      </c>
      <c r="B1559" t="s">
        <v>239</v>
      </c>
      <c r="C1559" t="s">
        <v>193</v>
      </c>
      <c r="D1559" t="s">
        <v>188</v>
      </c>
      <c r="E1559" t="s">
        <v>185</v>
      </c>
      <c r="F1559" s="57" t="s">
        <v>128</v>
      </c>
      <c r="G1559" s="124">
        <v>103.7</v>
      </c>
      <c r="H1559" t="s">
        <v>379</v>
      </c>
      <c r="I1559" s="34">
        <v>7</v>
      </c>
    </row>
    <row r="1560" spans="1:9" x14ac:dyDescent="0.3">
      <c r="A1560">
        <v>9</v>
      </c>
      <c r="B1560" t="s">
        <v>239</v>
      </c>
      <c r="C1560" t="s">
        <v>193</v>
      </c>
      <c r="D1560" t="s">
        <v>195</v>
      </c>
      <c r="E1560" t="s">
        <v>185</v>
      </c>
      <c r="F1560" s="57" t="s">
        <v>128</v>
      </c>
      <c r="G1560" s="124">
        <v>102.3</v>
      </c>
      <c r="H1560" t="s">
        <v>376</v>
      </c>
      <c r="I1560" s="34">
        <v>9</v>
      </c>
    </row>
    <row r="1561" spans="1:9" x14ac:dyDescent="0.3">
      <c r="A1561">
        <v>10</v>
      </c>
      <c r="B1561" t="s">
        <v>239</v>
      </c>
      <c r="C1561" t="s">
        <v>192</v>
      </c>
      <c r="D1561" t="s">
        <v>195</v>
      </c>
      <c r="E1561" t="s">
        <v>185</v>
      </c>
      <c r="F1561" s="57" t="s">
        <v>128</v>
      </c>
      <c r="G1561" s="124">
        <v>102</v>
      </c>
      <c r="H1561" t="s">
        <v>378</v>
      </c>
      <c r="I1561" s="34">
        <v>10</v>
      </c>
    </row>
    <row r="1562" spans="1:9" x14ac:dyDescent="0.3">
      <c r="A1562">
        <v>10</v>
      </c>
      <c r="B1562" t="s">
        <v>239</v>
      </c>
      <c r="C1562" t="s">
        <v>193</v>
      </c>
      <c r="D1562" t="s">
        <v>195</v>
      </c>
      <c r="E1562" t="s">
        <v>185</v>
      </c>
      <c r="F1562" s="57" t="s">
        <v>128</v>
      </c>
      <c r="G1562" s="124">
        <v>102</v>
      </c>
      <c r="H1562" t="s">
        <v>376</v>
      </c>
      <c r="I1562" s="34">
        <v>10</v>
      </c>
    </row>
    <row r="1563" spans="1:9" x14ac:dyDescent="0.3">
      <c r="A1563">
        <v>6</v>
      </c>
      <c r="B1563" t="s">
        <v>239</v>
      </c>
      <c r="C1563" t="s">
        <v>192</v>
      </c>
      <c r="D1563" t="s">
        <v>195</v>
      </c>
      <c r="E1563" t="s">
        <v>185</v>
      </c>
      <c r="F1563" s="57" t="s">
        <v>128</v>
      </c>
      <c r="G1563" s="124">
        <v>100</v>
      </c>
      <c r="H1563" t="s">
        <v>378</v>
      </c>
      <c r="I1563" s="34">
        <v>6</v>
      </c>
    </row>
    <row r="1564" spans="1:9" x14ac:dyDescent="0.3">
      <c r="A1564">
        <v>6</v>
      </c>
      <c r="B1564" t="s">
        <v>239</v>
      </c>
      <c r="C1564" t="s">
        <v>193</v>
      </c>
      <c r="D1564" t="s">
        <v>195</v>
      </c>
      <c r="E1564" t="s">
        <v>185</v>
      </c>
      <c r="F1564" s="57" t="s">
        <v>128</v>
      </c>
      <c r="G1564" s="124">
        <v>100</v>
      </c>
      <c r="H1564" t="s">
        <v>376</v>
      </c>
      <c r="I1564" s="34">
        <v>6</v>
      </c>
    </row>
    <row r="1565" spans="1:9" x14ac:dyDescent="0.3">
      <c r="A1565">
        <v>12</v>
      </c>
      <c r="B1565" t="s">
        <v>239</v>
      </c>
      <c r="C1565" t="s">
        <v>192</v>
      </c>
      <c r="D1565" t="s">
        <v>188</v>
      </c>
      <c r="E1565" t="s">
        <v>185</v>
      </c>
      <c r="F1565" s="57" t="s">
        <v>128</v>
      </c>
      <c r="G1565" s="124">
        <v>99</v>
      </c>
      <c r="H1565" t="s">
        <v>377</v>
      </c>
      <c r="I1565" s="34">
        <v>12</v>
      </c>
    </row>
    <row r="1566" spans="1:9" x14ac:dyDescent="0.3">
      <c r="A1566">
        <v>12</v>
      </c>
      <c r="B1566" t="s">
        <v>239</v>
      </c>
      <c r="C1566" t="s">
        <v>192</v>
      </c>
      <c r="D1566" t="s">
        <v>195</v>
      </c>
      <c r="E1566" t="s">
        <v>185</v>
      </c>
      <c r="F1566" s="57" t="s">
        <v>128</v>
      </c>
      <c r="G1566" s="124">
        <v>97.1</v>
      </c>
      <c r="H1566" t="s">
        <v>378</v>
      </c>
      <c r="I1566" s="34">
        <v>12</v>
      </c>
    </row>
    <row r="1567" spans="1:9" x14ac:dyDescent="0.3">
      <c r="A1567">
        <v>12</v>
      </c>
      <c r="B1567" t="s">
        <v>239</v>
      </c>
      <c r="C1567" t="s">
        <v>193</v>
      </c>
      <c r="D1567" t="s">
        <v>195</v>
      </c>
      <c r="E1567" t="s">
        <v>185</v>
      </c>
      <c r="F1567" s="57" t="s">
        <v>128</v>
      </c>
      <c r="G1567" s="124">
        <v>97.1</v>
      </c>
      <c r="H1567" t="s">
        <v>376</v>
      </c>
      <c r="I1567" s="34">
        <v>12</v>
      </c>
    </row>
    <row r="1568" spans="1:9" x14ac:dyDescent="0.3">
      <c r="A1568">
        <v>5</v>
      </c>
      <c r="B1568" t="s">
        <v>239</v>
      </c>
      <c r="C1568" t="s">
        <v>192</v>
      </c>
      <c r="D1568" t="s">
        <v>195</v>
      </c>
      <c r="E1568" t="s">
        <v>185</v>
      </c>
      <c r="F1568" s="57" t="s">
        <v>128</v>
      </c>
      <c r="G1568" s="124">
        <v>97</v>
      </c>
      <c r="H1568" t="s">
        <v>378</v>
      </c>
      <c r="I1568" s="34">
        <v>5</v>
      </c>
    </row>
    <row r="1569" spans="1:9" x14ac:dyDescent="0.3">
      <c r="A1569">
        <v>9</v>
      </c>
      <c r="B1569" t="s">
        <v>239</v>
      </c>
      <c r="C1569" t="s">
        <v>192</v>
      </c>
      <c r="D1569" t="s">
        <v>188</v>
      </c>
      <c r="E1569" t="s">
        <v>185</v>
      </c>
      <c r="F1569" s="57" t="s">
        <v>128</v>
      </c>
      <c r="G1569" s="124">
        <v>96</v>
      </c>
      <c r="H1569" t="s">
        <v>377</v>
      </c>
      <c r="I1569" s="34">
        <v>9</v>
      </c>
    </row>
    <row r="1570" spans="1:9" x14ac:dyDescent="0.3">
      <c r="A1570">
        <v>9</v>
      </c>
      <c r="B1570" t="s">
        <v>239</v>
      </c>
      <c r="C1570" t="s">
        <v>192</v>
      </c>
      <c r="D1570" t="s">
        <v>195</v>
      </c>
      <c r="E1570" t="s">
        <v>185</v>
      </c>
      <c r="F1570" s="57" t="s">
        <v>128</v>
      </c>
      <c r="G1570" s="124">
        <v>93</v>
      </c>
      <c r="H1570" t="s">
        <v>378</v>
      </c>
      <c r="I1570" s="34">
        <v>9</v>
      </c>
    </row>
    <row r="1571" spans="1:9" x14ac:dyDescent="0.3">
      <c r="A1571" s="53">
        <v>11</v>
      </c>
      <c r="B1571" t="s">
        <v>239</v>
      </c>
      <c r="C1571" s="53" t="s">
        <v>192</v>
      </c>
      <c r="D1571" s="53" t="s">
        <v>195</v>
      </c>
      <c r="E1571" s="53" t="s">
        <v>185</v>
      </c>
      <c r="F1571" s="57" t="s">
        <v>128</v>
      </c>
      <c r="G1571" s="124">
        <v>90.4</v>
      </c>
      <c r="H1571" t="s">
        <v>378</v>
      </c>
      <c r="I1571" s="34">
        <v>11</v>
      </c>
    </row>
    <row r="1572" spans="1:9" x14ac:dyDescent="0.3">
      <c r="A1572">
        <v>2</v>
      </c>
      <c r="B1572" t="s">
        <v>239</v>
      </c>
      <c r="C1572" t="s">
        <v>193</v>
      </c>
      <c r="D1572" t="s">
        <v>195</v>
      </c>
      <c r="E1572" s="1" t="s">
        <v>185</v>
      </c>
      <c r="F1572" s="54" t="s">
        <v>128</v>
      </c>
      <c r="G1572" s="124">
        <v>90.2</v>
      </c>
      <c r="H1572" t="s">
        <v>376</v>
      </c>
      <c r="I1572" s="34">
        <v>2</v>
      </c>
    </row>
    <row r="1573" spans="1:9" x14ac:dyDescent="0.3">
      <c r="A1573" s="53">
        <v>11</v>
      </c>
      <c r="B1573" t="s">
        <v>239</v>
      </c>
      <c r="C1573" s="53" t="s">
        <v>192</v>
      </c>
      <c r="D1573" s="53" t="s">
        <v>188</v>
      </c>
      <c r="E1573" s="53" t="s">
        <v>185</v>
      </c>
      <c r="F1573" s="57" t="s">
        <v>128</v>
      </c>
      <c r="G1573" s="124">
        <v>90</v>
      </c>
      <c r="H1573" t="s">
        <v>377</v>
      </c>
      <c r="I1573" s="34">
        <v>11</v>
      </c>
    </row>
    <row r="1574" spans="1:9" x14ac:dyDescent="0.3">
      <c r="A1574">
        <v>3</v>
      </c>
      <c r="B1574" t="s">
        <v>239</v>
      </c>
      <c r="C1574" t="s">
        <v>192</v>
      </c>
      <c r="D1574" t="s">
        <v>188</v>
      </c>
      <c r="E1574" s="1" t="s">
        <v>185</v>
      </c>
      <c r="F1574" s="54" t="s">
        <v>128</v>
      </c>
      <c r="G1574" s="124">
        <v>89.5</v>
      </c>
      <c r="H1574" t="s">
        <v>377</v>
      </c>
      <c r="I1574" s="34">
        <v>3</v>
      </c>
    </row>
    <row r="1575" spans="1:9" x14ac:dyDescent="0.3">
      <c r="A1575">
        <v>8</v>
      </c>
      <c r="B1575" t="s">
        <v>239</v>
      </c>
      <c r="C1575" t="s">
        <v>192</v>
      </c>
      <c r="D1575" t="s">
        <v>238</v>
      </c>
      <c r="E1575" t="s">
        <v>185</v>
      </c>
      <c r="F1575" s="57" t="s">
        <v>128</v>
      </c>
      <c r="G1575" s="124">
        <v>87</v>
      </c>
      <c r="H1575" t="s">
        <v>380</v>
      </c>
      <c r="I1575" s="34">
        <v>8</v>
      </c>
    </row>
    <row r="1576" spans="1:9" x14ac:dyDescent="0.3">
      <c r="A1576">
        <v>10</v>
      </c>
      <c r="B1576" t="s">
        <v>239</v>
      </c>
      <c r="C1576" t="s">
        <v>193</v>
      </c>
      <c r="D1576" t="s">
        <v>188</v>
      </c>
      <c r="E1576" t="s">
        <v>185</v>
      </c>
      <c r="F1576" s="57" t="s">
        <v>128</v>
      </c>
      <c r="G1576" s="124">
        <v>85.05</v>
      </c>
      <c r="H1576" t="s">
        <v>379</v>
      </c>
      <c r="I1576" s="34">
        <v>10</v>
      </c>
    </row>
    <row r="1577" spans="1:9" x14ac:dyDescent="0.3">
      <c r="A1577">
        <v>1</v>
      </c>
      <c r="B1577" t="s">
        <v>239</v>
      </c>
      <c r="C1577" t="s">
        <v>192</v>
      </c>
      <c r="D1577" t="s">
        <v>188</v>
      </c>
      <c r="E1577" s="1" t="s">
        <v>185</v>
      </c>
      <c r="F1577" s="31" t="s">
        <v>128</v>
      </c>
      <c r="G1577" s="124">
        <v>85</v>
      </c>
      <c r="H1577" t="s">
        <v>377</v>
      </c>
      <c r="I1577" s="34">
        <v>1</v>
      </c>
    </row>
    <row r="1578" spans="1:9" x14ac:dyDescent="0.3">
      <c r="A1578">
        <v>4</v>
      </c>
      <c r="B1578" t="s">
        <v>239</v>
      </c>
      <c r="C1578" t="s">
        <v>192</v>
      </c>
      <c r="D1578" t="s">
        <v>188</v>
      </c>
      <c r="E1578" s="1" t="s">
        <v>185</v>
      </c>
      <c r="F1578" s="54" t="s">
        <v>128</v>
      </c>
      <c r="G1578" s="124">
        <v>85</v>
      </c>
      <c r="H1578" t="s">
        <v>377</v>
      </c>
      <c r="I1578" s="34">
        <v>4</v>
      </c>
    </row>
    <row r="1579" spans="1:9" x14ac:dyDescent="0.3">
      <c r="A1579">
        <v>3</v>
      </c>
      <c r="B1579" t="s">
        <v>239</v>
      </c>
      <c r="C1579" t="s">
        <v>192</v>
      </c>
      <c r="D1579" t="s">
        <v>195</v>
      </c>
      <c r="E1579" s="1" t="s">
        <v>185</v>
      </c>
      <c r="F1579" s="54" t="s">
        <v>128</v>
      </c>
      <c r="G1579" s="124">
        <v>84</v>
      </c>
      <c r="H1579" t="s">
        <v>378</v>
      </c>
      <c r="I1579" s="34">
        <v>3</v>
      </c>
    </row>
    <row r="1580" spans="1:9" x14ac:dyDescent="0.3">
      <c r="A1580">
        <v>3</v>
      </c>
      <c r="B1580" t="s">
        <v>239</v>
      </c>
      <c r="C1580" t="s">
        <v>193</v>
      </c>
      <c r="D1580" t="s">
        <v>195</v>
      </c>
      <c r="E1580" s="1" t="s">
        <v>185</v>
      </c>
      <c r="F1580" s="32" t="s">
        <v>128</v>
      </c>
      <c r="G1580" s="124">
        <v>84</v>
      </c>
      <c r="H1580" t="s">
        <v>376</v>
      </c>
      <c r="I1580" s="34">
        <v>3</v>
      </c>
    </row>
    <row r="1581" spans="1:9" x14ac:dyDescent="0.3">
      <c r="A1581">
        <v>2</v>
      </c>
      <c r="B1581" t="s">
        <v>239</v>
      </c>
      <c r="C1581" t="s">
        <v>192</v>
      </c>
      <c r="D1581" t="s">
        <v>188</v>
      </c>
      <c r="E1581" s="1" t="s">
        <v>185</v>
      </c>
      <c r="F1581" s="32" t="s">
        <v>128</v>
      </c>
      <c r="G1581" s="124">
        <v>83</v>
      </c>
      <c r="H1581" t="s">
        <v>377</v>
      </c>
      <c r="I1581" s="34">
        <v>2</v>
      </c>
    </row>
    <row r="1582" spans="1:9" x14ac:dyDescent="0.3">
      <c r="A1582">
        <v>1</v>
      </c>
      <c r="B1582" t="s">
        <v>239</v>
      </c>
      <c r="C1582" t="s">
        <v>192</v>
      </c>
      <c r="D1582" t="s">
        <v>195</v>
      </c>
      <c r="E1582" s="1" t="s">
        <v>185</v>
      </c>
      <c r="F1582" s="31" t="s">
        <v>128</v>
      </c>
      <c r="G1582" s="124">
        <v>83</v>
      </c>
      <c r="H1582" s="53" t="s">
        <v>378</v>
      </c>
      <c r="I1582" s="77">
        <v>1</v>
      </c>
    </row>
    <row r="1583" spans="1:9" x14ac:dyDescent="0.3">
      <c r="A1583">
        <v>1</v>
      </c>
      <c r="B1583" t="s">
        <v>239</v>
      </c>
      <c r="C1583" t="s">
        <v>193</v>
      </c>
      <c r="D1583" t="s">
        <v>195</v>
      </c>
      <c r="E1583" s="1" t="s">
        <v>185</v>
      </c>
      <c r="F1583" s="54" t="s">
        <v>128</v>
      </c>
      <c r="G1583" s="124">
        <v>83</v>
      </c>
      <c r="H1583" s="53" t="s">
        <v>376</v>
      </c>
      <c r="I1583" s="77">
        <v>1</v>
      </c>
    </row>
    <row r="1584" spans="1:9" x14ac:dyDescent="0.3">
      <c r="A1584">
        <v>2</v>
      </c>
      <c r="B1584" t="s">
        <v>239</v>
      </c>
      <c r="C1584" t="s">
        <v>192</v>
      </c>
      <c r="D1584" t="s">
        <v>195</v>
      </c>
      <c r="E1584" s="1" t="s">
        <v>185</v>
      </c>
      <c r="F1584" s="32" t="s">
        <v>128</v>
      </c>
      <c r="G1584" s="124">
        <v>82</v>
      </c>
      <c r="H1584" t="s">
        <v>378</v>
      </c>
      <c r="I1584" s="34">
        <v>2</v>
      </c>
    </row>
    <row r="1585" spans="1:9" x14ac:dyDescent="0.3">
      <c r="A1585">
        <v>4</v>
      </c>
      <c r="B1585" t="s">
        <v>239</v>
      </c>
      <c r="C1585" t="s">
        <v>192</v>
      </c>
      <c r="D1585" t="s">
        <v>195</v>
      </c>
      <c r="E1585" s="1" t="s">
        <v>185</v>
      </c>
      <c r="F1585" s="54" t="s">
        <v>128</v>
      </c>
      <c r="G1585" s="124">
        <v>81</v>
      </c>
      <c r="H1585" t="s">
        <v>378</v>
      </c>
      <c r="I1585" s="34">
        <v>4</v>
      </c>
    </row>
    <row r="1586" spans="1:9" x14ac:dyDescent="0.3">
      <c r="A1586">
        <v>4</v>
      </c>
      <c r="B1586" t="s">
        <v>239</v>
      </c>
      <c r="C1586" t="s">
        <v>193</v>
      </c>
      <c r="D1586" t="s">
        <v>195</v>
      </c>
      <c r="E1586" s="1" t="s">
        <v>185</v>
      </c>
      <c r="F1586" s="31" t="s">
        <v>128</v>
      </c>
      <c r="G1586" s="124">
        <v>81</v>
      </c>
      <c r="H1586" t="s">
        <v>376</v>
      </c>
      <c r="I1586" s="34">
        <v>4</v>
      </c>
    </row>
    <row r="1587" spans="1:9" x14ac:dyDescent="0.3">
      <c r="A1587">
        <v>2</v>
      </c>
      <c r="B1587" t="s">
        <v>239</v>
      </c>
      <c r="C1587" t="s">
        <v>192</v>
      </c>
      <c r="D1587" t="s">
        <v>238</v>
      </c>
      <c r="E1587" s="1" t="s">
        <v>185</v>
      </c>
      <c r="F1587" s="32" t="s">
        <v>128</v>
      </c>
      <c r="G1587" s="124">
        <v>80</v>
      </c>
      <c r="H1587" s="53" t="s">
        <v>380</v>
      </c>
      <c r="I1587" s="77">
        <v>2</v>
      </c>
    </row>
    <row r="1588" spans="1:9" x14ac:dyDescent="0.3">
      <c r="A1588">
        <v>7</v>
      </c>
      <c r="B1588" t="s">
        <v>239</v>
      </c>
      <c r="C1588" t="s">
        <v>192</v>
      </c>
      <c r="D1588" t="s">
        <v>238</v>
      </c>
      <c r="E1588" t="s">
        <v>185</v>
      </c>
      <c r="F1588" s="57" t="s">
        <v>128</v>
      </c>
      <c r="G1588" s="124">
        <v>79</v>
      </c>
      <c r="H1588" t="s">
        <v>380</v>
      </c>
      <c r="I1588" s="34">
        <v>7</v>
      </c>
    </row>
    <row r="1589" spans="1:9" x14ac:dyDescent="0.3">
      <c r="A1589">
        <v>10</v>
      </c>
      <c r="B1589" t="s">
        <v>239</v>
      </c>
      <c r="C1589" t="s">
        <v>192</v>
      </c>
      <c r="D1589" t="s">
        <v>238</v>
      </c>
      <c r="E1589" t="s">
        <v>185</v>
      </c>
      <c r="F1589" s="57" t="s">
        <v>128</v>
      </c>
      <c r="G1589" s="124">
        <v>77</v>
      </c>
      <c r="H1589" t="s">
        <v>380</v>
      </c>
      <c r="I1589" s="34">
        <v>10</v>
      </c>
    </row>
    <row r="1590" spans="1:9" x14ac:dyDescent="0.3">
      <c r="A1590" s="53">
        <v>11</v>
      </c>
      <c r="B1590" t="s">
        <v>239</v>
      </c>
      <c r="C1590" s="53" t="s">
        <v>192</v>
      </c>
      <c r="D1590" s="53" t="s">
        <v>238</v>
      </c>
      <c r="E1590" s="53" t="s">
        <v>185</v>
      </c>
      <c r="F1590" s="57" t="s">
        <v>128</v>
      </c>
      <c r="G1590" s="124">
        <v>75</v>
      </c>
      <c r="H1590" t="s">
        <v>380</v>
      </c>
      <c r="I1590" s="34">
        <v>11</v>
      </c>
    </row>
    <row r="1591" spans="1:9" x14ac:dyDescent="0.3">
      <c r="A1591">
        <v>6</v>
      </c>
      <c r="B1591" t="s">
        <v>239</v>
      </c>
      <c r="C1591" t="s">
        <v>193</v>
      </c>
      <c r="D1591" t="s">
        <v>188</v>
      </c>
      <c r="E1591" t="s">
        <v>185</v>
      </c>
      <c r="F1591" s="57" t="s">
        <v>128</v>
      </c>
      <c r="G1591" s="124">
        <v>74.900000000000006</v>
      </c>
      <c r="H1591" t="s">
        <v>379</v>
      </c>
      <c r="I1591" s="34">
        <v>6</v>
      </c>
    </row>
    <row r="1592" spans="1:9" x14ac:dyDescent="0.3">
      <c r="A1592">
        <v>9</v>
      </c>
      <c r="B1592" t="s">
        <v>239</v>
      </c>
      <c r="C1592" t="s">
        <v>192</v>
      </c>
      <c r="D1592" t="s">
        <v>238</v>
      </c>
      <c r="E1592" t="s">
        <v>185</v>
      </c>
      <c r="F1592" s="57" t="s">
        <v>128</v>
      </c>
      <c r="G1592" s="124">
        <v>70</v>
      </c>
      <c r="H1592" t="s">
        <v>380</v>
      </c>
      <c r="I1592" s="34">
        <v>9</v>
      </c>
    </row>
    <row r="1593" spans="1:9" x14ac:dyDescent="0.3">
      <c r="A1593">
        <v>12</v>
      </c>
      <c r="B1593" t="s">
        <v>239</v>
      </c>
      <c r="C1593" t="s">
        <v>192</v>
      </c>
      <c r="D1593" t="s">
        <v>238</v>
      </c>
      <c r="E1593" t="s">
        <v>185</v>
      </c>
      <c r="F1593" s="57" t="s">
        <v>128</v>
      </c>
      <c r="G1593" s="124">
        <v>70</v>
      </c>
      <c r="H1593" t="s">
        <v>380</v>
      </c>
      <c r="I1593" s="34">
        <v>12</v>
      </c>
    </row>
    <row r="1594" spans="1:9" x14ac:dyDescent="0.3">
      <c r="A1594">
        <v>9</v>
      </c>
      <c r="B1594" t="s">
        <v>239</v>
      </c>
      <c r="C1594" t="s">
        <v>193</v>
      </c>
      <c r="D1594" t="s">
        <v>188</v>
      </c>
      <c r="E1594" t="s">
        <v>185</v>
      </c>
      <c r="F1594" s="57" t="s">
        <v>128</v>
      </c>
      <c r="G1594" s="124">
        <v>67.2</v>
      </c>
      <c r="H1594" t="s">
        <v>379</v>
      </c>
      <c r="I1594" s="34">
        <v>9</v>
      </c>
    </row>
    <row r="1595" spans="1:9" x14ac:dyDescent="0.3">
      <c r="A1595" s="53">
        <v>11</v>
      </c>
      <c r="B1595" t="s">
        <v>239</v>
      </c>
      <c r="C1595" s="53" t="s">
        <v>193</v>
      </c>
      <c r="D1595" s="53" t="s">
        <v>188</v>
      </c>
      <c r="E1595" s="53" t="s">
        <v>185</v>
      </c>
      <c r="F1595" s="57" t="s">
        <v>128</v>
      </c>
      <c r="G1595" s="124">
        <v>66.599999999999994</v>
      </c>
      <c r="H1595" t="s">
        <v>379</v>
      </c>
      <c r="I1595" s="34">
        <v>11</v>
      </c>
    </row>
    <row r="1596" spans="1:9" x14ac:dyDescent="0.3">
      <c r="A1596">
        <v>10</v>
      </c>
      <c r="B1596" t="s">
        <v>239</v>
      </c>
      <c r="C1596" t="s">
        <v>193</v>
      </c>
      <c r="D1596" t="s">
        <v>238</v>
      </c>
      <c r="E1596" t="s">
        <v>185</v>
      </c>
      <c r="F1596" s="57" t="s">
        <v>128</v>
      </c>
      <c r="G1596" s="124">
        <v>61.6</v>
      </c>
      <c r="H1596" s="53" t="s">
        <v>381</v>
      </c>
      <c r="I1596" s="77">
        <v>10</v>
      </c>
    </row>
    <row r="1597" spans="1:9" x14ac:dyDescent="0.3">
      <c r="A1597">
        <v>6</v>
      </c>
      <c r="B1597" t="s">
        <v>239</v>
      </c>
      <c r="C1597" t="s">
        <v>192</v>
      </c>
      <c r="D1597" t="s">
        <v>238</v>
      </c>
      <c r="E1597" t="s">
        <v>185</v>
      </c>
      <c r="F1597" s="57" t="s">
        <v>128</v>
      </c>
      <c r="G1597" s="124">
        <v>61</v>
      </c>
      <c r="H1597" t="s">
        <v>380</v>
      </c>
      <c r="I1597" s="34">
        <v>6</v>
      </c>
    </row>
    <row r="1598" spans="1:9" x14ac:dyDescent="0.3">
      <c r="A1598">
        <v>8</v>
      </c>
      <c r="B1598" t="s">
        <v>239</v>
      </c>
      <c r="C1598" t="s">
        <v>193</v>
      </c>
      <c r="D1598" t="s">
        <v>238</v>
      </c>
      <c r="E1598" t="s">
        <v>185</v>
      </c>
      <c r="F1598" s="57" t="s">
        <v>128</v>
      </c>
      <c r="G1598" s="124">
        <v>60.9</v>
      </c>
      <c r="H1598" s="53" t="s">
        <v>381</v>
      </c>
      <c r="I1598" s="77">
        <v>8</v>
      </c>
    </row>
    <row r="1599" spans="1:9" x14ac:dyDescent="0.3">
      <c r="A1599">
        <v>5</v>
      </c>
      <c r="B1599" t="s">
        <v>239</v>
      </c>
      <c r="C1599" t="s">
        <v>192</v>
      </c>
      <c r="D1599" t="s">
        <v>238</v>
      </c>
      <c r="E1599" t="s">
        <v>185</v>
      </c>
      <c r="F1599" s="57" t="s">
        <v>128</v>
      </c>
      <c r="G1599" s="124">
        <v>60</v>
      </c>
      <c r="H1599" s="53" t="s">
        <v>380</v>
      </c>
      <c r="I1599" s="77">
        <v>5</v>
      </c>
    </row>
    <row r="1600" spans="1:9" x14ac:dyDescent="0.3">
      <c r="A1600" s="53">
        <v>11</v>
      </c>
      <c r="B1600" t="s">
        <v>239</v>
      </c>
      <c r="C1600" s="53" t="s">
        <v>193</v>
      </c>
      <c r="D1600" s="53" t="s">
        <v>238</v>
      </c>
      <c r="E1600" s="53" t="s">
        <v>185</v>
      </c>
      <c r="F1600" s="57" t="s">
        <v>128</v>
      </c>
      <c r="G1600" s="124">
        <v>60</v>
      </c>
      <c r="H1600" s="53" t="s">
        <v>381</v>
      </c>
      <c r="I1600" s="77">
        <v>11</v>
      </c>
    </row>
    <row r="1601" spans="1:9" x14ac:dyDescent="0.3">
      <c r="A1601">
        <v>5</v>
      </c>
      <c r="B1601" t="s">
        <v>239</v>
      </c>
      <c r="C1601" t="s">
        <v>193</v>
      </c>
      <c r="D1601" t="s">
        <v>188</v>
      </c>
      <c r="E1601" t="s">
        <v>185</v>
      </c>
      <c r="F1601" s="57" t="s">
        <v>128</v>
      </c>
      <c r="G1601" s="124">
        <v>56.5</v>
      </c>
      <c r="H1601" t="s">
        <v>379</v>
      </c>
      <c r="I1601" s="34">
        <v>5</v>
      </c>
    </row>
    <row r="1602" spans="1:9" x14ac:dyDescent="0.3">
      <c r="A1602">
        <v>1</v>
      </c>
      <c r="B1602" t="s">
        <v>239</v>
      </c>
      <c r="C1602" t="s">
        <v>193</v>
      </c>
      <c r="D1602" t="s">
        <v>188</v>
      </c>
      <c r="E1602" s="1" t="s">
        <v>185</v>
      </c>
      <c r="F1602" s="54" t="s">
        <v>128</v>
      </c>
      <c r="G1602" s="124">
        <v>56.1</v>
      </c>
      <c r="H1602" t="s">
        <v>379</v>
      </c>
      <c r="I1602" s="34">
        <v>1</v>
      </c>
    </row>
    <row r="1603" spans="1:9" x14ac:dyDescent="0.3">
      <c r="A1603">
        <v>9</v>
      </c>
      <c r="B1603" t="s">
        <v>239</v>
      </c>
      <c r="C1603" t="s">
        <v>193</v>
      </c>
      <c r="D1603" t="s">
        <v>238</v>
      </c>
      <c r="E1603" t="s">
        <v>185</v>
      </c>
      <c r="F1603" s="57" t="s">
        <v>128</v>
      </c>
      <c r="G1603" s="124">
        <v>56</v>
      </c>
      <c r="H1603" t="s">
        <v>381</v>
      </c>
      <c r="I1603" s="34">
        <v>9</v>
      </c>
    </row>
    <row r="1604" spans="1:9" x14ac:dyDescent="0.3">
      <c r="A1604">
        <v>4</v>
      </c>
      <c r="B1604" t="s">
        <v>239</v>
      </c>
      <c r="C1604" t="s">
        <v>192</v>
      </c>
      <c r="D1604" t="s">
        <v>238</v>
      </c>
      <c r="E1604" s="1" t="s">
        <v>185</v>
      </c>
      <c r="F1604" s="54" t="s">
        <v>128</v>
      </c>
      <c r="G1604" s="124">
        <v>55.6</v>
      </c>
      <c r="H1604" t="s">
        <v>380</v>
      </c>
      <c r="I1604" s="34">
        <v>4</v>
      </c>
    </row>
    <row r="1605" spans="1:9" x14ac:dyDescent="0.3">
      <c r="A1605">
        <v>4</v>
      </c>
      <c r="B1605" t="s">
        <v>239</v>
      </c>
      <c r="C1605" t="s">
        <v>193</v>
      </c>
      <c r="D1605" t="s">
        <v>238</v>
      </c>
      <c r="E1605" s="1" t="s">
        <v>185</v>
      </c>
      <c r="F1605" s="31" t="s">
        <v>128</v>
      </c>
      <c r="G1605" s="124">
        <v>55.6</v>
      </c>
      <c r="H1605" s="53" t="s">
        <v>381</v>
      </c>
      <c r="I1605" s="77">
        <v>4</v>
      </c>
    </row>
    <row r="1606" spans="1:9" x14ac:dyDescent="0.3">
      <c r="A1606">
        <v>1</v>
      </c>
      <c r="B1606" t="s">
        <v>239</v>
      </c>
      <c r="C1606" t="s">
        <v>192</v>
      </c>
      <c r="D1606" t="s">
        <v>238</v>
      </c>
      <c r="E1606" s="1" t="s">
        <v>185</v>
      </c>
      <c r="F1606" s="31" t="s">
        <v>128</v>
      </c>
      <c r="G1606" s="124">
        <v>55</v>
      </c>
      <c r="H1606" t="s">
        <v>380</v>
      </c>
      <c r="I1606" s="34">
        <v>1</v>
      </c>
    </row>
    <row r="1607" spans="1:9" x14ac:dyDescent="0.3">
      <c r="A1607">
        <v>3</v>
      </c>
      <c r="B1607" t="s">
        <v>239</v>
      </c>
      <c r="C1607" t="s">
        <v>192</v>
      </c>
      <c r="D1607" t="s">
        <v>238</v>
      </c>
      <c r="E1607" s="1" t="s">
        <v>185</v>
      </c>
      <c r="F1607" s="54" t="s">
        <v>128</v>
      </c>
      <c r="G1607" s="124">
        <v>55</v>
      </c>
      <c r="H1607" s="53" t="s">
        <v>380</v>
      </c>
      <c r="I1607" s="77">
        <v>3</v>
      </c>
    </row>
    <row r="1608" spans="1:9" x14ac:dyDescent="0.3">
      <c r="A1608">
        <v>3</v>
      </c>
      <c r="B1608" t="s">
        <v>239</v>
      </c>
      <c r="C1608" t="s">
        <v>193</v>
      </c>
      <c r="D1608" t="s">
        <v>188</v>
      </c>
      <c r="E1608" s="1" t="s">
        <v>185</v>
      </c>
      <c r="F1608" s="32" t="s">
        <v>128</v>
      </c>
      <c r="G1608" s="124">
        <v>53.7</v>
      </c>
      <c r="H1608" t="s">
        <v>379</v>
      </c>
      <c r="I1608" s="34">
        <v>3</v>
      </c>
    </row>
    <row r="1609" spans="1:9" x14ac:dyDescent="0.3">
      <c r="A1609">
        <v>12</v>
      </c>
      <c r="B1609" t="s">
        <v>239</v>
      </c>
      <c r="C1609" t="s">
        <v>193</v>
      </c>
      <c r="D1609" t="s">
        <v>188</v>
      </c>
      <c r="E1609" t="s">
        <v>185</v>
      </c>
      <c r="F1609" s="57" t="s">
        <v>128</v>
      </c>
      <c r="G1609" s="124">
        <v>53.46</v>
      </c>
      <c r="H1609" t="s">
        <v>379</v>
      </c>
      <c r="I1609" s="34">
        <v>12</v>
      </c>
    </row>
    <row r="1610" spans="1:9" x14ac:dyDescent="0.3">
      <c r="A1610">
        <v>2</v>
      </c>
      <c r="B1610" t="s">
        <v>239</v>
      </c>
      <c r="C1610" t="s">
        <v>193</v>
      </c>
      <c r="D1610" t="s">
        <v>188</v>
      </c>
      <c r="E1610" s="1" t="s">
        <v>185</v>
      </c>
      <c r="F1610" s="54" t="s">
        <v>128</v>
      </c>
      <c r="G1610" s="124">
        <v>49.8</v>
      </c>
      <c r="H1610" t="s">
        <v>379</v>
      </c>
      <c r="I1610" s="34">
        <v>2</v>
      </c>
    </row>
    <row r="1611" spans="1:9" x14ac:dyDescent="0.3">
      <c r="A1611">
        <v>6</v>
      </c>
      <c r="B1611" t="s">
        <v>239</v>
      </c>
      <c r="C1611" t="s">
        <v>193</v>
      </c>
      <c r="D1611" t="s">
        <v>238</v>
      </c>
      <c r="E1611" t="s">
        <v>185</v>
      </c>
      <c r="F1611" s="57" t="s">
        <v>128</v>
      </c>
      <c r="G1611" s="124">
        <v>48.8</v>
      </c>
      <c r="H1611" t="s">
        <v>381</v>
      </c>
      <c r="I1611" s="34">
        <v>6</v>
      </c>
    </row>
    <row r="1612" spans="1:9" x14ac:dyDescent="0.3">
      <c r="A1612">
        <v>7</v>
      </c>
      <c r="B1612" t="s">
        <v>239</v>
      </c>
      <c r="C1612" t="s">
        <v>193</v>
      </c>
      <c r="D1612" t="s">
        <v>238</v>
      </c>
      <c r="E1612" t="s">
        <v>185</v>
      </c>
      <c r="F1612" s="57" t="s">
        <v>128</v>
      </c>
      <c r="G1612" s="124">
        <v>47.4</v>
      </c>
      <c r="H1612" t="s">
        <v>381</v>
      </c>
      <c r="I1612" s="34">
        <v>7</v>
      </c>
    </row>
    <row r="1613" spans="1:9" x14ac:dyDescent="0.3">
      <c r="A1613">
        <v>12</v>
      </c>
      <c r="B1613" t="s">
        <v>239</v>
      </c>
      <c r="C1613" t="s">
        <v>193</v>
      </c>
      <c r="D1613" t="s">
        <v>238</v>
      </c>
      <c r="E1613" t="s">
        <v>185</v>
      </c>
      <c r="F1613" s="57" t="s">
        <v>128</v>
      </c>
      <c r="G1613" s="124">
        <v>45.5</v>
      </c>
      <c r="H1613" s="53" t="s">
        <v>381</v>
      </c>
      <c r="I1613" s="77">
        <v>12</v>
      </c>
    </row>
    <row r="1614" spans="1:9" x14ac:dyDescent="0.3">
      <c r="A1614">
        <v>3</v>
      </c>
      <c r="B1614" t="s">
        <v>239</v>
      </c>
      <c r="C1614" t="s">
        <v>193</v>
      </c>
      <c r="D1614" t="s">
        <v>238</v>
      </c>
      <c r="E1614" s="1" t="s">
        <v>185</v>
      </c>
      <c r="F1614" s="32" t="s">
        <v>128</v>
      </c>
      <c r="G1614" s="124">
        <v>44</v>
      </c>
      <c r="H1614" s="53" t="s">
        <v>381</v>
      </c>
      <c r="I1614" s="77">
        <v>3</v>
      </c>
    </row>
    <row r="1615" spans="1:9" x14ac:dyDescent="0.3">
      <c r="A1615">
        <v>4</v>
      </c>
      <c r="B1615" t="s">
        <v>239</v>
      </c>
      <c r="C1615" t="s">
        <v>193</v>
      </c>
      <c r="D1615" t="s">
        <v>188</v>
      </c>
      <c r="E1615" s="1" t="s">
        <v>185</v>
      </c>
      <c r="F1615" s="31" t="s">
        <v>128</v>
      </c>
      <c r="G1615" s="124">
        <v>42.5</v>
      </c>
      <c r="H1615" t="s">
        <v>379</v>
      </c>
      <c r="I1615" s="34">
        <v>4</v>
      </c>
    </row>
    <row r="1616" spans="1:9" x14ac:dyDescent="0.3">
      <c r="A1616">
        <v>5</v>
      </c>
      <c r="B1616" t="s">
        <v>239</v>
      </c>
      <c r="C1616" t="s">
        <v>193</v>
      </c>
      <c r="D1616" t="s">
        <v>238</v>
      </c>
      <c r="E1616" t="s">
        <v>185</v>
      </c>
      <c r="F1616" s="57" t="s">
        <v>128</v>
      </c>
      <c r="G1616" s="124">
        <v>42</v>
      </c>
      <c r="H1616" s="53" t="s">
        <v>381</v>
      </c>
      <c r="I1616" s="77">
        <v>5</v>
      </c>
    </row>
    <row r="1617" spans="1:9" x14ac:dyDescent="0.3">
      <c r="A1617">
        <v>2</v>
      </c>
      <c r="B1617" t="s">
        <v>239</v>
      </c>
      <c r="C1617" t="s">
        <v>193</v>
      </c>
      <c r="D1617" t="s">
        <v>238</v>
      </c>
      <c r="E1617" s="1" t="s">
        <v>185</v>
      </c>
      <c r="F1617" s="54" t="s">
        <v>128</v>
      </c>
      <c r="G1617" s="124">
        <v>36</v>
      </c>
      <c r="H1617" t="s">
        <v>381</v>
      </c>
      <c r="I1617" s="34">
        <v>2</v>
      </c>
    </row>
    <row r="1618" spans="1:9" x14ac:dyDescent="0.3">
      <c r="A1618">
        <v>1</v>
      </c>
      <c r="B1618" t="s">
        <v>239</v>
      </c>
      <c r="C1618" t="s">
        <v>193</v>
      </c>
      <c r="D1618" t="s">
        <v>238</v>
      </c>
      <c r="E1618" s="1" t="s">
        <v>185</v>
      </c>
      <c r="F1618" s="54" t="s">
        <v>128</v>
      </c>
      <c r="G1618" s="124">
        <v>27.5</v>
      </c>
      <c r="H1618" t="s">
        <v>381</v>
      </c>
      <c r="I1618" s="34">
        <v>1</v>
      </c>
    </row>
    <row r="1619" spans="1:9" x14ac:dyDescent="0.3">
      <c r="A1619">
        <v>6</v>
      </c>
      <c r="B1619" t="s">
        <v>239</v>
      </c>
      <c r="C1619" t="s">
        <v>191</v>
      </c>
      <c r="D1619" t="s">
        <v>188</v>
      </c>
      <c r="E1619" t="s">
        <v>110</v>
      </c>
      <c r="F1619" s="57" t="s">
        <v>131</v>
      </c>
      <c r="G1619" s="124">
        <v>3800</v>
      </c>
      <c r="H1619" t="s">
        <v>382</v>
      </c>
      <c r="I1619" s="34">
        <v>6</v>
      </c>
    </row>
    <row r="1620" spans="1:9" x14ac:dyDescent="0.3">
      <c r="A1620">
        <v>9</v>
      </c>
      <c r="B1620" t="s">
        <v>239</v>
      </c>
      <c r="C1620" t="s">
        <v>191</v>
      </c>
      <c r="D1620" t="s">
        <v>188</v>
      </c>
      <c r="E1620" t="s">
        <v>110</v>
      </c>
      <c r="F1620" s="57" t="s">
        <v>131</v>
      </c>
      <c r="G1620" s="124">
        <v>3600</v>
      </c>
      <c r="H1620" t="s">
        <v>382</v>
      </c>
      <c r="I1620" s="34">
        <v>9</v>
      </c>
    </row>
    <row r="1621" spans="1:9" x14ac:dyDescent="0.3">
      <c r="A1621">
        <v>7</v>
      </c>
      <c r="B1621" t="s">
        <v>239</v>
      </c>
      <c r="C1621" t="s">
        <v>191</v>
      </c>
      <c r="D1621" t="s">
        <v>188</v>
      </c>
      <c r="E1621" t="s">
        <v>110</v>
      </c>
      <c r="F1621" s="57" t="s">
        <v>131</v>
      </c>
      <c r="G1621" s="124">
        <v>3500</v>
      </c>
      <c r="H1621" t="s">
        <v>382</v>
      </c>
      <c r="I1621" s="34">
        <v>7</v>
      </c>
    </row>
    <row r="1622" spans="1:9" x14ac:dyDescent="0.3">
      <c r="A1622">
        <v>10</v>
      </c>
      <c r="B1622" t="s">
        <v>239</v>
      </c>
      <c r="C1622" t="s">
        <v>191</v>
      </c>
      <c r="D1622" t="s">
        <v>188</v>
      </c>
      <c r="E1622" t="s">
        <v>110</v>
      </c>
      <c r="F1622" s="57" t="s">
        <v>131</v>
      </c>
      <c r="G1622" s="124">
        <v>3500</v>
      </c>
      <c r="H1622" t="s">
        <v>382</v>
      </c>
      <c r="I1622" s="34">
        <v>10</v>
      </c>
    </row>
    <row r="1623" spans="1:9" x14ac:dyDescent="0.3">
      <c r="A1623">
        <v>12</v>
      </c>
      <c r="B1623" t="s">
        <v>239</v>
      </c>
      <c r="C1623" t="s">
        <v>191</v>
      </c>
      <c r="D1623" t="s">
        <v>188</v>
      </c>
      <c r="E1623" t="s">
        <v>110</v>
      </c>
      <c r="F1623" s="57" t="s">
        <v>131</v>
      </c>
      <c r="G1623" s="124">
        <v>3500</v>
      </c>
      <c r="H1623" t="s">
        <v>382</v>
      </c>
      <c r="I1623" s="34">
        <v>12</v>
      </c>
    </row>
    <row r="1624" spans="1:9" x14ac:dyDescent="0.3">
      <c r="A1624">
        <v>5</v>
      </c>
      <c r="B1624" t="s">
        <v>239</v>
      </c>
      <c r="C1624" t="s">
        <v>191</v>
      </c>
      <c r="D1624" t="s">
        <v>188</v>
      </c>
      <c r="E1624" s="1" t="s">
        <v>110</v>
      </c>
      <c r="F1624" s="32" t="s">
        <v>131</v>
      </c>
      <c r="G1624" s="124">
        <v>3300</v>
      </c>
      <c r="H1624" t="s">
        <v>382</v>
      </c>
      <c r="I1624" s="34">
        <v>5</v>
      </c>
    </row>
    <row r="1625" spans="1:9" x14ac:dyDescent="0.3">
      <c r="A1625">
        <v>6</v>
      </c>
      <c r="B1625" t="s">
        <v>239</v>
      </c>
      <c r="C1625" t="s">
        <v>191</v>
      </c>
      <c r="D1625" t="s">
        <v>195</v>
      </c>
      <c r="E1625" t="s">
        <v>110</v>
      </c>
      <c r="F1625" s="57" t="s">
        <v>131</v>
      </c>
      <c r="G1625" s="124">
        <v>3300</v>
      </c>
      <c r="H1625" t="s">
        <v>383</v>
      </c>
      <c r="I1625" s="34">
        <v>6</v>
      </c>
    </row>
    <row r="1626" spans="1:9" x14ac:dyDescent="0.3">
      <c r="A1626">
        <v>2</v>
      </c>
      <c r="B1626" t="s">
        <v>239</v>
      </c>
      <c r="C1626" t="s">
        <v>191</v>
      </c>
      <c r="D1626" t="s">
        <v>188</v>
      </c>
      <c r="E1626" s="1" t="s">
        <v>110</v>
      </c>
      <c r="F1626" s="54" t="s">
        <v>131</v>
      </c>
      <c r="G1626" s="124">
        <v>3100</v>
      </c>
      <c r="H1626" t="s">
        <v>382</v>
      </c>
      <c r="I1626" s="34">
        <v>2</v>
      </c>
    </row>
    <row r="1627" spans="1:9" x14ac:dyDescent="0.3">
      <c r="A1627">
        <v>8</v>
      </c>
      <c r="B1627" t="s">
        <v>239</v>
      </c>
      <c r="C1627" t="s">
        <v>191</v>
      </c>
      <c r="D1627" t="s">
        <v>188</v>
      </c>
      <c r="E1627" t="s">
        <v>110</v>
      </c>
      <c r="F1627" s="57" t="s">
        <v>131</v>
      </c>
      <c r="G1627" s="124">
        <v>3000</v>
      </c>
      <c r="H1627" t="s">
        <v>382</v>
      </c>
      <c r="I1627" s="34">
        <v>8</v>
      </c>
    </row>
    <row r="1628" spans="1:9" x14ac:dyDescent="0.3">
      <c r="A1628">
        <v>1</v>
      </c>
      <c r="B1628" t="s">
        <v>239</v>
      </c>
      <c r="C1628" t="s">
        <v>191</v>
      </c>
      <c r="D1628" t="s">
        <v>188</v>
      </c>
      <c r="E1628" s="1" t="s">
        <v>110</v>
      </c>
      <c r="F1628" s="54" t="s">
        <v>131</v>
      </c>
      <c r="G1628" s="124">
        <v>2900</v>
      </c>
      <c r="H1628" t="s">
        <v>382</v>
      </c>
      <c r="I1628" s="34">
        <v>1</v>
      </c>
    </row>
    <row r="1629" spans="1:9" x14ac:dyDescent="0.3">
      <c r="A1629">
        <v>7</v>
      </c>
      <c r="B1629" t="s">
        <v>239</v>
      </c>
      <c r="C1629" t="s">
        <v>191</v>
      </c>
      <c r="D1629" t="s">
        <v>195</v>
      </c>
      <c r="E1629" t="s">
        <v>110</v>
      </c>
      <c r="F1629" s="57" t="s">
        <v>131</v>
      </c>
      <c r="G1629" s="124">
        <v>2900</v>
      </c>
      <c r="H1629" t="s">
        <v>383</v>
      </c>
      <c r="I1629" s="34">
        <v>7</v>
      </c>
    </row>
    <row r="1630" spans="1:9" x14ac:dyDescent="0.3">
      <c r="A1630">
        <v>4</v>
      </c>
      <c r="B1630" t="s">
        <v>239</v>
      </c>
      <c r="C1630" t="s">
        <v>191</v>
      </c>
      <c r="D1630" t="s">
        <v>188</v>
      </c>
      <c r="E1630" s="1" t="s">
        <v>110</v>
      </c>
      <c r="F1630" s="54" t="s">
        <v>131</v>
      </c>
      <c r="G1630" s="124">
        <v>2800</v>
      </c>
      <c r="H1630" t="s">
        <v>382</v>
      </c>
      <c r="I1630" s="34">
        <v>4</v>
      </c>
    </row>
    <row r="1631" spans="1:9" x14ac:dyDescent="0.3">
      <c r="A1631" s="53">
        <v>11</v>
      </c>
      <c r="B1631" t="s">
        <v>239</v>
      </c>
      <c r="C1631" s="53" t="s">
        <v>191</v>
      </c>
      <c r="D1631" s="53" t="s">
        <v>188</v>
      </c>
      <c r="E1631" s="53" t="s">
        <v>110</v>
      </c>
      <c r="F1631" s="57" t="s">
        <v>131</v>
      </c>
      <c r="G1631" s="124">
        <v>2700</v>
      </c>
      <c r="H1631" t="s">
        <v>382</v>
      </c>
      <c r="I1631" s="34">
        <v>11</v>
      </c>
    </row>
    <row r="1632" spans="1:9" x14ac:dyDescent="0.3">
      <c r="A1632">
        <v>9</v>
      </c>
      <c r="B1632" t="s">
        <v>239</v>
      </c>
      <c r="C1632" t="s">
        <v>191</v>
      </c>
      <c r="D1632" t="s">
        <v>195</v>
      </c>
      <c r="E1632" t="s">
        <v>110</v>
      </c>
      <c r="F1632" s="57" t="s">
        <v>131</v>
      </c>
      <c r="G1632" s="124">
        <v>2400</v>
      </c>
      <c r="H1632" t="s">
        <v>383</v>
      </c>
      <c r="I1632" s="34">
        <v>9</v>
      </c>
    </row>
    <row r="1633" spans="1:9" x14ac:dyDescent="0.3">
      <c r="A1633">
        <v>3</v>
      </c>
      <c r="B1633" t="s">
        <v>239</v>
      </c>
      <c r="C1633" t="s">
        <v>191</v>
      </c>
      <c r="D1633" t="s">
        <v>188</v>
      </c>
      <c r="E1633" s="1" t="s">
        <v>110</v>
      </c>
      <c r="F1633" s="54" t="s">
        <v>131</v>
      </c>
      <c r="G1633" s="124">
        <v>2100</v>
      </c>
      <c r="H1633" t="s">
        <v>382</v>
      </c>
      <c r="I1633" s="34">
        <v>3</v>
      </c>
    </row>
    <row r="1634" spans="1:9" x14ac:dyDescent="0.3">
      <c r="A1634">
        <v>2</v>
      </c>
      <c r="B1634" t="s">
        <v>239</v>
      </c>
      <c r="C1634" t="s">
        <v>191</v>
      </c>
      <c r="D1634" t="s">
        <v>195</v>
      </c>
      <c r="E1634" s="1" t="s">
        <v>110</v>
      </c>
      <c r="F1634" s="54" t="s">
        <v>131</v>
      </c>
      <c r="G1634" s="124">
        <v>2100</v>
      </c>
      <c r="H1634" s="53" t="s">
        <v>383</v>
      </c>
      <c r="I1634" s="77">
        <v>2</v>
      </c>
    </row>
    <row r="1635" spans="1:9" x14ac:dyDescent="0.3">
      <c r="A1635">
        <v>5</v>
      </c>
      <c r="B1635" t="s">
        <v>239</v>
      </c>
      <c r="C1635" t="s">
        <v>191</v>
      </c>
      <c r="D1635" t="s">
        <v>195</v>
      </c>
      <c r="E1635" s="1" t="s">
        <v>110</v>
      </c>
      <c r="F1635" s="32" t="s">
        <v>131</v>
      </c>
      <c r="G1635" s="124">
        <v>2100</v>
      </c>
      <c r="H1635" t="s">
        <v>383</v>
      </c>
      <c r="I1635" s="34">
        <v>5</v>
      </c>
    </row>
    <row r="1636" spans="1:9" x14ac:dyDescent="0.3">
      <c r="A1636" s="53">
        <v>11</v>
      </c>
      <c r="B1636" t="s">
        <v>239</v>
      </c>
      <c r="C1636" s="53" t="s">
        <v>191</v>
      </c>
      <c r="D1636" s="53" t="s">
        <v>195</v>
      </c>
      <c r="E1636" s="53" t="s">
        <v>110</v>
      </c>
      <c r="F1636" s="57" t="s">
        <v>131</v>
      </c>
      <c r="G1636" s="124">
        <v>1800</v>
      </c>
      <c r="H1636" t="s">
        <v>383</v>
      </c>
      <c r="I1636" s="34">
        <v>11</v>
      </c>
    </row>
    <row r="1637" spans="1:9" x14ac:dyDescent="0.3">
      <c r="A1637">
        <v>1</v>
      </c>
      <c r="B1637" t="s">
        <v>239</v>
      </c>
      <c r="C1637" t="s">
        <v>191</v>
      </c>
      <c r="D1637" t="s">
        <v>195</v>
      </c>
      <c r="E1637" s="1" t="s">
        <v>110</v>
      </c>
      <c r="F1637" s="54" t="s">
        <v>131</v>
      </c>
      <c r="G1637" s="124">
        <v>1700</v>
      </c>
      <c r="H1637" t="s">
        <v>383</v>
      </c>
      <c r="I1637" s="34">
        <v>1</v>
      </c>
    </row>
    <row r="1638" spans="1:9" x14ac:dyDescent="0.3">
      <c r="A1638">
        <v>4</v>
      </c>
      <c r="B1638" t="s">
        <v>239</v>
      </c>
      <c r="C1638" t="s">
        <v>191</v>
      </c>
      <c r="D1638" t="s">
        <v>195</v>
      </c>
      <c r="E1638" s="1" t="s">
        <v>110</v>
      </c>
      <c r="F1638" s="54" t="s">
        <v>131</v>
      </c>
      <c r="G1638" s="124">
        <v>1600</v>
      </c>
      <c r="H1638" t="s">
        <v>383</v>
      </c>
      <c r="I1638" s="34">
        <v>4</v>
      </c>
    </row>
    <row r="1639" spans="1:9" x14ac:dyDescent="0.3">
      <c r="A1639">
        <v>10</v>
      </c>
      <c r="B1639" t="s">
        <v>239</v>
      </c>
      <c r="C1639" t="s">
        <v>191</v>
      </c>
      <c r="D1639" t="s">
        <v>195</v>
      </c>
      <c r="E1639" t="s">
        <v>110</v>
      </c>
      <c r="F1639" s="57" t="s">
        <v>131</v>
      </c>
      <c r="G1639" s="124">
        <v>1600</v>
      </c>
      <c r="H1639" t="s">
        <v>383</v>
      </c>
      <c r="I1639" s="34">
        <v>10</v>
      </c>
    </row>
    <row r="1640" spans="1:9" x14ac:dyDescent="0.3">
      <c r="A1640">
        <v>12</v>
      </c>
      <c r="B1640" t="s">
        <v>239</v>
      </c>
      <c r="C1640" t="s">
        <v>191</v>
      </c>
      <c r="D1640" t="s">
        <v>195</v>
      </c>
      <c r="E1640" t="s">
        <v>110</v>
      </c>
      <c r="F1640" s="57" t="s">
        <v>131</v>
      </c>
      <c r="G1640" s="124">
        <v>1500</v>
      </c>
      <c r="H1640" t="s">
        <v>383</v>
      </c>
      <c r="I1640" s="34">
        <v>12</v>
      </c>
    </row>
    <row r="1641" spans="1:9" x14ac:dyDescent="0.3">
      <c r="A1641">
        <v>8</v>
      </c>
      <c r="B1641" t="s">
        <v>239</v>
      </c>
      <c r="C1641" t="s">
        <v>191</v>
      </c>
      <c r="D1641" t="s">
        <v>195</v>
      </c>
      <c r="E1641" t="s">
        <v>110</v>
      </c>
      <c r="F1641" s="57" t="s">
        <v>131</v>
      </c>
      <c r="G1641" s="124">
        <v>1400</v>
      </c>
      <c r="H1641" t="s">
        <v>383</v>
      </c>
      <c r="I1641" s="34">
        <v>8</v>
      </c>
    </row>
    <row r="1642" spans="1:9" x14ac:dyDescent="0.3">
      <c r="A1642">
        <v>3</v>
      </c>
      <c r="B1642" t="s">
        <v>239</v>
      </c>
      <c r="C1642" t="s">
        <v>191</v>
      </c>
      <c r="D1642" t="s">
        <v>195</v>
      </c>
      <c r="E1642" s="1" t="s">
        <v>110</v>
      </c>
      <c r="F1642" s="54" t="s">
        <v>131</v>
      </c>
      <c r="G1642" s="124">
        <v>1100</v>
      </c>
      <c r="H1642" t="s">
        <v>383</v>
      </c>
      <c r="I1642" s="34">
        <v>3</v>
      </c>
    </row>
    <row r="1643" spans="1:9" x14ac:dyDescent="0.3">
      <c r="A1643">
        <v>7</v>
      </c>
      <c r="B1643" t="s">
        <v>239</v>
      </c>
      <c r="C1643" t="s">
        <v>193</v>
      </c>
      <c r="D1643" t="s">
        <v>188</v>
      </c>
      <c r="E1643" t="s">
        <v>110</v>
      </c>
      <c r="F1643" s="57" t="s">
        <v>131</v>
      </c>
      <c r="G1643" s="124">
        <v>875</v>
      </c>
      <c r="H1643" t="s">
        <v>384</v>
      </c>
      <c r="I1643" s="34">
        <v>7</v>
      </c>
    </row>
    <row r="1644" spans="1:9" x14ac:dyDescent="0.3">
      <c r="A1644">
        <v>8</v>
      </c>
      <c r="B1644" t="s">
        <v>239</v>
      </c>
      <c r="C1644" t="s">
        <v>193</v>
      </c>
      <c r="D1644" t="s">
        <v>188</v>
      </c>
      <c r="E1644" t="s">
        <v>110</v>
      </c>
      <c r="F1644" s="57" t="s">
        <v>131</v>
      </c>
      <c r="G1644" s="124">
        <v>846</v>
      </c>
      <c r="H1644" t="s">
        <v>384</v>
      </c>
      <c r="I1644" s="34">
        <v>8</v>
      </c>
    </row>
    <row r="1645" spans="1:9" x14ac:dyDescent="0.3">
      <c r="A1645">
        <v>6</v>
      </c>
      <c r="B1645" t="s">
        <v>239</v>
      </c>
      <c r="C1645" t="s">
        <v>193</v>
      </c>
      <c r="D1645" t="s">
        <v>188</v>
      </c>
      <c r="E1645" t="s">
        <v>110</v>
      </c>
      <c r="F1645" s="57" t="s">
        <v>131</v>
      </c>
      <c r="G1645" s="124">
        <v>827.82619999999997</v>
      </c>
      <c r="H1645" t="s">
        <v>384</v>
      </c>
      <c r="I1645" s="34">
        <v>6</v>
      </c>
    </row>
    <row r="1646" spans="1:9" x14ac:dyDescent="0.3">
      <c r="A1646">
        <v>9</v>
      </c>
      <c r="B1646" t="s">
        <v>239</v>
      </c>
      <c r="C1646" t="s">
        <v>193</v>
      </c>
      <c r="D1646" t="s">
        <v>188</v>
      </c>
      <c r="E1646" t="s">
        <v>110</v>
      </c>
      <c r="F1646" s="57" t="s">
        <v>131</v>
      </c>
      <c r="G1646" s="124">
        <v>799.2</v>
      </c>
      <c r="H1646" t="s">
        <v>384</v>
      </c>
      <c r="I1646" s="34">
        <v>9</v>
      </c>
    </row>
    <row r="1647" spans="1:9" x14ac:dyDescent="0.3">
      <c r="A1647">
        <v>10</v>
      </c>
      <c r="B1647" t="s">
        <v>239</v>
      </c>
      <c r="C1647" t="s">
        <v>193</v>
      </c>
      <c r="D1647" t="s">
        <v>188</v>
      </c>
      <c r="E1647" t="s">
        <v>110</v>
      </c>
      <c r="F1647" s="57" t="s">
        <v>131</v>
      </c>
      <c r="G1647" s="124">
        <v>787.5</v>
      </c>
      <c r="H1647" t="s">
        <v>384</v>
      </c>
      <c r="I1647" s="34">
        <v>10</v>
      </c>
    </row>
    <row r="1648" spans="1:9" x14ac:dyDescent="0.3">
      <c r="A1648">
        <v>5</v>
      </c>
      <c r="B1648" t="s">
        <v>239</v>
      </c>
      <c r="C1648" t="s">
        <v>193</v>
      </c>
      <c r="D1648" t="s">
        <v>188</v>
      </c>
      <c r="E1648" t="s">
        <v>110</v>
      </c>
      <c r="F1648" s="57" t="s">
        <v>131</v>
      </c>
      <c r="G1648" s="124">
        <v>765.6</v>
      </c>
      <c r="H1648" t="s">
        <v>384</v>
      </c>
      <c r="I1648" s="34">
        <v>5</v>
      </c>
    </row>
    <row r="1649" spans="1:9" x14ac:dyDescent="0.3">
      <c r="A1649">
        <v>12</v>
      </c>
      <c r="B1649" t="s">
        <v>239</v>
      </c>
      <c r="C1649" t="s">
        <v>193</v>
      </c>
      <c r="D1649" t="s">
        <v>188</v>
      </c>
      <c r="E1649" t="s">
        <v>110</v>
      </c>
      <c r="F1649" s="57" t="s">
        <v>131</v>
      </c>
      <c r="G1649" s="124">
        <v>735</v>
      </c>
      <c r="H1649" t="s">
        <v>384</v>
      </c>
      <c r="I1649" s="34">
        <v>12</v>
      </c>
    </row>
    <row r="1650" spans="1:9" x14ac:dyDescent="0.3">
      <c r="A1650">
        <v>7</v>
      </c>
      <c r="B1650" t="s">
        <v>239</v>
      </c>
      <c r="C1650" t="s">
        <v>193</v>
      </c>
      <c r="D1650" t="s">
        <v>195</v>
      </c>
      <c r="E1650" t="s">
        <v>110</v>
      </c>
      <c r="F1650" s="57" t="s">
        <v>131</v>
      </c>
      <c r="G1650" s="124">
        <v>690.2</v>
      </c>
      <c r="H1650" t="s">
        <v>385</v>
      </c>
      <c r="I1650" s="34">
        <v>7</v>
      </c>
    </row>
    <row r="1651" spans="1:9" x14ac:dyDescent="0.3">
      <c r="A1651">
        <v>6</v>
      </c>
      <c r="B1651" t="s">
        <v>239</v>
      </c>
      <c r="C1651" t="s">
        <v>193</v>
      </c>
      <c r="D1651" t="s">
        <v>195</v>
      </c>
      <c r="E1651" t="s">
        <v>110</v>
      </c>
      <c r="F1651" s="57" t="s">
        <v>131</v>
      </c>
      <c r="G1651" s="124">
        <v>666.6</v>
      </c>
      <c r="H1651" t="s">
        <v>385</v>
      </c>
      <c r="I1651" s="34">
        <v>6</v>
      </c>
    </row>
    <row r="1652" spans="1:9" x14ac:dyDescent="0.3">
      <c r="A1652">
        <v>2</v>
      </c>
      <c r="B1652" t="s">
        <v>239</v>
      </c>
      <c r="C1652" t="s">
        <v>193</v>
      </c>
      <c r="D1652" t="s">
        <v>188</v>
      </c>
      <c r="E1652" s="1" t="s">
        <v>110</v>
      </c>
      <c r="F1652" s="54" t="s">
        <v>131</v>
      </c>
      <c r="G1652" s="124">
        <v>651</v>
      </c>
      <c r="H1652" t="s">
        <v>384</v>
      </c>
      <c r="I1652" s="34">
        <v>2</v>
      </c>
    </row>
    <row r="1653" spans="1:9" x14ac:dyDescent="0.3">
      <c r="A1653">
        <v>1</v>
      </c>
      <c r="B1653" t="s">
        <v>239</v>
      </c>
      <c r="C1653" t="s">
        <v>193</v>
      </c>
      <c r="D1653" t="s">
        <v>188</v>
      </c>
      <c r="E1653" s="1" t="s">
        <v>110</v>
      </c>
      <c r="F1653" s="54" t="s">
        <v>131</v>
      </c>
      <c r="G1653" s="124">
        <v>629.29999999999995</v>
      </c>
      <c r="H1653" t="s">
        <v>384</v>
      </c>
      <c r="I1653" s="34">
        <v>1</v>
      </c>
    </row>
    <row r="1654" spans="1:9" x14ac:dyDescent="0.3">
      <c r="A1654" s="53">
        <v>11</v>
      </c>
      <c r="B1654" t="s">
        <v>239</v>
      </c>
      <c r="C1654" s="53" t="s">
        <v>193</v>
      </c>
      <c r="D1654" s="53" t="s">
        <v>188</v>
      </c>
      <c r="E1654" s="53" t="s">
        <v>110</v>
      </c>
      <c r="F1654" s="57" t="s">
        <v>131</v>
      </c>
      <c r="G1654" s="124">
        <v>567</v>
      </c>
      <c r="H1654" s="53" t="s">
        <v>384</v>
      </c>
      <c r="I1654" s="77">
        <v>11</v>
      </c>
    </row>
    <row r="1655" spans="1:9" x14ac:dyDescent="0.3">
      <c r="A1655">
        <v>4</v>
      </c>
      <c r="B1655" t="s">
        <v>239</v>
      </c>
      <c r="C1655" t="s">
        <v>193</v>
      </c>
      <c r="D1655" t="s">
        <v>188</v>
      </c>
      <c r="E1655" s="1" t="s">
        <v>110</v>
      </c>
      <c r="F1655" s="31" t="s">
        <v>131</v>
      </c>
      <c r="G1655" s="124">
        <v>560</v>
      </c>
      <c r="H1655" t="s">
        <v>384</v>
      </c>
      <c r="I1655" s="34">
        <v>4</v>
      </c>
    </row>
    <row r="1656" spans="1:9" x14ac:dyDescent="0.3">
      <c r="A1656">
        <v>9</v>
      </c>
      <c r="B1656" t="s">
        <v>239</v>
      </c>
      <c r="C1656" t="s">
        <v>193</v>
      </c>
      <c r="D1656" t="s">
        <v>195</v>
      </c>
      <c r="E1656" t="s">
        <v>110</v>
      </c>
      <c r="F1656" s="57" t="s">
        <v>131</v>
      </c>
      <c r="G1656" s="124">
        <v>516</v>
      </c>
      <c r="H1656" t="s">
        <v>385</v>
      </c>
      <c r="I1656" s="34">
        <v>9</v>
      </c>
    </row>
    <row r="1657" spans="1:9" x14ac:dyDescent="0.3">
      <c r="A1657">
        <v>3</v>
      </c>
      <c r="B1657" t="s">
        <v>239</v>
      </c>
      <c r="C1657" t="s">
        <v>193</v>
      </c>
      <c r="D1657" t="s">
        <v>188</v>
      </c>
      <c r="E1657" s="1" t="s">
        <v>110</v>
      </c>
      <c r="F1657" s="54" t="s">
        <v>131</v>
      </c>
      <c r="G1657" s="124">
        <v>472.5</v>
      </c>
      <c r="H1657" t="s">
        <v>384</v>
      </c>
      <c r="I1657" s="34">
        <v>3</v>
      </c>
    </row>
    <row r="1658" spans="1:9" x14ac:dyDescent="0.3">
      <c r="A1658">
        <v>2</v>
      </c>
      <c r="B1658" t="s">
        <v>239</v>
      </c>
      <c r="C1658" t="s">
        <v>193</v>
      </c>
      <c r="D1658" t="s">
        <v>195</v>
      </c>
      <c r="E1658" s="1" t="s">
        <v>110</v>
      </c>
      <c r="F1658" s="54" t="s">
        <v>131</v>
      </c>
      <c r="G1658" s="124">
        <v>445.2</v>
      </c>
      <c r="H1658" t="s">
        <v>385</v>
      </c>
      <c r="I1658" s="34">
        <v>2</v>
      </c>
    </row>
    <row r="1659" spans="1:9" x14ac:dyDescent="0.3">
      <c r="A1659">
        <v>5</v>
      </c>
      <c r="B1659" t="s">
        <v>239</v>
      </c>
      <c r="C1659" t="s">
        <v>193</v>
      </c>
      <c r="D1659" t="s">
        <v>195</v>
      </c>
      <c r="E1659" t="s">
        <v>110</v>
      </c>
      <c r="F1659" s="57" t="s">
        <v>131</v>
      </c>
      <c r="G1659" s="124">
        <v>445.2</v>
      </c>
      <c r="H1659" t="s">
        <v>385</v>
      </c>
      <c r="I1659" s="34">
        <v>5</v>
      </c>
    </row>
    <row r="1660" spans="1:9" x14ac:dyDescent="0.3">
      <c r="A1660">
        <v>8</v>
      </c>
      <c r="B1660" t="s">
        <v>239</v>
      </c>
      <c r="C1660" t="s">
        <v>193</v>
      </c>
      <c r="D1660" t="s">
        <v>195</v>
      </c>
      <c r="E1660" t="s">
        <v>110</v>
      </c>
      <c r="F1660" s="57" t="s">
        <v>131</v>
      </c>
      <c r="G1660" s="124">
        <v>392</v>
      </c>
      <c r="H1660" t="s">
        <v>385</v>
      </c>
      <c r="I1660" s="34">
        <v>8</v>
      </c>
    </row>
    <row r="1661" spans="1:9" x14ac:dyDescent="0.3">
      <c r="A1661" s="53">
        <v>11</v>
      </c>
      <c r="B1661" t="s">
        <v>239</v>
      </c>
      <c r="C1661" s="53" t="s">
        <v>193</v>
      </c>
      <c r="D1661" s="53" t="s">
        <v>195</v>
      </c>
      <c r="E1661" s="53" t="s">
        <v>110</v>
      </c>
      <c r="F1661" s="57" t="s">
        <v>131</v>
      </c>
      <c r="G1661" s="124">
        <v>338.4</v>
      </c>
      <c r="H1661" t="s">
        <v>385</v>
      </c>
      <c r="I1661" s="34">
        <v>11</v>
      </c>
    </row>
    <row r="1662" spans="1:9" x14ac:dyDescent="0.3">
      <c r="A1662">
        <v>10</v>
      </c>
      <c r="B1662" t="s">
        <v>239</v>
      </c>
      <c r="C1662" t="s">
        <v>193</v>
      </c>
      <c r="D1662" t="s">
        <v>195</v>
      </c>
      <c r="E1662" t="s">
        <v>110</v>
      </c>
      <c r="F1662" s="57" t="s">
        <v>131</v>
      </c>
      <c r="G1662" s="124">
        <v>331.1712</v>
      </c>
      <c r="H1662" t="s">
        <v>385</v>
      </c>
      <c r="I1662" s="34">
        <v>10</v>
      </c>
    </row>
    <row r="1663" spans="1:9" x14ac:dyDescent="0.3">
      <c r="A1663">
        <v>1</v>
      </c>
      <c r="B1663" t="s">
        <v>239</v>
      </c>
      <c r="C1663" t="s">
        <v>193</v>
      </c>
      <c r="D1663" t="s">
        <v>195</v>
      </c>
      <c r="E1663" s="1" t="s">
        <v>110</v>
      </c>
      <c r="F1663" s="54" t="s">
        <v>131</v>
      </c>
      <c r="G1663" s="124">
        <v>323</v>
      </c>
      <c r="H1663" s="53" t="s">
        <v>385</v>
      </c>
      <c r="I1663" s="77">
        <v>1</v>
      </c>
    </row>
    <row r="1664" spans="1:9" x14ac:dyDescent="0.3">
      <c r="A1664">
        <v>4</v>
      </c>
      <c r="B1664" t="s">
        <v>239</v>
      </c>
      <c r="C1664" t="s">
        <v>193</v>
      </c>
      <c r="D1664" t="s">
        <v>195</v>
      </c>
      <c r="E1664" s="1" t="s">
        <v>110</v>
      </c>
      <c r="F1664" s="31" t="s">
        <v>131</v>
      </c>
      <c r="G1664" s="124">
        <v>312</v>
      </c>
      <c r="H1664" t="s">
        <v>385</v>
      </c>
      <c r="I1664" s="34">
        <v>4</v>
      </c>
    </row>
    <row r="1665" spans="1:9" x14ac:dyDescent="0.3">
      <c r="A1665">
        <v>12</v>
      </c>
      <c r="B1665" t="s">
        <v>239</v>
      </c>
      <c r="C1665" t="s">
        <v>193</v>
      </c>
      <c r="D1665" t="s">
        <v>195</v>
      </c>
      <c r="E1665" t="s">
        <v>110</v>
      </c>
      <c r="F1665" s="57" t="s">
        <v>131</v>
      </c>
      <c r="G1665" s="124">
        <v>300</v>
      </c>
      <c r="H1665" t="s">
        <v>385</v>
      </c>
      <c r="I1665" s="34">
        <v>12</v>
      </c>
    </row>
    <row r="1666" spans="1:9" x14ac:dyDescent="0.3">
      <c r="A1666">
        <v>8</v>
      </c>
      <c r="B1666" t="s">
        <v>239</v>
      </c>
      <c r="C1666" t="s">
        <v>192</v>
      </c>
      <c r="D1666" t="s">
        <v>188</v>
      </c>
      <c r="E1666" t="s">
        <v>110</v>
      </c>
      <c r="F1666" s="57" t="s">
        <v>131</v>
      </c>
      <c r="G1666" s="124">
        <v>282</v>
      </c>
      <c r="H1666" s="53" t="s">
        <v>386</v>
      </c>
      <c r="I1666" s="77">
        <v>8</v>
      </c>
    </row>
    <row r="1667" spans="1:9" x14ac:dyDescent="0.3">
      <c r="A1667">
        <v>8</v>
      </c>
      <c r="B1667" t="s">
        <v>239</v>
      </c>
      <c r="C1667" t="s">
        <v>192</v>
      </c>
      <c r="D1667" t="s">
        <v>195</v>
      </c>
      <c r="E1667" t="s">
        <v>110</v>
      </c>
      <c r="F1667" s="57" t="s">
        <v>131</v>
      </c>
      <c r="G1667" s="124">
        <v>280</v>
      </c>
      <c r="H1667" t="s">
        <v>387</v>
      </c>
      <c r="I1667" s="34">
        <v>8</v>
      </c>
    </row>
    <row r="1668" spans="1:9" x14ac:dyDescent="0.3">
      <c r="A1668">
        <v>7</v>
      </c>
      <c r="B1668" t="s">
        <v>239</v>
      </c>
      <c r="C1668" t="s">
        <v>192</v>
      </c>
      <c r="D1668" t="s">
        <v>188</v>
      </c>
      <c r="E1668" t="s">
        <v>110</v>
      </c>
      <c r="F1668" s="57" t="s">
        <v>131</v>
      </c>
      <c r="G1668" s="124">
        <v>250</v>
      </c>
      <c r="H1668" t="s">
        <v>386</v>
      </c>
      <c r="I1668" s="34">
        <v>7</v>
      </c>
    </row>
    <row r="1669" spans="1:9" x14ac:dyDescent="0.3">
      <c r="A1669">
        <v>7</v>
      </c>
      <c r="B1669" t="s">
        <v>239</v>
      </c>
      <c r="C1669" t="s">
        <v>192</v>
      </c>
      <c r="D1669" t="s">
        <v>195</v>
      </c>
      <c r="E1669" t="s">
        <v>110</v>
      </c>
      <c r="F1669" s="57" t="s">
        <v>131</v>
      </c>
      <c r="G1669" s="124">
        <v>238</v>
      </c>
      <c r="H1669" t="s">
        <v>387</v>
      </c>
      <c r="I1669" s="34">
        <v>7</v>
      </c>
    </row>
    <row r="1670" spans="1:9" x14ac:dyDescent="0.3">
      <c r="A1670">
        <v>5</v>
      </c>
      <c r="B1670" t="s">
        <v>239</v>
      </c>
      <c r="C1670" t="s">
        <v>192</v>
      </c>
      <c r="D1670" t="s">
        <v>188</v>
      </c>
      <c r="E1670" t="s">
        <v>110</v>
      </c>
      <c r="F1670" s="57" t="s">
        <v>131</v>
      </c>
      <c r="G1670" s="124">
        <v>232</v>
      </c>
      <c r="H1670" t="s">
        <v>386</v>
      </c>
      <c r="I1670" s="34">
        <v>5</v>
      </c>
    </row>
    <row r="1671" spans="1:9" x14ac:dyDescent="0.3">
      <c r="A1671">
        <v>3</v>
      </c>
      <c r="B1671" t="s">
        <v>239</v>
      </c>
      <c r="C1671" t="s">
        <v>193</v>
      </c>
      <c r="D1671" t="s">
        <v>195</v>
      </c>
      <c r="E1671" s="1" t="s">
        <v>110</v>
      </c>
      <c r="F1671" s="54" t="s">
        <v>131</v>
      </c>
      <c r="G1671" s="124">
        <v>231</v>
      </c>
      <c r="H1671" t="s">
        <v>385</v>
      </c>
      <c r="I1671" s="34">
        <v>3</v>
      </c>
    </row>
    <row r="1672" spans="1:9" x14ac:dyDescent="0.3">
      <c r="A1672">
        <v>3</v>
      </c>
      <c r="B1672" t="s">
        <v>239</v>
      </c>
      <c r="C1672" t="s">
        <v>192</v>
      </c>
      <c r="D1672" t="s">
        <v>188</v>
      </c>
      <c r="E1672" s="1" t="s">
        <v>110</v>
      </c>
      <c r="F1672" s="54" t="s">
        <v>131</v>
      </c>
      <c r="G1672" s="124">
        <v>225</v>
      </c>
      <c r="H1672" t="s">
        <v>386</v>
      </c>
      <c r="I1672" s="34">
        <v>3</v>
      </c>
    </row>
    <row r="1673" spans="1:9" x14ac:dyDescent="0.3">
      <c r="A1673">
        <v>10</v>
      </c>
      <c r="B1673" t="s">
        <v>239</v>
      </c>
      <c r="C1673" t="s">
        <v>192</v>
      </c>
      <c r="D1673" t="s">
        <v>188</v>
      </c>
      <c r="E1673" t="s">
        <v>110</v>
      </c>
      <c r="F1673" s="57" t="s">
        <v>131</v>
      </c>
      <c r="G1673" s="124">
        <v>225</v>
      </c>
      <c r="H1673" t="s">
        <v>386</v>
      </c>
      <c r="I1673" s="34">
        <v>10</v>
      </c>
    </row>
    <row r="1674" spans="1:9" x14ac:dyDescent="0.3">
      <c r="A1674">
        <v>9</v>
      </c>
      <c r="B1674" t="s">
        <v>239</v>
      </c>
      <c r="C1674" t="s">
        <v>192</v>
      </c>
      <c r="D1674" t="s">
        <v>188</v>
      </c>
      <c r="E1674" t="s">
        <v>110</v>
      </c>
      <c r="F1674" s="57" t="s">
        <v>131</v>
      </c>
      <c r="G1674" s="124">
        <v>222</v>
      </c>
      <c r="H1674" t="s">
        <v>386</v>
      </c>
      <c r="I1674" s="34">
        <v>9</v>
      </c>
    </row>
    <row r="1675" spans="1:9" x14ac:dyDescent="0.3">
      <c r="A1675">
        <v>6</v>
      </c>
      <c r="B1675" t="s">
        <v>239</v>
      </c>
      <c r="C1675" t="s">
        <v>192</v>
      </c>
      <c r="D1675" t="s">
        <v>188</v>
      </c>
      <c r="E1675" t="s">
        <v>110</v>
      </c>
      <c r="F1675" s="57" t="s">
        <v>131</v>
      </c>
      <c r="G1675" s="124">
        <v>217.84899999999999</v>
      </c>
      <c r="H1675" t="s">
        <v>386</v>
      </c>
      <c r="I1675" s="34">
        <v>6</v>
      </c>
    </row>
    <row r="1676" spans="1:9" x14ac:dyDescent="0.3">
      <c r="A1676">
        <v>1</v>
      </c>
      <c r="B1676" t="s">
        <v>239</v>
      </c>
      <c r="C1676" t="s">
        <v>192</v>
      </c>
      <c r="D1676" t="s">
        <v>188</v>
      </c>
      <c r="E1676" s="1" t="s">
        <v>110</v>
      </c>
      <c r="F1676" s="54" t="s">
        <v>131</v>
      </c>
      <c r="G1676" s="124">
        <v>217</v>
      </c>
      <c r="H1676" t="s">
        <v>386</v>
      </c>
      <c r="I1676" s="34">
        <v>1</v>
      </c>
    </row>
    <row r="1677" spans="1:9" x14ac:dyDescent="0.3">
      <c r="A1677">
        <v>9</v>
      </c>
      <c r="B1677" t="s">
        <v>239</v>
      </c>
      <c r="C1677" t="s">
        <v>192</v>
      </c>
      <c r="D1677" t="s">
        <v>195</v>
      </c>
      <c r="E1677" t="s">
        <v>110</v>
      </c>
      <c r="F1677" s="57" t="s">
        <v>131</v>
      </c>
      <c r="G1677" s="124">
        <v>215</v>
      </c>
      <c r="H1677" t="s">
        <v>387</v>
      </c>
      <c r="I1677" s="34">
        <v>9</v>
      </c>
    </row>
    <row r="1678" spans="1:9" x14ac:dyDescent="0.3">
      <c r="A1678">
        <v>2</v>
      </c>
      <c r="B1678" t="s">
        <v>239</v>
      </c>
      <c r="C1678" t="s">
        <v>192</v>
      </c>
      <c r="D1678" t="s">
        <v>195</v>
      </c>
      <c r="E1678" s="1" t="s">
        <v>110</v>
      </c>
      <c r="F1678" s="54" t="s">
        <v>131</v>
      </c>
      <c r="G1678" s="124">
        <v>212</v>
      </c>
      <c r="H1678" t="s">
        <v>387</v>
      </c>
      <c r="I1678" s="34">
        <v>2</v>
      </c>
    </row>
    <row r="1679" spans="1:9" x14ac:dyDescent="0.3">
      <c r="A1679">
        <v>5</v>
      </c>
      <c r="B1679" t="s">
        <v>239</v>
      </c>
      <c r="C1679" t="s">
        <v>192</v>
      </c>
      <c r="D1679" t="s">
        <v>195</v>
      </c>
      <c r="E1679" t="s">
        <v>110</v>
      </c>
      <c r="F1679" s="57" t="s">
        <v>131</v>
      </c>
      <c r="G1679" s="124">
        <v>212</v>
      </c>
      <c r="H1679" t="s">
        <v>387</v>
      </c>
      <c r="I1679" s="34">
        <v>5</v>
      </c>
    </row>
    <row r="1680" spans="1:9" x14ac:dyDescent="0.3">
      <c r="A1680">
        <v>2</v>
      </c>
      <c r="B1680" t="s">
        <v>239</v>
      </c>
      <c r="C1680" t="s">
        <v>192</v>
      </c>
      <c r="D1680" t="s">
        <v>188</v>
      </c>
      <c r="E1680" s="1" t="s">
        <v>110</v>
      </c>
      <c r="F1680" s="54" t="s">
        <v>131</v>
      </c>
      <c r="G1680" s="124">
        <v>210</v>
      </c>
      <c r="H1680" t="s">
        <v>386</v>
      </c>
      <c r="I1680" s="34">
        <v>2</v>
      </c>
    </row>
    <row r="1681" spans="1:9" x14ac:dyDescent="0.3">
      <c r="A1681" s="53">
        <v>11</v>
      </c>
      <c r="B1681" t="s">
        <v>239</v>
      </c>
      <c r="C1681" s="53" t="s">
        <v>192</v>
      </c>
      <c r="D1681" s="53" t="s">
        <v>188</v>
      </c>
      <c r="E1681" s="53" t="s">
        <v>110</v>
      </c>
      <c r="F1681" s="57" t="s">
        <v>131</v>
      </c>
      <c r="G1681" s="124">
        <v>210</v>
      </c>
      <c r="H1681" s="53" t="s">
        <v>386</v>
      </c>
      <c r="I1681" s="77">
        <v>11</v>
      </c>
    </row>
    <row r="1682" spans="1:9" x14ac:dyDescent="0.3">
      <c r="A1682">
        <v>12</v>
      </c>
      <c r="B1682" t="s">
        <v>239</v>
      </c>
      <c r="C1682" t="s">
        <v>192</v>
      </c>
      <c r="D1682" t="s">
        <v>188</v>
      </c>
      <c r="E1682" t="s">
        <v>110</v>
      </c>
      <c r="F1682" s="57" t="s">
        <v>131</v>
      </c>
      <c r="G1682" s="124">
        <v>210</v>
      </c>
      <c r="H1682" t="s">
        <v>386</v>
      </c>
      <c r="I1682" s="34">
        <v>12</v>
      </c>
    </row>
    <row r="1683" spans="1:9" x14ac:dyDescent="0.3">
      <c r="A1683">
        <v>3</v>
      </c>
      <c r="B1683" t="s">
        <v>239</v>
      </c>
      <c r="C1683" t="s">
        <v>192</v>
      </c>
      <c r="D1683" t="s">
        <v>195</v>
      </c>
      <c r="E1683" s="1" t="s">
        <v>110</v>
      </c>
      <c r="F1683" s="54" t="s">
        <v>131</v>
      </c>
      <c r="G1683" s="124">
        <v>210</v>
      </c>
      <c r="H1683" t="s">
        <v>387</v>
      </c>
      <c r="I1683" s="34">
        <v>3</v>
      </c>
    </row>
    <row r="1684" spans="1:9" x14ac:dyDescent="0.3">
      <c r="A1684">
        <v>10</v>
      </c>
      <c r="B1684" t="s">
        <v>239</v>
      </c>
      <c r="C1684" t="s">
        <v>192</v>
      </c>
      <c r="D1684" t="s">
        <v>195</v>
      </c>
      <c r="E1684" t="s">
        <v>110</v>
      </c>
      <c r="F1684" s="57" t="s">
        <v>131</v>
      </c>
      <c r="G1684" s="124">
        <v>206.982</v>
      </c>
      <c r="H1684" t="s">
        <v>387</v>
      </c>
      <c r="I1684" s="34">
        <v>10</v>
      </c>
    </row>
    <row r="1685" spans="1:9" x14ac:dyDescent="0.3">
      <c r="A1685">
        <v>6</v>
      </c>
      <c r="B1685" t="s">
        <v>239</v>
      </c>
      <c r="C1685" t="s">
        <v>192</v>
      </c>
      <c r="D1685" t="s">
        <v>195</v>
      </c>
      <c r="E1685" t="s">
        <v>110</v>
      </c>
      <c r="F1685" s="57" t="s">
        <v>131</v>
      </c>
      <c r="G1685" s="124">
        <v>202</v>
      </c>
      <c r="H1685" t="s">
        <v>387</v>
      </c>
      <c r="I1685" s="34">
        <v>6</v>
      </c>
    </row>
    <row r="1686" spans="1:9" x14ac:dyDescent="0.3">
      <c r="A1686">
        <v>4</v>
      </c>
      <c r="B1686" t="s">
        <v>239</v>
      </c>
      <c r="C1686" t="s">
        <v>192</v>
      </c>
      <c r="D1686" t="s">
        <v>188</v>
      </c>
      <c r="E1686" s="1" t="s">
        <v>110</v>
      </c>
      <c r="F1686" s="54" t="s">
        <v>131</v>
      </c>
      <c r="G1686" s="124">
        <v>200</v>
      </c>
      <c r="H1686" t="s">
        <v>386</v>
      </c>
      <c r="I1686" s="34">
        <v>4</v>
      </c>
    </row>
    <row r="1687" spans="1:9" x14ac:dyDescent="0.3">
      <c r="A1687">
        <v>12</v>
      </c>
      <c r="B1687" t="s">
        <v>239</v>
      </c>
      <c r="C1687" t="s">
        <v>192</v>
      </c>
      <c r="D1687" t="s">
        <v>195</v>
      </c>
      <c r="E1687" t="s">
        <v>110</v>
      </c>
      <c r="F1687" s="57" t="s">
        <v>131</v>
      </c>
      <c r="G1687" s="124">
        <v>200</v>
      </c>
      <c r="H1687" t="s">
        <v>387</v>
      </c>
      <c r="I1687" s="34">
        <v>12</v>
      </c>
    </row>
    <row r="1688" spans="1:9" x14ac:dyDescent="0.3">
      <c r="A1688">
        <v>4</v>
      </c>
      <c r="B1688" t="s">
        <v>239</v>
      </c>
      <c r="C1688" t="s">
        <v>192</v>
      </c>
      <c r="D1688" t="s">
        <v>195</v>
      </c>
      <c r="E1688" s="1" t="s">
        <v>110</v>
      </c>
      <c r="F1688" s="54" t="s">
        <v>131</v>
      </c>
      <c r="G1688" s="124">
        <v>195</v>
      </c>
      <c r="H1688" t="s">
        <v>387</v>
      </c>
      <c r="I1688" s="34">
        <v>4</v>
      </c>
    </row>
    <row r="1689" spans="1:9" x14ac:dyDescent="0.3">
      <c r="A1689">
        <v>1</v>
      </c>
      <c r="B1689" t="s">
        <v>239</v>
      </c>
      <c r="C1689" t="s">
        <v>192</v>
      </c>
      <c r="D1689" t="s">
        <v>195</v>
      </c>
      <c r="E1689" s="1" t="s">
        <v>110</v>
      </c>
      <c r="F1689" s="54" t="s">
        <v>131</v>
      </c>
      <c r="G1689" s="124">
        <v>190</v>
      </c>
      <c r="H1689" t="s">
        <v>387</v>
      </c>
      <c r="I1689" s="34">
        <v>1</v>
      </c>
    </row>
    <row r="1690" spans="1:9" x14ac:dyDescent="0.3">
      <c r="A1690" s="53">
        <v>11</v>
      </c>
      <c r="B1690" t="s">
        <v>239</v>
      </c>
      <c r="C1690" s="53" t="s">
        <v>192</v>
      </c>
      <c r="D1690" s="53" t="s">
        <v>195</v>
      </c>
      <c r="E1690" s="53" t="s">
        <v>110</v>
      </c>
      <c r="F1690" s="57" t="s">
        <v>131</v>
      </c>
      <c r="G1690" s="124">
        <v>188</v>
      </c>
      <c r="H1690" t="s">
        <v>387</v>
      </c>
      <c r="I1690" s="34">
        <v>11</v>
      </c>
    </row>
    <row r="1691" spans="1:9" x14ac:dyDescent="0.3">
      <c r="A1691" s="53">
        <v>11</v>
      </c>
      <c r="B1691" t="s">
        <v>239</v>
      </c>
      <c r="C1691" s="53" t="s">
        <v>191</v>
      </c>
      <c r="D1691" s="53" t="s">
        <v>188</v>
      </c>
      <c r="E1691" s="53" t="s">
        <v>181</v>
      </c>
      <c r="F1691" s="57" t="s">
        <v>137</v>
      </c>
      <c r="G1691" s="124">
        <v>1645</v>
      </c>
      <c r="H1691" s="53" t="s">
        <v>388</v>
      </c>
      <c r="I1691" s="77">
        <v>11</v>
      </c>
    </row>
    <row r="1692" spans="1:9" x14ac:dyDescent="0.3">
      <c r="A1692">
        <v>12</v>
      </c>
      <c r="B1692" t="s">
        <v>239</v>
      </c>
      <c r="C1692" t="s">
        <v>191</v>
      </c>
      <c r="D1692" t="s">
        <v>188</v>
      </c>
      <c r="E1692" t="s">
        <v>181</v>
      </c>
      <c r="F1692" s="57" t="s">
        <v>137</v>
      </c>
      <c r="G1692" s="124">
        <v>1625</v>
      </c>
      <c r="H1692" t="s">
        <v>388</v>
      </c>
      <c r="I1692" s="34">
        <v>12</v>
      </c>
    </row>
    <row r="1693" spans="1:9" x14ac:dyDescent="0.3">
      <c r="A1693">
        <v>1</v>
      </c>
      <c r="B1693" t="s">
        <v>239</v>
      </c>
      <c r="C1693" t="s">
        <v>191</v>
      </c>
      <c r="D1693" t="s">
        <v>188</v>
      </c>
      <c r="E1693" s="1" t="s">
        <v>181</v>
      </c>
      <c r="F1693" s="32" t="s">
        <v>137</v>
      </c>
      <c r="G1693" s="124">
        <v>1605</v>
      </c>
      <c r="H1693" t="s">
        <v>388</v>
      </c>
      <c r="I1693" s="34">
        <v>1</v>
      </c>
    </row>
    <row r="1694" spans="1:9" x14ac:dyDescent="0.3">
      <c r="A1694">
        <v>2</v>
      </c>
      <c r="B1694" t="s">
        <v>239</v>
      </c>
      <c r="C1694" t="s">
        <v>191</v>
      </c>
      <c r="D1694" t="s">
        <v>188</v>
      </c>
      <c r="E1694" s="1" t="s">
        <v>181</v>
      </c>
      <c r="F1694" s="54" t="s">
        <v>137</v>
      </c>
      <c r="G1694" s="124">
        <v>1590</v>
      </c>
      <c r="H1694" t="s">
        <v>388</v>
      </c>
      <c r="I1694" s="34">
        <v>2</v>
      </c>
    </row>
    <row r="1695" spans="1:9" x14ac:dyDescent="0.3">
      <c r="A1695">
        <v>10</v>
      </c>
      <c r="B1695" t="s">
        <v>239</v>
      </c>
      <c r="C1695" t="s">
        <v>191</v>
      </c>
      <c r="D1695" t="s">
        <v>188</v>
      </c>
      <c r="E1695" t="s">
        <v>181</v>
      </c>
      <c r="F1695" s="57" t="s">
        <v>137</v>
      </c>
      <c r="G1695" s="124">
        <v>1320</v>
      </c>
      <c r="H1695" t="s">
        <v>388</v>
      </c>
      <c r="I1695" s="34">
        <v>10</v>
      </c>
    </row>
    <row r="1696" spans="1:9" x14ac:dyDescent="0.3">
      <c r="A1696">
        <v>8</v>
      </c>
      <c r="B1696" t="s">
        <v>239</v>
      </c>
      <c r="C1696" t="s">
        <v>191</v>
      </c>
      <c r="D1696" t="s">
        <v>188</v>
      </c>
      <c r="E1696" t="s">
        <v>181</v>
      </c>
      <c r="F1696" s="57" t="s">
        <v>137</v>
      </c>
      <c r="G1696" s="124">
        <v>1175</v>
      </c>
      <c r="H1696" t="s">
        <v>388</v>
      </c>
      <c r="I1696" s="34">
        <v>8</v>
      </c>
    </row>
    <row r="1697" spans="1:9" x14ac:dyDescent="0.3">
      <c r="A1697">
        <v>7</v>
      </c>
      <c r="B1697" t="s">
        <v>239</v>
      </c>
      <c r="C1697" t="s">
        <v>191</v>
      </c>
      <c r="D1697" t="s">
        <v>188</v>
      </c>
      <c r="E1697" t="s">
        <v>181</v>
      </c>
      <c r="F1697" s="57" t="s">
        <v>137</v>
      </c>
      <c r="G1697" s="124">
        <v>1165</v>
      </c>
      <c r="H1697" t="s">
        <v>388</v>
      </c>
      <c r="I1697" s="34">
        <v>7</v>
      </c>
    </row>
    <row r="1698" spans="1:9" x14ac:dyDescent="0.3">
      <c r="A1698">
        <v>1</v>
      </c>
      <c r="B1698" t="s">
        <v>239</v>
      </c>
      <c r="C1698" t="s">
        <v>191</v>
      </c>
      <c r="D1698" t="s">
        <v>195</v>
      </c>
      <c r="E1698" s="1" t="s">
        <v>181</v>
      </c>
      <c r="F1698" s="32" t="s">
        <v>137</v>
      </c>
      <c r="G1698" s="124">
        <v>1150</v>
      </c>
      <c r="H1698" t="s">
        <v>389</v>
      </c>
      <c r="I1698" s="34">
        <v>1</v>
      </c>
    </row>
    <row r="1699" spans="1:9" x14ac:dyDescent="0.3">
      <c r="A1699">
        <v>6</v>
      </c>
      <c r="B1699" t="s">
        <v>239</v>
      </c>
      <c r="C1699" t="s">
        <v>191</v>
      </c>
      <c r="D1699" t="s">
        <v>188</v>
      </c>
      <c r="E1699" t="s">
        <v>181</v>
      </c>
      <c r="F1699" s="57" t="s">
        <v>137</v>
      </c>
      <c r="G1699" s="124">
        <v>1070</v>
      </c>
      <c r="H1699" t="s">
        <v>388</v>
      </c>
      <c r="I1699" s="34">
        <v>6</v>
      </c>
    </row>
    <row r="1700" spans="1:9" x14ac:dyDescent="0.3">
      <c r="A1700">
        <v>2</v>
      </c>
      <c r="B1700" t="s">
        <v>239</v>
      </c>
      <c r="C1700" t="s">
        <v>191</v>
      </c>
      <c r="D1700" t="s">
        <v>195</v>
      </c>
      <c r="E1700" s="1" t="s">
        <v>181</v>
      </c>
      <c r="F1700" s="54" t="s">
        <v>137</v>
      </c>
      <c r="G1700" s="124">
        <v>1000</v>
      </c>
      <c r="H1700" s="53" t="s">
        <v>389</v>
      </c>
      <c r="I1700" s="77">
        <v>2</v>
      </c>
    </row>
    <row r="1701" spans="1:9" x14ac:dyDescent="0.3">
      <c r="A1701">
        <v>9</v>
      </c>
      <c r="B1701" t="s">
        <v>239</v>
      </c>
      <c r="C1701" t="s">
        <v>191</v>
      </c>
      <c r="D1701" t="s">
        <v>188</v>
      </c>
      <c r="E1701" t="s">
        <v>181</v>
      </c>
      <c r="F1701" s="57" t="s">
        <v>137</v>
      </c>
      <c r="G1701" s="124">
        <v>985</v>
      </c>
      <c r="H1701" t="s">
        <v>388</v>
      </c>
      <c r="I1701" s="34">
        <v>9</v>
      </c>
    </row>
    <row r="1702" spans="1:9" x14ac:dyDescent="0.3">
      <c r="A1702">
        <v>10</v>
      </c>
      <c r="B1702" t="s">
        <v>239</v>
      </c>
      <c r="C1702" t="s">
        <v>191</v>
      </c>
      <c r="D1702" t="s">
        <v>195</v>
      </c>
      <c r="E1702" t="s">
        <v>181</v>
      </c>
      <c r="F1702" s="57" t="s">
        <v>137</v>
      </c>
      <c r="G1702" s="124">
        <v>900</v>
      </c>
      <c r="H1702" t="s">
        <v>389</v>
      </c>
      <c r="I1702" s="34">
        <v>10</v>
      </c>
    </row>
    <row r="1703" spans="1:9" x14ac:dyDescent="0.3">
      <c r="A1703">
        <v>12</v>
      </c>
      <c r="B1703" t="s">
        <v>239</v>
      </c>
      <c r="C1703" t="s">
        <v>191</v>
      </c>
      <c r="D1703" t="s">
        <v>195</v>
      </c>
      <c r="E1703" t="s">
        <v>181</v>
      </c>
      <c r="F1703" s="57" t="s">
        <v>137</v>
      </c>
      <c r="G1703" s="124">
        <v>900</v>
      </c>
      <c r="H1703" t="s">
        <v>389</v>
      </c>
      <c r="I1703" s="34">
        <v>12</v>
      </c>
    </row>
    <row r="1704" spans="1:9" x14ac:dyDescent="0.3">
      <c r="A1704">
        <v>3</v>
      </c>
      <c r="B1704" t="s">
        <v>239</v>
      </c>
      <c r="C1704" t="s">
        <v>191</v>
      </c>
      <c r="D1704" t="s">
        <v>188</v>
      </c>
      <c r="E1704" s="1" t="s">
        <v>181</v>
      </c>
      <c r="F1704" s="31" t="s">
        <v>137</v>
      </c>
      <c r="G1704" s="124">
        <v>860</v>
      </c>
      <c r="H1704" t="s">
        <v>388</v>
      </c>
      <c r="I1704" s="34">
        <v>3</v>
      </c>
    </row>
    <row r="1705" spans="1:9" x14ac:dyDescent="0.3">
      <c r="A1705">
        <v>5</v>
      </c>
      <c r="B1705" t="s">
        <v>239</v>
      </c>
      <c r="C1705" t="s">
        <v>191</v>
      </c>
      <c r="D1705" t="s">
        <v>188</v>
      </c>
      <c r="E1705" s="1" t="s">
        <v>181</v>
      </c>
      <c r="F1705" s="54" t="s">
        <v>137</v>
      </c>
      <c r="G1705" s="124">
        <v>815</v>
      </c>
      <c r="H1705" t="s">
        <v>388</v>
      </c>
      <c r="I1705" s="34">
        <v>5</v>
      </c>
    </row>
    <row r="1706" spans="1:9" x14ac:dyDescent="0.3">
      <c r="A1706">
        <v>8</v>
      </c>
      <c r="B1706" t="s">
        <v>239</v>
      </c>
      <c r="C1706" t="s">
        <v>191</v>
      </c>
      <c r="D1706" t="s">
        <v>195</v>
      </c>
      <c r="E1706" t="s">
        <v>181</v>
      </c>
      <c r="F1706" s="57" t="s">
        <v>137</v>
      </c>
      <c r="G1706" s="124">
        <v>730</v>
      </c>
      <c r="H1706" t="s">
        <v>389</v>
      </c>
      <c r="I1706" s="34">
        <v>8</v>
      </c>
    </row>
    <row r="1707" spans="1:9" x14ac:dyDescent="0.3">
      <c r="A1707" s="53">
        <v>11</v>
      </c>
      <c r="B1707" t="s">
        <v>239</v>
      </c>
      <c r="C1707" s="53" t="s">
        <v>191</v>
      </c>
      <c r="D1707" s="53" t="s">
        <v>195</v>
      </c>
      <c r="E1707" s="53" t="s">
        <v>181</v>
      </c>
      <c r="F1707" s="57" t="s">
        <v>137</v>
      </c>
      <c r="G1707" s="124">
        <v>700</v>
      </c>
      <c r="H1707" t="s">
        <v>389</v>
      </c>
      <c r="I1707" s="34">
        <v>11</v>
      </c>
    </row>
    <row r="1708" spans="1:9" x14ac:dyDescent="0.3">
      <c r="A1708">
        <v>4</v>
      </c>
      <c r="B1708" t="s">
        <v>239</v>
      </c>
      <c r="C1708" t="s">
        <v>191</v>
      </c>
      <c r="D1708" t="s">
        <v>188</v>
      </c>
      <c r="E1708" s="1" t="s">
        <v>181</v>
      </c>
      <c r="F1708" s="32" t="s">
        <v>137</v>
      </c>
      <c r="G1708" s="124">
        <v>605</v>
      </c>
      <c r="H1708" t="s">
        <v>388</v>
      </c>
      <c r="I1708" s="34">
        <v>4</v>
      </c>
    </row>
    <row r="1709" spans="1:9" x14ac:dyDescent="0.3">
      <c r="A1709">
        <v>7</v>
      </c>
      <c r="B1709" t="s">
        <v>239</v>
      </c>
      <c r="C1709" t="s">
        <v>191</v>
      </c>
      <c r="D1709" t="s">
        <v>195</v>
      </c>
      <c r="E1709" t="s">
        <v>181</v>
      </c>
      <c r="F1709" s="57" t="s">
        <v>137</v>
      </c>
      <c r="G1709" s="124">
        <v>600</v>
      </c>
      <c r="H1709" t="s">
        <v>389</v>
      </c>
      <c r="I1709" s="34">
        <v>7</v>
      </c>
    </row>
    <row r="1710" spans="1:9" x14ac:dyDescent="0.3">
      <c r="A1710">
        <v>9</v>
      </c>
      <c r="B1710" t="s">
        <v>239</v>
      </c>
      <c r="C1710" t="s">
        <v>191</v>
      </c>
      <c r="D1710" t="s">
        <v>195</v>
      </c>
      <c r="E1710" t="s">
        <v>181</v>
      </c>
      <c r="F1710" s="57" t="s">
        <v>137</v>
      </c>
      <c r="G1710" s="124">
        <v>600</v>
      </c>
      <c r="H1710" t="s">
        <v>389</v>
      </c>
      <c r="I1710" s="34">
        <v>9</v>
      </c>
    </row>
    <row r="1711" spans="1:9" x14ac:dyDescent="0.3">
      <c r="A1711">
        <v>5</v>
      </c>
      <c r="B1711" t="s">
        <v>239</v>
      </c>
      <c r="C1711" t="s">
        <v>191</v>
      </c>
      <c r="D1711" t="s">
        <v>195</v>
      </c>
      <c r="E1711" s="1" t="s">
        <v>181</v>
      </c>
      <c r="F1711" s="54" t="s">
        <v>137</v>
      </c>
      <c r="G1711" s="124">
        <v>470</v>
      </c>
      <c r="H1711" t="s">
        <v>389</v>
      </c>
      <c r="I1711" s="34">
        <v>5</v>
      </c>
    </row>
    <row r="1712" spans="1:9" x14ac:dyDescent="0.3">
      <c r="A1712">
        <v>3</v>
      </c>
      <c r="B1712" t="s">
        <v>239</v>
      </c>
      <c r="C1712" t="s">
        <v>191</v>
      </c>
      <c r="D1712" t="s">
        <v>195</v>
      </c>
      <c r="E1712" s="1" t="s">
        <v>181</v>
      </c>
      <c r="F1712" s="31" t="s">
        <v>137</v>
      </c>
      <c r="G1712" s="124">
        <v>450</v>
      </c>
      <c r="H1712" t="s">
        <v>389</v>
      </c>
      <c r="I1712" s="34">
        <v>3</v>
      </c>
    </row>
    <row r="1713" spans="1:9" x14ac:dyDescent="0.3">
      <c r="A1713">
        <v>4</v>
      </c>
      <c r="B1713" t="s">
        <v>239</v>
      </c>
      <c r="C1713" t="s">
        <v>191</v>
      </c>
      <c r="D1713" t="s">
        <v>195</v>
      </c>
      <c r="E1713" s="1" t="s">
        <v>181</v>
      </c>
      <c r="F1713" s="32" t="s">
        <v>137</v>
      </c>
      <c r="G1713" s="124">
        <v>450</v>
      </c>
      <c r="H1713" t="s">
        <v>389</v>
      </c>
      <c r="I1713" s="34">
        <v>4</v>
      </c>
    </row>
    <row r="1714" spans="1:9" x14ac:dyDescent="0.3">
      <c r="A1714">
        <v>6</v>
      </c>
      <c r="B1714" t="s">
        <v>239</v>
      </c>
      <c r="C1714" t="s">
        <v>191</v>
      </c>
      <c r="D1714" t="s">
        <v>195</v>
      </c>
      <c r="E1714" t="s">
        <v>181</v>
      </c>
      <c r="F1714" s="57" t="s">
        <v>137</v>
      </c>
      <c r="G1714" s="124">
        <v>400</v>
      </c>
      <c r="H1714" t="s">
        <v>389</v>
      </c>
      <c r="I1714" s="34">
        <v>6</v>
      </c>
    </row>
    <row r="1715" spans="1:9" x14ac:dyDescent="0.3">
      <c r="A1715" s="53">
        <v>11</v>
      </c>
      <c r="B1715" t="s">
        <v>239</v>
      </c>
      <c r="C1715" s="53" t="s">
        <v>193</v>
      </c>
      <c r="D1715" s="53" t="s">
        <v>188</v>
      </c>
      <c r="E1715" s="53" t="s">
        <v>181</v>
      </c>
      <c r="F1715" s="57" t="s">
        <v>137</v>
      </c>
      <c r="G1715" s="124">
        <v>285.05</v>
      </c>
      <c r="H1715" t="s">
        <v>390</v>
      </c>
      <c r="I1715" s="34">
        <v>11</v>
      </c>
    </row>
    <row r="1716" spans="1:9" x14ac:dyDescent="0.3">
      <c r="A1716">
        <v>1</v>
      </c>
      <c r="B1716" t="s">
        <v>239</v>
      </c>
      <c r="C1716" t="s">
        <v>193</v>
      </c>
      <c r="D1716" t="s">
        <v>188</v>
      </c>
      <c r="E1716" s="1" t="s">
        <v>181</v>
      </c>
      <c r="F1716" s="31" t="s">
        <v>137</v>
      </c>
      <c r="G1716" s="124">
        <v>282.065</v>
      </c>
      <c r="H1716" t="s">
        <v>390</v>
      </c>
      <c r="I1716" s="34">
        <v>1</v>
      </c>
    </row>
    <row r="1717" spans="1:9" x14ac:dyDescent="0.3">
      <c r="A1717">
        <v>2</v>
      </c>
      <c r="B1717" t="s">
        <v>239</v>
      </c>
      <c r="C1717" t="s">
        <v>193</v>
      </c>
      <c r="D1717" t="s">
        <v>188</v>
      </c>
      <c r="E1717" s="1" t="s">
        <v>181</v>
      </c>
      <c r="F1717" s="31" t="s">
        <v>137</v>
      </c>
      <c r="G1717" s="124">
        <v>275.65199999999999</v>
      </c>
      <c r="H1717" t="s">
        <v>390</v>
      </c>
      <c r="I1717" s="34">
        <v>2</v>
      </c>
    </row>
    <row r="1718" spans="1:9" x14ac:dyDescent="0.3">
      <c r="A1718">
        <v>10</v>
      </c>
      <c r="B1718" t="s">
        <v>239</v>
      </c>
      <c r="C1718" t="s">
        <v>193</v>
      </c>
      <c r="D1718" t="s">
        <v>188</v>
      </c>
      <c r="E1718" t="s">
        <v>181</v>
      </c>
      <c r="F1718" s="57" t="s">
        <v>137</v>
      </c>
      <c r="G1718" s="124">
        <v>257.26</v>
      </c>
      <c r="H1718" s="53" t="s">
        <v>390</v>
      </c>
      <c r="I1718" s="77">
        <v>10</v>
      </c>
    </row>
    <row r="1719" spans="1:9" x14ac:dyDescent="0.3">
      <c r="A1719">
        <v>12</v>
      </c>
      <c r="B1719" t="s">
        <v>239</v>
      </c>
      <c r="C1719" t="s">
        <v>193</v>
      </c>
      <c r="D1719" t="s">
        <v>188</v>
      </c>
      <c r="E1719" t="s">
        <v>181</v>
      </c>
      <c r="F1719" s="57" t="s">
        <v>137</v>
      </c>
      <c r="G1719" s="124">
        <v>256.32499999999999</v>
      </c>
      <c r="H1719" t="s">
        <v>390</v>
      </c>
      <c r="I1719" s="34">
        <v>12</v>
      </c>
    </row>
    <row r="1720" spans="1:9" x14ac:dyDescent="0.3">
      <c r="A1720">
        <v>8</v>
      </c>
      <c r="B1720" t="s">
        <v>239</v>
      </c>
      <c r="C1720" t="s">
        <v>193</v>
      </c>
      <c r="D1720" t="s">
        <v>188</v>
      </c>
      <c r="E1720" t="s">
        <v>181</v>
      </c>
      <c r="F1720" s="57" t="s">
        <v>137</v>
      </c>
      <c r="G1720" s="124">
        <v>237.32499999999999</v>
      </c>
      <c r="H1720" s="53" t="s">
        <v>390</v>
      </c>
      <c r="I1720" s="77">
        <v>8</v>
      </c>
    </row>
    <row r="1721" spans="1:9" x14ac:dyDescent="0.3">
      <c r="A1721">
        <v>8</v>
      </c>
      <c r="B1721" t="s">
        <v>239</v>
      </c>
      <c r="C1721" t="s">
        <v>192</v>
      </c>
      <c r="D1721" t="s">
        <v>238</v>
      </c>
      <c r="E1721" t="s">
        <v>181</v>
      </c>
      <c r="F1721" s="57" t="s">
        <v>137</v>
      </c>
      <c r="G1721" s="124">
        <v>237</v>
      </c>
      <c r="H1721" t="s">
        <v>391</v>
      </c>
      <c r="I1721" s="34">
        <v>8</v>
      </c>
    </row>
    <row r="1722" spans="1:9" x14ac:dyDescent="0.3">
      <c r="A1722">
        <v>7</v>
      </c>
      <c r="B1722" t="s">
        <v>239</v>
      </c>
      <c r="C1722" t="s">
        <v>192</v>
      </c>
      <c r="D1722" t="s">
        <v>238</v>
      </c>
      <c r="E1722" t="s">
        <v>181</v>
      </c>
      <c r="F1722" s="57" t="s">
        <v>137</v>
      </c>
      <c r="G1722" s="124">
        <v>222</v>
      </c>
      <c r="H1722" t="s">
        <v>391</v>
      </c>
      <c r="I1722" s="34">
        <v>7</v>
      </c>
    </row>
    <row r="1723" spans="1:9" x14ac:dyDescent="0.3">
      <c r="A1723">
        <v>6</v>
      </c>
      <c r="B1723" t="s">
        <v>239</v>
      </c>
      <c r="C1723" t="s">
        <v>192</v>
      </c>
      <c r="D1723" t="s">
        <v>238</v>
      </c>
      <c r="E1723" t="s">
        <v>181</v>
      </c>
      <c r="F1723" s="57" t="s">
        <v>137</v>
      </c>
      <c r="G1723" s="124">
        <v>221</v>
      </c>
      <c r="H1723" s="53" t="s">
        <v>391</v>
      </c>
      <c r="I1723" s="77">
        <v>6</v>
      </c>
    </row>
    <row r="1724" spans="1:9" x14ac:dyDescent="0.3">
      <c r="A1724">
        <v>7</v>
      </c>
      <c r="B1724" t="s">
        <v>239</v>
      </c>
      <c r="C1724" t="s">
        <v>193</v>
      </c>
      <c r="D1724" t="s">
        <v>188</v>
      </c>
      <c r="E1724" t="s">
        <v>181</v>
      </c>
      <c r="F1724" s="57" t="s">
        <v>137</v>
      </c>
      <c r="G1724" s="124">
        <v>209.755</v>
      </c>
      <c r="H1724" t="s">
        <v>390</v>
      </c>
      <c r="I1724" s="34">
        <v>7</v>
      </c>
    </row>
    <row r="1725" spans="1:9" x14ac:dyDescent="0.3">
      <c r="A1725">
        <v>8</v>
      </c>
      <c r="B1725" t="s">
        <v>239</v>
      </c>
      <c r="C1725" t="s">
        <v>192</v>
      </c>
      <c r="D1725" t="s">
        <v>188</v>
      </c>
      <c r="E1725" t="s">
        <v>181</v>
      </c>
      <c r="F1725" s="57" t="s">
        <v>137</v>
      </c>
      <c r="G1725" s="124">
        <v>201.97872340425531</v>
      </c>
      <c r="H1725" s="53" t="s">
        <v>392</v>
      </c>
      <c r="I1725" s="77">
        <v>8</v>
      </c>
    </row>
    <row r="1726" spans="1:9" x14ac:dyDescent="0.3">
      <c r="A1726">
        <v>1</v>
      </c>
      <c r="B1726" t="s">
        <v>239</v>
      </c>
      <c r="C1726" t="s">
        <v>193</v>
      </c>
      <c r="D1726" t="s">
        <v>195</v>
      </c>
      <c r="E1726" s="1" t="s">
        <v>181</v>
      </c>
      <c r="F1726" s="31" t="s">
        <v>137</v>
      </c>
      <c r="G1726" s="124">
        <v>200.1</v>
      </c>
      <c r="H1726" s="53" t="s">
        <v>393</v>
      </c>
      <c r="I1726" s="77">
        <v>1</v>
      </c>
    </row>
    <row r="1727" spans="1:9" x14ac:dyDescent="0.3">
      <c r="A1727">
        <v>8</v>
      </c>
      <c r="B1727" t="s">
        <v>239</v>
      </c>
      <c r="C1727" t="s">
        <v>192</v>
      </c>
      <c r="D1727" t="s">
        <v>195</v>
      </c>
      <c r="E1727" t="s">
        <v>181</v>
      </c>
      <c r="F1727" s="57" t="s">
        <v>137</v>
      </c>
      <c r="G1727" s="124">
        <v>198</v>
      </c>
      <c r="H1727" t="s">
        <v>394</v>
      </c>
      <c r="I1727" s="34">
        <v>8</v>
      </c>
    </row>
    <row r="1728" spans="1:9" x14ac:dyDescent="0.3">
      <c r="A1728">
        <v>10</v>
      </c>
      <c r="B1728" t="s">
        <v>239</v>
      </c>
      <c r="C1728" t="s">
        <v>192</v>
      </c>
      <c r="D1728" t="s">
        <v>188</v>
      </c>
      <c r="E1728" t="s">
        <v>181</v>
      </c>
      <c r="F1728" s="57" t="s">
        <v>137</v>
      </c>
      <c r="G1728" s="124">
        <v>194.89393939393941</v>
      </c>
      <c r="H1728" t="s">
        <v>392</v>
      </c>
      <c r="I1728" s="34">
        <v>10</v>
      </c>
    </row>
    <row r="1729" spans="1:9" x14ac:dyDescent="0.3">
      <c r="A1729">
        <v>7</v>
      </c>
      <c r="B1729" t="s">
        <v>239</v>
      </c>
      <c r="C1729" t="s">
        <v>192</v>
      </c>
      <c r="D1729" t="s">
        <v>195</v>
      </c>
      <c r="E1729" t="s">
        <v>181</v>
      </c>
      <c r="F1729" s="57" t="s">
        <v>137</v>
      </c>
      <c r="G1729" s="124">
        <v>186</v>
      </c>
      <c r="H1729" t="s">
        <v>394</v>
      </c>
      <c r="I1729" s="34">
        <v>7</v>
      </c>
    </row>
    <row r="1730" spans="1:9" x14ac:dyDescent="0.3">
      <c r="A1730">
        <v>10</v>
      </c>
      <c r="B1730" t="s">
        <v>239</v>
      </c>
      <c r="C1730" t="s">
        <v>192</v>
      </c>
      <c r="D1730" t="s">
        <v>195</v>
      </c>
      <c r="E1730" t="s">
        <v>181</v>
      </c>
      <c r="F1730" s="57" t="s">
        <v>137</v>
      </c>
      <c r="G1730" s="124">
        <v>181</v>
      </c>
      <c r="H1730" t="s">
        <v>394</v>
      </c>
      <c r="I1730" s="34">
        <v>10</v>
      </c>
    </row>
    <row r="1731" spans="1:9" x14ac:dyDescent="0.3">
      <c r="A1731">
        <v>7</v>
      </c>
      <c r="B1731" t="s">
        <v>239</v>
      </c>
      <c r="C1731" t="s">
        <v>192</v>
      </c>
      <c r="D1731" t="s">
        <v>188</v>
      </c>
      <c r="E1731" t="s">
        <v>181</v>
      </c>
      <c r="F1731" s="57" t="s">
        <v>137</v>
      </c>
      <c r="G1731" s="124">
        <v>180.04721030042919</v>
      </c>
      <c r="H1731" s="53" t="s">
        <v>392</v>
      </c>
      <c r="I1731" s="77">
        <v>7</v>
      </c>
    </row>
    <row r="1732" spans="1:9" x14ac:dyDescent="0.3">
      <c r="A1732">
        <v>1</v>
      </c>
      <c r="B1732" t="s">
        <v>239</v>
      </c>
      <c r="C1732" t="s">
        <v>192</v>
      </c>
      <c r="D1732" t="s">
        <v>188</v>
      </c>
      <c r="E1732" s="1" t="s">
        <v>181</v>
      </c>
      <c r="F1732" s="32" t="s">
        <v>137</v>
      </c>
      <c r="G1732" s="124">
        <v>175.74143302180684</v>
      </c>
      <c r="H1732" t="s">
        <v>392</v>
      </c>
      <c r="I1732" s="34">
        <v>1</v>
      </c>
    </row>
    <row r="1733" spans="1:9" x14ac:dyDescent="0.3">
      <c r="A1733">
        <v>1</v>
      </c>
      <c r="B1733" t="s">
        <v>239</v>
      </c>
      <c r="C1733" t="s">
        <v>192</v>
      </c>
      <c r="D1733" t="s">
        <v>195</v>
      </c>
      <c r="E1733" s="1" t="s">
        <v>181</v>
      </c>
      <c r="F1733" s="32" t="s">
        <v>137</v>
      </c>
      <c r="G1733" s="124">
        <v>174</v>
      </c>
      <c r="H1733" t="s">
        <v>394</v>
      </c>
      <c r="I1733" s="34">
        <v>1</v>
      </c>
    </row>
    <row r="1734" spans="1:9" x14ac:dyDescent="0.3">
      <c r="A1734">
        <v>2</v>
      </c>
      <c r="B1734" t="s">
        <v>239</v>
      </c>
      <c r="C1734" t="s">
        <v>192</v>
      </c>
      <c r="D1734" t="s">
        <v>188</v>
      </c>
      <c r="E1734" s="1" t="s">
        <v>181</v>
      </c>
      <c r="F1734" s="32" t="s">
        <v>137</v>
      </c>
      <c r="G1734" s="124">
        <v>173.36603773584906</v>
      </c>
      <c r="H1734" t="s">
        <v>392</v>
      </c>
      <c r="I1734" s="34">
        <v>2</v>
      </c>
    </row>
    <row r="1735" spans="1:9" x14ac:dyDescent="0.3">
      <c r="A1735" s="53">
        <v>11</v>
      </c>
      <c r="B1735" t="s">
        <v>239</v>
      </c>
      <c r="C1735" s="53" t="s">
        <v>192</v>
      </c>
      <c r="D1735" s="53" t="s">
        <v>188</v>
      </c>
      <c r="E1735" s="53" t="s">
        <v>181</v>
      </c>
      <c r="F1735" s="57" t="s">
        <v>137</v>
      </c>
      <c r="G1735" s="124">
        <v>173.28267477203647</v>
      </c>
      <c r="H1735" s="53" t="s">
        <v>392</v>
      </c>
      <c r="I1735" s="77">
        <v>11</v>
      </c>
    </row>
    <row r="1736" spans="1:9" x14ac:dyDescent="0.3">
      <c r="A1736">
        <v>2</v>
      </c>
      <c r="B1736" t="s">
        <v>239</v>
      </c>
      <c r="C1736" t="s">
        <v>192</v>
      </c>
      <c r="D1736" t="s">
        <v>195</v>
      </c>
      <c r="E1736" s="1" t="s">
        <v>181</v>
      </c>
      <c r="F1736" s="32" t="s">
        <v>137</v>
      </c>
      <c r="G1736" s="124">
        <v>170</v>
      </c>
      <c r="H1736" t="s">
        <v>394</v>
      </c>
      <c r="I1736" s="34">
        <v>2</v>
      </c>
    </row>
    <row r="1737" spans="1:9" x14ac:dyDescent="0.3">
      <c r="A1737">
        <v>2</v>
      </c>
      <c r="B1737" t="s">
        <v>239</v>
      </c>
      <c r="C1737" t="s">
        <v>193</v>
      </c>
      <c r="D1737" t="s">
        <v>195</v>
      </c>
      <c r="E1737" s="1" t="s">
        <v>181</v>
      </c>
      <c r="F1737" s="31" t="s">
        <v>137</v>
      </c>
      <c r="G1737" s="124">
        <v>170</v>
      </c>
      <c r="H1737" t="s">
        <v>393</v>
      </c>
      <c r="I1737" s="34">
        <v>2</v>
      </c>
    </row>
    <row r="1738" spans="1:9" x14ac:dyDescent="0.3">
      <c r="A1738">
        <v>9</v>
      </c>
      <c r="B1738" t="s">
        <v>239</v>
      </c>
      <c r="C1738" t="s">
        <v>192</v>
      </c>
      <c r="D1738" t="s">
        <v>188</v>
      </c>
      <c r="E1738" t="s">
        <v>181</v>
      </c>
      <c r="F1738" s="57" t="s">
        <v>137</v>
      </c>
      <c r="G1738" s="124">
        <v>167.04974619289339</v>
      </c>
      <c r="H1738" t="s">
        <v>392</v>
      </c>
      <c r="I1738" s="34">
        <v>9</v>
      </c>
    </row>
    <row r="1739" spans="1:9" x14ac:dyDescent="0.3">
      <c r="A1739">
        <v>6</v>
      </c>
      <c r="B1739" t="s">
        <v>239</v>
      </c>
      <c r="C1739" t="s">
        <v>193</v>
      </c>
      <c r="D1739" t="s">
        <v>188</v>
      </c>
      <c r="E1739" t="s">
        <v>181</v>
      </c>
      <c r="F1739" s="57" t="s">
        <v>137</v>
      </c>
      <c r="G1739" s="124">
        <v>166.19</v>
      </c>
      <c r="H1739" s="53" t="s">
        <v>390</v>
      </c>
      <c r="I1739" s="77">
        <v>6</v>
      </c>
    </row>
    <row r="1740" spans="1:9" x14ac:dyDescent="0.3">
      <c r="A1740">
        <v>9</v>
      </c>
      <c r="B1740" t="s">
        <v>239</v>
      </c>
      <c r="C1740" t="s">
        <v>193</v>
      </c>
      <c r="D1740" t="s">
        <v>188</v>
      </c>
      <c r="E1740" t="s">
        <v>181</v>
      </c>
      <c r="F1740" s="57" t="s">
        <v>137</v>
      </c>
      <c r="G1740" s="124">
        <v>164.54400000000001</v>
      </c>
      <c r="H1740" t="s">
        <v>390</v>
      </c>
      <c r="I1740" s="34">
        <v>9</v>
      </c>
    </row>
    <row r="1741" spans="1:9" x14ac:dyDescent="0.3">
      <c r="A1741">
        <v>3</v>
      </c>
      <c r="B1741" t="s">
        <v>239</v>
      </c>
      <c r="C1741" t="s">
        <v>192</v>
      </c>
      <c r="D1741" t="s">
        <v>188</v>
      </c>
      <c r="E1741" s="1" t="s">
        <v>181</v>
      </c>
      <c r="F1741" s="54" t="s">
        <v>137</v>
      </c>
      <c r="G1741" s="124">
        <v>163.04651162790697</v>
      </c>
      <c r="H1741" t="s">
        <v>392</v>
      </c>
      <c r="I1741" s="34">
        <v>3</v>
      </c>
    </row>
    <row r="1742" spans="1:9" x14ac:dyDescent="0.3">
      <c r="A1742">
        <v>10</v>
      </c>
      <c r="B1742" t="s">
        <v>239</v>
      </c>
      <c r="C1742" t="s">
        <v>193</v>
      </c>
      <c r="D1742" t="s">
        <v>195</v>
      </c>
      <c r="E1742" t="s">
        <v>181</v>
      </c>
      <c r="F1742" s="57" t="s">
        <v>137</v>
      </c>
      <c r="G1742" s="124">
        <v>162.9</v>
      </c>
      <c r="H1742" t="s">
        <v>393</v>
      </c>
      <c r="I1742" s="34">
        <v>10</v>
      </c>
    </row>
    <row r="1743" spans="1:9" x14ac:dyDescent="0.3">
      <c r="A1743">
        <v>12</v>
      </c>
      <c r="B1743" t="s">
        <v>239</v>
      </c>
      <c r="C1743" t="s">
        <v>192</v>
      </c>
      <c r="D1743" t="s">
        <v>188</v>
      </c>
      <c r="E1743" t="s">
        <v>181</v>
      </c>
      <c r="F1743" s="57" t="s">
        <v>137</v>
      </c>
      <c r="G1743" s="124">
        <v>157.73846153846154</v>
      </c>
      <c r="H1743" s="53" t="s">
        <v>392</v>
      </c>
      <c r="I1743" s="77">
        <v>12</v>
      </c>
    </row>
    <row r="1744" spans="1:9" x14ac:dyDescent="0.3">
      <c r="A1744">
        <v>5</v>
      </c>
      <c r="B1744" t="s">
        <v>239</v>
      </c>
      <c r="C1744" t="s">
        <v>192</v>
      </c>
      <c r="D1744" t="s">
        <v>188</v>
      </c>
      <c r="E1744" t="s">
        <v>181</v>
      </c>
      <c r="F1744" s="57" t="s">
        <v>137</v>
      </c>
      <c r="G1744" s="124">
        <v>157.68711656441718</v>
      </c>
      <c r="H1744" t="s">
        <v>392</v>
      </c>
      <c r="I1744" s="34">
        <v>5</v>
      </c>
    </row>
    <row r="1745" spans="1:9" x14ac:dyDescent="0.3">
      <c r="A1745">
        <v>6</v>
      </c>
      <c r="B1745" t="s">
        <v>239</v>
      </c>
      <c r="C1745" t="s">
        <v>192</v>
      </c>
      <c r="D1745" t="s">
        <v>188</v>
      </c>
      <c r="E1745" t="s">
        <v>181</v>
      </c>
      <c r="F1745" s="57" t="s">
        <v>137</v>
      </c>
      <c r="G1745" s="124">
        <v>155.3177570093458</v>
      </c>
      <c r="H1745" t="s">
        <v>392</v>
      </c>
      <c r="I1745" s="34">
        <v>6</v>
      </c>
    </row>
    <row r="1746" spans="1:9" x14ac:dyDescent="0.3">
      <c r="A1746">
        <v>9</v>
      </c>
      <c r="B1746" t="s">
        <v>239</v>
      </c>
      <c r="C1746" t="s">
        <v>192</v>
      </c>
      <c r="D1746" t="s">
        <v>195</v>
      </c>
      <c r="E1746" t="s">
        <v>181</v>
      </c>
      <c r="F1746" s="57" t="s">
        <v>137</v>
      </c>
      <c r="G1746" s="124">
        <v>154.4</v>
      </c>
      <c r="H1746" t="s">
        <v>394</v>
      </c>
      <c r="I1746" s="34">
        <v>9</v>
      </c>
    </row>
    <row r="1747" spans="1:9" x14ac:dyDescent="0.3">
      <c r="A1747">
        <v>3</v>
      </c>
      <c r="B1747" t="s">
        <v>239</v>
      </c>
      <c r="C1747" t="s">
        <v>192</v>
      </c>
      <c r="D1747" t="s">
        <v>195</v>
      </c>
      <c r="E1747" s="1" t="s">
        <v>181</v>
      </c>
      <c r="F1747" s="54" t="s">
        <v>137</v>
      </c>
      <c r="G1747" s="124">
        <v>153</v>
      </c>
      <c r="H1747" t="s">
        <v>394</v>
      </c>
      <c r="I1747" s="34">
        <v>3</v>
      </c>
    </row>
    <row r="1748" spans="1:9" x14ac:dyDescent="0.3">
      <c r="A1748">
        <v>6</v>
      </c>
      <c r="B1748" t="s">
        <v>239</v>
      </c>
      <c r="C1748" t="s">
        <v>192</v>
      </c>
      <c r="D1748" t="s">
        <v>195</v>
      </c>
      <c r="E1748" t="s">
        <v>181</v>
      </c>
      <c r="F1748" s="57" t="s">
        <v>137</v>
      </c>
      <c r="G1748" s="124">
        <v>150</v>
      </c>
      <c r="H1748" t="s">
        <v>394</v>
      </c>
      <c r="I1748" s="34">
        <v>6</v>
      </c>
    </row>
    <row r="1749" spans="1:9" x14ac:dyDescent="0.3">
      <c r="A1749">
        <v>10</v>
      </c>
      <c r="B1749" t="s">
        <v>239</v>
      </c>
      <c r="C1749" t="s">
        <v>192</v>
      </c>
      <c r="D1749" t="s">
        <v>238</v>
      </c>
      <c r="E1749" t="s">
        <v>181</v>
      </c>
      <c r="F1749" s="57" t="s">
        <v>137</v>
      </c>
      <c r="G1749" s="124">
        <v>149</v>
      </c>
      <c r="H1749" s="53" t="s">
        <v>391</v>
      </c>
      <c r="I1749" s="77">
        <v>10</v>
      </c>
    </row>
    <row r="1750" spans="1:9" x14ac:dyDescent="0.3">
      <c r="A1750">
        <v>5</v>
      </c>
      <c r="B1750" t="s">
        <v>239</v>
      </c>
      <c r="C1750" t="s">
        <v>192</v>
      </c>
      <c r="D1750" t="s">
        <v>195</v>
      </c>
      <c r="E1750" t="s">
        <v>181</v>
      </c>
      <c r="F1750" s="57" t="s">
        <v>137</v>
      </c>
      <c r="G1750" s="124">
        <v>148.6</v>
      </c>
      <c r="H1750" t="s">
        <v>394</v>
      </c>
      <c r="I1750" s="34">
        <v>5</v>
      </c>
    </row>
    <row r="1751" spans="1:9" x14ac:dyDescent="0.3">
      <c r="A1751">
        <v>4</v>
      </c>
      <c r="B1751" t="s">
        <v>239</v>
      </c>
      <c r="C1751" t="s">
        <v>192</v>
      </c>
      <c r="D1751" t="s">
        <v>188</v>
      </c>
      <c r="E1751" s="1" t="s">
        <v>181</v>
      </c>
      <c r="F1751" s="32" t="s">
        <v>137</v>
      </c>
      <c r="G1751" s="124">
        <v>148.47107438016528</v>
      </c>
      <c r="H1751" t="s">
        <v>392</v>
      </c>
      <c r="I1751" s="34">
        <v>4</v>
      </c>
    </row>
    <row r="1752" spans="1:9" x14ac:dyDescent="0.3">
      <c r="A1752">
        <v>8</v>
      </c>
      <c r="B1752" t="s">
        <v>239</v>
      </c>
      <c r="C1752" t="s">
        <v>193</v>
      </c>
      <c r="D1752" t="s">
        <v>195</v>
      </c>
      <c r="E1752" t="s">
        <v>181</v>
      </c>
      <c r="F1752" s="57" t="s">
        <v>137</v>
      </c>
      <c r="G1752" s="124">
        <v>144.54</v>
      </c>
      <c r="H1752" t="s">
        <v>393</v>
      </c>
      <c r="I1752" s="34">
        <v>8</v>
      </c>
    </row>
    <row r="1753" spans="1:9" x14ac:dyDescent="0.3">
      <c r="A1753">
        <v>12</v>
      </c>
      <c r="B1753" t="s">
        <v>239</v>
      </c>
      <c r="C1753" t="s">
        <v>192</v>
      </c>
      <c r="D1753" t="s">
        <v>195</v>
      </c>
      <c r="E1753" t="s">
        <v>181</v>
      </c>
      <c r="F1753" s="57" t="s">
        <v>137</v>
      </c>
      <c r="G1753" s="124">
        <v>144</v>
      </c>
      <c r="H1753" t="s">
        <v>394</v>
      </c>
      <c r="I1753" s="34">
        <v>12</v>
      </c>
    </row>
    <row r="1754" spans="1:9" x14ac:dyDescent="0.3">
      <c r="A1754" s="53">
        <v>11</v>
      </c>
      <c r="B1754" t="s">
        <v>239</v>
      </c>
      <c r="C1754" s="53" t="s">
        <v>192</v>
      </c>
      <c r="D1754" s="53" t="s">
        <v>195</v>
      </c>
      <c r="E1754" s="53" t="s">
        <v>181</v>
      </c>
      <c r="F1754" s="57" t="s">
        <v>137</v>
      </c>
      <c r="G1754" s="124">
        <v>142</v>
      </c>
      <c r="H1754" t="s">
        <v>394</v>
      </c>
      <c r="I1754" s="34">
        <v>11</v>
      </c>
    </row>
    <row r="1755" spans="1:9" x14ac:dyDescent="0.3">
      <c r="A1755">
        <v>3</v>
      </c>
      <c r="B1755" t="s">
        <v>239</v>
      </c>
      <c r="C1755" t="s">
        <v>193</v>
      </c>
      <c r="D1755" t="s">
        <v>188</v>
      </c>
      <c r="E1755" s="1" t="s">
        <v>181</v>
      </c>
      <c r="F1755" s="54" t="s">
        <v>137</v>
      </c>
      <c r="G1755" s="124">
        <v>140.22</v>
      </c>
      <c r="H1755" t="s">
        <v>390</v>
      </c>
      <c r="I1755" s="34">
        <v>3</v>
      </c>
    </row>
    <row r="1756" spans="1:9" x14ac:dyDescent="0.3">
      <c r="A1756">
        <v>4</v>
      </c>
      <c r="B1756" t="s">
        <v>239</v>
      </c>
      <c r="C1756" t="s">
        <v>192</v>
      </c>
      <c r="D1756" t="s">
        <v>195</v>
      </c>
      <c r="E1756" s="1" t="s">
        <v>181</v>
      </c>
      <c r="F1756" s="32" t="s">
        <v>137</v>
      </c>
      <c r="G1756" s="124">
        <v>138</v>
      </c>
      <c r="H1756" t="s">
        <v>394</v>
      </c>
      <c r="I1756" s="34">
        <v>4</v>
      </c>
    </row>
    <row r="1757" spans="1:9" x14ac:dyDescent="0.3">
      <c r="A1757">
        <v>5</v>
      </c>
      <c r="B1757" t="s">
        <v>239</v>
      </c>
      <c r="C1757" t="s">
        <v>192</v>
      </c>
      <c r="D1757" t="s">
        <v>238</v>
      </c>
      <c r="E1757" t="s">
        <v>181</v>
      </c>
      <c r="F1757" s="57" t="s">
        <v>137</v>
      </c>
      <c r="G1757" s="124">
        <v>130</v>
      </c>
      <c r="H1757" s="53" t="s">
        <v>391</v>
      </c>
      <c r="I1757" s="77">
        <v>5</v>
      </c>
    </row>
    <row r="1758" spans="1:9" x14ac:dyDescent="0.3">
      <c r="A1758">
        <v>12</v>
      </c>
      <c r="B1758" t="s">
        <v>239</v>
      </c>
      <c r="C1758" t="s">
        <v>193</v>
      </c>
      <c r="D1758" t="s">
        <v>195</v>
      </c>
      <c r="E1758" t="s">
        <v>181</v>
      </c>
      <c r="F1758" s="57" t="s">
        <v>137</v>
      </c>
      <c r="G1758" s="124">
        <v>129.6</v>
      </c>
      <c r="H1758" t="s">
        <v>393</v>
      </c>
      <c r="I1758" s="34">
        <v>12</v>
      </c>
    </row>
    <row r="1759" spans="1:9" x14ac:dyDescent="0.3">
      <c r="A1759">
        <v>5</v>
      </c>
      <c r="B1759" t="s">
        <v>239</v>
      </c>
      <c r="C1759" t="s">
        <v>193</v>
      </c>
      <c r="D1759" t="s">
        <v>188</v>
      </c>
      <c r="E1759" t="s">
        <v>181</v>
      </c>
      <c r="F1759" s="57" t="s">
        <v>137</v>
      </c>
      <c r="G1759" s="124">
        <v>128.51499999999999</v>
      </c>
      <c r="H1759" t="s">
        <v>390</v>
      </c>
      <c r="I1759" s="34">
        <v>5</v>
      </c>
    </row>
    <row r="1760" spans="1:9" x14ac:dyDescent="0.3">
      <c r="A1760">
        <v>7</v>
      </c>
      <c r="B1760" t="s">
        <v>239</v>
      </c>
      <c r="C1760" t="s">
        <v>193</v>
      </c>
      <c r="D1760" t="s">
        <v>195</v>
      </c>
      <c r="E1760" t="s">
        <v>181</v>
      </c>
      <c r="F1760" s="57" t="s">
        <v>137</v>
      </c>
      <c r="G1760" s="124">
        <v>111.6</v>
      </c>
      <c r="H1760" t="s">
        <v>393</v>
      </c>
      <c r="I1760" s="34">
        <v>7</v>
      </c>
    </row>
    <row r="1761" spans="1:9" x14ac:dyDescent="0.3">
      <c r="A1761" s="53">
        <v>11</v>
      </c>
      <c r="B1761" t="s">
        <v>239</v>
      </c>
      <c r="C1761" s="53" t="s">
        <v>193</v>
      </c>
      <c r="D1761" s="53" t="s">
        <v>195</v>
      </c>
      <c r="E1761" s="53" t="s">
        <v>181</v>
      </c>
      <c r="F1761" s="57" t="s">
        <v>137</v>
      </c>
      <c r="G1761" s="124">
        <v>99.4</v>
      </c>
      <c r="H1761" t="s">
        <v>393</v>
      </c>
      <c r="I1761" s="34">
        <v>11</v>
      </c>
    </row>
    <row r="1762" spans="1:9" x14ac:dyDescent="0.3">
      <c r="A1762">
        <v>9</v>
      </c>
      <c r="B1762" t="s">
        <v>239</v>
      </c>
      <c r="C1762" t="s">
        <v>193</v>
      </c>
      <c r="D1762" t="s">
        <v>195</v>
      </c>
      <c r="E1762" t="s">
        <v>181</v>
      </c>
      <c r="F1762" s="57" t="s">
        <v>137</v>
      </c>
      <c r="G1762" s="124">
        <v>92.64</v>
      </c>
      <c r="H1762" t="s">
        <v>393</v>
      </c>
      <c r="I1762" s="34">
        <v>9</v>
      </c>
    </row>
    <row r="1763" spans="1:9" x14ac:dyDescent="0.3">
      <c r="A1763">
        <v>4</v>
      </c>
      <c r="B1763" t="s">
        <v>239</v>
      </c>
      <c r="C1763" t="s">
        <v>193</v>
      </c>
      <c r="D1763" t="s">
        <v>188</v>
      </c>
      <c r="E1763" s="1" t="s">
        <v>181</v>
      </c>
      <c r="F1763" s="54" t="s">
        <v>137</v>
      </c>
      <c r="G1763" s="124">
        <v>89.825000000000003</v>
      </c>
      <c r="H1763" t="s">
        <v>390</v>
      </c>
      <c r="I1763" s="34">
        <v>4</v>
      </c>
    </row>
    <row r="1764" spans="1:9" x14ac:dyDescent="0.3">
      <c r="A1764">
        <v>5</v>
      </c>
      <c r="B1764" t="s">
        <v>239</v>
      </c>
      <c r="C1764" t="s">
        <v>193</v>
      </c>
      <c r="D1764" t="s">
        <v>195</v>
      </c>
      <c r="E1764" t="s">
        <v>181</v>
      </c>
      <c r="F1764" s="57" t="s">
        <v>137</v>
      </c>
      <c r="G1764" s="124">
        <v>69.841999999999999</v>
      </c>
      <c r="H1764" t="s">
        <v>393</v>
      </c>
      <c r="I1764" s="34">
        <v>5</v>
      </c>
    </row>
    <row r="1765" spans="1:9" x14ac:dyDescent="0.3">
      <c r="A1765">
        <v>3</v>
      </c>
      <c r="B1765" t="s">
        <v>239</v>
      </c>
      <c r="C1765" t="s">
        <v>193</v>
      </c>
      <c r="D1765" t="s">
        <v>195</v>
      </c>
      <c r="E1765" s="1" t="s">
        <v>181</v>
      </c>
      <c r="F1765" s="54" t="s">
        <v>137</v>
      </c>
      <c r="G1765" s="124">
        <v>68.849999999999994</v>
      </c>
      <c r="H1765" t="s">
        <v>393</v>
      </c>
      <c r="I1765" s="34">
        <v>3</v>
      </c>
    </row>
    <row r="1766" spans="1:9" x14ac:dyDescent="0.3">
      <c r="A1766">
        <v>4</v>
      </c>
      <c r="B1766" t="s">
        <v>239</v>
      </c>
      <c r="C1766" t="s">
        <v>193</v>
      </c>
      <c r="D1766" t="s">
        <v>195</v>
      </c>
      <c r="E1766" s="1" t="s">
        <v>181</v>
      </c>
      <c r="F1766" s="54" t="s">
        <v>137</v>
      </c>
      <c r="G1766" s="124">
        <v>62.1</v>
      </c>
      <c r="H1766" t="s">
        <v>393</v>
      </c>
      <c r="I1766" s="34">
        <v>4</v>
      </c>
    </row>
    <row r="1767" spans="1:9" x14ac:dyDescent="0.3">
      <c r="A1767">
        <v>6</v>
      </c>
      <c r="B1767" t="s">
        <v>239</v>
      </c>
      <c r="C1767" t="s">
        <v>193</v>
      </c>
      <c r="D1767" t="s">
        <v>195</v>
      </c>
      <c r="E1767" t="s">
        <v>181</v>
      </c>
      <c r="F1767" s="57" t="s">
        <v>137</v>
      </c>
      <c r="G1767" s="124">
        <v>60</v>
      </c>
      <c r="H1767" t="s">
        <v>393</v>
      </c>
      <c r="I1767" s="34">
        <v>6</v>
      </c>
    </row>
    <row r="1768" spans="1:9" x14ac:dyDescent="0.3">
      <c r="A1768">
        <v>10</v>
      </c>
      <c r="B1768" t="s">
        <v>239</v>
      </c>
      <c r="C1768" t="s">
        <v>191</v>
      </c>
      <c r="D1768" t="s">
        <v>238</v>
      </c>
      <c r="E1768" t="s">
        <v>181</v>
      </c>
      <c r="F1768" s="57" t="s">
        <v>137</v>
      </c>
      <c r="G1768" s="124">
        <v>45</v>
      </c>
      <c r="H1768" t="s">
        <v>395</v>
      </c>
      <c r="I1768" s="34">
        <v>10</v>
      </c>
    </row>
    <row r="1769" spans="1:9" x14ac:dyDescent="0.3">
      <c r="A1769">
        <v>7</v>
      </c>
      <c r="B1769" t="s">
        <v>239</v>
      </c>
      <c r="C1769" t="s">
        <v>191</v>
      </c>
      <c r="D1769" t="s">
        <v>238</v>
      </c>
      <c r="E1769" t="s">
        <v>181</v>
      </c>
      <c r="F1769" s="57" t="s">
        <v>137</v>
      </c>
      <c r="G1769" s="124">
        <v>20</v>
      </c>
      <c r="H1769" t="s">
        <v>395</v>
      </c>
      <c r="I1769" s="34">
        <v>7</v>
      </c>
    </row>
    <row r="1770" spans="1:9" x14ac:dyDescent="0.3">
      <c r="A1770">
        <v>8</v>
      </c>
      <c r="B1770" t="s">
        <v>239</v>
      </c>
      <c r="C1770" t="s">
        <v>191</v>
      </c>
      <c r="D1770" t="s">
        <v>238</v>
      </c>
      <c r="E1770" t="s">
        <v>181</v>
      </c>
      <c r="F1770" s="57" t="s">
        <v>137</v>
      </c>
      <c r="G1770" s="124">
        <v>20</v>
      </c>
      <c r="H1770" t="s">
        <v>395</v>
      </c>
      <c r="I1770" s="34">
        <v>8</v>
      </c>
    </row>
    <row r="1771" spans="1:9" x14ac:dyDescent="0.3">
      <c r="A1771">
        <v>6</v>
      </c>
      <c r="B1771" t="s">
        <v>239</v>
      </c>
      <c r="C1771" t="s">
        <v>191</v>
      </c>
      <c r="D1771" t="s">
        <v>238</v>
      </c>
      <c r="E1771" t="s">
        <v>181</v>
      </c>
      <c r="F1771" s="57" t="s">
        <v>137</v>
      </c>
      <c r="G1771" s="124">
        <v>15</v>
      </c>
      <c r="H1771" t="s">
        <v>395</v>
      </c>
      <c r="I1771" s="34">
        <v>6</v>
      </c>
    </row>
    <row r="1772" spans="1:9" x14ac:dyDescent="0.3">
      <c r="A1772">
        <v>5</v>
      </c>
      <c r="B1772" t="s">
        <v>239</v>
      </c>
      <c r="C1772" t="s">
        <v>191</v>
      </c>
      <c r="D1772" t="s">
        <v>238</v>
      </c>
      <c r="E1772" s="1" t="s">
        <v>181</v>
      </c>
      <c r="F1772" s="54" t="s">
        <v>137</v>
      </c>
      <c r="G1772" s="124">
        <v>10</v>
      </c>
      <c r="H1772" s="53" t="s">
        <v>395</v>
      </c>
      <c r="I1772" s="77">
        <v>5</v>
      </c>
    </row>
    <row r="1773" spans="1:9" x14ac:dyDescent="0.3">
      <c r="A1773">
        <v>10</v>
      </c>
      <c r="B1773" t="s">
        <v>239</v>
      </c>
      <c r="C1773" t="s">
        <v>193</v>
      </c>
      <c r="D1773" t="s">
        <v>238</v>
      </c>
      <c r="E1773" t="s">
        <v>181</v>
      </c>
      <c r="F1773" s="57" t="s">
        <v>137</v>
      </c>
      <c r="G1773" s="124">
        <v>6.7050000000000001</v>
      </c>
      <c r="H1773" s="53" t="s">
        <v>396</v>
      </c>
      <c r="I1773" s="77">
        <v>10</v>
      </c>
    </row>
    <row r="1774" spans="1:9" x14ac:dyDescent="0.3">
      <c r="A1774">
        <v>8</v>
      </c>
      <c r="B1774" t="s">
        <v>239</v>
      </c>
      <c r="C1774" t="s">
        <v>193</v>
      </c>
      <c r="D1774" t="s">
        <v>238</v>
      </c>
      <c r="E1774" t="s">
        <v>181</v>
      </c>
      <c r="F1774" s="57" t="s">
        <v>137</v>
      </c>
      <c r="G1774" s="124">
        <v>4.74</v>
      </c>
      <c r="H1774" s="53" t="s">
        <v>396</v>
      </c>
      <c r="I1774" s="77">
        <v>8</v>
      </c>
    </row>
    <row r="1775" spans="1:9" x14ac:dyDescent="0.3">
      <c r="A1775">
        <v>7</v>
      </c>
      <c r="B1775" t="s">
        <v>239</v>
      </c>
      <c r="C1775" t="s">
        <v>193</v>
      </c>
      <c r="D1775" t="s">
        <v>238</v>
      </c>
      <c r="E1775" t="s">
        <v>181</v>
      </c>
      <c r="F1775" s="57" t="s">
        <v>137</v>
      </c>
      <c r="G1775" s="124">
        <v>4.4400000000000004</v>
      </c>
      <c r="H1775" t="s">
        <v>396</v>
      </c>
      <c r="I1775" s="34">
        <v>7</v>
      </c>
    </row>
    <row r="1776" spans="1:9" x14ac:dyDescent="0.3">
      <c r="A1776">
        <v>6</v>
      </c>
      <c r="B1776" t="s">
        <v>239</v>
      </c>
      <c r="C1776" t="s">
        <v>193</v>
      </c>
      <c r="D1776" t="s">
        <v>238</v>
      </c>
      <c r="E1776" t="s">
        <v>181</v>
      </c>
      <c r="F1776" s="57" t="s">
        <v>137</v>
      </c>
      <c r="G1776" s="124">
        <v>3.3149999999999999</v>
      </c>
      <c r="H1776" t="s">
        <v>396</v>
      </c>
      <c r="I1776" s="34">
        <v>6</v>
      </c>
    </row>
    <row r="1777" spans="1:9" x14ac:dyDescent="0.3">
      <c r="A1777">
        <v>5</v>
      </c>
      <c r="B1777" t="s">
        <v>239</v>
      </c>
      <c r="C1777" t="s">
        <v>193</v>
      </c>
      <c r="D1777" t="s">
        <v>238</v>
      </c>
      <c r="E1777" t="s">
        <v>181</v>
      </c>
      <c r="F1777" s="57" t="s">
        <v>137</v>
      </c>
      <c r="G1777" s="124">
        <v>1.3</v>
      </c>
      <c r="H1777" t="s">
        <v>396</v>
      </c>
      <c r="I1777" s="34">
        <v>5</v>
      </c>
    </row>
    <row r="1778" spans="1:9" x14ac:dyDescent="0.3">
      <c r="A1778">
        <v>1</v>
      </c>
      <c r="B1778" t="s">
        <v>239</v>
      </c>
      <c r="C1778" t="s">
        <v>191</v>
      </c>
      <c r="D1778" t="s">
        <v>188</v>
      </c>
      <c r="E1778" s="1" t="s">
        <v>143</v>
      </c>
      <c r="F1778" s="54" t="s">
        <v>143</v>
      </c>
      <c r="G1778" s="124">
        <v>3450</v>
      </c>
      <c r="H1778" t="s">
        <v>397</v>
      </c>
      <c r="I1778" s="34">
        <v>1</v>
      </c>
    </row>
    <row r="1779" spans="1:9" x14ac:dyDescent="0.3">
      <c r="A1779">
        <v>2</v>
      </c>
      <c r="B1779" t="s">
        <v>239</v>
      </c>
      <c r="C1779" t="s">
        <v>191</v>
      </c>
      <c r="D1779" t="s">
        <v>188</v>
      </c>
      <c r="E1779" s="1" t="s">
        <v>143</v>
      </c>
      <c r="F1779" s="32" t="s">
        <v>143</v>
      </c>
      <c r="G1779" s="124">
        <v>3450</v>
      </c>
      <c r="H1779" t="s">
        <v>397</v>
      </c>
      <c r="I1779" s="34">
        <v>2</v>
      </c>
    </row>
    <row r="1780" spans="1:9" x14ac:dyDescent="0.3">
      <c r="A1780">
        <v>8</v>
      </c>
      <c r="B1780" t="s">
        <v>239</v>
      </c>
      <c r="C1780" t="s">
        <v>191</v>
      </c>
      <c r="D1780" t="s">
        <v>188</v>
      </c>
      <c r="E1780" t="s">
        <v>143</v>
      </c>
      <c r="F1780" s="57" t="s">
        <v>143</v>
      </c>
      <c r="G1780" s="124">
        <v>3450</v>
      </c>
      <c r="H1780" t="s">
        <v>397</v>
      </c>
      <c r="I1780" s="34">
        <v>8</v>
      </c>
    </row>
    <row r="1781" spans="1:9" x14ac:dyDescent="0.3">
      <c r="A1781">
        <v>7</v>
      </c>
      <c r="B1781" t="s">
        <v>239</v>
      </c>
      <c r="C1781" t="s">
        <v>191</v>
      </c>
      <c r="D1781" t="s">
        <v>188</v>
      </c>
      <c r="E1781" t="s">
        <v>143</v>
      </c>
      <c r="F1781" s="57" t="s">
        <v>143</v>
      </c>
      <c r="G1781" s="124">
        <v>2750</v>
      </c>
      <c r="H1781" t="s">
        <v>397</v>
      </c>
      <c r="I1781" s="34">
        <v>7</v>
      </c>
    </row>
    <row r="1782" spans="1:9" x14ac:dyDescent="0.3">
      <c r="A1782">
        <v>10</v>
      </c>
      <c r="B1782" t="s">
        <v>239</v>
      </c>
      <c r="C1782" t="s">
        <v>191</v>
      </c>
      <c r="D1782" t="s">
        <v>188</v>
      </c>
      <c r="E1782" t="s">
        <v>143</v>
      </c>
      <c r="F1782" s="57" t="s">
        <v>143</v>
      </c>
      <c r="G1782" s="124">
        <v>2250</v>
      </c>
      <c r="H1782" s="53" t="s">
        <v>397</v>
      </c>
      <c r="I1782" s="77">
        <v>10</v>
      </c>
    </row>
    <row r="1783" spans="1:9" x14ac:dyDescent="0.3">
      <c r="A1783">
        <v>12</v>
      </c>
      <c r="B1783" t="s">
        <v>239</v>
      </c>
      <c r="C1783" t="s">
        <v>191</v>
      </c>
      <c r="D1783" t="s">
        <v>188</v>
      </c>
      <c r="E1783" t="s">
        <v>143</v>
      </c>
      <c r="F1783" s="57" t="s">
        <v>143</v>
      </c>
      <c r="G1783" s="124">
        <v>2050</v>
      </c>
      <c r="H1783" s="53" t="s">
        <v>397</v>
      </c>
      <c r="I1783" s="77">
        <v>12</v>
      </c>
    </row>
    <row r="1784" spans="1:9" x14ac:dyDescent="0.3">
      <c r="A1784">
        <v>6</v>
      </c>
      <c r="B1784" t="s">
        <v>239</v>
      </c>
      <c r="C1784" t="s">
        <v>191</v>
      </c>
      <c r="D1784" t="s">
        <v>188</v>
      </c>
      <c r="E1784" t="s">
        <v>143</v>
      </c>
      <c r="F1784" s="57" t="s">
        <v>143</v>
      </c>
      <c r="G1784" s="124">
        <v>1950</v>
      </c>
      <c r="H1784" t="s">
        <v>397</v>
      </c>
      <c r="I1784" s="34">
        <v>6</v>
      </c>
    </row>
    <row r="1785" spans="1:9" x14ac:dyDescent="0.3">
      <c r="A1785">
        <v>5</v>
      </c>
      <c r="B1785" t="s">
        <v>239</v>
      </c>
      <c r="C1785" t="s">
        <v>191</v>
      </c>
      <c r="D1785" t="s">
        <v>188</v>
      </c>
      <c r="E1785" s="1" t="s">
        <v>143</v>
      </c>
      <c r="F1785" s="31" t="s">
        <v>143</v>
      </c>
      <c r="G1785" s="124">
        <v>1700</v>
      </c>
      <c r="H1785" t="s">
        <v>397</v>
      </c>
      <c r="I1785" s="34">
        <v>5</v>
      </c>
    </row>
    <row r="1786" spans="1:9" x14ac:dyDescent="0.3">
      <c r="A1786">
        <v>1</v>
      </c>
      <c r="B1786" t="s">
        <v>239</v>
      </c>
      <c r="C1786" t="s">
        <v>191</v>
      </c>
      <c r="D1786" t="s">
        <v>195</v>
      </c>
      <c r="E1786" s="1" t="s">
        <v>143</v>
      </c>
      <c r="F1786" s="54" t="s">
        <v>143</v>
      </c>
      <c r="G1786" s="124">
        <v>1700</v>
      </c>
      <c r="H1786" t="s">
        <v>398</v>
      </c>
      <c r="I1786" s="34">
        <v>1</v>
      </c>
    </row>
    <row r="1787" spans="1:9" x14ac:dyDescent="0.3">
      <c r="A1787">
        <v>4</v>
      </c>
      <c r="B1787" t="s">
        <v>239</v>
      </c>
      <c r="C1787" t="s">
        <v>191</v>
      </c>
      <c r="D1787" t="s">
        <v>188</v>
      </c>
      <c r="E1787" s="1" t="s">
        <v>143</v>
      </c>
      <c r="F1787" s="31" t="s">
        <v>143</v>
      </c>
      <c r="G1787" s="124">
        <v>1650</v>
      </c>
      <c r="H1787" t="s">
        <v>397</v>
      </c>
      <c r="I1787" s="34">
        <v>4</v>
      </c>
    </row>
    <row r="1788" spans="1:9" x14ac:dyDescent="0.3">
      <c r="A1788">
        <v>9</v>
      </c>
      <c r="B1788" t="s">
        <v>239</v>
      </c>
      <c r="C1788" t="s">
        <v>191</v>
      </c>
      <c r="D1788" t="s">
        <v>188</v>
      </c>
      <c r="E1788" t="s">
        <v>143</v>
      </c>
      <c r="F1788" s="57" t="s">
        <v>143</v>
      </c>
      <c r="G1788" s="124">
        <v>1650</v>
      </c>
      <c r="H1788" s="53" t="s">
        <v>397</v>
      </c>
      <c r="I1788" s="77">
        <v>9</v>
      </c>
    </row>
    <row r="1789" spans="1:9" x14ac:dyDescent="0.3">
      <c r="A1789">
        <v>8</v>
      </c>
      <c r="B1789" t="s">
        <v>239</v>
      </c>
      <c r="C1789" t="s">
        <v>191</v>
      </c>
      <c r="D1789" t="s">
        <v>195</v>
      </c>
      <c r="E1789" t="s">
        <v>143</v>
      </c>
      <c r="F1789" s="57" t="s">
        <v>143</v>
      </c>
      <c r="G1789" s="124">
        <v>1500</v>
      </c>
      <c r="H1789" t="s">
        <v>398</v>
      </c>
      <c r="I1789" s="34">
        <v>8</v>
      </c>
    </row>
    <row r="1790" spans="1:9" x14ac:dyDescent="0.3">
      <c r="A1790" s="53">
        <v>11</v>
      </c>
      <c r="B1790" t="s">
        <v>239</v>
      </c>
      <c r="C1790" s="53" t="s">
        <v>191</v>
      </c>
      <c r="D1790" s="53" t="s">
        <v>188</v>
      </c>
      <c r="E1790" s="53" t="s">
        <v>143</v>
      </c>
      <c r="F1790" s="57" t="s">
        <v>143</v>
      </c>
      <c r="G1790" s="124">
        <v>1400</v>
      </c>
      <c r="H1790" t="s">
        <v>397</v>
      </c>
      <c r="I1790" s="34">
        <v>11</v>
      </c>
    </row>
    <row r="1791" spans="1:9" x14ac:dyDescent="0.3">
      <c r="A1791">
        <v>7</v>
      </c>
      <c r="B1791" t="s">
        <v>239</v>
      </c>
      <c r="C1791" t="s">
        <v>191</v>
      </c>
      <c r="D1791" t="s">
        <v>195</v>
      </c>
      <c r="E1791" t="s">
        <v>143</v>
      </c>
      <c r="F1791" s="57" t="s">
        <v>143</v>
      </c>
      <c r="G1791" s="124">
        <v>1400</v>
      </c>
      <c r="H1791" t="s">
        <v>398</v>
      </c>
      <c r="I1791" s="34">
        <v>7</v>
      </c>
    </row>
    <row r="1792" spans="1:9" x14ac:dyDescent="0.3">
      <c r="A1792">
        <v>3</v>
      </c>
      <c r="B1792" t="s">
        <v>239</v>
      </c>
      <c r="C1792" t="s">
        <v>191</v>
      </c>
      <c r="D1792" t="s">
        <v>188</v>
      </c>
      <c r="E1792" s="1" t="s">
        <v>143</v>
      </c>
      <c r="F1792" s="32" t="s">
        <v>143</v>
      </c>
      <c r="G1792" s="124">
        <v>1350</v>
      </c>
      <c r="H1792" t="s">
        <v>397</v>
      </c>
      <c r="I1792" s="34">
        <v>3</v>
      </c>
    </row>
    <row r="1793" spans="1:9" x14ac:dyDescent="0.3">
      <c r="A1793">
        <v>2</v>
      </c>
      <c r="B1793" t="s">
        <v>239</v>
      </c>
      <c r="C1793" t="s">
        <v>191</v>
      </c>
      <c r="D1793" t="s">
        <v>195</v>
      </c>
      <c r="E1793" s="1" t="s">
        <v>143</v>
      </c>
      <c r="F1793" s="32" t="s">
        <v>143</v>
      </c>
      <c r="G1793" s="124">
        <v>1300</v>
      </c>
      <c r="H1793" t="s">
        <v>398</v>
      </c>
      <c r="I1793" s="34">
        <v>2</v>
      </c>
    </row>
    <row r="1794" spans="1:9" x14ac:dyDescent="0.3">
      <c r="A1794">
        <v>12</v>
      </c>
      <c r="B1794" t="s">
        <v>239</v>
      </c>
      <c r="C1794" t="s">
        <v>191</v>
      </c>
      <c r="D1794" t="s">
        <v>195</v>
      </c>
      <c r="E1794" t="s">
        <v>143</v>
      </c>
      <c r="F1794" s="57" t="s">
        <v>143</v>
      </c>
      <c r="G1794" s="124">
        <v>1150</v>
      </c>
      <c r="H1794" t="s">
        <v>398</v>
      </c>
      <c r="I1794" s="34">
        <v>12</v>
      </c>
    </row>
    <row r="1795" spans="1:9" x14ac:dyDescent="0.3">
      <c r="A1795">
        <v>10</v>
      </c>
      <c r="B1795" t="s">
        <v>239</v>
      </c>
      <c r="C1795" t="s">
        <v>191</v>
      </c>
      <c r="D1795" t="s">
        <v>195</v>
      </c>
      <c r="E1795" t="s">
        <v>143</v>
      </c>
      <c r="F1795" s="57" t="s">
        <v>143</v>
      </c>
      <c r="G1795" s="124">
        <v>1100</v>
      </c>
      <c r="H1795" t="s">
        <v>398</v>
      </c>
      <c r="I1795" s="34">
        <v>10</v>
      </c>
    </row>
    <row r="1796" spans="1:9" x14ac:dyDescent="0.3">
      <c r="A1796">
        <v>9</v>
      </c>
      <c r="B1796" t="s">
        <v>239</v>
      </c>
      <c r="C1796" t="s">
        <v>191</v>
      </c>
      <c r="D1796" t="s">
        <v>195</v>
      </c>
      <c r="E1796" t="s">
        <v>143</v>
      </c>
      <c r="F1796" s="57" t="s">
        <v>143</v>
      </c>
      <c r="G1796" s="124">
        <v>950</v>
      </c>
      <c r="H1796" t="s">
        <v>398</v>
      </c>
      <c r="I1796" s="34">
        <v>9</v>
      </c>
    </row>
    <row r="1797" spans="1:9" x14ac:dyDescent="0.3">
      <c r="A1797">
        <v>6</v>
      </c>
      <c r="B1797" t="s">
        <v>239</v>
      </c>
      <c r="C1797" t="s">
        <v>191</v>
      </c>
      <c r="D1797" t="s">
        <v>195</v>
      </c>
      <c r="E1797" t="s">
        <v>143</v>
      </c>
      <c r="F1797" s="57" t="s">
        <v>143</v>
      </c>
      <c r="G1797" s="124">
        <v>900</v>
      </c>
      <c r="H1797" t="s">
        <v>398</v>
      </c>
      <c r="I1797" s="34">
        <v>6</v>
      </c>
    </row>
    <row r="1798" spans="1:9" x14ac:dyDescent="0.3">
      <c r="A1798" s="53">
        <v>11</v>
      </c>
      <c r="B1798" t="s">
        <v>239</v>
      </c>
      <c r="C1798" s="53" t="s">
        <v>191</v>
      </c>
      <c r="D1798" s="53" t="s">
        <v>195</v>
      </c>
      <c r="E1798" s="53" t="s">
        <v>143</v>
      </c>
      <c r="F1798" s="57" t="s">
        <v>143</v>
      </c>
      <c r="G1798" s="124">
        <v>750</v>
      </c>
      <c r="H1798" t="s">
        <v>398</v>
      </c>
      <c r="I1798" s="34">
        <v>11</v>
      </c>
    </row>
    <row r="1799" spans="1:9" x14ac:dyDescent="0.3">
      <c r="A1799">
        <v>8</v>
      </c>
      <c r="B1799" t="s">
        <v>239</v>
      </c>
      <c r="C1799" t="s">
        <v>193</v>
      </c>
      <c r="D1799" t="s">
        <v>188</v>
      </c>
      <c r="E1799" t="s">
        <v>143</v>
      </c>
      <c r="F1799" s="57" t="s">
        <v>143</v>
      </c>
      <c r="G1799" s="124">
        <v>719.25</v>
      </c>
      <c r="H1799" t="s">
        <v>399</v>
      </c>
      <c r="I1799" s="34">
        <v>8</v>
      </c>
    </row>
    <row r="1800" spans="1:9" x14ac:dyDescent="0.3">
      <c r="A1800">
        <v>5</v>
      </c>
      <c r="B1800" t="s">
        <v>239</v>
      </c>
      <c r="C1800" t="s">
        <v>191</v>
      </c>
      <c r="D1800" t="s">
        <v>195</v>
      </c>
      <c r="E1800" s="1" t="s">
        <v>143</v>
      </c>
      <c r="F1800" s="31" t="s">
        <v>143</v>
      </c>
      <c r="G1800" s="124">
        <v>600</v>
      </c>
      <c r="H1800" t="s">
        <v>398</v>
      </c>
      <c r="I1800" s="34">
        <v>5</v>
      </c>
    </row>
    <row r="1801" spans="1:9" x14ac:dyDescent="0.3">
      <c r="A1801">
        <v>3</v>
      </c>
      <c r="B1801" t="s">
        <v>239</v>
      </c>
      <c r="C1801" t="s">
        <v>191</v>
      </c>
      <c r="D1801" t="s">
        <v>195</v>
      </c>
      <c r="E1801" s="1" t="s">
        <v>143</v>
      </c>
      <c r="F1801" s="32" t="s">
        <v>143</v>
      </c>
      <c r="G1801" s="124">
        <v>550</v>
      </c>
      <c r="H1801" t="s">
        <v>398</v>
      </c>
      <c r="I1801" s="34">
        <v>3</v>
      </c>
    </row>
    <row r="1802" spans="1:9" x14ac:dyDescent="0.3">
      <c r="A1802">
        <v>7</v>
      </c>
      <c r="B1802" t="s">
        <v>239</v>
      </c>
      <c r="C1802" t="s">
        <v>193</v>
      </c>
      <c r="D1802" t="s">
        <v>188</v>
      </c>
      <c r="E1802" t="s">
        <v>143</v>
      </c>
      <c r="F1802" s="57" t="s">
        <v>143</v>
      </c>
      <c r="G1802" s="124">
        <v>548.5</v>
      </c>
      <c r="H1802" t="s">
        <v>399</v>
      </c>
      <c r="I1802" s="34">
        <v>7</v>
      </c>
    </row>
    <row r="1803" spans="1:9" x14ac:dyDescent="0.3">
      <c r="A1803">
        <v>2</v>
      </c>
      <c r="B1803" t="s">
        <v>239</v>
      </c>
      <c r="C1803" t="s">
        <v>193</v>
      </c>
      <c r="D1803" t="s">
        <v>188</v>
      </c>
      <c r="E1803" s="1" t="s">
        <v>143</v>
      </c>
      <c r="F1803" s="31" t="s">
        <v>143</v>
      </c>
      <c r="G1803" s="124">
        <v>544.35</v>
      </c>
      <c r="H1803" t="s">
        <v>399</v>
      </c>
      <c r="I1803" s="34">
        <v>2</v>
      </c>
    </row>
    <row r="1804" spans="1:9" x14ac:dyDescent="0.3">
      <c r="A1804">
        <v>1</v>
      </c>
      <c r="B1804" t="s">
        <v>239</v>
      </c>
      <c r="C1804" t="s">
        <v>193</v>
      </c>
      <c r="D1804" t="s">
        <v>188</v>
      </c>
      <c r="E1804" s="1" t="s">
        <v>143</v>
      </c>
      <c r="F1804" s="32" t="s">
        <v>143</v>
      </c>
      <c r="G1804" s="124">
        <v>541.04999999999995</v>
      </c>
      <c r="H1804" t="s">
        <v>399</v>
      </c>
      <c r="I1804" s="34">
        <v>1</v>
      </c>
    </row>
    <row r="1805" spans="1:9" x14ac:dyDescent="0.3">
      <c r="A1805">
        <v>4</v>
      </c>
      <c r="B1805" t="s">
        <v>239</v>
      </c>
      <c r="C1805" t="s">
        <v>191</v>
      </c>
      <c r="D1805" t="s">
        <v>195</v>
      </c>
      <c r="E1805" s="1" t="s">
        <v>143</v>
      </c>
      <c r="F1805" s="31" t="s">
        <v>143</v>
      </c>
      <c r="G1805" s="124">
        <v>450</v>
      </c>
      <c r="H1805" t="s">
        <v>398</v>
      </c>
      <c r="I1805" s="34">
        <v>4</v>
      </c>
    </row>
    <row r="1806" spans="1:9" x14ac:dyDescent="0.3">
      <c r="A1806">
        <v>10</v>
      </c>
      <c r="B1806" t="s">
        <v>239</v>
      </c>
      <c r="C1806" t="s">
        <v>193</v>
      </c>
      <c r="D1806" t="s">
        <v>188</v>
      </c>
      <c r="E1806" t="s">
        <v>143</v>
      </c>
      <c r="F1806" s="57" t="s">
        <v>143</v>
      </c>
      <c r="G1806" s="124">
        <v>404.1</v>
      </c>
      <c r="H1806" t="s">
        <v>399</v>
      </c>
      <c r="I1806" s="34">
        <v>10</v>
      </c>
    </row>
    <row r="1807" spans="1:9" x14ac:dyDescent="0.3">
      <c r="A1807">
        <v>12</v>
      </c>
      <c r="B1807" t="s">
        <v>239</v>
      </c>
      <c r="C1807" t="s">
        <v>193</v>
      </c>
      <c r="D1807" t="s">
        <v>188</v>
      </c>
      <c r="E1807" t="s">
        <v>143</v>
      </c>
      <c r="F1807" s="57" t="s">
        <v>143</v>
      </c>
      <c r="G1807" s="124">
        <v>347.8</v>
      </c>
      <c r="H1807" t="s">
        <v>399</v>
      </c>
      <c r="I1807" s="34">
        <v>12</v>
      </c>
    </row>
    <row r="1808" spans="1:9" x14ac:dyDescent="0.3">
      <c r="A1808">
        <v>6</v>
      </c>
      <c r="B1808" t="s">
        <v>239</v>
      </c>
      <c r="C1808" t="s">
        <v>193</v>
      </c>
      <c r="D1808" t="s">
        <v>188</v>
      </c>
      <c r="E1808" t="s">
        <v>143</v>
      </c>
      <c r="F1808" s="57" t="s">
        <v>143</v>
      </c>
      <c r="G1808" s="124">
        <v>325</v>
      </c>
      <c r="H1808" t="s">
        <v>399</v>
      </c>
      <c r="I1808" s="34">
        <v>6</v>
      </c>
    </row>
    <row r="1809" spans="1:9" x14ac:dyDescent="0.3">
      <c r="A1809">
        <v>5</v>
      </c>
      <c r="B1809" t="s">
        <v>239</v>
      </c>
      <c r="C1809" t="s">
        <v>193</v>
      </c>
      <c r="D1809" t="s">
        <v>188</v>
      </c>
      <c r="E1809" t="s">
        <v>143</v>
      </c>
      <c r="F1809" s="57" t="s">
        <v>143</v>
      </c>
      <c r="G1809" s="124">
        <v>315.45</v>
      </c>
      <c r="H1809" t="s">
        <v>399</v>
      </c>
      <c r="I1809" s="34">
        <v>5</v>
      </c>
    </row>
    <row r="1810" spans="1:9" x14ac:dyDescent="0.3">
      <c r="A1810">
        <v>9</v>
      </c>
      <c r="B1810" t="s">
        <v>239</v>
      </c>
      <c r="C1810" t="s">
        <v>193</v>
      </c>
      <c r="D1810" t="s">
        <v>188</v>
      </c>
      <c r="E1810" t="s">
        <v>143</v>
      </c>
      <c r="F1810" s="57" t="s">
        <v>143</v>
      </c>
      <c r="G1810" s="124">
        <v>309.3</v>
      </c>
      <c r="H1810" s="53" t="s">
        <v>399</v>
      </c>
      <c r="I1810" s="77">
        <v>9</v>
      </c>
    </row>
    <row r="1811" spans="1:9" x14ac:dyDescent="0.3">
      <c r="A1811">
        <v>8</v>
      </c>
      <c r="B1811" t="s">
        <v>239</v>
      </c>
      <c r="C1811" t="s">
        <v>193</v>
      </c>
      <c r="D1811" t="s">
        <v>195</v>
      </c>
      <c r="E1811" t="s">
        <v>143</v>
      </c>
      <c r="F1811" s="57" t="s">
        <v>143</v>
      </c>
      <c r="G1811" s="124">
        <v>306</v>
      </c>
      <c r="H1811" t="s">
        <v>400</v>
      </c>
      <c r="I1811" s="34">
        <v>8</v>
      </c>
    </row>
    <row r="1812" spans="1:9" x14ac:dyDescent="0.3">
      <c r="A1812">
        <v>1</v>
      </c>
      <c r="B1812" t="s">
        <v>239</v>
      </c>
      <c r="C1812" t="s">
        <v>193</v>
      </c>
      <c r="D1812" t="s">
        <v>195</v>
      </c>
      <c r="E1812" s="1" t="s">
        <v>143</v>
      </c>
      <c r="F1812" s="32" t="s">
        <v>143</v>
      </c>
      <c r="G1812" s="124">
        <v>282.755</v>
      </c>
      <c r="H1812" t="s">
        <v>400</v>
      </c>
      <c r="I1812" s="34">
        <v>1</v>
      </c>
    </row>
    <row r="1813" spans="1:9" x14ac:dyDescent="0.3">
      <c r="A1813">
        <v>7</v>
      </c>
      <c r="B1813" t="s">
        <v>239</v>
      </c>
      <c r="C1813" t="s">
        <v>193</v>
      </c>
      <c r="D1813" t="s">
        <v>195</v>
      </c>
      <c r="E1813" t="s">
        <v>143</v>
      </c>
      <c r="F1813" s="57" t="s">
        <v>143</v>
      </c>
      <c r="G1813" s="124">
        <v>277</v>
      </c>
      <c r="H1813" t="s">
        <v>400</v>
      </c>
      <c r="I1813" s="34">
        <v>7</v>
      </c>
    </row>
    <row r="1814" spans="1:9" x14ac:dyDescent="0.3">
      <c r="A1814">
        <v>4</v>
      </c>
      <c r="B1814" t="s">
        <v>239</v>
      </c>
      <c r="C1814" t="s">
        <v>193</v>
      </c>
      <c r="D1814" t="s">
        <v>188</v>
      </c>
      <c r="E1814" s="1" t="s">
        <v>143</v>
      </c>
      <c r="F1814" s="54" t="s">
        <v>143</v>
      </c>
      <c r="G1814" s="124">
        <v>269.05</v>
      </c>
      <c r="H1814" t="s">
        <v>399</v>
      </c>
      <c r="I1814" s="34">
        <v>4</v>
      </c>
    </row>
    <row r="1815" spans="1:9" x14ac:dyDescent="0.3">
      <c r="A1815" s="53">
        <v>11</v>
      </c>
      <c r="B1815" t="s">
        <v>239</v>
      </c>
      <c r="C1815" s="53" t="s">
        <v>193</v>
      </c>
      <c r="D1815" s="53" t="s">
        <v>188</v>
      </c>
      <c r="E1815" s="53" t="s">
        <v>143</v>
      </c>
      <c r="F1815" s="57" t="s">
        <v>143</v>
      </c>
      <c r="G1815" s="124">
        <v>246.65</v>
      </c>
      <c r="H1815" t="s">
        <v>399</v>
      </c>
      <c r="I1815" s="34">
        <v>11</v>
      </c>
    </row>
    <row r="1816" spans="1:9" x14ac:dyDescent="0.3">
      <c r="A1816">
        <v>3</v>
      </c>
      <c r="B1816" t="s">
        <v>239</v>
      </c>
      <c r="C1816" t="s">
        <v>193</v>
      </c>
      <c r="D1816" t="s">
        <v>188</v>
      </c>
      <c r="E1816" s="1" t="s">
        <v>143</v>
      </c>
      <c r="F1816" s="31" t="s">
        <v>143</v>
      </c>
      <c r="G1816" s="124">
        <v>225.45</v>
      </c>
      <c r="H1816" t="s">
        <v>399</v>
      </c>
      <c r="I1816" s="34">
        <v>3</v>
      </c>
    </row>
    <row r="1817" spans="1:9" x14ac:dyDescent="0.3">
      <c r="A1817">
        <v>8</v>
      </c>
      <c r="B1817" t="s">
        <v>239</v>
      </c>
      <c r="C1817" t="s">
        <v>192</v>
      </c>
      <c r="D1817" t="s">
        <v>188</v>
      </c>
      <c r="E1817" t="s">
        <v>143</v>
      </c>
      <c r="F1817" s="57" t="s">
        <v>143</v>
      </c>
      <c r="G1817" s="124">
        <v>208.47826086956522</v>
      </c>
      <c r="H1817" s="53" t="s">
        <v>401</v>
      </c>
      <c r="I1817" s="77">
        <v>8</v>
      </c>
    </row>
    <row r="1818" spans="1:9" x14ac:dyDescent="0.3">
      <c r="A1818">
        <v>2</v>
      </c>
      <c r="B1818" t="s">
        <v>239</v>
      </c>
      <c r="C1818" t="s">
        <v>193</v>
      </c>
      <c r="D1818" t="s">
        <v>195</v>
      </c>
      <c r="E1818" s="1" t="s">
        <v>143</v>
      </c>
      <c r="F1818" s="31" t="s">
        <v>143</v>
      </c>
      <c r="G1818" s="124">
        <v>207.5</v>
      </c>
      <c r="H1818" t="s">
        <v>400</v>
      </c>
      <c r="I1818" s="34">
        <v>2</v>
      </c>
    </row>
    <row r="1819" spans="1:9" x14ac:dyDescent="0.3">
      <c r="A1819">
        <v>8</v>
      </c>
      <c r="B1819" t="s">
        <v>239</v>
      </c>
      <c r="C1819" t="s">
        <v>192</v>
      </c>
      <c r="D1819" t="s">
        <v>195</v>
      </c>
      <c r="E1819" t="s">
        <v>143</v>
      </c>
      <c r="F1819" s="57" t="s">
        <v>143</v>
      </c>
      <c r="G1819" s="124">
        <v>204</v>
      </c>
      <c r="H1819" t="s">
        <v>402</v>
      </c>
      <c r="I1819" s="34">
        <v>8</v>
      </c>
    </row>
    <row r="1820" spans="1:9" x14ac:dyDescent="0.3">
      <c r="A1820">
        <v>7</v>
      </c>
      <c r="B1820" t="s">
        <v>239</v>
      </c>
      <c r="C1820" t="s">
        <v>192</v>
      </c>
      <c r="D1820" t="s">
        <v>188</v>
      </c>
      <c r="E1820" t="s">
        <v>143</v>
      </c>
      <c r="F1820" s="57" t="s">
        <v>143</v>
      </c>
      <c r="G1820" s="124">
        <v>199.45454545454547</v>
      </c>
      <c r="H1820" t="s">
        <v>401</v>
      </c>
      <c r="I1820" s="34">
        <v>7</v>
      </c>
    </row>
    <row r="1821" spans="1:9" x14ac:dyDescent="0.3">
      <c r="A1821">
        <v>7</v>
      </c>
      <c r="B1821" t="s">
        <v>239</v>
      </c>
      <c r="C1821" t="s">
        <v>192</v>
      </c>
      <c r="D1821" t="s">
        <v>195</v>
      </c>
      <c r="E1821" t="s">
        <v>143</v>
      </c>
      <c r="F1821" s="57" t="s">
        <v>143</v>
      </c>
      <c r="G1821" s="124">
        <v>197.85714285714286</v>
      </c>
      <c r="H1821" t="s">
        <v>402</v>
      </c>
      <c r="I1821" s="34">
        <v>7</v>
      </c>
    </row>
    <row r="1822" spans="1:9" x14ac:dyDescent="0.3">
      <c r="A1822">
        <v>10</v>
      </c>
      <c r="B1822" t="s">
        <v>239</v>
      </c>
      <c r="C1822" t="s">
        <v>193</v>
      </c>
      <c r="D1822" t="s">
        <v>195</v>
      </c>
      <c r="E1822" t="s">
        <v>143</v>
      </c>
      <c r="F1822" s="57" t="s">
        <v>143</v>
      </c>
      <c r="G1822" s="124">
        <v>191.1</v>
      </c>
      <c r="H1822" t="s">
        <v>400</v>
      </c>
      <c r="I1822" s="34">
        <v>10</v>
      </c>
    </row>
    <row r="1823" spans="1:9" x14ac:dyDescent="0.3">
      <c r="A1823">
        <v>9</v>
      </c>
      <c r="B1823" t="s">
        <v>239</v>
      </c>
      <c r="C1823" t="s">
        <v>192</v>
      </c>
      <c r="D1823" t="s">
        <v>188</v>
      </c>
      <c r="E1823" t="s">
        <v>143</v>
      </c>
      <c r="F1823" s="57" t="s">
        <v>143</v>
      </c>
      <c r="G1823" s="124">
        <v>187.45454545454547</v>
      </c>
      <c r="H1823" t="s">
        <v>401</v>
      </c>
      <c r="I1823" s="34">
        <v>9</v>
      </c>
    </row>
    <row r="1824" spans="1:9" x14ac:dyDescent="0.3">
      <c r="A1824">
        <v>9</v>
      </c>
      <c r="B1824" t="s">
        <v>239</v>
      </c>
      <c r="C1824" t="s">
        <v>192</v>
      </c>
      <c r="D1824" t="s">
        <v>195</v>
      </c>
      <c r="E1824" t="s">
        <v>143</v>
      </c>
      <c r="F1824" s="57" t="s">
        <v>143</v>
      </c>
      <c r="G1824" s="124">
        <v>187.15789473684211</v>
      </c>
      <c r="H1824" t="s">
        <v>402</v>
      </c>
      <c r="I1824" s="34">
        <v>9</v>
      </c>
    </row>
    <row r="1825" spans="1:9" x14ac:dyDescent="0.3">
      <c r="A1825">
        <v>12</v>
      </c>
      <c r="B1825" t="s">
        <v>239</v>
      </c>
      <c r="C1825" t="s">
        <v>193</v>
      </c>
      <c r="D1825" t="s">
        <v>195</v>
      </c>
      <c r="E1825" t="s">
        <v>143</v>
      </c>
      <c r="F1825" s="57" t="s">
        <v>143</v>
      </c>
      <c r="G1825" s="124">
        <v>185.95</v>
      </c>
      <c r="H1825" t="s">
        <v>400</v>
      </c>
      <c r="I1825" s="34">
        <v>12</v>
      </c>
    </row>
    <row r="1826" spans="1:9" x14ac:dyDescent="0.3">
      <c r="A1826">
        <v>5</v>
      </c>
      <c r="B1826" t="s">
        <v>239</v>
      </c>
      <c r="C1826" t="s">
        <v>192</v>
      </c>
      <c r="D1826" t="s">
        <v>188</v>
      </c>
      <c r="E1826" t="s">
        <v>143</v>
      </c>
      <c r="F1826" s="57" t="s">
        <v>143</v>
      </c>
      <c r="G1826" s="124">
        <v>185.55882352941177</v>
      </c>
      <c r="H1826" t="s">
        <v>401</v>
      </c>
      <c r="I1826" s="34">
        <v>5</v>
      </c>
    </row>
    <row r="1827" spans="1:9" x14ac:dyDescent="0.3">
      <c r="A1827">
        <v>5</v>
      </c>
      <c r="B1827" t="s">
        <v>239</v>
      </c>
      <c r="C1827" t="s">
        <v>192</v>
      </c>
      <c r="D1827" t="s">
        <v>195</v>
      </c>
      <c r="E1827" t="s">
        <v>143</v>
      </c>
      <c r="F1827" s="57" t="s">
        <v>143</v>
      </c>
      <c r="G1827" s="124">
        <v>182.5</v>
      </c>
      <c r="H1827" t="s">
        <v>402</v>
      </c>
      <c r="I1827" s="34">
        <v>5</v>
      </c>
    </row>
    <row r="1828" spans="1:9" x14ac:dyDescent="0.3">
      <c r="A1828">
        <v>10</v>
      </c>
      <c r="B1828" t="s">
        <v>239</v>
      </c>
      <c r="C1828" t="s">
        <v>192</v>
      </c>
      <c r="D1828" t="s">
        <v>188</v>
      </c>
      <c r="E1828" t="s">
        <v>143</v>
      </c>
      <c r="F1828" s="57" t="s">
        <v>143</v>
      </c>
      <c r="G1828" s="124">
        <v>179.6</v>
      </c>
      <c r="H1828" t="s">
        <v>401</v>
      </c>
      <c r="I1828" s="34">
        <v>10</v>
      </c>
    </row>
    <row r="1829" spans="1:9" x14ac:dyDescent="0.3">
      <c r="A1829">
        <v>9</v>
      </c>
      <c r="B1829" t="s">
        <v>239</v>
      </c>
      <c r="C1829" t="s">
        <v>193</v>
      </c>
      <c r="D1829" t="s">
        <v>195</v>
      </c>
      <c r="E1829" t="s">
        <v>143</v>
      </c>
      <c r="F1829" s="57" t="s">
        <v>143</v>
      </c>
      <c r="G1829" s="124">
        <v>177.8</v>
      </c>
      <c r="H1829" t="s">
        <v>400</v>
      </c>
      <c r="I1829" s="34">
        <v>9</v>
      </c>
    </row>
    <row r="1830" spans="1:9" x14ac:dyDescent="0.3">
      <c r="A1830" s="53">
        <v>11</v>
      </c>
      <c r="B1830" t="s">
        <v>239</v>
      </c>
      <c r="C1830" s="53" t="s">
        <v>192</v>
      </c>
      <c r="D1830" s="53" t="s">
        <v>188</v>
      </c>
      <c r="E1830" s="53" t="s">
        <v>143</v>
      </c>
      <c r="F1830" s="57" t="s">
        <v>143</v>
      </c>
      <c r="G1830" s="124">
        <v>176.17857142857142</v>
      </c>
      <c r="H1830" s="53" t="s">
        <v>401</v>
      </c>
      <c r="I1830" s="77">
        <v>11</v>
      </c>
    </row>
    <row r="1831" spans="1:9" x14ac:dyDescent="0.3">
      <c r="A1831">
        <v>10</v>
      </c>
      <c r="B1831" t="s">
        <v>239</v>
      </c>
      <c r="C1831" t="s">
        <v>192</v>
      </c>
      <c r="D1831" t="s">
        <v>195</v>
      </c>
      <c r="E1831" t="s">
        <v>143</v>
      </c>
      <c r="F1831" s="57" t="s">
        <v>143</v>
      </c>
      <c r="G1831" s="124">
        <v>173.72727272727272</v>
      </c>
      <c r="H1831" t="s">
        <v>402</v>
      </c>
      <c r="I1831" s="34">
        <v>10</v>
      </c>
    </row>
    <row r="1832" spans="1:9" x14ac:dyDescent="0.3">
      <c r="A1832">
        <v>12</v>
      </c>
      <c r="B1832" t="s">
        <v>239</v>
      </c>
      <c r="C1832" t="s">
        <v>192</v>
      </c>
      <c r="D1832" t="s">
        <v>188</v>
      </c>
      <c r="E1832" t="s">
        <v>143</v>
      </c>
      <c r="F1832" s="57" t="s">
        <v>143</v>
      </c>
      <c r="G1832" s="124">
        <v>169.65853658536585</v>
      </c>
      <c r="H1832" s="53" t="s">
        <v>401</v>
      </c>
      <c r="I1832" s="77">
        <v>12</v>
      </c>
    </row>
    <row r="1833" spans="1:9" x14ac:dyDescent="0.3">
      <c r="A1833" s="53">
        <v>11</v>
      </c>
      <c r="B1833" t="s">
        <v>239</v>
      </c>
      <c r="C1833" s="53" t="s">
        <v>192</v>
      </c>
      <c r="D1833" s="53" t="s">
        <v>195</v>
      </c>
      <c r="E1833" s="53" t="s">
        <v>143</v>
      </c>
      <c r="F1833" s="57" t="s">
        <v>143</v>
      </c>
      <c r="G1833" s="124">
        <v>167.97919999999999</v>
      </c>
      <c r="H1833" t="s">
        <v>402</v>
      </c>
      <c r="I1833" s="34">
        <v>11</v>
      </c>
    </row>
    <row r="1834" spans="1:9" x14ac:dyDescent="0.3">
      <c r="A1834">
        <v>3</v>
      </c>
      <c r="B1834" t="s">
        <v>239</v>
      </c>
      <c r="C1834" t="s">
        <v>192</v>
      </c>
      <c r="D1834" t="s">
        <v>188</v>
      </c>
      <c r="E1834" s="1" t="s">
        <v>143</v>
      </c>
      <c r="F1834" s="54" t="s">
        <v>143</v>
      </c>
      <c r="G1834" s="124">
        <v>167</v>
      </c>
      <c r="H1834" t="s">
        <v>401</v>
      </c>
      <c r="I1834" s="34">
        <v>3</v>
      </c>
    </row>
    <row r="1835" spans="1:9" x14ac:dyDescent="0.3">
      <c r="A1835">
        <v>6</v>
      </c>
      <c r="B1835" t="s">
        <v>239</v>
      </c>
      <c r="C1835" t="s">
        <v>192</v>
      </c>
      <c r="D1835" t="s">
        <v>188</v>
      </c>
      <c r="E1835" t="s">
        <v>143</v>
      </c>
      <c r="F1835" s="57" t="s">
        <v>143</v>
      </c>
      <c r="G1835" s="124">
        <v>166.66666666666666</v>
      </c>
      <c r="H1835" t="s">
        <v>401</v>
      </c>
      <c r="I1835" s="34">
        <v>6</v>
      </c>
    </row>
    <row r="1836" spans="1:9" x14ac:dyDescent="0.3">
      <c r="A1836">
        <v>1</v>
      </c>
      <c r="B1836" t="s">
        <v>239</v>
      </c>
      <c r="C1836" t="s">
        <v>192</v>
      </c>
      <c r="D1836" t="s">
        <v>195</v>
      </c>
      <c r="E1836" s="1" t="s">
        <v>143</v>
      </c>
      <c r="F1836" s="54" t="s">
        <v>143</v>
      </c>
      <c r="G1836" s="124">
        <v>166.32647058823528</v>
      </c>
      <c r="H1836" t="s">
        <v>402</v>
      </c>
      <c r="I1836" s="34">
        <v>1</v>
      </c>
    </row>
    <row r="1837" spans="1:9" x14ac:dyDescent="0.3">
      <c r="A1837">
        <v>3</v>
      </c>
      <c r="B1837" t="s">
        <v>239</v>
      </c>
      <c r="C1837" t="s">
        <v>192</v>
      </c>
      <c r="D1837" t="s">
        <v>195</v>
      </c>
      <c r="E1837" s="1" t="s">
        <v>143</v>
      </c>
      <c r="F1837" s="54" t="s">
        <v>143</v>
      </c>
      <c r="G1837" s="124">
        <v>165.72727272727272</v>
      </c>
      <c r="H1837" t="s">
        <v>402</v>
      </c>
      <c r="I1837" s="34">
        <v>3</v>
      </c>
    </row>
    <row r="1838" spans="1:9" x14ac:dyDescent="0.3">
      <c r="A1838">
        <v>6</v>
      </c>
      <c r="B1838" t="s">
        <v>239</v>
      </c>
      <c r="C1838" t="s">
        <v>192</v>
      </c>
      <c r="D1838" t="s">
        <v>195</v>
      </c>
      <c r="E1838" t="s">
        <v>143</v>
      </c>
      <c r="F1838" s="57" t="s">
        <v>143</v>
      </c>
      <c r="G1838" s="124">
        <v>164.3</v>
      </c>
      <c r="H1838" t="s">
        <v>402</v>
      </c>
      <c r="I1838" s="34">
        <v>6</v>
      </c>
    </row>
    <row r="1839" spans="1:9" x14ac:dyDescent="0.3">
      <c r="A1839">
        <v>4</v>
      </c>
      <c r="B1839" t="s">
        <v>239</v>
      </c>
      <c r="C1839" t="s">
        <v>192</v>
      </c>
      <c r="D1839" t="s">
        <v>188</v>
      </c>
      <c r="E1839" s="1" t="s">
        <v>143</v>
      </c>
      <c r="F1839" s="32" t="s">
        <v>143</v>
      </c>
      <c r="G1839" s="124">
        <v>163.06060606060606</v>
      </c>
      <c r="H1839" t="s">
        <v>401</v>
      </c>
      <c r="I1839" s="34">
        <v>4</v>
      </c>
    </row>
    <row r="1840" spans="1:9" x14ac:dyDescent="0.3">
      <c r="A1840">
        <v>12</v>
      </c>
      <c r="B1840" t="s">
        <v>239</v>
      </c>
      <c r="C1840" t="s">
        <v>192</v>
      </c>
      <c r="D1840" t="s">
        <v>195</v>
      </c>
      <c r="E1840" t="s">
        <v>143</v>
      </c>
      <c r="F1840" s="57" t="s">
        <v>143</v>
      </c>
      <c r="G1840" s="124">
        <v>161.69565217391303</v>
      </c>
      <c r="H1840" t="s">
        <v>402</v>
      </c>
      <c r="I1840" s="34">
        <v>12</v>
      </c>
    </row>
    <row r="1841" spans="1:9" x14ac:dyDescent="0.3">
      <c r="A1841">
        <v>4</v>
      </c>
      <c r="B1841" t="s">
        <v>239</v>
      </c>
      <c r="C1841" t="s">
        <v>192</v>
      </c>
      <c r="D1841" t="s">
        <v>195</v>
      </c>
      <c r="E1841" s="1" t="s">
        <v>143</v>
      </c>
      <c r="F1841" s="32" t="s">
        <v>143</v>
      </c>
      <c r="G1841" s="124">
        <v>160.24444444444444</v>
      </c>
      <c r="H1841" t="s">
        <v>402</v>
      </c>
      <c r="I1841" s="34">
        <v>4</v>
      </c>
    </row>
    <row r="1842" spans="1:9" x14ac:dyDescent="0.3">
      <c r="A1842">
        <v>2</v>
      </c>
      <c r="B1842" t="s">
        <v>239</v>
      </c>
      <c r="C1842" t="s">
        <v>192</v>
      </c>
      <c r="D1842" t="s">
        <v>195</v>
      </c>
      <c r="E1842" s="1" t="s">
        <v>143</v>
      </c>
      <c r="F1842" s="32" t="s">
        <v>143</v>
      </c>
      <c r="G1842" s="124">
        <v>159.61538461538461</v>
      </c>
      <c r="H1842" t="s">
        <v>402</v>
      </c>
      <c r="I1842" s="34">
        <v>2</v>
      </c>
    </row>
    <row r="1843" spans="1:9" x14ac:dyDescent="0.3">
      <c r="A1843">
        <v>2</v>
      </c>
      <c r="B1843" t="s">
        <v>239</v>
      </c>
      <c r="C1843" t="s">
        <v>192</v>
      </c>
      <c r="D1843" t="s">
        <v>188</v>
      </c>
      <c r="E1843" s="1" t="s">
        <v>143</v>
      </c>
      <c r="F1843" s="32" t="s">
        <v>143</v>
      </c>
      <c r="G1843" s="124">
        <v>157.78260869565219</v>
      </c>
      <c r="H1843" t="s">
        <v>401</v>
      </c>
      <c r="I1843" s="34">
        <v>2</v>
      </c>
    </row>
    <row r="1844" spans="1:9" x14ac:dyDescent="0.3">
      <c r="A1844">
        <v>1</v>
      </c>
      <c r="B1844" t="s">
        <v>239</v>
      </c>
      <c r="C1844" t="s">
        <v>192</v>
      </c>
      <c r="D1844" t="s">
        <v>188</v>
      </c>
      <c r="E1844" s="1" t="s">
        <v>143</v>
      </c>
      <c r="F1844" s="54" t="s">
        <v>143</v>
      </c>
      <c r="G1844" s="124">
        <v>156.82608695652175</v>
      </c>
      <c r="H1844" t="s">
        <v>401</v>
      </c>
      <c r="I1844" s="34">
        <v>1</v>
      </c>
    </row>
    <row r="1845" spans="1:9" x14ac:dyDescent="0.3">
      <c r="A1845" s="53">
        <v>11</v>
      </c>
      <c r="B1845" t="s">
        <v>239</v>
      </c>
      <c r="C1845" s="53" t="s">
        <v>191</v>
      </c>
      <c r="D1845" s="53" t="s">
        <v>238</v>
      </c>
      <c r="E1845" s="53" t="s">
        <v>143</v>
      </c>
      <c r="F1845" s="57" t="s">
        <v>143</v>
      </c>
      <c r="G1845" s="124">
        <v>150</v>
      </c>
      <c r="H1845" t="s">
        <v>403</v>
      </c>
      <c r="I1845" s="34">
        <v>11</v>
      </c>
    </row>
    <row r="1846" spans="1:9" x14ac:dyDescent="0.3">
      <c r="A1846">
        <v>6</v>
      </c>
      <c r="B1846" t="s">
        <v>239</v>
      </c>
      <c r="C1846" t="s">
        <v>193</v>
      </c>
      <c r="D1846" t="s">
        <v>195</v>
      </c>
      <c r="E1846" t="s">
        <v>143</v>
      </c>
      <c r="F1846" s="57" t="s">
        <v>143</v>
      </c>
      <c r="G1846" s="124">
        <v>147.87</v>
      </c>
      <c r="H1846" t="s">
        <v>400</v>
      </c>
      <c r="I1846" s="34">
        <v>6</v>
      </c>
    </row>
    <row r="1847" spans="1:9" x14ac:dyDescent="0.3">
      <c r="A1847" s="53">
        <v>11</v>
      </c>
      <c r="B1847" t="s">
        <v>239</v>
      </c>
      <c r="C1847" s="53" t="s">
        <v>193</v>
      </c>
      <c r="D1847" s="53" t="s">
        <v>195</v>
      </c>
      <c r="E1847" s="53" t="s">
        <v>143</v>
      </c>
      <c r="F1847" s="57" t="s">
        <v>143</v>
      </c>
      <c r="G1847" s="124">
        <v>125.98439999999999</v>
      </c>
      <c r="H1847" t="s">
        <v>400</v>
      </c>
      <c r="I1847" s="34">
        <v>11</v>
      </c>
    </row>
    <row r="1848" spans="1:9" x14ac:dyDescent="0.3">
      <c r="A1848">
        <v>5</v>
      </c>
      <c r="B1848" t="s">
        <v>239</v>
      </c>
      <c r="C1848" t="s">
        <v>193</v>
      </c>
      <c r="D1848" t="s">
        <v>195</v>
      </c>
      <c r="E1848" t="s">
        <v>143</v>
      </c>
      <c r="F1848" s="57" t="s">
        <v>143</v>
      </c>
      <c r="G1848" s="124">
        <v>109.5</v>
      </c>
      <c r="H1848" t="s">
        <v>400</v>
      </c>
      <c r="I1848" s="34">
        <v>5</v>
      </c>
    </row>
    <row r="1849" spans="1:9" x14ac:dyDescent="0.3">
      <c r="A1849">
        <v>3</v>
      </c>
      <c r="B1849" t="s">
        <v>239</v>
      </c>
      <c r="C1849" t="s">
        <v>191</v>
      </c>
      <c r="D1849" t="s">
        <v>238</v>
      </c>
      <c r="E1849" s="1" t="s">
        <v>143</v>
      </c>
      <c r="F1849" s="32" t="s">
        <v>143</v>
      </c>
      <c r="G1849" s="124">
        <v>100</v>
      </c>
      <c r="H1849" s="53" t="s">
        <v>403</v>
      </c>
      <c r="I1849" s="77">
        <v>3</v>
      </c>
    </row>
    <row r="1850" spans="1:9" x14ac:dyDescent="0.3">
      <c r="A1850">
        <v>10</v>
      </c>
      <c r="B1850" t="s">
        <v>239</v>
      </c>
      <c r="C1850" t="s">
        <v>191</v>
      </c>
      <c r="D1850" t="s">
        <v>238</v>
      </c>
      <c r="E1850" t="s">
        <v>143</v>
      </c>
      <c r="F1850" s="57" t="s">
        <v>143</v>
      </c>
      <c r="G1850" s="124">
        <v>100</v>
      </c>
      <c r="H1850" t="s">
        <v>403</v>
      </c>
      <c r="I1850" s="34">
        <v>10</v>
      </c>
    </row>
    <row r="1851" spans="1:9" x14ac:dyDescent="0.3">
      <c r="A1851">
        <v>3</v>
      </c>
      <c r="B1851" t="s">
        <v>239</v>
      </c>
      <c r="C1851" t="s">
        <v>193</v>
      </c>
      <c r="D1851" t="s">
        <v>195</v>
      </c>
      <c r="E1851" s="1" t="s">
        <v>143</v>
      </c>
      <c r="F1851" s="31" t="s">
        <v>143</v>
      </c>
      <c r="G1851" s="124">
        <v>91.15</v>
      </c>
      <c r="H1851" t="s">
        <v>400</v>
      </c>
      <c r="I1851" s="34">
        <v>3</v>
      </c>
    </row>
    <row r="1852" spans="1:9" x14ac:dyDescent="0.3">
      <c r="A1852" s="53">
        <v>11</v>
      </c>
      <c r="B1852" t="s">
        <v>239</v>
      </c>
      <c r="C1852" s="53" t="s">
        <v>192</v>
      </c>
      <c r="D1852" s="53" t="s">
        <v>238</v>
      </c>
      <c r="E1852" s="53" t="s">
        <v>143</v>
      </c>
      <c r="F1852" s="57" t="s">
        <v>143</v>
      </c>
      <c r="G1852" s="124">
        <v>86.666666666666671</v>
      </c>
      <c r="H1852" s="53" t="s">
        <v>404</v>
      </c>
      <c r="I1852" s="77">
        <v>11</v>
      </c>
    </row>
    <row r="1853" spans="1:9" x14ac:dyDescent="0.3">
      <c r="A1853">
        <v>4</v>
      </c>
      <c r="B1853" t="s">
        <v>239</v>
      </c>
      <c r="C1853" t="s">
        <v>193</v>
      </c>
      <c r="D1853" t="s">
        <v>195</v>
      </c>
      <c r="E1853" s="1" t="s">
        <v>143</v>
      </c>
      <c r="F1853" s="54" t="s">
        <v>143</v>
      </c>
      <c r="G1853" s="124">
        <v>72.11</v>
      </c>
      <c r="H1853" t="s">
        <v>400</v>
      </c>
      <c r="I1853" s="34">
        <v>4</v>
      </c>
    </row>
    <row r="1854" spans="1:9" x14ac:dyDescent="0.3">
      <c r="A1854">
        <v>3</v>
      </c>
      <c r="B1854" t="s">
        <v>239</v>
      </c>
      <c r="C1854" t="s">
        <v>192</v>
      </c>
      <c r="D1854" t="s">
        <v>238</v>
      </c>
      <c r="E1854" s="1" t="s">
        <v>143</v>
      </c>
      <c r="F1854" s="54" t="s">
        <v>143</v>
      </c>
      <c r="G1854" s="124">
        <v>70</v>
      </c>
      <c r="H1854" t="s">
        <v>404</v>
      </c>
      <c r="I1854" s="34">
        <v>3</v>
      </c>
    </row>
    <row r="1855" spans="1:9" x14ac:dyDescent="0.3">
      <c r="A1855">
        <v>10</v>
      </c>
      <c r="B1855" t="s">
        <v>239</v>
      </c>
      <c r="C1855" t="s">
        <v>192</v>
      </c>
      <c r="D1855" t="s">
        <v>238</v>
      </c>
      <c r="E1855" t="s">
        <v>143</v>
      </c>
      <c r="F1855" s="57" t="s">
        <v>143</v>
      </c>
      <c r="G1855" s="124">
        <v>70</v>
      </c>
      <c r="H1855" s="53" t="s">
        <v>404</v>
      </c>
      <c r="I1855" s="77">
        <v>10</v>
      </c>
    </row>
    <row r="1856" spans="1:9" x14ac:dyDescent="0.3">
      <c r="A1856" s="53">
        <v>11</v>
      </c>
      <c r="B1856" t="s">
        <v>239</v>
      </c>
      <c r="C1856" s="53" t="s">
        <v>193</v>
      </c>
      <c r="D1856" s="53" t="s">
        <v>238</v>
      </c>
      <c r="E1856" s="53" t="s">
        <v>143</v>
      </c>
      <c r="F1856" s="57" t="s">
        <v>143</v>
      </c>
      <c r="G1856" s="124">
        <v>13</v>
      </c>
      <c r="H1856" t="s">
        <v>405</v>
      </c>
      <c r="I1856" s="34">
        <v>11</v>
      </c>
    </row>
    <row r="1857" spans="1:9" x14ac:dyDescent="0.3">
      <c r="A1857">
        <v>3</v>
      </c>
      <c r="B1857" t="s">
        <v>239</v>
      </c>
      <c r="C1857" t="s">
        <v>193</v>
      </c>
      <c r="D1857" t="s">
        <v>238</v>
      </c>
      <c r="E1857" s="1" t="s">
        <v>143</v>
      </c>
      <c r="F1857" s="31" t="s">
        <v>143</v>
      </c>
      <c r="G1857" s="124">
        <v>7</v>
      </c>
      <c r="H1857" t="s">
        <v>405</v>
      </c>
      <c r="I1857" s="34">
        <v>3</v>
      </c>
    </row>
    <row r="1858" spans="1:9" x14ac:dyDescent="0.3">
      <c r="A1858">
        <v>10</v>
      </c>
      <c r="B1858" t="s">
        <v>239</v>
      </c>
      <c r="C1858" t="s">
        <v>193</v>
      </c>
      <c r="D1858" t="s">
        <v>238</v>
      </c>
      <c r="E1858" t="s">
        <v>143</v>
      </c>
      <c r="F1858" s="57" t="s">
        <v>143</v>
      </c>
      <c r="G1858" s="124">
        <v>7</v>
      </c>
      <c r="H1858" t="s">
        <v>405</v>
      </c>
      <c r="I1858" s="34">
        <v>10</v>
      </c>
    </row>
    <row r="1859" spans="1:9" x14ac:dyDescent="0.3">
      <c r="A1859">
        <v>1</v>
      </c>
      <c r="B1859" t="s">
        <v>239</v>
      </c>
      <c r="C1859" t="s">
        <v>191</v>
      </c>
      <c r="D1859" t="s">
        <v>188</v>
      </c>
      <c r="E1859" s="1" t="s">
        <v>182</v>
      </c>
      <c r="F1859" s="54" t="s">
        <v>147</v>
      </c>
      <c r="G1859" s="124">
        <v>3700</v>
      </c>
      <c r="H1859" t="s">
        <v>406</v>
      </c>
      <c r="I1859" s="34">
        <v>1</v>
      </c>
    </row>
    <row r="1860" spans="1:9" x14ac:dyDescent="0.3">
      <c r="A1860">
        <v>7</v>
      </c>
      <c r="B1860" t="s">
        <v>239</v>
      </c>
      <c r="C1860" t="s">
        <v>191</v>
      </c>
      <c r="D1860" t="s">
        <v>188</v>
      </c>
      <c r="E1860" t="s">
        <v>182</v>
      </c>
      <c r="F1860" s="57" t="s">
        <v>147</v>
      </c>
      <c r="G1860" s="124">
        <v>3450</v>
      </c>
      <c r="H1860" t="s">
        <v>406</v>
      </c>
      <c r="I1860" s="34">
        <v>7</v>
      </c>
    </row>
    <row r="1861" spans="1:9" x14ac:dyDescent="0.3">
      <c r="A1861">
        <v>2</v>
      </c>
      <c r="B1861" t="s">
        <v>239</v>
      </c>
      <c r="C1861" t="s">
        <v>191</v>
      </c>
      <c r="D1861" t="s">
        <v>188</v>
      </c>
      <c r="E1861" s="1" t="s">
        <v>182</v>
      </c>
      <c r="F1861" s="32" t="s">
        <v>147</v>
      </c>
      <c r="G1861" s="124">
        <v>3300</v>
      </c>
      <c r="H1861" t="s">
        <v>406</v>
      </c>
      <c r="I1861" s="34">
        <v>2</v>
      </c>
    </row>
    <row r="1862" spans="1:9" x14ac:dyDescent="0.3">
      <c r="A1862">
        <v>8</v>
      </c>
      <c r="B1862" t="s">
        <v>239</v>
      </c>
      <c r="C1862" t="s">
        <v>191</v>
      </c>
      <c r="D1862" t="s">
        <v>188</v>
      </c>
      <c r="E1862" t="s">
        <v>182</v>
      </c>
      <c r="F1862" s="57" t="s">
        <v>147</v>
      </c>
      <c r="G1862" s="124">
        <v>3300</v>
      </c>
      <c r="H1862" t="s">
        <v>406</v>
      </c>
      <c r="I1862" s="34">
        <v>8</v>
      </c>
    </row>
    <row r="1863" spans="1:9" x14ac:dyDescent="0.3">
      <c r="A1863">
        <v>12</v>
      </c>
      <c r="B1863" t="s">
        <v>239</v>
      </c>
      <c r="C1863" t="s">
        <v>191</v>
      </c>
      <c r="D1863" t="s">
        <v>188</v>
      </c>
      <c r="E1863" t="s">
        <v>182</v>
      </c>
      <c r="F1863" s="57" t="s">
        <v>147</v>
      </c>
      <c r="G1863" s="124">
        <v>3200</v>
      </c>
      <c r="H1863" t="s">
        <v>406</v>
      </c>
      <c r="I1863" s="34">
        <v>12</v>
      </c>
    </row>
    <row r="1864" spans="1:9" x14ac:dyDescent="0.3">
      <c r="A1864">
        <v>6</v>
      </c>
      <c r="B1864" t="s">
        <v>239</v>
      </c>
      <c r="C1864" t="s">
        <v>191</v>
      </c>
      <c r="D1864" t="s">
        <v>188</v>
      </c>
      <c r="E1864" t="s">
        <v>182</v>
      </c>
      <c r="F1864" s="57" t="s">
        <v>147</v>
      </c>
      <c r="G1864" s="124">
        <v>2800</v>
      </c>
      <c r="H1864" t="s">
        <v>406</v>
      </c>
      <c r="I1864" s="34">
        <v>6</v>
      </c>
    </row>
    <row r="1865" spans="1:9" x14ac:dyDescent="0.3">
      <c r="A1865">
        <v>7</v>
      </c>
      <c r="B1865" t="s">
        <v>239</v>
      </c>
      <c r="C1865" t="s">
        <v>191</v>
      </c>
      <c r="D1865" t="s">
        <v>195</v>
      </c>
      <c r="E1865" t="s">
        <v>182</v>
      </c>
      <c r="F1865" s="57" t="s">
        <v>147</v>
      </c>
      <c r="G1865" s="124">
        <v>2800</v>
      </c>
      <c r="H1865" t="s">
        <v>407</v>
      </c>
      <c r="I1865" s="34">
        <v>7</v>
      </c>
    </row>
    <row r="1866" spans="1:9" x14ac:dyDescent="0.3">
      <c r="A1866">
        <v>8</v>
      </c>
      <c r="B1866" t="s">
        <v>239</v>
      </c>
      <c r="C1866" t="s">
        <v>191</v>
      </c>
      <c r="D1866" t="s">
        <v>195</v>
      </c>
      <c r="E1866" t="s">
        <v>182</v>
      </c>
      <c r="F1866" s="57" t="s">
        <v>147</v>
      </c>
      <c r="G1866" s="124">
        <v>2600</v>
      </c>
      <c r="H1866" t="s">
        <v>407</v>
      </c>
      <c r="I1866" s="34">
        <v>8</v>
      </c>
    </row>
    <row r="1867" spans="1:9" x14ac:dyDescent="0.3">
      <c r="A1867">
        <v>9</v>
      </c>
      <c r="B1867" t="s">
        <v>239</v>
      </c>
      <c r="C1867" t="s">
        <v>191</v>
      </c>
      <c r="D1867" t="s">
        <v>188</v>
      </c>
      <c r="E1867" t="s">
        <v>182</v>
      </c>
      <c r="F1867" s="57" t="s">
        <v>147</v>
      </c>
      <c r="G1867" s="124">
        <v>2500</v>
      </c>
      <c r="H1867" t="s">
        <v>406</v>
      </c>
      <c r="I1867" s="34">
        <v>9</v>
      </c>
    </row>
    <row r="1868" spans="1:9" x14ac:dyDescent="0.3">
      <c r="A1868">
        <v>10</v>
      </c>
      <c r="B1868" t="s">
        <v>239</v>
      </c>
      <c r="C1868" t="s">
        <v>191</v>
      </c>
      <c r="D1868" t="s">
        <v>188</v>
      </c>
      <c r="E1868" t="s">
        <v>182</v>
      </c>
      <c r="F1868" s="57" t="s">
        <v>147</v>
      </c>
      <c r="G1868" s="124">
        <v>2500</v>
      </c>
      <c r="H1868" s="53" t="s">
        <v>406</v>
      </c>
      <c r="I1868" s="77">
        <v>10</v>
      </c>
    </row>
    <row r="1869" spans="1:9" x14ac:dyDescent="0.3">
      <c r="A1869" s="53">
        <v>11</v>
      </c>
      <c r="B1869" t="s">
        <v>239</v>
      </c>
      <c r="C1869" s="53" t="s">
        <v>191</v>
      </c>
      <c r="D1869" s="53" t="s">
        <v>188</v>
      </c>
      <c r="E1869" s="53" t="s">
        <v>182</v>
      </c>
      <c r="F1869" s="57" t="s">
        <v>147</v>
      </c>
      <c r="G1869" s="124">
        <v>2400</v>
      </c>
      <c r="H1869" t="s">
        <v>406</v>
      </c>
      <c r="I1869" s="34">
        <v>11</v>
      </c>
    </row>
    <row r="1870" spans="1:9" x14ac:dyDescent="0.3">
      <c r="A1870">
        <v>5</v>
      </c>
      <c r="B1870" t="s">
        <v>239</v>
      </c>
      <c r="C1870" t="s">
        <v>191</v>
      </c>
      <c r="D1870" t="s">
        <v>188</v>
      </c>
      <c r="E1870" s="1" t="s">
        <v>182</v>
      </c>
      <c r="F1870" s="54" t="s">
        <v>147</v>
      </c>
      <c r="G1870" s="124">
        <v>2300</v>
      </c>
      <c r="H1870" t="s">
        <v>406</v>
      </c>
      <c r="I1870" s="34">
        <v>5</v>
      </c>
    </row>
    <row r="1871" spans="1:9" x14ac:dyDescent="0.3">
      <c r="A1871">
        <v>4</v>
      </c>
      <c r="B1871" t="s">
        <v>239</v>
      </c>
      <c r="C1871" t="s">
        <v>191</v>
      </c>
      <c r="D1871" t="s">
        <v>188</v>
      </c>
      <c r="E1871" s="1" t="s">
        <v>182</v>
      </c>
      <c r="F1871" s="54" t="s">
        <v>147</v>
      </c>
      <c r="G1871" s="124">
        <v>2200</v>
      </c>
      <c r="H1871" t="s">
        <v>406</v>
      </c>
      <c r="I1871" s="34">
        <v>4</v>
      </c>
    </row>
    <row r="1872" spans="1:9" x14ac:dyDescent="0.3">
      <c r="A1872">
        <v>1</v>
      </c>
      <c r="B1872" t="s">
        <v>239</v>
      </c>
      <c r="C1872" t="s">
        <v>191</v>
      </c>
      <c r="D1872" t="s">
        <v>195</v>
      </c>
      <c r="E1872" s="1" t="s">
        <v>182</v>
      </c>
      <c r="F1872" s="54" t="s">
        <v>147</v>
      </c>
      <c r="G1872" s="124">
        <v>2000</v>
      </c>
      <c r="H1872" t="s">
        <v>407</v>
      </c>
      <c r="I1872" s="34">
        <v>1</v>
      </c>
    </row>
    <row r="1873" spans="1:9" x14ac:dyDescent="0.3">
      <c r="A1873">
        <v>6</v>
      </c>
      <c r="B1873" t="s">
        <v>239</v>
      </c>
      <c r="C1873" t="s">
        <v>191</v>
      </c>
      <c r="D1873" t="s">
        <v>195</v>
      </c>
      <c r="E1873" t="s">
        <v>182</v>
      </c>
      <c r="F1873" s="57" t="s">
        <v>147</v>
      </c>
      <c r="G1873" s="124">
        <v>2000</v>
      </c>
      <c r="H1873" t="s">
        <v>407</v>
      </c>
      <c r="I1873" s="34">
        <v>6</v>
      </c>
    </row>
    <row r="1874" spans="1:9" x14ac:dyDescent="0.3">
      <c r="A1874">
        <v>3</v>
      </c>
      <c r="B1874" t="s">
        <v>239</v>
      </c>
      <c r="C1874" t="s">
        <v>191</v>
      </c>
      <c r="D1874" t="s">
        <v>188</v>
      </c>
      <c r="E1874" s="1" t="s">
        <v>182</v>
      </c>
      <c r="F1874" s="54" t="s">
        <v>147</v>
      </c>
      <c r="G1874" s="124">
        <v>1900</v>
      </c>
      <c r="H1874" t="s">
        <v>406</v>
      </c>
      <c r="I1874" s="34">
        <v>3</v>
      </c>
    </row>
    <row r="1875" spans="1:9" x14ac:dyDescent="0.3">
      <c r="A1875">
        <v>2</v>
      </c>
      <c r="B1875" t="s">
        <v>239</v>
      </c>
      <c r="C1875" t="s">
        <v>191</v>
      </c>
      <c r="D1875" t="s">
        <v>195</v>
      </c>
      <c r="E1875" s="1" t="s">
        <v>182</v>
      </c>
      <c r="F1875" s="32" t="s">
        <v>147</v>
      </c>
      <c r="G1875" s="124">
        <v>1800</v>
      </c>
      <c r="H1875" t="s">
        <v>407</v>
      </c>
      <c r="I1875" s="34">
        <v>2</v>
      </c>
    </row>
    <row r="1876" spans="1:9" x14ac:dyDescent="0.3">
      <c r="A1876">
        <v>12</v>
      </c>
      <c r="B1876" t="s">
        <v>239</v>
      </c>
      <c r="C1876" t="s">
        <v>191</v>
      </c>
      <c r="D1876" t="s">
        <v>195</v>
      </c>
      <c r="E1876" t="s">
        <v>182</v>
      </c>
      <c r="F1876" s="57" t="s">
        <v>147</v>
      </c>
      <c r="G1876" s="124">
        <v>1600</v>
      </c>
      <c r="H1876" t="s">
        <v>407</v>
      </c>
      <c r="I1876" s="34">
        <v>12</v>
      </c>
    </row>
    <row r="1877" spans="1:9" x14ac:dyDescent="0.3">
      <c r="A1877">
        <v>5</v>
      </c>
      <c r="B1877" t="s">
        <v>239</v>
      </c>
      <c r="C1877" t="s">
        <v>191</v>
      </c>
      <c r="D1877" t="s">
        <v>195</v>
      </c>
      <c r="E1877" s="1" t="s">
        <v>182</v>
      </c>
      <c r="F1877" s="54" t="s">
        <v>147</v>
      </c>
      <c r="G1877" s="124">
        <v>1500</v>
      </c>
      <c r="H1877" t="s">
        <v>407</v>
      </c>
      <c r="I1877" s="34">
        <v>5</v>
      </c>
    </row>
    <row r="1878" spans="1:9" x14ac:dyDescent="0.3">
      <c r="A1878">
        <v>9</v>
      </c>
      <c r="B1878" t="s">
        <v>239</v>
      </c>
      <c r="C1878" t="s">
        <v>191</v>
      </c>
      <c r="D1878" t="s">
        <v>195</v>
      </c>
      <c r="E1878" t="s">
        <v>182</v>
      </c>
      <c r="F1878" s="57" t="s">
        <v>147</v>
      </c>
      <c r="G1878" s="124">
        <v>1500</v>
      </c>
      <c r="H1878" t="s">
        <v>407</v>
      </c>
      <c r="I1878" s="34">
        <v>9</v>
      </c>
    </row>
    <row r="1879" spans="1:9" x14ac:dyDescent="0.3">
      <c r="A1879">
        <v>10</v>
      </c>
      <c r="B1879" t="s">
        <v>239</v>
      </c>
      <c r="C1879" t="s">
        <v>191</v>
      </c>
      <c r="D1879" t="s">
        <v>195</v>
      </c>
      <c r="E1879" t="s">
        <v>182</v>
      </c>
      <c r="F1879" s="57" t="s">
        <v>147</v>
      </c>
      <c r="G1879" s="124">
        <v>1500</v>
      </c>
      <c r="H1879" t="s">
        <v>407</v>
      </c>
      <c r="I1879" s="34">
        <v>10</v>
      </c>
    </row>
    <row r="1880" spans="1:9" x14ac:dyDescent="0.3">
      <c r="A1880" s="53">
        <v>11</v>
      </c>
      <c r="B1880" t="s">
        <v>239</v>
      </c>
      <c r="C1880" s="53" t="s">
        <v>191</v>
      </c>
      <c r="D1880" s="53" t="s">
        <v>195</v>
      </c>
      <c r="E1880" s="53" t="s">
        <v>182</v>
      </c>
      <c r="F1880" s="57" t="s">
        <v>147</v>
      </c>
      <c r="G1880" s="124">
        <v>1500</v>
      </c>
      <c r="H1880" t="s">
        <v>407</v>
      </c>
      <c r="I1880" s="34">
        <v>11</v>
      </c>
    </row>
    <row r="1881" spans="1:9" x14ac:dyDescent="0.3">
      <c r="A1881">
        <v>4</v>
      </c>
      <c r="B1881" t="s">
        <v>239</v>
      </c>
      <c r="C1881" t="s">
        <v>191</v>
      </c>
      <c r="D1881" t="s">
        <v>195</v>
      </c>
      <c r="E1881" s="1" t="s">
        <v>182</v>
      </c>
      <c r="F1881" s="54" t="s">
        <v>147</v>
      </c>
      <c r="G1881" s="124">
        <v>1400</v>
      </c>
      <c r="H1881" t="s">
        <v>407</v>
      </c>
      <c r="I1881" s="34">
        <v>4</v>
      </c>
    </row>
    <row r="1882" spans="1:9" x14ac:dyDescent="0.3">
      <c r="A1882">
        <v>3</v>
      </c>
      <c r="B1882" t="s">
        <v>239</v>
      </c>
      <c r="C1882" t="s">
        <v>191</v>
      </c>
      <c r="D1882" t="s">
        <v>195</v>
      </c>
      <c r="E1882" s="1" t="s">
        <v>182</v>
      </c>
      <c r="F1882" s="54" t="s">
        <v>147</v>
      </c>
      <c r="G1882" s="124">
        <v>1100</v>
      </c>
      <c r="H1882" t="s">
        <v>407</v>
      </c>
      <c r="I1882" s="34">
        <v>3</v>
      </c>
    </row>
    <row r="1883" spans="1:9" x14ac:dyDescent="0.3">
      <c r="A1883">
        <v>8</v>
      </c>
      <c r="B1883" t="s">
        <v>239</v>
      </c>
      <c r="C1883" t="s">
        <v>193</v>
      </c>
      <c r="D1883" t="s">
        <v>188</v>
      </c>
      <c r="E1883" t="s">
        <v>182</v>
      </c>
      <c r="F1883" s="57" t="s">
        <v>147</v>
      </c>
      <c r="G1883" s="124">
        <v>891</v>
      </c>
      <c r="H1883" s="53" t="s">
        <v>408</v>
      </c>
      <c r="I1883" s="77">
        <v>8</v>
      </c>
    </row>
    <row r="1884" spans="1:9" x14ac:dyDescent="0.3">
      <c r="A1884">
        <v>7</v>
      </c>
      <c r="B1884" t="s">
        <v>239</v>
      </c>
      <c r="C1884" t="s">
        <v>193</v>
      </c>
      <c r="D1884" t="s">
        <v>188</v>
      </c>
      <c r="E1884" t="s">
        <v>182</v>
      </c>
      <c r="F1884" s="57" t="s">
        <v>147</v>
      </c>
      <c r="G1884" s="124">
        <v>803.85</v>
      </c>
      <c r="H1884" s="53" t="s">
        <v>408</v>
      </c>
      <c r="I1884" s="77">
        <v>7</v>
      </c>
    </row>
    <row r="1885" spans="1:9" x14ac:dyDescent="0.3">
      <c r="A1885">
        <v>1</v>
      </c>
      <c r="B1885" t="s">
        <v>239</v>
      </c>
      <c r="C1885" t="s">
        <v>193</v>
      </c>
      <c r="D1885" t="s">
        <v>188</v>
      </c>
      <c r="E1885" s="1" t="s">
        <v>182</v>
      </c>
      <c r="F1885" s="31" t="s">
        <v>147</v>
      </c>
      <c r="G1885" s="124">
        <v>740</v>
      </c>
      <c r="H1885" t="s">
        <v>408</v>
      </c>
      <c r="I1885" s="34">
        <v>1</v>
      </c>
    </row>
    <row r="1886" spans="1:9" x14ac:dyDescent="0.3">
      <c r="A1886">
        <v>12</v>
      </c>
      <c r="B1886" t="s">
        <v>239</v>
      </c>
      <c r="C1886" t="s">
        <v>193</v>
      </c>
      <c r="D1886" t="s">
        <v>188</v>
      </c>
      <c r="E1886" t="s">
        <v>182</v>
      </c>
      <c r="F1886" s="57" t="s">
        <v>147</v>
      </c>
      <c r="G1886" s="124">
        <v>681.6</v>
      </c>
      <c r="H1886" s="53" t="s">
        <v>408</v>
      </c>
      <c r="I1886" s="77">
        <v>12</v>
      </c>
    </row>
    <row r="1887" spans="1:9" x14ac:dyDescent="0.3">
      <c r="A1887">
        <v>8</v>
      </c>
      <c r="B1887" t="s">
        <v>239</v>
      </c>
      <c r="C1887" t="s">
        <v>193</v>
      </c>
      <c r="D1887" t="s">
        <v>195</v>
      </c>
      <c r="E1887" t="s">
        <v>182</v>
      </c>
      <c r="F1887" s="57" t="s">
        <v>147</v>
      </c>
      <c r="G1887" s="124">
        <v>679.9</v>
      </c>
      <c r="H1887" t="s">
        <v>409</v>
      </c>
      <c r="I1887" s="34">
        <v>8</v>
      </c>
    </row>
    <row r="1888" spans="1:9" x14ac:dyDescent="0.3">
      <c r="A1888">
        <v>7</v>
      </c>
      <c r="B1888" t="s">
        <v>239</v>
      </c>
      <c r="C1888" t="s">
        <v>193</v>
      </c>
      <c r="D1888" t="s">
        <v>195</v>
      </c>
      <c r="E1888" t="s">
        <v>182</v>
      </c>
      <c r="F1888" s="57" t="s">
        <v>147</v>
      </c>
      <c r="G1888" s="124">
        <v>627.20000000000005</v>
      </c>
      <c r="H1888" t="s">
        <v>409</v>
      </c>
      <c r="I1888" s="34">
        <v>7</v>
      </c>
    </row>
    <row r="1889" spans="1:9" x14ac:dyDescent="0.3">
      <c r="A1889">
        <v>2</v>
      </c>
      <c r="B1889" t="s">
        <v>239</v>
      </c>
      <c r="C1889" t="s">
        <v>193</v>
      </c>
      <c r="D1889" t="s">
        <v>188</v>
      </c>
      <c r="E1889" s="1" t="s">
        <v>182</v>
      </c>
      <c r="F1889" s="32" t="s">
        <v>147</v>
      </c>
      <c r="G1889" s="124">
        <v>610.5</v>
      </c>
      <c r="H1889" t="s">
        <v>408</v>
      </c>
      <c r="I1889" s="34">
        <v>2</v>
      </c>
    </row>
    <row r="1890" spans="1:9" x14ac:dyDescent="0.3">
      <c r="A1890">
        <v>10</v>
      </c>
      <c r="B1890" t="s">
        <v>239</v>
      </c>
      <c r="C1890" t="s">
        <v>193</v>
      </c>
      <c r="D1890" t="s">
        <v>188</v>
      </c>
      <c r="E1890" t="s">
        <v>182</v>
      </c>
      <c r="F1890" s="57" t="s">
        <v>147</v>
      </c>
      <c r="G1890" s="124">
        <v>582.5</v>
      </c>
      <c r="H1890" t="s">
        <v>408</v>
      </c>
      <c r="I1890" s="34">
        <v>10</v>
      </c>
    </row>
    <row r="1891" spans="1:9" x14ac:dyDescent="0.3">
      <c r="A1891">
        <v>6</v>
      </c>
      <c r="B1891" t="s">
        <v>239</v>
      </c>
      <c r="C1891" t="s">
        <v>193</v>
      </c>
      <c r="D1891" t="s">
        <v>188</v>
      </c>
      <c r="E1891" t="s">
        <v>182</v>
      </c>
      <c r="F1891" s="57" t="s">
        <v>147</v>
      </c>
      <c r="G1891" s="124">
        <v>574</v>
      </c>
      <c r="H1891" t="s">
        <v>408</v>
      </c>
      <c r="I1891" s="34">
        <v>6</v>
      </c>
    </row>
    <row r="1892" spans="1:9" x14ac:dyDescent="0.3">
      <c r="A1892">
        <v>9</v>
      </c>
      <c r="B1892" t="s">
        <v>239</v>
      </c>
      <c r="C1892" t="s">
        <v>193</v>
      </c>
      <c r="D1892" t="s">
        <v>188</v>
      </c>
      <c r="E1892" t="s">
        <v>182</v>
      </c>
      <c r="F1892" s="57" t="s">
        <v>147</v>
      </c>
      <c r="G1892" s="124">
        <v>542.5</v>
      </c>
      <c r="H1892" s="53" t="s">
        <v>408</v>
      </c>
      <c r="I1892" s="77">
        <v>9</v>
      </c>
    </row>
    <row r="1893" spans="1:9" x14ac:dyDescent="0.3">
      <c r="A1893" s="53">
        <v>11</v>
      </c>
      <c r="B1893" t="s">
        <v>239</v>
      </c>
      <c r="C1893" s="53" t="s">
        <v>193</v>
      </c>
      <c r="D1893" s="53" t="s">
        <v>188</v>
      </c>
      <c r="E1893" s="53" t="s">
        <v>182</v>
      </c>
      <c r="F1893" s="57" t="s">
        <v>147</v>
      </c>
      <c r="G1893" s="124">
        <v>542.28444480000007</v>
      </c>
      <c r="H1893" s="53" t="s">
        <v>408</v>
      </c>
      <c r="I1893" s="77">
        <v>11</v>
      </c>
    </row>
    <row r="1894" spans="1:9" x14ac:dyDescent="0.3">
      <c r="A1894">
        <v>5</v>
      </c>
      <c r="B1894" t="s">
        <v>239</v>
      </c>
      <c r="C1894" t="s">
        <v>193</v>
      </c>
      <c r="D1894" t="s">
        <v>188</v>
      </c>
      <c r="E1894" t="s">
        <v>182</v>
      </c>
      <c r="F1894" s="57" t="s">
        <v>147</v>
      </c>
      <c r="G1894" s="124">
        <v>499.1</v>
      </c>
      <c r="H1894" s="53" t="s">
        <v>408</v>
      </c>
      <c r="I1894" s="77">
        <v>5</v>
      </c>
    </row>
    <row r="1895" spans="1:9" x14ac:dyDescent="0.3">
      <c r="A1895">
        <v>4</v>
      </c>
      <c r="B1895" t="s">
        <v>239</v>
      </c>
      <c r="C1895" t="s">
        <v>193</v>
      </c>
      <c r="D1895" t="s">
        <v>188</v>
      </c>
      <c r="E1895" s="1" t="s">
        <v>182</v>
      </c>
      <c r="F1895" s="54" t="s">
        <v>147</v>
      </c>
      <c r="G1895" s="124">
        <v>424.6</v>
      </c>
      <c r="H1895" t="s">
        <v>408</v>
      </c>
      <c r="I1895" s="34">
        <v>4</v>
      </c>
    </row>
    <row r="1896" spans="1:9" x14ac:dyDescent="0.3">
      <c r="A1896">
        <v>3</v>
      </c>
      <c r="B1896" t="s">
        <v>239</v>
      </c>
      <c r="C1896" t="s">
        <v>193</v>
      </c>
      <c r="D1896" t="s">
        <v>188</v>
      </c>
      <c r="E1896" s="1" t="s">
        <v>182</v>
      </c>
      <c r="F1896" s="54" t="s">
        <v>147</v>
      </c>
      <c r="G1896" s="124">
        <v>402.8</v>
      </c>
      <c r="H1896" t="s">
        <v>408</v>
      </c>
      <c r="I1896" s="34">
        <v>3</v>
      </c>
    </row>
    <row r="1897" spans="1:9" x14ac:dyDescent="0.3">
      <c r="A1897">
        <v>6</v>
      </c>
      <c r="B1897" t="s">
        <v>239</v>
      </c>
      <c r="C1897" t="s">
        <v>193</v>
      </c>
      <c r="D1897" t="s">
        <v>195</v>
      </c>
      <c r="E1897" t="s">
        <v>182</v>
      </c>
      <c r="F1897" s="57" t="s">
        <v>147</v>
      </c>
      <c r="G1897" s="124">
        <v>388</v>
      </c>
      <c r="H1897" t="s">
        <v>409</v>
      </c>
      <c r="I1897" s="34">
        <v>6</v>
      </c>
    </row>
    <row r="1898" spans="1:9" x14ac:dyDescent="0.3">
      <c r="A1898">
        <v>1</v>
      </c>
      <c r="B1898" t="s">
        <v>239</v>
      </c>
      <c r="C1898" t="s">
        <v>193</v>
      </c>
      <c r="D1898" t="s">
        <v>195</v>
      </c>
      <c r="E1898" s="1" t="s">
        <v>182</v>
      </c>
      <c r="F1898" s="31" t="s">
        <v>147</v>
      </c>
      <c r="G1898" s="124">
        <v>380</v>
      </c>
      <c r="H1898" s="53" t="s">
        <v>409</v>
      </c>
      <c r="I1898" s="77">
        <v>1</v>
      </c>
    </row>
    <row r="1899" spans="1:9" x14ac:dyDescent="0.3">
      <c r="A1899" s="53">
        <v>11</v>
      </c>
      <c r="B1899" t="s">
        <v>239</v>
      </c>
      <c r="C1899" s="53" t="s">
        <v>193</v>
      </c>
      <c r="D1899" s="53" t="s">
        <v>195</v>
      </c>
      <c r="E1899" s="53" t="s">
        <v>182</v>
      </c>
      <c r="F1899" s="57" t="s">
        <v>147</v>
      </c>
      <c r="G1899" s="124">
        <v>333.15</v>
      </c>
      <c r="H1899" t="s">
        <v>409</v>
      </c>
      <c r="I1899" s="34">
        <v>11</v>
      </c>
    </row>
    <row r="1900" spans="1:9" x14ac:dyDescent="0.3">
      <c r="A1900">
        <v>12</v>
      </c>
      <c r="B1900" t="s">
        <v>239</v>
      </c>
      <c r="C1900" t="s">
        <v>193</v>
      </c>
      <c r="D1900" t="s">
        <v>195</v>
      </c>
      <c r="E1900" t="s">
        <v>182</v>
      </c>
      <c r="F1900" s="57" t="s">
        <v>147</v>
      </c>
      <c r="G1900" s="124">
        <v>328</v>
      </c>
      <c r="H1900" t="s">
        <v>409</v>
      </c>
      <c r="I1900" s="34">
        <v>12</v>
      </c>
    </row>
    <row r="1901" spans="1:9" x14ac:dyDescent="0.3">
      <c r="A1901">
        <v>10</v>
      </c>
      <c r="B1901" t="s">
        <v>239</v>
      </c>
      <c r="C1901" t="s">
        <v>193</v>
      </c>
      <c r="D1901" t="s">
        <v>195</v>
      </c>
      <c r="E1901" t="s">
        <v>182</v>
      </c>
      <c r="F1901" s="57" t="s">
        <v>147</v>
      </c>
      <c r="G1901" s="124">
        <v>322.5</v>
      </c>
      <c r="H1901" t="s">
        <v>409</v>
      </c>
      <c r="I1901" s="34">
        <v>10</v>
      </c>
    </row>
    <row r="1902" spans="1:9" x14ac:dyDescent="0.3">
      <c r="A1902">
        <v>2</v>
      </c>
      <c r="B1902" t="s">
        <v>239</v>
      </c>
      <c r="C1902" t="s">
        <v>193</v>
      </c>
      <c r="D1902" t="s">
        <v>195</v>
      </c>
      <c r="E1902" s="1" t="s">
        <v>182</v>
      </c>
      <c r="F1902" s="32" t="s">
        <v>147</v>
      </c>
      <c r="G1902" s="124">
        <v>322.2</v>
      </c>
      <c r="H1902" t="s">
        <v>409</v>
      </c>
      <c r="I1902" s="34">
        <v>2</v>
      </c>
    </row>
    <row r="1903" spans="1:9" x14ac:dyDescent="0.3">
      <c r="A1903">
        <v>5</v>
      </c>
      <c r="B1903" t="s">
        <v>239</v>
      </c>
      <c r="C1903" t="s">
        <v>193</v>
      </c>
      <c r="D1903" t="s">
        <v>195</v>
      </c>
      <c r="E1903" t="s">
        <v>182</v>
      </c>
      <c r="F1903" s="57" t="s">
        <v>147</v>
      </c>
      <c r="G1903" s="124">
        <v>316.5</v>
      </c>
      <c r="H1903" t="s">
        <v>409</v>
      </c>
      <c r="I1903" s="34">
        <v>5</v>
      </c>
    </row>
    <row r="1904" spans="1:9" x14ac:dyDescent="0.3">
      <c r="A1904">
        <v>9</v>
      </c>
      <c r="B1904" t="s">
        <v>239</v>
      </c>
      <c r="C1904" t="s">
        <v>193</v>
      </c>
      <c r="D1904" t="s">
        <v>195</v>
      </c>
      <c r="E1904" t="s">
        <v>182</v>
      </c>
      <c r="F1904" s="57" t="s">
        <v>147</v>
      </c>
      <c r="G1904" s="124">
        <v>298.5</v>
      </c>
      <c r="H1904" t="s">
        <v>409</v>
      </c>
      <c r="I1904" s="34">
        <v>9</v>
      </c>
    </row>
    <row r="1905" spans="1:9" x14ac:dyDescent="0.3">
      <c r="A1905">
        <v>8</v>
      </c>
      <c r="B1905" t="s">
        <v>239</v>
      </c>
      <c r="C1905" t="s">
        <v>192</v>
      </c>
      <c r="D1905" t="s">
        <v>188</v>
      </c>
      <c r="E1905" t="s">
        <v>182</v>
      </c>
      <c r="F1905" s="57" t="s">
        <v>147</v>
      </c>
      <c r="G1905" s="124">
        <v>270</v>
      </c>
      <c r="H1905" s="53" t="s">
        <v>410</v>
      </c>
      <c r="I1905" s="77">
        <v>8</v>
      </c>
    </row>
    <row r="1906" spans="1:9" x14ac:dyDescent="0.3">
      <c r="A1906">
        <v>4</v>
      </c>
      <c r="B1906" t="s">
        <v>239</v>
      </c>
      <c r="C1906" t="s">
        <v>193</v>
      </c>
      <c r="D1906" t="s">
        <v>195</v>
      </c>
      <c r="E1906" s="1" t="s">
        <v>182</v>
      </c>
      <c r="F1906" s="54" t="s">
        <v>147</v>
      </c>
      <c r="G1906" s="124">
        <v>267.39999999999998</v>
      </c>
      <c r="H1906" t="s">
        <v>409</v>
      </c>
      <c r="I1906" s="34">
        <v>4</v>
      </c>
    </row>
    <row r="1907" spans="1:9" x14ac:dyDescent="0.3">
      <c r="A1907">
        <v>8</v>
      </c>
      <c r="B1907" t="s">
        <v>239</v>
      </c>
      <c r="C1907" t="s">
        <v>192</v>
      </c>
      <c r="D1907" t="s">
        <v>195</v>
      </c>
      <c r="E1907" t="s">
        <v>182</v>
      </c>
      <c r="F1907" s="57" t="s">
        <v>147</v>
      </c>
      <c r="G1907" s="124">
        <v>261.5</v>
      </c>
      <c r="H1907" t="s">
        <v>411</v>
      </c>
      <c r="I1907" s="34">
        <v>8</v>
      </c>
    </row>
    <row r="1908" spans="1:9" x14ac:dyDescent="0.3">
      <c r="A1908">
        <v>7</v>
      </c>
      <c r="B1908" t="s">
        <v>239</v>
      </c>
      <c r="C1908" t="s">
        <v>192</v>
      </c>
      <c r="D1908" t="s">
        <v>188</v>
      </c>
      <c r="E1908" t="s">
        <v>182</v>
      </c>
      <c r="F1908" s="57" t="s">
        <v>147</v>
      </c>
      <c r="G1908" s="124">
        <v>233</v>
      </c>
      <c r="H1908" t="s">
        <v>410</v>
      </c>
      <c r="I1908" s="34">
        <v>7</v>
      </c>
    </row>
    <row r="1909" spans="1:9" x14ac:dyDescent="0.3">
      <c r="A1909">
        <v>10</v>
      </c>
      <c r="B1909" t="s">
        <v>239</v>
      </c>
      <c r="C1909" t="s">
        <v>192</v>
      </c>
      <c r="D1909" t="s">
        <v>188</v>
      </c>
      <c r="E1909" t="s">
        <v>182</v>
      </c>
      <c r="F1909" s="57" t="s">
        <v>147</v>
      </c>
      <c r="G1909" s="124">
        <v>233</v>
      </c>
      <c r="H1909" t="s">
        <v>410</v>
      </c>
      <c r="I1909" s="34">
        <v>10</v>
      </c>
    </row>
    <row r="1910" spans="1:9" x14ac:dyDescent="0.3">
      <c r="A1910" s="53">
        <v>11</v>
      </c>
      <c r="B1910" t="s">
        <v>239</v>
      </c>
      <c r="C1910" s="53" t="s">
        <v>192</v>
      </c>
      <c r="D1910" s="53" t="s">
        <v>188</v>
      </c>
      <c r="E1910" s="53" t="s">
        <v>182</v>
      </c>
      <c r="F1910" s="57" t="s">
        <v>147</v>
      </c>
      <c r="G1910" s="124">
        <v>225.95185200000003</v>
      </c>
      <c r="H1910" s="53" t="s">
        <v>410</v>
      </c>
      <c r="I1910" s="77">
        <v>11</v>
      </c>
    </row>
    <row r="1911" spans="1:9" x14ac:dyDescent="0.3">
      <c r="A1911">
        <v>7</v>
      </c>
      <c r="B1911" t="s">
        <v>239</v>
      </c>
      <c r="C1911" t="s">
        <v>192</v>
      </c>
      <c r="D1911" t="s">
        <v>195</v>
      </c>
      <c r="E1911" t="s">
        <v>182</v>
      </c>
      <c r="F1911" s="57" t="s">
        <v>147</v>
      </c>
      <c r="G1911" s="124">
        <v>224</v>
      </c>
      <c r="H1911" t="s">
        <v>411</v>
      </c>
      <c r="I1911" s="34">
        <v>7</v>
      </c>
    </row>
    <row r="1912" spans="1:9" x14ac:dyDescent="0.3">
      <c r="A1912" s="53">
        <v>11</v>
      </c>
      <c r="B1912" t="s">
        <v>239</v>
      </c>
      <c r="C1912" s="53" t="s">
        <v>192</v>
      </c>
      <c r="D1912" s="53" t="s">
        <v>195</v>
      </c>
      <c r="E1912" s="53" t="s">
        <v>182</v>
      </c>
      <c r="F1912" s="57" t="s">
        <v>147</v>
      </c>
      <c r="G1912" s="124">
        <v>222.1</v>
      </c>
      <c r="H1912" t="s">
        <v>411</v>
      </c>
      <c r="I1912" s="34">
        <v>11</v>
      </c>
    </row>
    <row r="1913" spans="1:9" x14ac:dyDescent="0.3">
      <c r="A1913">
        <v>5</v>
      </c>
      <c r="B1913" t="s">
        <v>239</v>
      </c>
      <c r="C1913" t="s">
        <v>192</v>
      </c>
      <c r="D1913" t="s">
        <v>188</v>
      </c>
      <c r="E1913" t="s">
        <v>182</v>
      </c>
      <c r="F1913" s="57" t="s">
        <v>147</v>
      </c>
      <c r="G1913" s="124">
        <v>217</v>
      </c>
      <c r="H1913" t="s">
        <v>410</v>
      </c>
      <c r="I1913" s="34">
        <v>5</v>
      </c>
    </row>
    <row r="1914" spans="1:9" x14ac:dyDescent="0.3">
      <c r="A1914">
        <v>9</v>
      </c>
      <c r="B1914" t="s">
        <v>239</v>
      </c>
      <c r="C1914" t="s">
        <v>192</v>
      </c>
      <c r="D1914" t="s">
        <v>188</v>
      </c>
      <c r="E1914" t="s">
        <v>182</v>
      </c>
      <c r="F1914" s="57" t="s">
        <v>147</v>
      </c>
      <c r="G1914" s="124">
        <v>217</v>
      </c>
      <c r="H1914" s="53" t="s">
        <v>410</v>
      </c>
      <c r="I1914" s="77">
        <v>9</v>
      </c>
    </row>
    <row r="1915" spans="1:9" x14ac:dyDescent="0.3">
      <c r="A1915">
        <v>10</v>
      </c>
      <c r="B1915" t="s">
        <v>239</v>
      </c>
      <c r="C1915" t="s">
        <v>192</v>
      </c>
      <c r="D1915" t="s">
        <v>195</v>
      </c>
      <c r="E1915" t="s">
        <v>182</v>
      </c>
      <c r="F1915" s="57" t="s">
        <v>147</v>
      </c>
      <c r="G1915" s="124">
        <v>215</v>
      </c>
      <c r="H1915" t="s">
        <v>411</v>
      </c>
      <c r="I1915" s="34">
        <v>10</v>
      </c>
    </row>
    <row r="1916" spans="1:9" x14ac:dyDescent="0.3">
      <c r="A1916">
        <v>12</v>
      </c>
      <c r="B1916" t="s">
        <v>239</v>
      </c>
      <c r="C1916" t="s">
        <v>192</v>
      </c>
      <c r="D1916" t="s">
        <v>188</v>
      </c>
      <c r="E1916" t="s">
        <v>182</v>
      </c>
      <c r="F1916" s="57" t="s">
        <v>147</v>
      </c>
      <c r="G1916" s="124">
        <v>213</v>
      </c>
      <c r="H1916" s="53" t="s">
        <v>410</v>
      </c>
      <c r="I1916" s="77">
        <v>12</v>
      </c>
    </row>
    <row r="1917" spans="1:9" x14ac:dyDescent="0.3">
      <c r="A1917">
        <v>3</v>
      </c>
      <c r="B1917" t="s">
        <v>239</v>
      </c>
      <c r="C1917" t="s">
        <v>192</v>
      </c>
      <c r="D1917" t="s">
        <v>188</v>
      </c>
      <c r="E1917" s="1" t="s">
        <v>182</v>
      </c>
      <c r="F1917" s="32" t="s">
        <v>147</v>
      </c>
      <c r="G1917" s="124">
        <v>212</v>
      </c>
      <c r="H1917" t="s">
        <v>410</v>
      </c>
      <c r="I1917" s="34">
        <v>3</v>
      </c>
    </row>
    <row r="1918" spans="1:9" x14ac:dyDescent="0.3">
      <c r="A1918">
        <v>5</v>
      </c>
      <c r="B1918" t="s">
        <v>239</v>
      </c>
      <c r="C1918" t="s">
        <v>192</v>
      </c>
      <c r="D1918" t="s">
        <v>195</v>
      </c>
      <c r="E1918" t="s">
        <v>182</v>
      </c>
      <c r="F1918" s="57" t="s">
        <v>147</v>
      </c>
      <c r="G1918" s="124">
        <v>211</v>
      </c>
      <c r="H1918" t="s">
        <v>411</v>
      </c>
      <c r="I1918" s="34">
        <v>5</v>
      </c>
    </row>
    <row r="1919" spans="1:9" x14ac:dyDescent="0.3">
      <c r="A1919">
        <v>3</v>
      </c>
      <c r="B1919" t="s">
        <v>239</v>
      </c>
      <c r="C1919" t="s">
        <v>193</v>
      </c>
      <c r="D1919" t="s">
        <v>195</v>
      </c>
      <c r="E1919" s="1" t="s">
        <v>182</v>
      </c>
      <c r="F1919" s="54" t="s">
        <v>147</v>
      </c>
      <c r="G1919" s="124">
        <v>210.1</v>
      </c>
      <c r="H1919" t="s">
        <v>409</v>
      </c>
      <c r="I1919" s="34">
        <v>3</v>
      </c>
    </row>
    <row r="1920" spans="1:9" x14ac:dyDescent="0.3">
      <c r="A1920">
        <v>6</v>
      </c>
      <c r="B1920" t="s">
        <v>239</v>
      </c>
      <c r="C1920" t="s">
        <v>192</v>
      </c>
      <c r="D1920" t="s">
        <v>188</v>
      </c>
      <c r="E1920" t="s">
        <v>182</v>
      </c>
      <c r="F1920" s="57" t="s">
        <v>147</v>
      </c>
      <c r="G1920" s="124">
        <v>205</v>
      </c>
      <c r="H1920" t="s">
        <v>410</v>
      </c>
      <c r="I1920" s="34">
        <v>6</v>
      </c>
    </row>
    <row r="1921" spans="1:9" x14ac:dyDescent="0.3">
      <c r="A1921">
        <v>12</v>
      </c>
      <c r="B1921" t="s">
        <v>239</v>
      </c>
      <c r="C1921" t="s">
        <v>192</v>
      </c>
      <c r="D1921" t="s">
        <v>195</v>
      </c>
      <c r="E1921" t="s">
        <v>182</v>
      </c>
      <c r="F1921" s="57" t="s">
        <v>147</v>
      </c>
      <c r="G1921" s="124">
        <v>205</v>
      </c>
      <c r="H1921" t="s">
        <v>411</v>
      </c>
      <c r="I1921" s="34">
        <v>12</v>
      </c>
    </row>
    <row r="1922" spans="1:9" x14ac:dyDescent="0.3">
      <c r="A1922">
        <v>1</v>
      </c>
      <c r="B1922" t="s">
        <v>239</v>
      </c>
      <c r="C1922" t="s">
        <v>192</v>
      </c>
      <c r="D1922" t="s">
        <v>188</v>
      </c>
      <c r="E1922" s="1" t="s">
        <v>182</v>
      </c>
      <c r="F1922" s="31" t="s">
        <v>147</v>
      </c>
      <c r="G1922" s="124">
        <v>200</v>
      </c>
      <c r="H1922" t="s">
        <v>410</v>
      </c>
      <c r="I1922" s="34">
        <v>1</v>
      </c>
    </row>
    <row r="1923" spans="1:9" x14ac:dyDescent="0.3">
      <c r="A1923">
        <v>9</v>
      </c>
      <c r="B1923" t="s">
        <v>239</v>
      </c>
      <c r="C1923" t="s">
        <v>192</v>
      </c>
      <c r="D1923" t="s">
        <v>195</v>
      </c>
      <c r="E1923" t="s">
        <v>182</v>
      </c>
      <c r="F1923" s="57" t="s">
        <v>147</v>
      </c>
      <c r="G1923" s="124">
        <v>199</v>
      </c>
      <c r="H1923" t="s">
        <v>411</v>
      </c>
      <c r="I1923" s="34">
        <v>9</v>
      </c>
    </row>
    <row r="1924" spans="1:9" x14ac:dyDescent="0.3">
      <c r="A1924">
        <v>6</v>
      </c>
      <c r="B1924" t="s">
        <v>239</v>
      </c>
      <c r="C1924" t="s">
        <v>192</v>
      </c>
      <c r="D1924" t="s">
        <v>195</v>
      </c>
      <c r="E1924" t="s">
        <v>182</v>
      </c>
      <c r="F1924" s="57" t="s">
        <v>147</v>
      </c>
      <c r="G1924" s="124">
        <v>194</v>
      </c>
      <c r="H1924" t="s">
        <v>411</v>
      </c>
      <c r="I1924" s="34">
        <v>6</v>
      </c>
    </row>
    <row r="1925" spans="1:9" x14ac:dyDescent="0.3">
      <c r="A1925">
        <v>4</v>
      </c>
      <c r="B1925" t="s">
        <v>239</v>
      </c>
      <c r="C1925" t="s">
        <v>192</v>
      </c>
      <c r="D1925" t="s">
        <v>188</v>
      </c>
      <c r="E1925" s="1" t="s">
        <v>182</v>
      </c>
      <c r="F1925" s="31" t="s">
        <v>147</v>
      </c>
      <c r="G1925" s="124">
        <v>193</v>
      </c>
      <c r="H1925" t="s">
        <v>410</v>
      </c>
      <c r="I1925" s="34">
        <v>4</v>
      </c>
    </row>
    <row r="1926" spans="1:9" x14ac:dyDescent="0.3">
      <c r="A1926">
        <v>3</v>
      </c>
      <c r="B1926" t="s">
        <v>239</v>
      </c>
      <c r="C1926" t="s">
        <v>192</v>
      </c>
      <c r="D1926" t="s">
        <v>195</v>
      </c>
      <c r="E1926" s="1" t="s">
        <v>182</v>
      </c>
      <c r="F1926" s="32" t="s">
        <v>147</v>
      </c>
      <c r="G1926" s="124">
        <v>191</v>
      </c>
      <c r="H1926" t="s">
        <v>411</v>
      </c>
      <c r="I1926" s="34">
        <v>3</v>
      </c>
    </row>
    <row r="1927" spans="1:9" x14ac:dyDescent="0.3">
      <c r="A1927">
        <v>4</v>
      </c>
      <c r="B1927" t="s">
        <v>239</v>
      </c>
      <c r="C1927" t="s">
        <v>192</v>
      </c>
      <c r="D1927" t="s">
        <v>195</v>
      </c>
      <c r="E1927" s="1" t="s">
        <v>182</v>
      </c>
      <c r="F1927" s="31" t="s">
        <v>147</v>
      </c>
      <c r="G1927" s="124">
        <v>191</v>
      </c>
      <c r="H1927" t="s">
        <v>411</v>
      </c>
      <c r="I1927" s="34">
        <v>4</v>
      </c>
    </row>
    <row r="1928" spans="1:9" x14ac:dyDescent="0.3">
      <c r="A1928">
        <v>1</v>
      </c>
      <c r="B1928" t="s">
        <v>239</v>
      </c>
      <c r="C1928" t="s">
        <v>192</v>
      </c>
      <c r="D1928" t="s">
        <v>195</v>
      </c>
      <c r="E1928" s="1" t="s">
        <v>182</v>
      </c>
      <c r="F1928" s="31" t="s">
        <v>147</v>
      </c>
      <c r="G1928" s="124">
        <v>190</v>
      </c>
      <c r="H1928" t="s">
        <v>411</v>
      </c>
      <c r="I1928" s="34">
        <v>1</v>
      </c>
    </row>
    <row r="1929" spans="1:9" x14ac:dyDescent="0.3">
      <c r="A1929">
        <v>2</v>
      </c>
      <c r="B1929" t="s">
        <v>239</v>
      </c>
      <c r="C1929" t="s">
        <v>192</v>
      </c>
      <c r="D1929" t="s">
        <v>188</v>
      </c>
      <c r="E1929" s="1" t="s">
        <v>182</v>
      </c>
      <c r="F1929" s="31" t="s">
        <v>147</v>
      </c>
      <c r="G1929" s="124">
        <v>185</v>
      </c>
      <c r="H1929" t="s">
        <v>410</v>
      </c>
      <c r="I1929" s="34">
        <v>2</v>
      </c>
    </row>
    <row r="1930" spans="1:9" x14ac:dyDescent="0.3">
      <c r="A1930">
        <v>2</v>
      </c>
      <c r="B1930" t="s">
        <v>239</v>
      </c>
      <c r="C1930" t="s">
        <v>192</v>
      </c>
      <c r="D1930" t="s">
        <v>195</v>
      </c>
      <c r="E1930" s="1" t="s">
        <v>182</v>
      </c>
      <c r="F1930" s="31" t="s">
        <v>147</v>
      </c>
      <c r="G1930" s="124">
        <v>179</v>
      </c>
      <c r="H1930" t="s">
        <v>411</v>
      </c>
      <c r="I1930" s="34">
        <v>2</v>
      </c>
    </row>
    <row r="1931" spans="1:9" x14ac:dyDescent="0.3">
      <c r="A1931">
        <v>4</v>
      </c>
      <c r="B1931" t="s">
        <v>239</v>
      </c>
      <c r="C1931" t="s">
        <v>191</v>
      </c>
      <c r="D1931" t="s">
        <v>188</v>
      </c>
      <c r="E1931" s="1" t="s">
        <v>184</v>
      </c>
      <c r="F1931" s="31" t="s">
        <v>152</v>
      </c>
      <c r="G1931" s="124">
        <v>1950</v>
      </c>
      <c r="H1931" t="s">
        <v>412</v>
      </c>
      <c r="I1931" s="34">
        <v>4</v>
      </c>
    </row>
    <row r="1932" spans="1:9" x14ac:dyDescent="0.3">
      <c r="A1932">
        <v>7</v>
      </c>
      <c r="B1932" t="s">
        <v>239</v>
      </c>
      <c r="C1932" t="s">
        <v>191</v>
      </c>
      <c r="D1932" t="s">
        <v>188</v>
      </c>
      <c r="E1932" t="s">
        <v>184</v>
      </c>
      <c r="F1932" s="57" t="s">
        <v>152</v>
      </c>
      <c r="G1932" s="124">
        <v>1930</v>
      </c>
      <c r="H1932" s="53" t="s">
        <v>412</v>
      </c>
      <c r="I1932" s="77">
        <v>7</v>
      </c>
    </row>
    <row r="1933" spans="1:9" x14ac:dyDescent="0.3">
      <c r="A1933">
        <v>12</v>
      </c>
      <c r="B1933" t="s">
        <v>239</v>
      </c>
      <c r="C1933" t="s">
        <v>191</v>
      </c>
      <c r="D1933" t="s">
        <v>188</v>
      </c>
      <c r="E1933" t="s">
        <v>184</v>
      </c>
      <c r="F1933" s="57" t="s">
        <v>152</v>
      </c>
      <c r="G1933" s="124">
        <v>1920</v>
      </c>
      <c r="H1933" t="s">
        <v>412</v>
      </c>
      <c r="I1933" s="34">
        <v>12</v>
      </c>
    </row>
    <row r="1934" spans="1:9" x14ac:dyDescent="0.3">
      <c r="A1934">
        <v>1</v>
      </c>
      <c r="B1934" t="s">
        <v>239</v>
      </c>
      <c r="C1934" t="s">
        <v>191</v>
      </c>
      <c r="D1934" t="s">
        <v>188</v>
      </c>
      <c r="E1934" s="1" t="s">
        <v>184</v>
      </c>
      <c r="F1934" s="32" t="s">
        <v>152</v>
      </c>
      <c r="G1934" s="124">
        <v>1900</v>
      </c>
      <c r="H1934" t="s">
        <v>412</v>
      </c>
      <c r="I1934" s="34">
        <v>1</v>
      </c>
    </row>
    <row r="1935" spans="1:9" x14ac:dyDescent="0.3">
      <c r="A1935">
        <v>5</v>
      </c>
      <c r="B1935" t="s">
        <v>239</v>
      </c>
      <c r="C1935" t="s">
        <v>191</v>
      </c>
      <c r="D1935" t="s">
        <v>188</v>
      </c>
      <c r="E1935" t="s">
        <v>184</v>
      </c>
      <c r="F1935" s="57" t="s">
        <v>152</v>
      </c>
      <c r="G1935" s="124">
        <v>1900</v>
      </c>
      <c r="H1935" t="s">
        <v>412</v>
      </c>
      <c r="I1935" s="34">
        <v>5</v>
      </c>
    </row>
    <row r="1936" spans="1:9" x14ac:dyDescent="0.3">
      <c r="A1936">
        <v>8</v>
      </c>
      <c r="B1936" t="s">
        <v>239</v>
      </c>
      <c r="C1936" t="s">
        <v>191</v>
      </c>
      <c r="D1936" t="s">
        <v>188</v>
      </c>
      <c r="E1936" t="s">
        <v>184</v>
      </c>
      <c r="F1936" s="57" t="s">
        <v>152</v>
      </c>
      <c r="G1936" s="124">
        <v>1860</v>
      </c>
      <c r="H1936" s="53" t="s">
        <v>412</v>
      </c>
      <c r="I1936" s="77">
        <v>8</v>
      </c>
    </row>
    <row r="1937" spans="1:9" x14ac:dyDescent="0.3">
      <c r="A1937">
        <v>6</v>
      </c>
      <c r="B1937" t="s">
        <v>239</v>
      </c>
      <c r="C1937" t="s">
        <v>191</v>
      </c>
      <c r="D1937" t="s">
        <v>188</v>
      </c>
      <c r="E1937" t="s">
        <v>184</v>
      </c>
      <c r="F1937" s="57" t="s">
        <v>152</v>
      </c>
      <c r="G1937" s="124">
        <v>1850</v>
      </c>
      <c r="H1937" t="s">
        <v>412</v>
      </c>
      <c r="I1937" s="34">
        <v>6</v>
      </c>
    </row>
    <row r="1938" spans="1:9" x14ac:dyDescent="0.3">
      <c r="A1938">
        <v>3</v>
      </c>
      <c r="B1938" t="s">
        <v>239</v>
      </c>
      <c r="C1938" t="s">
        <v>191</v>
      </c>
      <c r="D1938" t="s">
        <v>188</v>
      </c>
      <c r="E1938" s="1" t="s">
        <v>184</v>
      </c>
      <c r="F1938" s="54" t="s">
        <v>152</v>
      </c>
      <c r="G1938" s="124">
        <v>1830</v>
      </c>
      <c r="H1938" t="s">
        <v>412</v>
      </c>
      <c r="I1938" s="34">
        <v>3</v>
      </c>
    </row>
    <row r="1939" spans="1:9" x14ac:dyDescent="0.3">
      <c r="A1939">
        <v>10</v>
      </c>
      <c r="B1939" t="s">
        <v>239</v>
      </c>
      <c r="C1939" t="s">
        <v>191</v>
      </c>
      <c r="D1939" t="s">
        <v>188</v>
      </c>
      <c r="E1939" t="s">
        <v>184</v>
      </c>
      <c r="F1939" s="57" t="s">
        <v>152</v>
      </c>
      <c r="G1939" s="124">
        <v>1790</v>
      </c>
      <c r="H1939" t="s">
        <v>412</v>
      </c>
      <c r="I1939" s="34">
        <v>10</v>
      </c>
    </row>
    <row r="1940" spans="1:9" x14ac:dyDescent="0.3">
      <c r="A1940">
        <v>9</v>
      </c>
      <c r="B1940" t="s">
        <v>239</v>
      </c>
      <c r="C1940" t="s">
        <v>191</v>
      </c>
      <c r="D1940" t="s">
        <v>188</v>
      </c>
      <c r="E1940" t="s">
        <v>184</v>
      </c>
      <c r="F1940" s="57" t="s">
        <v>152</v>
      </c>
      <c r="G1940" s="124">
        <v>1780</v>
      </c>
      <c r="H1940" t="s">
        <v>412</v>
      </c>
      <c r="I1940" s="34">
        <v>9</v>
      </c>
    </row>
    <row r="1941" spans="1:9" x14ac:dyDescent="0.3">
      <c r="A1941" s="53">
        <v>11</v>
      </c>
      <c r="B1941" t="s">
        <v>239</v>
      </c>
      <c r="C1941" s="53" t="s">
        <v>191</v>
      </c>
      <c r="D1941" s="53" t="s">
        <v>188</v>
      </c>
      <c r="E1941" s="53" t="s">
        <v>184</v>
      </c>
      <c r="F1941" s="57" t="s">
        <v>152</v>
      </c>
      <c r="G1941" s="124">
        <v>1740</v>
      </c>
      <c r="H1941" t="s">
        <v>412</v>
      </c>
      <c r="I1941" s="34">
        <v>11</v>
      </c>
    </row>
    <row r="1942" spans="1:9" x14ac:dyDescent="0.3">
      <c r="A1942">
        <v>2</v>
      </c>
      <c r="B1942" t="s">
        <v>239</v>
      </c>
      <c r="C1942" t="s">
        <v>191</v>
      </c>
      <c r="D1942" t="s">
        <v>188</v>
      </c>
      <c r="E1942" s="1" t="s">
        <v>184</v>
      </c>
      <c r="F1942" s="32" t="s">
        <v>152</v>
      </c>
      <c r="G1942" s="124">
        <v>1730</v>
      </c>
      <c r="H1942" t="s">
        <v>412</v>
      </c>
      <c r="I1942" s="34">
        <v>2</v>
      </c>
    </row>
    <row r="1943" spans="1:9" x14ac:dyDescent="0.3">
      <c r="A1943">
        <v>7</v>
      </c>
      <c r="B1943" t="s">
        <v>239</v>
      </c>
      <c r="C1943" t="s">
        <v>191</v>
      </c>
      <c r="D1943" t="s">
        <v>195</v>
      </c>
      <c r="E1943" t="s">
        <v>184</v>
      </c>
      <c r="F1943" s="57" t="s">
        <v>152</v>
      </c>
      <c r="G1943" s="124">
        <v>1040</v>
      </c>
      <c r="H1943" t="s">
        <v>413</v>
      </c>
      <c r="I1943" s="34">
        <v>7</v>
      </c>
    </row>
    <row r="1944" spans="1:9" x14ac:dyDescent="0.3">
      <c r="A1944">
        <v>5</v>
      </c>
      <c r="B1944" t="s">
        <v>239</v>
      </c>
      <c r="C1944" t="s">
        <v>191</v>
      </c>
      <c r="D1944" t="s">
        <v>195</v>
      </c>
      <c r="E1944" t="s">
        <v>184</v>
      </c>
      <c r="F1944" s="57" t="s">
        <v>152</v>
      </c>
      <c r="G1944" s="124">
        <v>1030</v>
      </c>
      <c r="H1944" t="s">
        <v>413</v>
      </c>
      <c r="I1944" s="34">
        <v>5</v>
      </c>
    </row>
    <row r="1945" spans="1:9" x14ac:dyDescent="0.3">
      <c r="A1945">
        <v>12</v>
      </c>
      <c r="B1945" t="s">
        <v>239</v>
      </c>
      <c r="C1945" t="s">
        <v>191</v>
      </c>
      <c r="D1945" t="s">
        <v>195</v>
      </c>
      <c r="E1945" t="s">
        <v>184</v>
      </c>
      <c r="F1945" s="57" t="s">
        <v>152</v>
      </c>
      <c r="G1945" s="124">
        <v>1030</v>
      </c>
      <c r="H1945" t="s">
        <v>413</v>
      </c>
      <c r="I1945" s="34">
        <v>12</v>
      </c>
    </row>
    <row r="1946" spans="1:9" x14ac:dyDescent="0.3">
      <c r="A1946">
        <v>8</v>
      </c>
      <c r="B1946" t="s">
        <v>239</v>
      </c>
      <c r="C1946" t="s">
        <v>191</v>
      </c>
      <c r="D1946" t="s">
        <v>195</v>
      </c>
      <c r="E1946" t="s">
        <v>184</v>
      </c>
      <c r="F1946" s="57" t="s">
        <v>152</v>
      </c>
      <c r="G1946" s="124">
        <v>980</v>
      </c>
      <c r="H1946" t="s">
        <v>413</v>
      </c>
      <c r="I1946" s="34">
        <v>8</v>
      </c>
    </row>
    <row r="1947" spans="1:9" x14ac:dyDescent="0.3">
      <c r="A1947">
        <v>9</v>
      </c>
      <c r="B1947" t="s">
        <v>239</v>
      </c>
      <c r="C1947" t="s">
        <v>191</v>
      </c>
      <c r="D1947" t="s">
        <v>195</v>
      </c>
      <c r="E1947" t="s">
        <v>184</v>
      </c>
      <c r="F1947" s="57" t="s">
        <v>152</v>
      </c>
      <c r="G1947" s="124">
        <v>970</v>
      </c>
      <c r="H1947" t="s">
        <v>413</v>
      </c>
      <c r="I1947" s="34">
        <v>9</v>
      </c>
    </row>
    <row r="1948" spans="1:9" x14ac:dyDescent="0.3">
      <c r="A1948">
        <v>1</v>
      </c>
      <c r="B1948" t="s">
        <v>239</v>
      </c>
      <c r="C1948" t="s">
        <v>191</v>
      </c>
      <c r="D1948" t="s">
        <v>195</v>
      </c>
      <c r="E1948" s="1" t="s">
        <v>184</v>
      </c>
      <c r="F1948" s="32" t="s">
        <v>152</v>
      </c>
      <c r="G1948" s="124">
        <v>960</v>
      </c>
      <c r="H1948" t="s">
        <v>413</v>
      </c>
      <c r="I1948" s="34">
        <v>1</v>
      </c>
    </row>
    <row r="1949" spans="1:9" x14ac:dyDescent="0.3">
      <c r="A1949">
        <v>4</v>
      </c>
      <c r="B1949" t="s">
        <v>239</v>
      </c>
      <c r="C1949" t="s">
        <v>191</v>
      </c>
      <c r="D1949" t="s">
        <v>195</v>
      </c>
      <c r="E1949" s="1" t="s">
        <v>184</v>
      </c>
      <c r="F1949" s="31" t="s">
        <v>152</v>
      </c>
      <c r="G1949" s="124">
        <v>960</v>
      </c>
      <c r="H1949" t="s">
        <v>413</v>
      </c>
      <c r="I1949" s="34">
        <v>4</v>
      </c>
    </row>
    <row r="1950" spans="1:9" x14ac:dyDescent="0.3">
      <c r="A1950">
        <v>6</v>
      </c>
      <c r="B1950" t="s">
        <v>239</v>
      </c>
      <c r="C1950" t="s">
        <v>191</v>
      </c>
      <c r="D1950" t="s">
        <v>195</v>
      </c>
      <c r="E1950" t="s">
        <v>184</v>
      </c>
      <c r="F1950" s="57" t="s">
        <v>152</v>
      </c>
      <c r="G1950" s="124">
        <v>910</v>
      </c>
      <c r="H1950" t="s">
        <v>413</v>
      </c>
      <c r="I1950" s="34">
        <v>6</v>
      </c>
    </row>
    <row r="1951" spans="1:9" x14ac:dyDescent="0.3">
      <c r="A1951">
        <v>10</v>
      </c>
      <c r="B1951" t="s">
        <v>239</v>
      </c>
      <c r="C1951" t="s">
        <v>191</v>
      </c>
      <c r="D1951" t="s">
        <v>195</v>
      </c>
      <c r="E1951" t="s">
        <v>184</v>
      </c>
      <c r="F1951" s="57" t="s">
        <v>152</v>
      </c>
      <c r="G1951" s="124">
        <v>900</v>
      </c>
      <c r="H1951" t="s">
        <v>413</v>
      </c>
      <c r="I1951" s="34">
        <v>10</v>
      </c>
    </row>
    <row r="1952" spans="1:9" x14ac:dyDescent="0.3">
      <c r="A1952" s="53">
        <v>11</v>
      </c>
      <c r="B1952" t="s">
        <v>239</v>
      </c>
      <c r="C1952" s="53" t="s">
        <v>191</v>
      </c>
      <c r="D1952" s="53" t="s">
        <v>195</v>
      </c>
      <c r="E1952" s="53" t="s">
        <v>184</v>
      </c>
      <c r="F1952" s="57" t="s">
        <v>152</v>
      </c>
      <c r="G1952" s="124">
        <v>900</v>
      </c>
      <c r="H1952" t="s">
        <v>413</v>
      </c>
      <c r="I1952" s="34">
        <v>11</v>
      </c>
    </row>
    <row r="1953" spans="1:9" x14ac:dyDescent="0.3">
      <c r="A1953">
        <v>2</v>
      </c>
      <c r="B1953" t="s">
        <v>239</v>
      </c>
      <c r="C1953" t="s">
        <v>191</v>
      </c>
      <c r="D1953" t="s">
        <v>195</v>
      </c>
      <c r="E1953" s="1" t="s">
        <v>184</v>
      </c>
      <c r="F1953" s="32" t="s">
        <v>152</v>
      </c>
      <c r="G1953" s="124">
        <v>870</v>
      </c>
      <c r="H1953" t="s">
        <v>413</v>
      </c>
      <c r="I1953" s="34">
        <v>2</v>
      </c>
    </row>
    <row r="1954" spans="1:9" x14ac:dyDescent="0.3">
      <c r="A1954">
        <v>3</v>
      </c>
      <c r="B1954" t="s">
        <v>239</v>
      </c>
      <c r="C1954" t="s">
        <v>191</v>
      </c>
      <c r="D1954" t="s">
        <v>195</v>
      </c>
      <c r="E1954" s="1" t="s">
        <v>184</v>
      </c>
      <c r="F1954" s="54" t="s">
        <v>152</v>
      </c>
      <c r="G1954" s="124">
        <v>820</v>
      </c>
      <c r="H1954" t="s">
        <v>413</v>
      </c>
      <c r="I1954" s="34">
        <v>3</v>
      </c>
    </row>
    <row r="1955" spans="1:9" x14ac:dyDescent="0.3">
      <c r="A1955">
        <v>8</v>
      </c>
      <c r="B1955" t="s">
        <v>239</v>
      </c>
      <c r="C1955" t="s">
        <v>193</v>
      </c>
      <c r="D1955" t="s">
        <v>188</v>
      </c>
      <c r="E1955" t="s">
        <v>184</v>
      </c>
      <c r="F1955" s="57" t="s">
        <v>152</v>
      </c>
      <c r="G1955" s="124">
        <v>791.04</v>
      </c>
      <c r="H1955" s="53" t="s">
        <v>414</v>
      </c>
      <c r="I1955" s="77">
        <v>8</v>
      </c>
    </row>
    <row r="1956" spans="1:9" x14ac:dyDescent="0.3">
      <c r="A1956">
        <v>7</v>
      </c>
      <c r="B1956" t="s">
        <v>239</v>
      </c>
      <c r="C1956" t="s">
        <v>193</v>
      </c>
      <c r="D1956" t="s">
        <v>188</v>
      </c>
      <c r="E1956" t="s">
        <v>184</v>
      </c>
      <c r="F1956" s="57" t="s">
        <v>152</v>
      </c>
      <c r="G1956" s="124">
        <v>749.71</v>
      </c>
      <c r="H1956" t="s">
        <v>414</v>
      </c>
      <c r="I1956" s="34">
        <v>7</v>
      </c>
    </row>
    <row r="1957" spans="1:9" x14ac:dyDescent="0.3">
      <c r="A1957">
        <v>5</v>
      </c>
      <c r="B1957" t="s">
        <v>239</v>
      </c>
      <c r="C1957" t="s">
        <v>193</v>
      </c>
      <c r="D1957" t="s">
        <v>188</v>
      </c>
      <c r="E1957" t="s">
        <v>184</v>
      </c>
      <c r="F1957" s="57" t="s">
        <v>152</v>
      </c>
      <c r="G1957" s="124">
        <v>687.21</v>
      </c>
      <c r="H1957" t="s">
        <v>414</v>
      </c>
      <c r="I1957" s="34">
        <v>5</v>
      </c>
    </row>
    <row r="1958" spans="1:9" x14ac:dyDescent="0.3">
      <c r="A1958">
        <v>12</v>
      </c>
      <c r="B1958" t="s">
        <v>239</v>
      </c>
      <c r="C1958" t="s">
        <v>193</v>
      </c>
      <c r="D1958" t="s">
        <v>188</v>
      </c>
      <c r="E1958" t="s">
        <v>184</v>
      </c>
      <c r="F1958" s="57" t="s">
        <v>152</v>
      </c>
      <c r="G1958" s="124">
        <v>670.74</v>
      </c>
      <c r="H1958" s="53" t="s">
        <v>414</v>
      </c>
      <c r="I1958" s="77">
        <v>12</v>
      </c>
    </row>
    <row r="1959" spans="1:9" x14ac:dyDescent="0.3">
      <c r="A1959">
        <v>4</v>
      </c>
      <c r="B1959" t="s">
        <v>239</v>
      </c>
      <c r="C1959" t="s">
        <v>193</v>
      </c>
      <c r="D1959" t="s">
        <v>188</v>
      </c>
      <c r="E1959" s="1" t="s">
        <v>184</v>
      </c>
      <c r="F1959" s="54" t="s">
        <v>152</v>
      </c>
      <c r="G1959" s="124">
        <v>649.22</v>
      </c>
      <c r="H1959" t="s">
        <v>414</v>
      </c>
      <c r="I1959" s="34">
        <v>4</v>
      </c>
    </row>
    <row r="1960" spans="1:9" x14ac:dyDescent="0.3">
      <c r="A1960">
        <v>10</v>
      </c>
      <c r="B1960" t="s">
        <v>239</v>
      </c>
      <c r="C1960" t="s">
        <v>193</v>
      </c>
      <c r="D1960" t="s">
        <v>188</v>
      </c>
      <c r="E1960" t="s">
        <v>184</v>
      </c>
      <c r="F1960" s="57" t="s">
        <v>152</v>
      </c>
      <c r="G1960" s="124">
        <v>646.77</v>
      </c>
      <c r="H1960" t="s">
        <v>414</v>
      </c>
      <c r="I1960" s="34">
        <v>10</v>
      </c>
    </row>
    <row r="1961" spans="1:9" x14ac:dyDescent="0.3">
      <c r="A1961">
        <v>6</v>
      </c>
      <c r="B1961" t="s">
        <v>239</v>
      </c>
      <c r="C1961" t="s">
        <v>193</v>
      </c>
      <c r="D1961" t="s">
        <v>188</v>
      </c>
      <c r="E1961" t="s">
        <v>184</v>
      </c>
      <c r="F1961" s="57" t="s">
        <v>152</v>
      </c>
      <c r="G1961" s="124">
        <v>640.05999999999995</v>
      </c>
      <c r="H1961" s="53" t="s">
        <v>414</v>
      </c>
      <c r="I1961" s="77">
        <v>6</v>
      </c>
    </row>
    <row r="1962" spans="1:9" x14ac:dyDescent="0.3">
      <c r="A1962">
        <v>9</v>
      </c>
      <c r="B1962" t="s">
        <v>239</v>
      </c>
      <c r="C1962" t="s">
        <v>193</v>
      </c>
      <c r="D1962" t="s">
        <v>188</v>
      </c>
      <c r="E1962" t="s">
        <v>184</v>
      </c>
      <c r="F1962" s="57" t="s">
        <v>152</v>
      </c>
      <c r="G1962" s="124">
        <v>636.96</v>
      </c>
      <c r="H1962" t="s">
        <v>414</v>
      </c>
      <c r="I1962" s="34">
        <v>9</v>
      </c>
    </row>
    <row r="1963" spans="1:9" x14ac:dyDescent="0.3">
      <c r="A1963">
        <v>1</v>
      </c>
      <c r="B1963" t="s">
        <v>239</v>
      </c>
      <c r="C1963" t="s">
        <v>193</v>
      </c>
      <c r="D1963" t="s">
        <v>188</v>
      </c>
      <c r="E1963" s="1" t="s">
        <v>184</v>
      </c>
      <c r="F1963" s="31" t="s">
        <v>152</v>
      </c>
      <c r="G1963" s="124">
        <v>618.95000000000005</v>
      </c>
      <c r="H1963" t="s">
        <v>414</v>
      </c>
      <c r="I1963" s="34">
        <v>1</v>
      </c>
    </row>
    <row r="1964" spans="1:9" x14ac:dyDescent="0.3">
      <c r="A1964" s="53">
        <v>11</v>
      </c>
      <c r="B1964" t="s">
        <v>239</v>
      </c>
      <c r="C1964" s="53" t="s">
        <v>193</v>
      </c>
      <c r="D1964" s="53" t="s">
        <v>188</v>
      </c>
      <c r="E1964" s="53" t="s">
        <v>184</v>
      </c>
      <c r="F1964" s="57" t="s">
        <v>152</v>
      </c>
      <c r="G1964" s="124">
        <v>605.37032258064505</v>
      </c>
      <c r="H1964" t="s">
        <v>414</v>
      </c>
      <c r="I1964" s="34">
        <v>11</v>
      </c>
    </row>
    <row r="1965" spans="1:9" x14ac:dyDescent="0.3">
      <c r="A1965">
        <v>3</v>
      </c>
      <c r="B1965" t="s">
        <v>239</v>
      </c>
      <c r="C1965" t="s">
        <v>193</v>
      </c>
      <c r="D1965" t="s">
        <v>188</v>
      </c>
      <c r="E1965" s="1" t="s">
        <v>184</v>
      </c>
      <c r="F1965" s="54" t="s">
        <v>152</v>
      </c>
      <c r="G1965" s="124">
        <v>604.14</v>
      </c>
      <c r="H1965" t="s">
        <v>414</v>
      </c>
      <c r="I1965" s="34">
        <v>3</v>
      </c>
    </row>
    <row r="1966" spans="1:9" x14ac:dyDescent="0.3">
      <c r="A1966">
        <v>2</v>
      </c>
      <c r="B1966" t="s">
        <v>239</v>
      </c>
      <c r="C1966" t="s">
        <v>193</v>
      </c>
      <c r="D1966" t="s">
        <v>188</v>
      </c>
      <c r="E1966" s="1" t="s">
        <v>184</v>
      </c>
      <c r="F1966" s="54" t="s">
        <v>152</v>
      </c>
      <c r="G1966" s="124">
        <v>589.91999999999996</v>
      </c>
      <c r="H1966" t="s">
        <v>414</v>
      </c>
      <c r="I1966" s="34">
        <v>2</v>
      </c>
    </row>
    <row r="1967" spans="1:9" x14ac:dyDescent="0.3">
      <c r="A1967">
        <v>8</v>
      </c>
      <c r="B1967" t="s">
        <v>239</v>
      </c>
      <c r="C1967" t="s">
        <v>192</v>
      </c>
      <c r="D1967" t="s">
        <v>188</v>
      </c>
      <c r="E1967" t="s">
        <v>184</v>
      </c>
      <c r="F1967" s="57" t="s">
        <v>152</v>
      </c>
      <c r="G1967" s="124">
        <v>425.29032258064518</v>
      </c>
      <c r="H1967" s="53" t="s">
        <v>415</v>
      </c>
      <c r="I1967" s="77">
        <v>8</v>
      </c>
    </row>
    <row r="1968" spans="1:9" x14ac:dyDescent="0.3">
      <c r="A1968">
        <v>8</v>
      </c>
      <c r="B1968" t="s">
        <v>239</v>
      </c>
      <c r="C1968" t="s">
        <v>192</v>
      </c>
      <c r="D1968" t="s">
        <v>195</v>
      </c>
      <c r="E1968" t="s">
        <v>184</v>
      </c>
      <c r="F1968" s="57" t="s">
        <v>152</v>
      </c>
      <c r="G1968" s="124">
        <v>421.20408163265307</v>
      </c>
      <c r="H1968" t="s">
        <v>416</v>
      </c>
      <c r="I1968" s="34">
        <v>8</v>
      </c>
    </row>
    <row r="1969" spans="1:9" x14ac:dyDescent="0.3">
      <c r="A1969">
        <v>8</v>
      </c>
      <c r="B1969" t="s">
        <v>239</v>
      </c>
      <c r="C1969" t="s">
        <v>193</v>
      </c>
      <c r="D1969" t="s">
        <v>195</v>
      </c>
      <c r="E1969" t="s">
        <v>184</v>
      </c>
      <c r="F1969" s="57" t="s">
        <v>152</v>
      </c>
      <c r="G1969" s="124">
        <v>412.78</v>
      </c>
      <c r="H1969" t="s">
        <v>417</v>
      </c>
      <c r="I1969" s="34">
        <v>8</v>
      </c>
    </row>
    <row r="1970" spans="1:9" x14ac:dyDescent="0.3">
      <c r="A1970">
        <v>7</v>
      </c>
      <c r="B1970" t="s">
        <v>239</v>
      </c>
      <c r="C1970" t="s">
        <v>193</v>
      </c>
      <c r="D1970" t="s">
        <v>195</v>
      </c>
      <c r="E1970" t="s">
        <v>184</v>
      </c>
      <c r="F1970" s="57" t="s">
        <v>152</v>
      </c>
      <c r="G1970" s="124">
        <v>412.12</v>
      </c>
      <c r="H1970" t="s">
        <v>417</v>
      </c>
      <c r="I1970" s="34">
        <v>7</v>
      </c>
    </row>
    <row r="1971" spans="1:9" x14ac:dyDescent="0.3">
      <c r="A1971">
        <v>7</v>
      </c>
      <c r="B1971" t="s">
        <v>239</v>
      </c>
      <c r="C1971" t="s">
        <v>192</v>
      </c>
      <c r="D1971" t="s">
        <v>195</v>
      </c>
      <c r="E1971" t="s">
        <v>184</v>
      </c>
      <c r="F1971" s="57" t="s">
        <v>152</v>
      </c>
      <c r="G1971" s="124">
        <v>396.26923076923077</v>
      </c>
      <c r="H1971" t="s">
        <v>416</v>
      </c>
      <c r="I1971" s="34">
        <v>7</v>
      </c>
    </row>
    <row r="1972" spans="1:9" x14ac:dyDescent="0.3">
      <c r="A1972">
        <v>7</v>
      </c>
      <c r="B1972" t="s">
        <v>239</v>
      </c>
      <c r="C1972" t="s">
        <v>192</v>
      </c>
      <c r="D1972" t="s">
        <v>188</v>
      </c>
      <c r="E1972" t="s">
        <v>184</v>
      </c>
      <c r="F1972" s="57" t="s">
        <v>152</v>
      </c>
      <c r="G1972" s="124">
        <v>388.45077720207252</v>
      </c>
      <c r="H1972" t="s">
        <v>415</v>
      </c>
      <c r="I1972" s="34">
        <v>7</v>
      </c>
    </row>
    <row r="1973" spans="1:9" x14ac:dyDescent="0.3">
      <c r="A1973">
        <v>5</v>
      </c>
      <c r="B1973" t="s">
        <v>239</v>
      </c>
      <c r="C1973" t="s">
        <v>193</v>
      </c>
      <c r="D1973" t="s">
        <v>195</v>
      </c>
      <c r="E1973" t="s">
        <v>184</v>
      </c>
      <c r="F1973" s="57" t="s">
        <v>152</v>
      </c>
      <c r="G1973" s="124">
        <v>371.15</v>
      </c>
      <c r="H1973" t="s">
        <v>417</v>
      </c>
      <c r="I1973" s="34">
        <v>5</v>
      </c>
    </row>
    <row r="1974" spans="1:9" x14ac:dyDescent="0.3">
      <c r="A1974">
        <v>10</v>
      </c>
      <c r="B1974" t="s">
        <v>239</v>
      </c>
      <c r="C1974" t="s">
        <v>192</v>
      </c>
      <c r="D1974" t="s">
        <v>195</v>
      </c>
      <c r="E1974" t="s">
        <v>184</v>
      </c>
      <c r="F1974" s="57" t="s">
        <v>152</v>
      </c>
      <c r="G1974" s="124">
        <v>362.24444444444447</v>
      </c>
      <c r="H1974" t="s">
        <v>416</v>
      </c>
      <c r="I1974" s="34">
        <v>10</v>
      </c>
    </row>
    <row r="1975" spans="1:9" x14ac:dyDescent="0.3">
      <c r="A1975">
        <v>5</v>
      </c>
      <c r="B1975" t="s">
        <v>239</v>
      </c>
      <c r="C1975" t="s">
        <v>192</v>
      </c>
      <c r="D1975" t="s">
        <v>188</v>
      </c>
      <c r="E1975" t="s">
        <v>184</v>
      </c>
      <c r="F1975" s="57" t="s">
        <v>152</v>
      </c>
      <c r="G1975" s="124">
        <v>361.68947368421055</v>
      </c>
      <c r="H1975" t="s">
        <v>415</v>
      </c>
      <c r="I1975" s="34">
        <v>5</v>
      </c>
    </row>
    <row r="1976" spans="1:9" x14ac:dyDescent="0.3">
      <c r="A1976">
        <v>10</v>
      </c>
      <c r="B1976" t="s">
        <v>239</v>
      </c>
      <c r="C1976" t="s">
        <v>192</v>
      </c>
      <c r="D1976" t="s">
        <v>188</v>
      </c>
      <c r="E1976" t="s">
        <v>184</v>
      </c>
      <c r="F1976" s="57" t="s">
        <v>152</v>
      </c>
      <c r="G1976" s="124">
        <v>361.32402234636874</v>
      </c>
      <c r="H1976" t="s">
        <v>415</v>
      </c>
      <c r="I1976" s="34">
        <v>10</v>
      </c>
    </row>
    <row r="1977" spans="1:9" x14ac:dyDescent="0.3">
      <c r="A1977">
        <v>9</v>
      </c>
      <c r="B1977" t="s">
        <v>239</v>
      </c>
      <c r="C1977" t="s">
        <v>192</v>
      </c>
      <c r="D1977" t="s">
        <v>195</v>
      </c>
      <c r="E1977" t="s">
        <v>184</v>
      </c>
      <c r="F1977" s="57" t="s">
        <v>152</v>
      </c>
      <c r="G1977" s="124">
        <v>360.63917525773195</v>
      </c>
      <c r="H1977" t="s">
        <v>416</v>
      </c>
      <c r="I1977" s="34">
        <v>9</v>
      </c>
    </row>
    <row r="1978" spans="1:9" x14ac:dyDescent="0.3">
      <c r="A1978">
        <v>5</v>
      </c>
      <c r="B1978" t="s">
        <v>239</v>
      </c>
      <c r="C1978" t="s">
        <v>192</v>
      </c>
      <c r="D1978" t="s">
        <v>195</v>
      </c>
      <c r="E1978" t="s">
        <v>184</v>
      </c>
      <c r="F1978" s="57" t="s">
        <v>152</v>
      </c>
      <c r="G1978" s="124">
        <v>360.33980582524271</v>
      </c>
      <c r="H1978" t="s">
        <v>416</v>
      </c>
      <c r="I1978" s="34">
        <v>5</v>
      </c>
    </row>
    <row r="1979" spans="1:9" x14ac:dyDescent="0.3">
      <c r="A1979">
        <v>12</v>
      </c>
      <c r="B1979" t="s">
        <v>239</v>
      </c>
      <c r="C1979" t="s">
        <v>193</v>
      </c>
      <c r="D1979" t="s">
        <v>195</v>
      </c>
      <c r="E1979" t="s">
        <v>184</v>
      </c>
      <c r="F1979" s="57" t="s">
        <v>152</v>
      </c>
      <c r="G1979" s="124">
        <v>359.44</v>
      </c>
      <c r="H1979" t="s">
        <v>417</v>
      </c>
      <c r="I1979" s="34">
        <v>12</v>
      </c>
    </row>
    <row r="1980" spans="1:9" x14ac:dyDescent="0.3">
      <c r="A1980">
        <v>9</v>
      </c>
      <c r="B1980" t="s">
        <v>239</v>
      </c>
      <c r="C1980" t="s">
        <v>192</v>
      </c>
      <c r="D1980" t="s">
        <v>188</v>
      </c>
      <c r="E1980" t="s">
        <v>184</v>
      </c>
      <c r="F1980" s="57" t="s">
        <v>152</v>
      </c>
      <c r="G1980" s="124">
        <v>357.84269662921349</v>
      </c>
      <c r="H1980" t="s">
        <v>415</v>
      </c>
      <c r="I1980" s="34">
        <v>9</v>
      </c>
    </row>
    <row r="1981" spans="1:9" x14ac:dyDescent="0.3">
      <c r="A1981" s="53">
        <v>11</v>
      </c>
      <c r="B1981" t="s">
        <v>239</v>
      </c>
      <c r="C1981" s="53" t="s">
        <v>192</v>
      </c>
      <c r="D1981" s="53" t="s">
        <v>195</v>
      </c>
      <c r="E1981" s="53" t="s">
        <v>184</v>
      </c>
      <c r="F1981" s="57" t="s">
        <v>152</v>
      </c>
      <c r="G1981" s="124">
        <v>351.33333333333331</v>
      </c>
      <c r="H1981" t="s">
        <v>416</v>
      </c>
      <c r="I1981" s="34">
        <v>11</v>
      </c>
    </row>
    <row r="1982" spans="1:9" x14ac:dyDescent="0.3">
      <c r="A1982">
        <v>9</v>
      </c>
      <c r="B1982" t="s">
        <v>239</v>
      </c>
      <c r="C1982" t="s">
        <v>193</v>
      </c>
      <c r="D1982" t="s">
        <v>195</v>
      </c>
      <c r="E1982" t="s">
        <v>184</v>
      </c>
      <c r="F1982" s="57" t="s">
        <v>152</v>
      </c>
      <c r="G1982" s="124">
        <v>349.82</v>
      </c>
      <c r="H1982" t="s">
        <v>417</v>
      </c>
      <c r="I1982" s="34">
        <v>9</v>
      </c>
    </row>
    <row r="1983" spans="1:9" x14ac:dyDescent="0.3">
      <c r="A1983">
        <v>12</v>
      </c>
      <c r="B1983" t="s">
        <v>239</v>
      </c>
      <c r="C1983" t="s">
        <v>192</v>
      </c>
      <c r="D1983" t="s">
        <v>188</v>
      </c>
      <c r="E1983" t="s">
        <v>184</v>
      </c>
      <c r="F1983" s="57" t="s">
        <v>152</v>
      </c>
      <c r="G1983" s="124">
        <v>349.34375</v>
      </c>
      <c r="H1983" t="s">
        <v>415</v>
      </c>
      <c r="I1983" s="34">
        <v>12</v>
      </c>
    </row>
    <row r="1984" spans="1:9" x14ac:dyDescent="0.3">
      <c r="A1984">
        <v>12</v>
      </c>
      <c r="B1984" t="s">
        <v>239</v>
      </c>
      <c r="C1984" t="s">
        <v>192</v>
      </c>
      <c r="D1984" t="s">
        <v>195</v>
      </c>
      <c r="E1984" t="s">
        <v>184</v>
      </c>
      <c r="F1984" s="57" t="s">
        <v>152</v>
      </c>
      <c r="G1984" s="124">
        <v>348.97087378640776</v>
      </c>
      <c r="H1984" t="s">
        <v>416</v>
      </c>
      <c r="I1984" s="34">
        <v>12</v>
      </c>
    </row>
    <row r="1985" spans="1:9" x14ac:dyDescent="0.3">
      <c r="A1985" s="53">
        <v>11</v>
      </c>
      <c r="B1985" t="s">
        <v>239</v>
      </c>
      <c r="C1985" s="53" t="s">
        <v>192</v>
      </c>
      <c r="D1985" s="53" t="s">
        <v>188</v>
      </c>
      <c r="E1985" s="53" t="s">
        <v>184</v>
      </c>
      <c r="F1985" s="57" t="s">
        <v>152</v>
      </c>
      <c r="G1985" s="124">
        <v>347.91397849462362</v>
      </c>
      <c r="H1985" s="53" t="s">
        <v>415</v>
      </c>
      <c r="I1985" s="77">
        <v>11</v>
      </c>
    </row>
    <row r="1986" spans="1:9" x14ac:dyDescent="0.3">
      <c r="A1986">
        <v>6</v>
      </c>
      <c r="B1986" t="s">
        <v>239</v>
      </c>
      <c r="C1986" t="s">
        <v>192</v>
      </c>
      <c r="D1986" t="s">
        <v>188</v>
      </c>
      <c r="E1986" t="s">
        <v>184</v>
      </c>
      <c r="F1986" s="57" t="s">
        <v>152</v>
      </c>
      <c r="G1986" s="124">
        <v>345.97837837837835</v>
      </c>
      <c r="H1986" t="s">
        <v>415</v>
      </c>
      <c r="I1986" s="34">
        <v>6</v>
      </c>
    </row>
    <row r="1987" spans="1:9" x14ac:dyDescent="0.3">
      <c r="A1987">
        <v>6</v>
      </c>
      <c r="B1987" t="s">
        <v>239</v>
      </c>
      <c r="C1987" t="s">
        <v>192</v>
      </c>
      <c r="D1987" t="s">
        <v>195</v>
      </c>
      <c r="E1987" t="s">
        <v>184</v>
      </c>
      <c r="F1987" s="57" t="s">
        <v>152</v>
      </c>
      <c r="G1987" s="124">
        <v>342.41758241758242</v>
      </c>
      <c r="H1987" t="s">
        <v>416</v>
      </c>
      <c r="I1987" s="34">
        <v>6</v>
      </c>
    </row>
    <row r="1988" spans="1:9" x14ac:dyDescent="0.3">
      <c r="A1988">
        <v>2</v>
      </c>
      <c r="B1988" t="s">
        <v>239</v>
      </c>
      <c r="C1988" t="s">
        <v>192</v>
      </c>
      <c r="D1988" t="s">
        <v>188</v>
      </c>
      <c r="E1988" s="1" t="s">
        <v>184</v>
      </c>
      <c r="F1988" s="54" t="s">
        <v>152</v>
      </c>
      <c r="G1988" s="124">
        <v>340.99421965317919</v>
      </c>
      <c r="H1988" t="s">
        <v>415</v>
      </c>
      <c r="I1988" s="34">
        <v>2</v>
      </c>
    </row>
    <row r="1989" spans="1:9" x14ac:dyDescent="0.3">
      <c r="A1989">
        <v>4</v>
      </c>
      <c r="B1989" t="s">
        <v>239</v>
      </c>
      <c r="C1989" t="s">
        <v>192</v>
      </c>
      <c r="D1989" t="s">
        <v>188</v>
      </c>
      <c r="E1989" s="1" t="s">
        <v>184</v>
      </c>
      <c r="F1989" s="54" t="s">
        <v>152</v>
      </c>
      <c r="G1989" s="124">
        <v>332.93333333333334</v>
      </c>
      <c r="H1989" t="s">
        <v>415</v>
      </c>
      <c r="I1989" s="34">
        <v>4</v>
      </c>
    </row>
    <row r="1990" spans="1:9" x14ac:dyDescent="0.3">
      <c r="A1990">
        <v>2</v>
      </c>
      <c r="B1990" t="s">
        <v>239</v>
      </c>
      <c r="C1990" t="s">
        <v>192</v>
      </c>
      <c r="D1990" t="s">
        <v>195</v>
      </c>
      <c r="E1990" s="1" t="s">
        <v>184</v>
      </c>
      <c r="F1990" s="54" t="s">
        <v>152</v>
      </c>
      <c r="G1990" s="124">
        <v>331.58620689655174</v>
      </c>
      <c r="H1990" t="s">
        <v>416</v>
      </c>
      <c r="I1990" s="34">
        <v>2</v>
      </c>
    </row>
    <row r="1991" spans="1:9" x14ac:dyDescent="0.3">
      <c r="A1991">
        <v>1</v>
      </c>
      <c r="B1991" t="s">
        <v>239</v>
      </c>
      <c r="C1991" t="s">
        <v>192</v>
      </c>
      <c r="D1991" t="s">
        <v>195</v>
      </c>
      <c r="E1991" s="1" t="s">
        <v>184</v>
      </c>
      <c r="F1991" s="32" t="s">
        <v>152</v>
      </c>
      <c r="G1991" s="124">
        <v>331.08333333333331</v>
      </c>
      <c r="H1991" s="53" t="s">
        <v>416</v>
      </c>
      <c r="I1991" s="77">
        <v>1</v>
      </c>
    </row>
    <row r="1992" spans="1:9" x14ac:dyDescent="0.3">
      <c r="A1992">
        <v>3</v>
      </c>
      <c r="B1992" t="s">
        <v>239</v>
      </c>
      <c r="C1992" t="s">
        <v>192</v>
      </c>
      <c r="D1992" t="s">
        <v>188</v>
      </c>
      <c r="E1992" s="1" t="s">
        <v>184</v>
      </c>
      <c r="F1992" s="54" t="s">
        <v>152</v>
      </c>
      <c r="G1992" s="124">
        <v>330.13114754098359</v>
      </c>
      <c r="H1992" t="s">
        <v>415</v>
      </c>
      <c r="I1992" s="34">
        <v>3</v>
      </c>
    </row>
    <row r="1993" spans="1:9" x14ac:dyDescent="0.3">
      <c r="A1993">
        <v>4</v>
      </c>
      <c r="B1993" t="s">
        <v>239</v>
      </c>
      <c r="C1993" t="s">
        <v>192</v>
      </c>
      <c r="D1993" t="s">
        <v>195</v>
      </c>
      <c r="E1993" s="1" t="s">
        <v>184</v>
      </c>
      <c r="F1993" s="54" t="s">
        <v>152</v>
      </c>
      <c r="G1993" s="124">
        <v>326.33333333333331</v>
      </c>
      <c r="H1993" t="s">
        <v>416</v>
      </c>
      <c r="I1993" s="34">
        <v>4</v>
      </c>
    </row>
    <row r="1994" spans="1:9" x14ac:dyDescent="0.3">
      <c r="A1994">
        <v>10</v>
      </c>
      <c r="B1994" t="s">
        <v>239</v>
      </c>
      <c r="C1994" t="s">
        <v>193</v>
      </c>
      <c r="D1994" t="s">
        <v>195</v>
      </c>
      <c r="E1994" t="s">
        <v>184</v>
      </c>
      <c r="F1994" s="57" t="s">
        <v>152</v>
      </c>
      <c r="G1994" s="124">
        <v>326.02</v>
      </c>
      <c r="H1994" t="s">
        <v>417</v>
      </c>
      <c r="I1994" s="34">
        <v>10</v>
      </c>
    </row>
    <row r="1995" spans="1:9" x14ac:dyDescent="0.3">
      <c r="A1995">
        <v>1</v>
      </c>
      <c r="B1995" t="s">
        <v>239</v>
      </c>
      <c r="C1995" t="s">
        <v>192</v>
      </c>
      <c r="D1995" t="s">
        <v>188</v>
      </c>
      <c r="E1995" s="1" t="s">
        <v>184</v>
      </c>
      <c r="F1995" s="32" t="s">
        <v>152</v>
      </c>
      <c r="G1995" s="124">
        <v>325.76315789473682</v>
      </c>
      <c r="H1995" t="s">
        <v>415</v>
      </c>
      <c r="I1995" s="34">
        <v>1</v>
      </c>
    </row>
    <row r="1996" spans="1:9" x14ac:dyDescent="0.3">
      <c r="A1996">
        <v>1</v>
      </c>
      <c r="B1996" t="s">
        <v>239</v>
      </c>
      <c r="C1996" t="s">
        <v>193</v>
      </c>
      <c r="D1996" t="s">
        <v>195</v>
      </c>
      <c r="E1996" s="1" t="s">
        <v>184</v>
      </c>
      <c r="F1996" s="31" t="s">
        <v>152</v>
      </c>
      <c r="G1996" s="124">
        <v>317.83999999999997</v>
      </c>
      <c r="H1996" s="53" t="s">
        <v>417</v>
      </c>
      <c r="I1996" s="77">
        <v>1</v>
      </c>
    </row>
    <row r="1997" spans="1:9" x14ac:dyDescent="0.3">
      <c r="A1997" s="53">
        <v>11</v>
      </c>
      <c r="B1997" t="s">
        <v>239</v>
      </c>
      <c r="C1997" s="53" t="s">
        <v>193</v>
      </c>
      <c r="D1997" s="53" t="s">
        <v>195</v>
      </c>
      <c r="E1997" s="53" t="s">
        <v>184</v>
      </c>
      <c r="F1997" s="57" t="s">
        <v>152</v>
      </c>
      <c r="G1997" s="124">
        <v>316.2</v>
      </c>
      <c r="H1997" t="s">
        <v>417</v>
      </c>
      <c r="I1997" s="34">
        <v>11</v>
      </c>
    </row>
    <row r="1998" spans="1:9" x14ac:dyDescent="0.3">
      <c r="A1998">
        <v>3</v>
      </c>
      <c r="B1998" t="s">
        <v>239</v>
      </c>
      <c r="C1998" t="s">
        <v>192</v>
      </c>
      <c r="D1998" t="s">
        <v>195</v>
      </c>
      <c r="E1998" s="1" t="s">
        <v>184</v>
      </c>
      <c r="F1998" s="54" t="s">
        <v>152</v>
      </c>
      <c r="G1998" s="124">
        <v>313.3780487804878</v>
      </c>
      <c r="H1998" t="s">
        <v>416</v>
      </c>
      <c r="I1998" s="34">
        <v>3</v>
      </c>
    </row>
    <row r="1999" spans="1:9" x14ac:dyDescent="0.3">
      <c r="A1999">
        <v>4</v>
      </c>
      <c r="B1999" t="s">
        <v>239</v>
      </c>
      <c r="C1999" t="s">
        <v>193</v>
      </c>
      <c r="D1999" t="s">
        <v>195</v>
      </c>
      <c r="E1999" s="1" t="s">
        <v>184</v>
      </c>
      <c r="F1999" s="54" t="s">
        <v>152</v>
      </c>
      <c r="G1999" s="124">
        <v>313.27999999999997</v>
      </c>
      <c r="H1999" t="s">
        <v>417</v>
      </c>
      <c r="I1999" s="34">
        <v>4</v>
      </c>
    </row>
    <row r="2000" spans="1:9" x14ac:dyDescent="0.3">
      <c r="A2000">
        <v>6</v>
      </c>
      <c r="B2000" t="s">
        <v>239</v>
      </c>
      <c r="C2000" t="s">
        <v>193</v>
      </c>
      <c r="D2000" t="s">
        <v>195</v>
      </c>
      <c r="E2000" t="s">
        <v>184</v>
      </c>
      <c r="F2000" s="57" t="s">
        <v>152</v>
      </c>
      <c r="G2000" s="124">
        <v>311.60000000000002</v>
      </c>
      <c r="H2000" t="s">
        <v>417</v>
      </c>
      <c r="I2000" s="34">
        <v>6</v>
      </c>
    </row>
    <row r="2001" spans="1:9" x14ac:dyDescent="0.3">
      <c r="A2001">
        <v>2</v>
      </c>
      <c r="B2001" t="s">
        <v>239</v>
      </c>
      <c r="C2001" t="s">
        <v>193</v>
      </c>
      <c r="D2001" t="s">
        <v>195</v>
      </c>
      <c r="E2001" s="1" t="s">
        <v>184</v>
      </c>
      <c r="F2001" s="54" t="s">
        <v>152</v>
      </c>
      <c r="G2001" s="124">
        <v>288.48</v>
      </c>
      <c r="H2001" t="s">
        <v>417</v>
      </c>
      <c r="I2001" s="34">
        <v>2</v>
      </c>
    </row>
    <row r="2002" spans="1:9" x14ac:dyDescent="0.3">
      <c r="A2002">
        <v>3</v>
      </c>
      <c r="B2002" t="s">
        <v>239</v>
      </c>
      <c r="C2002" t="s">
        <v>193</v>
      </c>
      <c r="D2002" t="s">
        <v>195</v>
      </c>
      <c r="E2002" s="1" t="s">
        <v>184</v>
      </c>
      <c r="F2002" s="54" t="s">
        <v>152</v>
      </c>
      <c r="G2002" s="124">
        <v>256.97000000000003</v>
      </c>
      <c r="H2002" t="s">
        <v>417</v>
      </c>
      <c r="I2002" s="34">
        <v>3</v>
      </c>
    </row>
    <row r="2003" spans="1:9" x14ac:dyDescent="0.3">
      <c r="A2003">
        <v>10</v>
      </c>
      <c r="B2003" t="s">
        <v>239</v>
      </c>
      <c r="C2003" t="s">
        <v>191</v>
      </c>
      <c r="D2003" t="s">
        <v>195</v>
      </c>
      <c r="E2003" t="s">
        <v>183</v>
      </c>
      <c r="F2003" s="57" t="s">
        <v>157</v>
      </c>
      <c r="G2003" s="124">
        <v>870</v>
      </c>
      <c r="H2003" t="s">
        <v>418</v>
      </c>
      <c r="I2003" s="34">
        <v>10</v>
      </c>
    </row>
    <row r="2004" spans="1:9" x14ac:dyDescent="0.3">
      <c r="A2004">
        <v>4</v>
      </c>
      <c r="B2004" t="s">
        <v>239</v>
      </c>
      <c r="C2004" t="s">
        <v>191</v>
      </c>
      <c r="D2004" t="s">
        <v>195</v>
      </c>
      <c r="E2004" s="1" t="s">
        <v>183</v>
      </c>
      <c r="F2004" s="31" t="s">
        <v>157</v>
      </c>
      <c r="G2004" s="124">
        <v>770</v>
      </c>
      <c r="H2004" t="s">
        <v>418</v>
      </c>
      <c r="I2004" s="34">
        <v>4</v>
      </c>
    </row>
    <row r="2005" spans="1:9" x14ac:dyDescent="0.3">
      <c r="A2005">
        <v>5</v>
      </c>
      <c r="B2005" t="s">
        <v>239</v>
      </c>
      <c r="C2005" t="s">
        <v>191</v>
      </c>
      <c r="D2005" t="s">
        <v>195</v>
      </c>
      <c r="E2005" s="1" t="s">
        <v>183</v>
      </c>
      <c r="F2005" s="54" t="s">
        <v>157</v>
      </c>
      <c r="G2005" s="124">
        <v>770</v>
      </c>
      <c r="H2005" t="s">
        <v>418</v>
      </c>
      <c r="I2005" s="34">
        <v>5</v>
      </c>
    </row>
    <row r="2006" spans="1:9" x14ac:dyDescent="0.3">
      <c r="A2006">
        <v>10</v>
      </c>
      <c r="B2006" t="s">
        <v>239</v>
      </c>
      <c r="C2006" t="s">
        <v>191</v>
      </c>
      <c r="D2006" t="s">
        <v>188</v>
      </c>
      <c r="E2006" t="s">
        <v>183</v>
      </c>
      <c r="F2006" s="57" t="s">
        <v>157</v>
      </c>
      <c r="G2006" s="124">
        <v>760</v>
      </c>
      <c r="H2006" s="53" t="s">
        <v>419</v>
      </c>
      <c r="I2006" s="77">
        <v>10</v>
      </c>
    </row>
    <row r="2007" spans="1:9" x14ac:dyDescent="0.3">
      <c r="A2007">
        <v>2</v>
      </c>
      <c r="B2007" t="s">
        <v>239</v>
      </c>
      <c r="C2007" t="s">
        <v>191</v>
      </c>
      <c r="D2007" t="s">
        <v>195</v>
      </c>
      <c r="E2007" s="1" t="s">
        <v>183</v>
      </c>
      <c r="F2007" s="54" t="s">
        <v>157</v>
      </c>
      <c r="G2007" s="124">
        <v>730</v>
      </c>
      <c r="H2007" s="53" t="s">
        <v>418</v>
      </c>
      <c r="I2007" s="77">
        <v>2</v>
      </c>
    </row>
    <row r="2008" spans="1:9" x14ac:dyDescent="0.3">
      <c r="A2008">
        <v>6</v>
      </c>
      <c r="B2008" t="s">
        <v>239</v>
      </c>
      <c r="C2008" t="s">
        <v>191</v>
      </c>
      <c r="D2008" t="s">
        <v>195</v>
      </c>
      <c r="E2008" t="s">
        <v>183</v>
      </c>
      <c r="F2008" s="57" t="s">
        <v>157</v>
      </c>
      <c r="G2008" s="124">
        <v>720</v>
      </c>
      <c r="H2008" t="s">
        <v>418</v>
      </c>
      <c r="I2008" s="34">
        <v>6</v>
      </c>
    </row>
    <row r="2009" spans="1:9" x14ac:dyDescent="0.3">
      <c r="A2009">
        <v>9</v>
      </c>
      <c r="B2009" t="s">
        <v>239</v>
      </c>
      <c r="C2009" t="s">
        <v>191</v>
      </c>
      <c r="D2009" t="s">
        <v>195</v>
      </c>
      <c r="E2009" t="s">
        <v>183</v>
      </c>
      <c r="F2009" s="57" t="s">
        <v>157</v>
      </c>
      <c r="G2009" s="124">
        <v>710</v>
      </c>
      <c r="H2009" t="s">
        <v>418</v>
      </c>
      <c r="I2009" s="34">
        <v>9</v>
      </c>
    </row>
    <row r="2010" spans="1:9" x14ac:dyDescent="0.3">
      <c r="A2010">
        <v>7</v>
      </c>
      <c r="B2010" t="s">
        <v>239</v>
      </c>
      <c r="C2010" t="s">
        <v>191</v>
      </c>
      <c r="D2010" t="s">
        <v>195</v>
      </c>
      <c r="E2010" t="s">
        <v>183</v>
      </c>
      <c r="F2010" s="57" t="s">
        <v>157</v>
      </c>
      <c r="G2010" s="124">
        <v>690</v>
      </c>
      <c r="H2010" t="s">
        <v>418</v>
      </c>
      <c r="I2010" s="34">
        <v>7</v>
      </c>
    </row>
    <row r="2011" spans="1:9" x14ac:dyDescent="0.3">
      <c r="A2011">
        <v>5</v>
      </c>
      <c r="B2011" t="s">
        <v>239</v>
      </c>
      <c r="C2011" t="s">
        <v>191</v>
      </c>
      <c r="D2011" t="s">
        <v>188</v>
      </c>
      <c r="E2011" s="1" t="s">
        <v>183</v>
      </c>
      <c r="F2011" s="54" t="s">
        <v>157</v>
      </c>
      <c r="G2011" s="124">
        <v>680</v>
      </c>
      <c r="H2011" t="s">
        <v>419</v>
      </c>
      <c r="I2011" s="34">
        <v>5</v>
      </c>
    </row>
    <row r="2012" spans="1:9" x14ac:dyDescent="0.3">
      <c r="A2012">
        <v>8</v>
      </c>
      <c r="B2012" t="s">
        <v>239</v>
      </c>
      <c r="C2012" t="s">
        <v>191</v>
      </c>
      <c r="D2012" t="s">
        <v>195</v>
      </c>
      <c r="E2012" t="s">
        <v>183</v>
      </c>
      <c r="F2012" s="57" t="s">
        <v>157</v>
      </c>
      <c r="G2012" s="124">
        <v>680</v>
      </c>
      <c r="H2012" t="s">
        <v>418</v>
      </c>
      <c r="I2012" s="34">
        <v>8</v>
      </c>
    </row>
    <row r="2013" spans="1:9" x14ac:dyDescent="0.3">
      <c r="A2013" s="53">
        <v>11</v>
      </c>
      <c r="B2013" t="s">
        <v>239</v>
      </c>
      <c r="C2013" s="53" t="s">
        <v>191</v>
      </c>
      <c r="D2013" s="53" t="s">
        <v>195</v>
      </c>
      <c r="E2013" s="53" t="s">
        <v>183</v>
      </c>
      <c r="F2013" s="57" t="s">
        <v>157</v>
      </c>
      <c r="G2013" s="124">
        <v>680</v>
      </c>
      <c r="H2013" t="s">
        <v>418</v>
      </c>
      <c r="I2013" s="34">
        <v>11</v>
      </c>
    </row>
    <row r="2014" spans="1:9" x14ac:dyDescent="0.3">
      <c r="A2014">
        <v>12</v>
      </c>
      <c r="B2014" t="s">
        <v>239</v>
      </c>
      <c r="C2014" t="s">
        <v>191</v>
      </c>
      <c r="D2014" t="s">
        <v>195</v>
      </c>
      <c r="E2014" t="s">
        <v>183</v>
      </c>
      <c r="F2014" s="57" t="s">
        <v>157</v>
      </c>
      <c r="G2014" s="124">
        <v>670</v>
      </c>
      <c r="H2014" t="s">
        <v>418</v>
      </c>
      <c r="I2014" s="34">
        <v>12</v>
      </c>
    </row>
    <row r="2015" spans="1:9" x14ac:dyDescent="0.3">
      <c r="A2015">
        <v>9</v>
      </c>
      <c r="B2015" t="s">
        <v>239</v>
      </c>
      <c r="C2015" t="s">
        <v>191</v>
      </c>
      <c r="D2015" t="s">
        <v>188</v>
      </c>
      <c r="E2015" t="s">
        <v>183</v>
      </c>
      <c r="F2015" s="57" t="s">
        <v>157</v>
      </c>
      <c r="G2015" s="124">
        <v>650</v>
      </c>
      <c r="H2015" s="53" t="s">
        <v>419</v>
      </c>
      <c r="I2015" s="77">
        <v>9</v>
      </c>
    </row>
    <row r="2016" spans="1:9" x14ac:dyDescent="0.3">
      <c r="A2016">
        <v>1</v>
      </c>
      <c r="B2016" t="s">
        <v>239</v>
      </c>
      <c r="C2016" t="s">
        <v>191</v>
      </c>
      <c r="D2016" t="s">
        <v>195</v>
      </c>
      <c r="E2016" s="1" t="s">
        <v>183</v>
      </c>
      <c r="F2016" s="31" t="s">
        <v>157</v>
      </c>
      <c r="G2016" s="124">
        <v>650</v>
      </c>
      <c r="H2016" t="s">
        <v>418</v>
      </c>
      <c r="I2016" s="34">
        <v>1</v>
      </c>
    </row>
    <row r="2017" spans="1:9" x14ac:dyDescent="0.3">
      <c r="A2017">
        <v>3</v>
      </c>
      <c r="B2017" t="s">
        <v>239</v>
      </c>
      <c r="C2017" t="s">
        <v>191</v>
      </c>
      <c r="D2017" t="s">
        <v>195</v>
      </c>
      <c r="E2017" s="1" t="s">
        <v>183</v>
      </c>
      <c r="F2017" s="54" t="s">
        <v>157</v>
      </c>
      <c r="G2017" s="124">
        <v>620</v>
      </c>
      <c r="H2017" t="s">
        <v>418</v>
      </c>
      <c r="I2017" s="34">
        <v>3</v>
      </c>
    </row>
    <row r="2018" spans="1:9" x14ac:dyDescent="0.3">
      <c r="A2018">
        <v>4</v>
      </c>
      <c r="B2018" t="s">
        <v>239</v>
      </c>
      <c r="C2018" t="s">
        <v>191</v>
      </c>
      <c r="D2018" t="s">
        <v>188</v>
      </c>
      <c r="E2018" s="1" t="s">
        <v>183</v>
      </c>
      <c r="F2018" s="31" t="s">
        <v>157</v>
      </c>
      <c r="G2018" s="124">
        <v>600</v>
      </c>
      <c r="H2018" t="s">
        <v>419</v>
      </c>
      <c r="I2018" s="34">
        <v>4</v>
      </c>
    </row>
    <row r="2019" spans="1:9" x14ac:dyDescent="0.3">
      <c r="A2019">
        <v>6</v>
      </c>
      <c r="B2019" t="s">
        <v>239</v>
      </c>
      <c r="C2019" t="s">
        <v>191</v>
      </c>
      <c r="D2019" t="s">
        <v>188</v>
      </c>
      <c r="E2019" t="s">
        <v>183</v>
      </c>
      <c r="F2019" s="57" t="s">
        <v>157</v>
      </c>
      <c r="G2019" s="124">
        <v>580</v>
      </c>
      <c r="H2019" t="s">
        <v>419</v>
      </c>
      <c r="I2019" s="34">
        <v>6</v>
      </c>
    </row>
    <row r="2020" spans="1:9" x14ac:dyDescent="0.3">
      <c r="A2020">
        <v>7</v>
      </c>
      <c r="B2020" t="s">
        <v>239</v>
      </c>
      <c r="C2020" t="s">
        <v>191</v>
      </c>
      <c r="D2020" t="s">
        <v>188</v>
      </c>
      <c r="E2020" t="s">
        <v>183</v>
      </c>
      <c r="F2020" s="57" t="s">
        <v>157</v>
      </c>
      <c r="G2020" s="124">
        <v>580</v>
      </c>
      <c r="H2020" t="s">
        <v>419</v>
      </c>
      <c r="I2020" s="34">
        <v>7</v>
      </c>
    </row>
    <row r="2021" spans="1:9" x14ac:dyDescent="0.3">
      <c r="A2021">
        <v>12</v>
      </c>
      <c r="B2021" t="s">
        <v>239</v>
      </c>
      <c r="C2021" t="s">
        <v>191</v>
      </c>
      <c r="D2021" t="s">
        <v>188</v>
      </c>
      <c r="E2021" t="s">
        <v>183</v>
      </c>
      <c r="F2021" s="57" t="s">
        <v>157</v>
      </c>
      <c r="G2021" s="124">
        <v>580</v>
      </c>
      <c r="H2021" s="53" t="s">
        <v>419</v>
      </c>
      <c r="I2021" s="77">
        <v>12</v>
      </c>
    </row>
    <row r="2022" spans="1:9" x14ac:dyDescent="0.3">
      <c r="A2022">
        <v>2</v>
      </c>
      <c r="B2022" t="s">
        <v>239</v>
      </c>
      <c r="C2022" t="s">
        <v>191</v>
      </c>
      <c r="D2022" t="s">
        <v>188</v>
      </c>
      <c r="E2022" s="1" t="s">
        <v>183</v>
      </c>
      <c r="F2022" s="54" t="s">
        <v>157</v>
      </c>
      <c r="G2022" s="124">
        <v>570</v>
      </c>
      <c r="H2022" t="s">
        <v>419</v>
      </c>
      <c r="I2022" s="34">
        <v>2</v>
      </c>
    </row>
    <row r="2023" spans="1:9" x14ac:dyDescent="0.3">
      <c r="A2023">
        <v>8</v>
      </c>
      <c r="B2023" t="s">
        <v>239</v>
      </c>
      <c r="C2023" t="s">
        <v>191</v>
      </c>
      <c r="D2023" t="s">
        <v>188</v>
      </c>
      <c r="E2023" t="s">
        <v>183</v>
      </c>
      <c r="F2023" s="57" t="s">
        <v>157</v>
      </c>
      <c r="G2023" s="124">
        <v>570</v>
      </c>
      <c r="H2023" t="s">
        <v>419</v>
      </c>
      <c r="I2023" s="34">
        <v>8</v>
      </c>
    </row>
    <row r="2024" spans="1:9" x14ac:dyDescent="0.3">
      <c r="A2024" s="53">
        <v>11</v>
      </c>
      <c r="B2024" t="s">
        <v>239</v>
      </c>
      <c r="C2024" s="53" t="s">
        <v>191</v>
      </c>
      <c r="D2024" s="53" t="s">
        <v>188</v>
      </c>
      <c r="E2024" s="53" t="s">
        <v>183</v>
      </c>
      <c r="F2024" s="57" t="s">
        <v>157</v>
      </c>
      <c r="G2024" s="124">
        <v>520</v>
      </c>
      <c r="H2024" s="53" t="s">
        <v>419</v>
      </c>
      <c r="I2024" s="77">
        <v>11</v>
      </c>
    </row>
    <row r="2025" spans="1:9" x14ac:dyDescent="0.3">
      <c r="A2025">
        <v>1</v>
      </c>
      <c r="B2025" t="s">
        <v>239</v>
      </c>
      <c r="C2025" t="s">
        <v>191</v>
      </c>
      <c r="D2025" t="s">
        <v>188</v>
      </c>
      <c r="E2025" s="1" t="s">
        <v>183</v>
      </c>
      <c r="F2025" s="31" t="s">
        <v>157</v>
      </c>
      <c r="G2025" s="124">
        <v>500</v>
      </c>
      <c r="H2025" t="s">
        <v>419</v>
      </c>
      <c r="I2025" s="34">
        <v>1</v>
      </c>
    </row>
    <row r="2026" spans="1:9" x14ac:dyDescent="0.3">
      <c r="A2026">
        <v>3</v>
      </c>
      <c r="B2026" t="s">
        <v>239</v>
      </c>
      <c r="C2026" t="s">
        <v>191</v>
      </c>
      <c r="D2026" t="s">
        <v>188</v>
      </c>
      <c r="E2026" s="1" t="s">
        <v>183</v>
      </c>
      <c r="F2026" s="54" t="s">
        <v>157</v>
      </c>
      <c r="G2026" s="124">
        <v>480</v>
      </c>
      <c r="H2026" t="s">
        <v>419</v>
      </c>
      <c r="I2026" s="34">
        <v>3</v>
      </c>
    </row>
    <row r="2027" spans="1:9" x14ac:dyDescent="0.3">
      <c r="A2027">
        <v>8</v>
      </c>
      <c r="B2027" t="s">
        <v>239</v>
      </c>
      <c r="C2027" t="s">
        <v>192</v>
      </c>
      <c r="D2027" t="s">
        <v>188</v>
      </c>
      <c r="E2027" t="s">
        <v>183</v>
      </c>
      <c r="F2027" s="57" t="s">
        <v>157</v>
      </c>
      <c r="G2027" s="124">
        <v>293.05263157894734</v>
      </c>
      <c r="H2027" t="s">
        <v>420</v>
      </c>
      <c r="I2027" s="34">
        <v>8</v>
      </c>
    </row>
    <row r="2028" spans="1:9" x14ac:dyDescent="0.3">
      <c r="A2028">
        <v>8</v>
      </c>
      <c r="B2028" t="s">
        <v>239</v>
      </c>
      <c r="C2028" t="s">
        <v>192</v>
      </c>
      <c r="D2028" t="s">
        <v>195</v>
      </c>
      <c r="E2028" t="s">
        <v>183</v>
      </c>
      <c r="F2028" s="57" t="s">
        <v>157</v>
      </c>
      <c r="G2028" s="124">
        <v>283.75</v>
      </c>
      <c r="H2028" t="s">
        <v>421</v>
      </c>
      <c r="I2028" s="34">
        <v>8</v>
      </c>
    </row>
    <row r="2029" spans="1:9" x14ac:dyDescent="0.3">
      <c r="A2029" s="53">
        <v>11</v>
      </c>
      <c r="B2029" t="s">
        <v>239</v>
      </c>
      <c r="C2029" s="53" t="s">
        <v>192</v>
      </c>
      <c r="D2029" s="53" t="s">
        <v>188</v>
      </c>
      <c r="E2029" s="53" t="s">
        <v>183</v>
      </c>
      <c r="F2029" s="57" t="s">
        <v>157</v>
      </c>
      <c r="G2029" s="124">
        <v>280.46153846153845</v>
      </c>
      <c r="H2029" t="s">
        <v>420</v>
      </c>
      <c r="I2029" s="34">
        <v>11</v>
      </c>
    </row>
    <row r="2030" spans="1:9" x14ac:dyDescent="0.3">
      <c r="A2030">
        <v>12</v>
      </c>
      <c r="B2030" t="s">
        <v>239</v>
      </c>
      <c r="C2030" t="s">
        <v>192</v>
      </c>
      <c r="D2030" t="s">
        <v>188</v>
      </c>
      <c r="E2030" t="s">
        <v>183</v>
      </c>
      <c r="F2030" s="57" t="s">
        <v>157</v>
      </c>
      <c r="G2030" s="124">
        <v>276.48275862068965</v>
      </c>
      <c r="H2030" t="s">
        <v>420</v>
      </c>
      <c r="I2030" s="34">
        <v>12</v>
      </c>
    </row>
    <row r="2031" spans="1:9" x14ac:dyDescent="0.3">
      <c r="A2031">
        <v>3</v>
      </c>
      <c r="B2031" t="s">
        <v>239</v>
      </c>
      <c r="C2031" t="s">
        <v>192</v>
      </c>
      <c r="D2031" t="s">
        <v>188</v>
      </c>
      <c r="E2031" s="1" t="s">
        <v>183</v>
      </c>
      <c r="F2031" s="54" t="s">
        <v>157</v>
      </c>
      <c r="G2031" s="124">
        <v>262.66666666666669</v>
      </c>
      <c r="H2031" t="s">
        <v>420</v>
      </c>
      <c r="I2031" s="34">
        <v>3</v>
      </c>
    </row>
    <row r="2032" spans="1:9" x14ac:dyDescent="0.3">
      <c r="A2032">
        <v>7</v>
      </c>
      <c r="B2032" t="s">
        <v>239</v>
      </c>
      <c r="C2032" t="s">
        <v>192</v>
      </c>
      <c r="D2032" t="s">
        <v>188</v>
      </c>
      <c r="E2032" t="s">
        <v>183</v>
      </c>
      <c r="F2032" s="57" t="s">
        <v>157</v>
      </c>
      <c r="G2032" s="124">
        <v>260.24137931034483</v>
      </c>
      <c r="H2032" t="s">
        <v>420</v>
      </c>
      <c r="I2032" s="34">
        <v>7</v>
      </c>
    </row>
    <row r="2033" spans="1:9" x14ac:dyDescent="0.3">
      <c r="A2033">
        <v>10</v>
      </c>
      <c r="B2033" t="s">
        <v>239</v>
      </c>
      <c r="C2033" t="s">
        <v>192</v>
      </c>
      <c r="D2033" t="s">
        <v>188</v>
      </c>
      <c r="E2033" t="s">
        <v>183</v>
      </c>
      <c r="F2033" s="57" t="s">
        <v>157</v>
      </c>
      <c r="G2033" s="124">
        <v>257.94736842105266</v>
      </c>
      <c r="H2033" t="s">
        <v>420</v>
      </c>
      <c r="I2033" s="34">
        <v>10</v>
      </c>
    </row>
    <row r="2034" spans="1:9" x14ac:dyDescent="0.3">
      <c r="A2034">
        <v>12</v>
      </c>
      <c r="B2034" t="s">
        <v>239</v>
      </c>
      <c r="C2034" t="s">
        <v>192</v>
      </c>
      <c r="D2034" t="s">
        <v>195</v>
      </c>
      <c r="E2034" t="s">
        <v>183</v>
      </c>
      <c r="F2034" s="57" t="s">
        <v>157</v>
      </c>
      <c r="G2034" s="124">
        <v>256.9850746268657</v>
      </c>
      <c r="H2034" t="s">
        <v>421</v>
      </c>
      <c r="I2034" s="34">
        <v>12</v>
      </c>
    </row>
    <row r="2035" spans="1:9" x14ac:dyDescent="0.3">
      <c r="A2035">
        <v>5</v>
      </c>
      <c r="B2035" t="s">
        <v>239</v>
      </c>
      <c r="C2035" t="s">
        <v>192</v>
      </c>
      <c r="D2035" t="s">
        <v>188</v>
      </c>
      <c r="E2035" t="s">
        <v>183</v>
      </c>
      <c r="F2035" s="57" t="s">
        <v>157</v>
      </c>
      <c r="G2035" s="124">
        <v>253.70588235294119</v>
      </c>
      <c r="H2035" t="s">
        <v>420</v>
      </c>
      <c r="I2035" s="34">
        <v>5</v>
      </c>
    </row>
    <row r="2036" spans="1:9" x14ac:dyDescent="0.3">
      <c r="A2036" s="53">
        <v>11</v>
      </c>
      <c r="B2036" t="s">
        <v>239</v>
      </c>
      <c r="C2036" s="53" t="s">
        <v>192</v>
      </c>
      <c r="D2036" s="53" t="s">
        <v>195</v>
      </c>
      <c r="E2036" s="53" t="s">
        <v>183</v>
      </c>
      <c r="F2036" s="57" t="s">
        <v>157</v>
      </c>
      <c r="G2036" s="124">
        <v>253.48529411764707</v>
      </c>
      <c r="H2036" t="s">
        <v>421</v>
      </c>
      <c r="I2036" s="34">
        <v>11</v>
      </c>
    </row>
    <row r="2037" spans="1:9" x14ac:dyDescent="0.3">
      <c r="A2037">
        <v>4</v>
      </c>
      <c r="B2037" t="s">
        <v>239</v>
      </c>
      <c r="C2037" t="s">
        <v>192</v>
      </c>
      <c r="D2037" t="s">
        <v>188</v>
      </c>
      <c r="E2037" s="1" t="s">
        <v>183</v>
      </c>
      <c r="F2037" s="31" t="s">
        <v>157</v>
      </c>
      <c r="G2037" s="124">
        <v>253</v>
      </c>
      <c r="H2037" t="s">
        <v>420</v>
      </c>
      <c r="I2037" s="34">
        <v>4</v>
      </c>
    </row>
    <row r="2038" spans="1:9" x14ac:dyDescent="0.3">
      <c r="A2038">
        <v>9</v>
      </c>
      <c r="B2038" t="s">
        <v>239</v>
      </c>
      <c r="C2038" t="s">
        <v>192</v>
      </c>
      <c r="D2038" t="s">
        <v>188</v>
      </c>
      <c r="E2038" t="s">
        <v>183</v>
      </c>
      <c r="F2038" s="57" t="s">
        <v>157</v>
      </c>
      <c r="G2038" s="124">
        <v>250.07692307692307</v>
      </c>
      <c r="H2038" s="53" t="s">
        <v>420</v>
      </c>
      <c r="I2038" s="77">
        <v>9</v>
      </c>
    </row>
    <row r="2039" spans="1:9" x14ac:dyDescent="0.3">
      <c r="A2039">
        <v>5</v>
      </c>
      <c r="B2039" t="s">
        <v>239</v>
      </c>
      <c r="C2039" t="s">
        <v>192</v>
      </c>
      <c r="D2039" t="s">
        <v>195</v>
      </c>
      <c r="E2039" t="s">
        <v>183</v>
      </c>
      <c r="F2039" s="57" t="s">
        <v>157</v>
      </c>
      <c r="G2039" s="124">
        <v>249.67532467532467</v>
      </c>
      <c r="H2039" t="s">
        <v>421</v>
      </c>
      <c r="I2039" s="34">
        <v>5</v>
      </c>
    </row>
    <row r="2040" spans="1:9" x14ac:dyDescent="0.3">
      <c r="A2040">
        <v>3</v>
      </c>
      <c r="B2040" t="s">
        <v>239</v>
      </c>
      <c r="C2040" t="s">
        <v>192</v>
      </c>
      <c r="D2040" t="s">
        <v>195</v>
      </c>
      <c r="E2040" s="1" t="s">
        <v>183</v>
      </c>
      <c r="F2040" s="54" t="s">
        <v>157</v>
      </c>
      <c r="G2040" s="124">
        <v>249.25806451612902</v>
      </c>
      <c r="H2040" t="s">
        <v>421</v>
      </c>
      <c r="I2040" s="34">
        <v>3</v>
      </c>
    </row>
    <row r="2041" spans="1:9" x14ac:dyDescent="0.3">
      <c r="A2041">
        <v>10</v>
      </c>
      <c r="B2041" t="s">
        <v>239</v>
      </c>
      <c r="C2041" t="s">
        <v>192</v>
      </c>
      <c r="D2041" t="s">
        <v>195</v>
      </c>
      <c r="E2041" t="s">
        <v>183</v>
      </c>
      <c r="F2041" s="57" t="s">
        <v>157</v>
      </c>
      <c r="G2041" s="124">
        <v>246.32183908045977</v>
      </c>
      <c r="H2041" t="s">
        <v>421</v>
      </c>
      <c r="I2041" s="34">
        <v>10</v>
      </c>
    </row>
    <row r="2042" spans="1:9" x14ac:dyDescent="0.3">
      <c r="A2042">
        <v>9</v>
      </c>
      <c r="B2042" t="s">
        <v>239</v>
      </c>
      <c r="C2042" t="s">
        <v>192</v>
      </c>
      <c r="D2042" t="s">
        <v>195</v>
      </c>
      <c r="E2042" t="s">
        <v>183</v>
      </c>
      <c r="F2042" s="57" t="s">
        <v>157</v>
      </c>
      <c r="G2042" s="124">
        <v>245.25352112676057</v>
      </c>
      <c r="H2042" t="s">
        <v>421</v>
      </c>
      <c r="I2042" s="34">
        <v>9</v>
      </c>
    </row>
    <row r="2043" spans="1:9" x14ac:dyDescent="0.3">
      <c r="A2043">
        <v>7</v>
      </c>
      <c r="B2043" t="s">
        <v>239</v>
      </c>
      <c r="C2043" t="s">
        <v>192</v>
      </c>
      <c r="D2043" t="s">
        <v>195</v>
      </c>
      <c r="E2043" t="s">
        <v>183</v>
      </c>
      <c r="F2043" s="57" t="s">
        <v>157</v>
      </c>
      <c r="G2043" s="124">
        <v>244.71739130434781</v>
      </c>
      <c r="H2043" t="s">
        <v>421</v>
      </c>
      <c r="I2043" s="34">
        <v>7</v>
      </c>
    </row>
    <row r="2044" spans="1:9" x14ac:dyDescent="0.3">
      <c r="A2044">
        <v>6</v>
      </c>
      <c r="B2044" t="s">
        <v>239</v>
      </c>
      <c r="C2044" t="s">
        <v>192</v>
      </c>
      <c r="D2044" t="s">
        <v>188</v>
      </c>
      <c r="E2044" t="s">
        <v>183</v>
      </c>
      <c r="F2044" s="57" t="s">
        <v>157</v>
      </c>
      <c r="G2044" s="124">
        <v>242.68965517241378</v>
      </c>
      <c r="H2044" s="53" t="s">
        <v>420</v>
      </c>
      <c r="I2044" s="77">
        <v>6</v>
      </c>
    </row>
    <row r="2045" spans="1:9" x14ac:dyDescent="0.3">
      <c r="A2045">
        <v>2</v>
      </c>
      <c r="B2045" t="s">
        <v>239</v>
      </c>
      <c r="C2045" t="s">
        <v>192</v>
      </c>
      <c r="D2045" t="s">
        <v>195</v>
      </c>
      <c r="E2045" s="1" t="s">
        <v>183</v>
      </c>
      <c r="F2045" s="54" t="s">
        <v>157</v>
      </c>
      <c r="G2045" s="124">
        <v>237.01369863013699</v>
      </c>
      <c r="H2045" t="s">
        <v>421</v>
      </c>
      <c r="I2045" s="34">
        <v>2</v>
      </c>
    </row>
    <row r="2046" spans="1:9" x14ac:dyDescent="0.3">
      <c r="A2046">
        <v>4</v>
      </c>
      <c r="B2046" t="s">
        <v>239</v>
      </c>
      <c r="C2046" t="s">
        <v>192</v>
      </c>
      <c r="D2046" t="s">
        <v>195</v>
      </c>
      <c r="E2046" s="1" t="s">
        <v>183</v>
      </c>
      <c r="F2046" s="31" t="s">
        <v>157</v>
      </c>
      <c r="G2046" s="124">
        <v>236.05194805194805</v>
      </c>
      <c r="H2046" t="s">
        <v>421</v>
      </c>
      <c r="I2046" s="34">
        <v>4</v>
      </c>
    </row>
    <row r="2047" spans="1:9" x14ac:dyDescent="0.3">
      <c r="A2047">
        <v>2</v>
      </c>
      <c r="B2047" t="s">
        <v>239</v>
      </c>
      <c r="C2047" t="s">
        <v>192</v>
      </c>
      <c r="D2047" t="s">
        <v>188</v>
      </c>
      <c r="E2047" s="1" t="s">
        <v>183</v>
      </c>
      <c r="F2047" s="54" t="s">
        <v>157</v>
      </c>
      <c r="G2047" s="124">
        <v>230.57894736842104</v>
      </c>
      <c r="H2047" t="s">
        <v>420</v>
      </c>
      <c r="I2047" s="34">
        <v>2</v>
      </c>
    </row>
    <row r="2048" spans="1:9" x14ac:dyDescent="0.3">
      <c r="A2048">
        <v>6</v>
      </c>
      <c r="B2048" t="s">
        <v>239</v>
      </c>
      <c r="C2048" t="s">
        <v>192</v>
      </c>
      <c r="D2048" t="s">
        <v>195</v>
      </c>
      <c r="E2048" t="s">
        <v>183</v>
      </c>
      <c r="F2048" s="57" t="s">
        <v>157</v>
      </c>
      <c r="G2048" s="124">
        <v>222.83333333333334</v>
      </c>
      <c r="H2048" t="s">
        <v>421</v>
      </c>
      <c r="I2048" s="34">
        <v>6</v>
      </c>
    </row>
    <row r="2049" spans="1:9" x14ac:dyDescent="0.3">
      <c r="A2049">
        <v>1</v>
      </c>
      <c r="B2049" t="s">
        <v>239</v>
      </c>
      <c r="C2049" t="s">
        <v>192</v>
      </c>
      <c r="D2049" t="s">
        <v>195</v>
      </c>
      <c r="E2049" s="1" t="s">
        <v>183</v>
      </c>
      <c r="F2049" s="54" t="s">
        <v>157</v>
      </c>
      <c r="G2049" s="124">
        <v>220.46153846153845</v>
      </c>
      <c r="H2049" t="s">
        <v>421</v>
      </c>
      <c r="I2049" s="34">
        <v>1</v>
      </c>
    </row>
    <row r="2050" spans="1:9" x14ac:dyDescent="0.3">
      <c r="A2050">
        <v>1</v>
      </c>
      <c r="B2050" t="s">
        <v>239</v>
      </c>
      <c r="C2050" t="s">
        <v>192</v>
      </c>
      <c r="D2050" t="s">
        <v>188</v>
      </c>
      <c r="E2050" s="1" t="s">
        <v>183</v>
      </c>
      <c r="F2050" s="54" t="s">
        <v>157</v>
      </c>
      <c r="G2050" s="124">
        <v>219.6</v>
      </c>
      <c r="H2050" t="s">
        <v>420</v>
      </c>
      <c r="I2050" s="34">
        <v>1</v>
      </c>
    </row>
    <row r="2051" spans="1:9" x14ac:dyDescent="0.3">
      <c r="A2051">
        <v>10</v>
      </c>
      <c r="B2051" t="s">
        <v>239</v>
      </c>
      <c r="C2051" t="s">
        <v>193</v>
      </c>
      <c r="D2051" t="s">
        <v>195</v>
      </c>
      <c r="E2051" t="s">
        <v>183</v>
      </c>
      <c r="F2051" s="57" t="s">
        <v>157</v>
      </c>
      <c r="G2051" s="124">
        <v>214.3</v>
      </c>
      <c r="H2051" t="s">
        <v>422</v>
      </c>
      <c r="I2051" s="34">
        <v>10</v>
      </c>
    </row>
    <row r="2052" spans="1:9" x14ac:dyDescent="0.3">
      <c r="A2052">
        <v>10</v>
      </c>
      <c r="B2052" t="s">
        <v>239</v>
      </c>
      <c r="C2052" t="s">
        <v>193</v>
      </c>
      <c r="D2052" t="s">
        <v>188</v>
      </c>
      <c r="E2052" t="s">
        <v>183</v>
      </c>
      <c r="F2052" s="57" t="s">
        <v>157</v>
      </c>
      <c r="G2052" s="124">
        <v>196.04</v>
      </c>
      <c r="H2052" s="53" t="s">
        <v>423</v>
      </c>
      <c r="I2052" s="77">
        <v>10</v>
      </c>
    </row>
    <row r="2053" spans="1:9" x14ac:dyDescent="0.3">
      <c r="A2053">
        <v>8</v>
      </c>
      <c r="B2053" t="s">
        <v>239</v>
      </c>
      <c r="C2053" t="s">
        <v>193</v>
      </c>
      <c r="D2053" t="s">
        <v>195</v>
      </c>
      <c r="E2053" t="s">
        <v>183</v>
      </c>
      <c r="F2053" s="57" t="s">
        <v>157</v>
      </c>
      <c r="G2053" s="124">
        <v>192.95</v>
      </c>
      <c r="H2053" t="s">
        <v>422</v>
      </c>
      <c r="I2053" s="34">
        <v>8</v>
      </c>
    </row>
    <row r="2054" spans="1:9" x14ac:dyDescent="0.3">
      <c r="A2054">
        <v>5</v>
      </c>
      <c r="B2054" t="s">
        <v>239</v>
      </c>
      <c r="C2054" t="s">
        <v>193</v>
      </c>
      <c r="D2054" t="s">
        <v>195</v>
      </c>
      <c r="E2054" t="s">
        <v>183</v>
      </c>
      <c r="F2054" s="57" t="s">
        <v>157</v>
      </c>
      <c r="G2054" s="124">
        <v>192.25</v>
      </c>
      <c r="H2054" t="s">
        <v>422</v>
      </c>
      <c r="I2054" s="34">
        <v>5</v>
      </c>
    </row>
    <row r="2055" spans="1:9" x14ac:dyDescent="0.3">
      <c r="A2055">
        <v>4</v>
      </c>
      <c r="B2055" t="s">
        <v>239</v>
      </c>
      <c r="C2055" t="s">
        <v>193</v>
      </c>
      <c r="D2055" t="s">
        <v>195</v>
      </c>
      <c r="E2055" s="1" t="s">
        <v>183</v>
      </c>
      <c r="F2055" s="54" t="s">
        <v>157</v>
      </c>
      <c r="G2055" s="124">
        <v>181.76</v>
      </c>
      <c r="H2055" t="s">
        <v>422</v>
      </c>
      <c r="I2055" s="34">
        <v>4</v>
      </c>
    </row>
    <row r="2056" spans="1:9" x14ac:dyDescent="0.3">
      <c r="A2056">
        <v>9</v>
      </c>
      <c r="B2056" t="s">
        <v>239</v>
      </c>
      <c r="C2056" t="s">
        <v>193</v>
      </c>
      <c r="D2056" t="s">
        <v>195</v>
      </c>
      <c r="E2056" t="s">
        <v>183</v>
      </c>
      <c r="F2056" s="57" t="s">
        <v>157</v>
      </c>
      <c r="G2056" s="124">
        <v>174.13</v>
      </c>
      <c r="H2056" t="s">
        <v>422</v>
      </c>
      <c r="I2056" s="34">
        <v>9</v>
      </c>
    </row>
    <row r="2057" spans="1:9" x14ac:dyDescent="0.3">
      <c r="A2057">
        <v>2</v>
      </c>
      <c r="B2057" t="s">
        <v>239</v>
      </c>
      <c r="C2057" t="s">
        <v>193</v>
      </c>
      <c r="D2057" t="s">
        <v>195</v>
      </c>
      <c r="E2057" s="1" t="s">
        <v>183</v>
      </c>
      <c r="F2057" s="54" t="s">
        <v>157</v>
      </c>
      <c r="G2057" s="124">
        <v>173.02</v>
      </c>
      <c r="H2057" t="s">
        <v>422</v>
      </c>
      <c r="I2057" s="34">
        <v>2</v>
      </c>
    </row>
    <row r="2058" spans="1:9" x14ac:dyDescent="0.3">
      <c r="A2058">
        <v>5</v>
      </c>
      <c r="B2058" t="s">
        <v>239</v>
      </c>
      <c r="C2058" t="s">
        <v>193</v>
      </c>
      <c r="D2058" t="s">
        <v>188</v>
      </c>
      <c r="E2058" t="s">
        <v>183</v>
      </c>
      <c r="F2058" s="57" t="s">
        <v>157</v>
      </c>
      <c r="G2058" s="124">
        <v>172.52</v>
      </c>
      <c r="H2058" t="s">
        <v>423</v>
      </c>
      <c r="I2058" s="34">
        <v>5</v>
      </c>
    </row>
    <row r="2059" spans="1:9" x14ac:dyDescent="0.3">
      <c r="A2059" s="53">
        <v>11</v>
      </c>
      <c r="B2059" t="s">
        <v>239</v>
      </c>
      <c r="C2059" s="53" t="s">
        <v>193</v>
      </c>
      <c r="D2059" s="53" t="s">
        <v>195</v>
      </c>
      <c r="E2059" s="53" t="s">
        <v>183</v>
      </c>
      <c r="F2059" s="57" t="s">
        <v>157</v>
      </c>
      <c r="G2059" s="124">
        <v>172.37</v>
      </c>
      <c r="H2059" t="s">
        <v>422</v>
      </c>
      <c r="I2059" s="34">
        <v>11</v>
      </c>
    </row>
    <row r="2060" spans="1:9" x14ac:dyDescent="0.3">
      <c r="A2060">
        <v>12</v>
      </c>
      <c r="B2060" t="s">
        <v>239</v>
      </c>
      <c r="C2060" t="s">
        <v>193</v>
      </c>
      <c r="D2060" t="s">
        <v>195</v>
      </c>
      <c r="E2060" t="s">
        <v>183</v>
      </c>
      <c r="F2060" s="57" t="s">
        <v>157</v>
      </c>
      <c r="G2060" s="124">
        <v>172.18</v>
      </c>
      <c r="H2060" t="s">
        <v>422</v>
      </c>
      <c r="I2060" s="34">
        <v>12</v>
      </c>
    </row>
    <row r="2061" spans="1:9" x14ac:dyDescent="0.3">
      <c r="A2061">
        <v>7</v>
      </c>
      <c r="B2061" t="s">
        <v>239</v>
      </c>
      <c r="C2061" t="s">
        <v>193</v>
      </c>
      <c r="D2061" t="s">
        <v>195</v>
      </c>
      <c r="E2061" t="s">
        <v>183</v>
      </c>
      <c r="F2061" s="57" t="s">
        <v>157</v>
      </c>
      <c r="G2061" s="124">
        <v>168.85499999999999</v>
      </c>
      <c r="H2061" t="s">
        <v>422</v>
      </c>
      <c r="I2061" s="34">
        <v>7</v>
      </c>
    </row>
    <row r="2062" spans="1:9" x14ac:dyDescent="0.3">
      <c r="A2062">
        <v>8</v>
      </c>
      <c r="B2062" t="s">
        <v>239</v>
      </c>
      <c r="C2062" t="s">
        <v>193</v>
      </c>
      <c r="D2062" t="s">
        <v>188</v>
      </c>
      <c r="E2062" t="s">
        <v>183</v>
      </c>
      <c r="F2062" s="57" t="s">
        <v>157</v>
      </c>
      <c r="G2062" s="124">
        <v>167.04</v>
      </c>
      <c r="H2062" s="53" t="s">
        <v>423</v>
      </c>
      <c r="I2062" s="77">
        <v>8</v>
      </c>
    </row>
    <row r="2063" spans="1:9" x14ac:dyDescent="0.3">
      <c r="A2063">
        <v>9</v>
      </c>
      <c r="B2063" t="s">
        <v>239</v>
      </c>
      <c r="C2063" t="s">
        <v>193</v>
      </c>
      <c r="D2063" t="s">
        <v>188</v>
      </c>
      <c r="E2063" t="s">
        <v>183</v>
      </c>
      <c r="F2063" s="57" t="s">
        <v>157</v>
      </c>
      <c r="G2063" s="124">
        <v>162.55000000000001</v>
      </c>
      <c r="H2063" s="53" t="s">
        <v>423</v>
      </c>
      <c r="I2063" s="77">
        <v>9</v>
      </c>
    </row>
    <row r="2064" spans="1:9" x14ac:dyDescent="0.3">
      <c r="A2064">
        <v>6</v>
      </c>
      <c r="B2064" t="s">
        <v>239</v>
      </c>
      <c r="C2064" t="s">
        <v>193</v>
      </c>
      <c r="D2064" t="s">
        <v>195</v>
      </c>
      <c r="E2064" t="s">
        <v>183</v>
      </c>
      <c r="F2064" s="57" t="s">
        <v>157</v>
      </c>
      <c r="G2064" s="124">
        <v>160.44</v>
      </c>
      <c r="H2064" t="s">
        <v>422</v>
      </c>
      <c r="I2064" s="34">
        <v>6</v>
      </c>
    </row>
    <row r="2065" spans="1:9" x14ac:dyDescent="0.3">
      <c r="A2065">
        <v>12</v>
      </c>
      <c r="B2065" t="s">
        <v>239</v>
      </c>
      <c r="C2065" t="s">
        <v>193</v>
      </c>
      <c r="D2065" t="s">
        <v>188</v>
      </c>
      <c r="E2065" t="s">
        <v>183</v>
      </c>
      <c r="F2065" s="57" t="s">
        <v>157</v>
      </c>
      <c r="G2065" s="124">
        <v>160.36000000000001</v>
      </c>
      <c r="H2065" t="s">
        <v>423</v>
      </c>
      <c r="I2065" s="34">
        <v>12</v>
      </c>
    </row>
    <row r="2066" spans="1:9" x14ac:dyDescent="0.3">
      <c r="A2066">
        <v>3</v>
      </c>
      <c r="B2066" t="s">
        <v>239</v>
      </c>
      <c r="C2066" t="s">
        <v>193</v>
      </c>
      <c r="D2066" t="s">
        <v>195</v>
      </c>
      <c r="E2066" s="1" t="s">
        <v>183</v>
      </c>
      <c r="F2066" s="31" t="s">
        <v>157</v>
      </c>
      <c r="G2066" s="124">
        <v>154.54</v>
      </c>
      <c r="H2066" t="s">
        <v>422</v>
      </c>
      <c r="I2066" s="34">
        <v>3</v>
      </c>
    </row>
    <row r="2067" spans="1:9" x14ac:dyDescent="0.3">
      <c r="A2067">
        <v>4</v>
      </c>
      <c r="B2067" t="s">
        <v>239</v>
      </c>
      <c r="C2067" t="s">
        <v>193</v>
      </c>
      <c r="D2067" t="s">
        <v>188</v>
      </c>
      <c r="E2067" s="1" t="s">
        <v>183</v>
      </c>
      <c r="F2067" s="54" t="s">
        <v>157</v>
      </c>
      <c r="G2067" s="124">
        <v>151.80000000000001</v>
      </c>
      <c r="H2067" t="s">
        <v>423</v>
      </c>
      <c r="I2067" s="34">
        <v>4</v>
      </c>
    </row>
    <row r="2068" spans="1:9" x14ac:dyDescent="0.3">
      <c r="A2068">
        <v>7</v>
      </c>
      <c r="B2068" t="s">
        <v>239</v>
      </c>
      <c r="C2068" t="s">
        <v>193</v>
      </c>
      <c r="D2068" t="s">
        <v>188</v>
      </c>
      <c r="E2068" t="s">
        <v>183</v>
      </c>
      <c r="F2068" s="57" t="s">
        <v>157</v>
      </c>
      <c r="G2068" s="124">
        <v>150.94</v>
      </c>
      <c r="H2068" t="s">
        <v>423</v>
      </c>
      <c r="I2068" s="34">
        <v>7</v>
      </c>
    </row>
    <row r="2069" spans="1:9" x14ac:dyDescent="0.3">
      <c r="A2069" s="53">
        <v>11</v>
      </c>
      <c r="B2069" t="s">
        <v>239</v>
      </c>
      <c r="C2069" s="53" t="s">
        <v>193</v>
      </c>
      <c r="D2069" s="53" t="s">
        <v>188</v>
      </c>
      <c r="E2069" s="53" t="s">
        <v>183</v>
      </c>
      <c r="F2069" s="57" t="s">
        <v>157</v>
      </c>
      <c r="G2069" s="124">
        <v>145.84</v>
      </c>
      <c r="H2069" s="53" t="s">
        <v>423</v>
      </c>
      <c r="I2069" s="77">
        <v>11</v>
      </c>
    </row>
    <row r="2070" spans="1:9" x14ac:dyDescent="0.3">
      <c r="A2070">
        <v>1</v>
      </c>
      <c r="B2070" t="s">
        <v>239</v>
      </c>
      <c r="C2070" t="s">
        <v>193</v>
      </c>
      <c r="D2070" t="s">
        <v>195</v>
      </c>
      <c r="E2070" s="1" t="s">
        <v>183</v>
      </c>
      <c r="F2070" s="54" t="s">
        <v>157</v>
      </c>
      <c r="G2070" s="124">
        <v>143.30000000000001</v>
      </c>
      <c r="H2070" t="s">
        <v>422</v>
      </c>
      <c r="I2070" s="34">
        <v>1</v>
      </c>
    </row>
    <row r="2071" spans="1:9" x14ac:dyDescent="0.3">
      <c r="A2071">
        <v>6</v>
      </c>
      <c r="B2071" t="s">
        <v>239</v>
      </c>
      <c r="C2071" t="s">
        <v>193</v>
      </c>
      <c r="D2071" t="s">
        <v>188</v>
      </c>
      <c r="E2071" t="s">
        <v>183</v>
      </c>
      <c r="F2071" s="57" t="s">
        <v>157</v>
      </c>
      <c r="G2071" s="124">
        <v>140.76</v>
      </c>
      <c r="H2071" t="s">
        <v>423</v>
      </c>
      <c r="I2071" s="34">
        <v>6</v>
      </c>
    </row>
    <row r="2072" spans="1:9" x14ac:dyDescent="0.3">
      <c r="A2072">
        <v>2</v>
      </c>
      <c r="B2072" t="s">
        <v>239</v>
      </c>
      <c r="C2072" t="s">
        <v>193</v>
      </c>
      <c r="D2072" t="s">
        <v>188</v>
      </c>
      <c r="E2072" s="1" t="s">
        <v>183</v>
      </c>
      <c r="F2072" s="54" t="s">
        <v>157</v>
      </c>
      <c r="G2072" s="124">
        <v>131.43</v>
      </c>
      <c r="H2072" t="s">
        <v>423</v>
      </c>
      <c r="I2072" s="34">
        <v>2</v>
      </c>
    </row>
    <row r="2073" spans="1:9" x14ac:dyDescent="0.3">
      <c r="A2073">
        <v>3</v>
      </c>
      <c r="B2073" t="s">
        <v>239</v>
      </c>
      <c r="C2073" t="s">
        <v>193</v>
      </c>
      <c r="D2073" t="s">
        <v>188</v>
      </c>
      <c r="E2073" s="1" t="s">
        <v>183</v>
      </c>
      <c r="F2073" s="31" t="s">
        <v>157</v>
      </c>
      <c r="G2073" s="124">
        <v>126.08</v>
      </c>
      <c r="H2073" t="s">
        <v>423</v>
      </c>
      <c r="I2073" s="34">
        <v>3</v>
      </c>
    </row>
    <row r="2074" spans="1:9" x14ac:dyDescent="0.3">
      <c r="A2074">
        <v>1</v>
      </c>
      <c r="B2074" t="s">
        <v>239</v>
      </c>
      <c r="C2074" t="s">
        <v>193</v>
      </c>
      <c r="D2074" t="s">
        <v>188</v>
      </c>
      <c r="E2074" s="1" t="s">
        <v>183</v>
      </c>
      <c r="F2074" s="54" t="s">
        <v>157</v>
      </c>
      <c r="G2074" s="124">
        <v>109.8</v>
      </c>
      <c r="H2074" t="s">
        <v>423</v>
      </c>
      <c r="I2074" s="34">
        <v>1</v>
      </c>
    </row>
    <row r="2075" spans="1:9" x14ac:dyDescent="0.3">
      <c r="A2075">
        <v>8</v>
      </c>
      <c r="B2075" t="s">
        <v>239</v>
      </c>
      <c r="C2075" t="s">
        <v>191</v>
      </c>
      <c r="D2075" t="s">
        <v>188</v>
      </c>
      <c r="E2075" t="s">
        <v>178</v>
      </c>
      <c r="F2075" s="57" t="s">
        <v>178</v>
      </c>
      <c r="G2075" s="124">
        <v>800</v>
      </c>
      <c r="H2075" t="s">
        <v>424</v>
      </c>
      <c r="I2075" s="34">
        <v>8</v>
      </c>
    </row>
    <row r="2076" spans="1:9" x14ac:dyDescent="0.3">
      <c r="A2076">
        <v>7</v>
      </c>
      <c r="B2076" t="s">
        <v>239</v>
      </c>
      <c r="C2076" t="s">
        <v>191</v>
      </c>
      <c r="D2076" t="s">
        <v>188</v>
      </c>
      <c r="E2076" t="s">
        <v>178</v>
      </c>
      <c r="F2076" s="57" t="s">
        <v>178</v>
      </c>
      <c r="G2076" s="124">
        <v>700</v>
      </c>
      <c r="H2076" t="s">
        <v>424</v>
      </c>
      <c r="I2076" s="34">
        <v>7</v>
      </c>
    </row>
    <row r="2077" spans="1:9" x14ac:dyDescent="0.3">
      <c r="A2077">
        <v>12</v>
      </c>
      <c r="B2077" t="s">
        <v>239</v>
      </c>
      <c r="C2077" t="s">
        <v>191</v>
      </c>
      <c r="D2077" t="s">
        <v>188</v>
      </c>
      <c r="E2077" t="s">
        <v>178</v>
      </c>
      <c r="F2077" s="57" t="s">
        <v>178</v>
      </c>
      <c r="G2077" s="124">
        <v>650</v>
      </c>
      <c r="H2077" s="53" t="s">
        <v>424</v>
      </c>
      <c r="I2077" s="77">
        <v>12</v>
      </c>
    </row>
    <row r="2078" spans="1:9" x14ac:dyDescent="0.3">
      <c r="A2078">
        <v>1</v>
      </c>
      <c r="B2078" t="s">
        <v>239</v>
      </c>
      <c r="C2078" t="s">
        <v>191</v>
      </c>
      <c r="D2078" t="s">
        <v>188</v>
      </c>
      <c r="E2078" s="1" t="s">
        <v>178</v>
      </c>
      <c r="F2078" s="32" t="s">
        <v>178</v>
      </c>
      <c r="G2078" s="124">
        <v>600</v>
      </c>
      <c r="H2078" t="s">
        <v>424</v>
      </c>
      <c r="I2078" s="34">
        <v>1</v>
      </c>
    </row>
    <row r="2079" spans="1:9" x14ac:dyDescent="0.3">
      <c r="A2079">
        <v>5</v>
      </c>
      <c r="B2079" t="s">
        <v>239</v>
      </c>
      <c r="C2079" t="s">
        <v>191</v>
      </c>
      <c r="D2079" t="s">
        <v>188</v>
      </c>
      <c r="E2079" t="s">
        <v>178</v>
      </c>
      <c r="F2079" s="57" t="s">
        <v>178</v>
      </c>
      <c r="G2079" s="124">
        <v>600</v>
      </c>
      <c r="H2079" t="s">
        <v>424</v>
      </c>
      <c r="I2079" s="34">
        <v>5</v>
      </c>
    </row>
    <row r="2080" spans="1:9" x14ac:dyDescent="0.3">
      <c r="A2080">
        <v>10</v>
      </c>
      <c r="B2080" t="s">
        <v>239</v>
      </c>
      <c r="C2080" t="s">
        <v>191</v>
      </c>
      <c r="D2080" t="s">
        <v>188</v>
      </c>
      <c r="E2080" t="s">
        <v>178</v>
      </c>
      <c r="F2080" s="57" t="s">
        <v>178</v>
      </c>
      <c r="G2080" s="124">
        <v>580</v>
      </c>
      <c r="H2080" t="s">
        <v>424</v>
      </c>
      <c r="I2080" s="34">
        <v>10</v>
      </c>
    </row>
    <row r="2081" spans="1:9" x14ac:dyDescent="0.3">
      <c r="A2081">
        <v>8</v>
      </c>
      <c r="B2081" t="s">
        <v>239</v>
      </c>
      <c r="C2081" t="s">
        <v>191</v>
      </c>
      <c r="D2081" t="s">
        <v>195</v>
      </c>
      <c r="E2081" t="s">
        <v>178</v>
      </c>
      <c r="F2081" s="57" t="s">
        <v>178</v>
      </c>
      <c r="G2081" s="124">
        <v>550</v>
      </c>
      <c r="H2081" t="s">
        <v>425</v>
      </c>
      <c r="I2081" s="34">
        <v>8</v>
      </c>
    </row>
    <row r="2082" spans="1:9" x14ac:dyDescent="0.3">
      <c r="A2082">
        <v>7</v>
      </c>
      <c r="B2082" t="s">
        <v>239</v>
      </c>
      <c r="C2082" t="s">
        <v>191</v>
      </c>
      <c r="D2082" t="s">
        <v>195</v>
      </c>
      <c r="E2082" t="s">
        <v>178</v>
      </c>
      <c r="F2082" s="57" t="s">
        <v>178</v>
      </c>
      <c r="G2082" s="124">
        <v>530</v>
      </c>
      <c r="H2082" t="s">
        <v>425</v>
      </c>
      <c r="I2082" s="34">
        <v>7</v>
      </c>
    </row>
    <row r="2083" spans="1:9" x14ac:dyDescent="0.3">
      <c r="A2083">
        <v>6</v>
      </c>
      <c r="B2083" t="s">
        <v>239</v>
      </c>
      <c r="C2083" t="s">
        <v>191</v>
      </c>
      <c r="D2083" t="s">
        <v>188</v>
      </c>
      <c r="E2083" t="s">
        <v>178</v>
      </c>
      <c r="F2083" s="57" t="s">
        <v>178</v>
      </c>
      <c r="G2083" s="124">
        <v>525</v>
      </c>
      <c r="H2083" t="s">
        <v>424</v>
      </c>
      <c r="I2083" s="34">
        <v>6</v>
      </c>
    </row>
    <row r="2084" spans="1:9" x14ac:dyDescent="0.3">
      <c r="A2084" s="53">
        <v>11</v>
      </c>
      <c r="B2084" t="s">
        <v>239</v>
      </c>
      <c r="C2084" s="53" t="s">
        <v>191</v>
      </c>
      <c r="D2084" s="53" t="s">
        <v>188</v>
      </c>
      <c r="E2084" s="53" t="s">
        <v>178</v>
      </c>
      <c r="F2084" s="57" t="s">
        <v>178</v>
      </c>
      <c r="G2084" s="124">
        <v>520</v>
      </c>
      <c r="H2084" s="53" t="s">
        <v>424</v>
      </c>
      <c r="I2084" s="77">
        <v>11</v>
      </c>
    </row>
    <row r="2085" spans="1:9" x14ac:dyDescent="0.3">
      <c r="A2085">
        <v>2</v>
      </c>
      <c r="B2085" t="s">
        <v>239</v>
      </c>
      <c r="C2085" t="s">
        <v>191</v>
      </c>
      <c r="D2085" t="s">
        <v>188</v>
      </c>
      <c r="E2085" s="1" t="s">
        <v>178</v>
      </c>
      <c r="F2085" s="31" t="s">
        <v>178</v>
      </c>
      <c r="G2085" s="124">
        <v>510</v>
      </c>
      <c r="H2085" t="s">
        <v>424</v>
      </c>
      <c r="I2085" s="34">
        <v>2</v>
      </c>
    </row>
    <row r="2086" spans="1:9" x14ac:dyDescent="0.3">
      <c r="A2086">
        <v>4</v>
      </c>
      <c r="B2086" t="s">
        <v>239</v>
      </c>
      <c r="C2086" t="s">
        <v>191</v>
      </c>
      <c r="D2086" t="s">
        <v>188</v>
      </c>
      <c r="E2086" s="1" t="s">
        <v>178</v>
      </c>
      <c r="F2086" s="32" t="s">
        <v>178</v>
      </c>
      <c r="G2086" s="124">
        <v>500</v>
      </c>
      <c r="H2086" t="s">
        <v>424</v>
      </c>
      <c r="I2086" s="34">
        <v>4</v>
      </c>
    </row>
    <row r="2087" spans="1:9" x14ac:dyDescent="0.3">
      <c r="A2087">
        <v>9</v>
      </c>
      <c r="B2087" t="s">
        <v>239</v>
      </c>
      <c r="C2087" t="s">
        <v>191</v>
      </c>
      <c r="D2087" t="s">
        <v>188</v>
      </c>
      <c r="E2087" t="s">
        <v>178</v>
      </c>
      <c r="F2087" s="57" t="s">
        <v>178</v>
      </c>
      <c r="G2087" s="124">
        <v>500</v>
      </c>
      <c r="H2087" s="53" t="s">
        <v>424</v>
      </c>
      <c r="I2087" s="77">
        <v>9</v>
      </c>
    </row>
    <row r="2088" spans="1:9" x14ac:dyDescent="0.3">
      <c r="A2088">
        <v>6</v>
      </c>
      <c r="B2088" t="s">
        <v>239</v>
      </c>
      <c r="C2088" t="s">
        <v>191</v>
      </c>
      <c r="D2088" t="s">
        <v>195</v>
      </c>
      <c r="E2088" t="s">
        <v>178</v>
      </c>
      <c r="F2088" s="57" t="s">
        <v>178</v>
      </c>
      <c r="G2088" s="124">
        <v>425</v>
      </c>
      <c r="H2088" t="s">
        <v>425</v>
      </c>
      <c r="I2088" s="34">
        <v>6</v>
      </c>
    </row>
    <row r="2089" spans="1:9" x14ac:dyDescent="0.3">
      <c r="A2089">
        <v>12</v>
      </c>
      <c r="B2089" t="s">
        <v>239</v>
      </c>
      <c r="C2089" t="s">
        <v>191</v>
      </c>
      <c r="D2089" t="s">
        <v>195</v>
      </c>
      <c r="E2089" t="s">
        <v>178</v>
      </c>
      <c r="F2089" s="57" t="s">
        <v>178</v>
      </c>
      <c r="G2089" s="124">
        <v>400</v>
      </c>
      <c r="H2089" t="s">
        <v>425</v>
      </c>
      <c r="I2089" s="34">
        <v>12</v>
      </c>
    </row>
    <row r="2090" spans="1:9" x14ac:dyDescent="0.3">
      <c r="A2090">
        <v>3</v>
      </c>
      <c r="B2090" t="s">
        <v>239</v>
      </c>
      <c r="C2090" t="s">
        <v>191</v>
      </c>
      <c r="D2090" t="s">
        <v>188</v>
      </c>
      <c r="E2090" s="1" t="s">
        <v>178</v>
      </c>
      <c r="F2090" s="31" t="s">
        <v>178</v>
      </c>
      <c r="G2090" s="124">
        <v>385</v>
      </c>
      <c r="H2090" t="s">
        <v>424</v>
      </c>
      <c r="I2090" s="34">
        <v>3</v>
      </c>
    </row>
    <row r="2091" spans="1:9" x14ac:dyDescent="0.3">
      <c r="A2091">
        <v>8</v>
      </c>
      <c r="B2091" t="s">
        <v>239</v>
      </c>
      <c r="C2091" t="s">
        <v>192</v>
      </c>
      <c r="D2091" t="s">
        <v>195</v>
      </c>
      <c r="E2091" t="s">
        <v>178</v>
      </c>
      <c r="F2091" s="57" t="s">
        <v>178</v>
      </c>
      <c r="G2091" s="124">
        <v>381</v>
      </c>
      <c r="H2091" t="s">
        <v>426</v>
      </c>
      <c r="I2091" s="34">
        <v>8</v>
      </c>
    </row>
    <row r="2092" spans="1:9" x14ac:dyDescent="0.3">
      <c r="A2092">
        <v>1</v>
      </c>
      <c r="B2092" t="s">
        <v>239</v>
      </c>
      <c r="C2092" t="s">
        <v>191</v>
      </c>
      <c r="D2092" t="s">
        <v>195</v>
      </c>
      <c r="E2092" s="1" t="s">
        <v>178</v>
      </c>
      <c r="F2092" s="32" t="s">
        <v>178</v>
      </c>
      <c r="G2092" s="124">
        <v>380</v>
      </c>
      <c r="H2092" t="s">
        <v>425</v>
      </c>
      <c r="I2092" s="34">
        <v>1</v>
      </c>
    </row>
    <row r="2093" spans="1:9" x14ac:dyDescent="0.3">
      <c r="A2093">
        <v>8</v>
      </c>
      <c r="B2093" t="s">
        <v>239</v>
      </c>
      <c r="C2093" t="s">
        <v>192</v>
      </c>
      <c r="D2093" t="s">
        <v>188</v>
      </c>
      <c r="E2093" t="s">
        <v>178</v>
      </c>
      <c r="F2093" s="57" t="s">
        <v>178</v>
      </c>
      <c r="G2093" s="124">
        <v>379.5</v>
      </c>
      <c r="H2093" t="s">
        <v>427</v>
      </c>
      <c r="I2093" s="34">
        <v>8</v>
      </c>
    </row>
    <row r="2094" spans="1:9" x14ac:dyDescent="0.3">
      <c r="A2094">
        <v>10</v>
      </c>
      <c r="B2094" t="s">
        <v>239</v>
      </c>
      <c r="C2094" t="s">
        <v>191</v>
      </c>
      <c r="D2094" t="s">
        <v>195</v>
      </c>
      <c r="E2094" t="s">
        <v>178</v>
      </c>
      <c r="F2094" s="57" t="s">
        <v>178</v>
      </c>
      <c r="G2094" s="124">
        <v>365</v>
      </c>
      <c r="H2094" t="s">
        <v>425</v>
      </c>
      <c r="I2094" s="34">
        <v>10</v>
      </c>
    </row>
    <row r="2095" spans="1:9" x14ac:dyDescent="0.3">
      <c r="A2095">
        <v>9</v>
      </c>
      <c r="B2095" t="s">
        <v>239</v>
      </c>
      <c r="C2095" t="s">
        <v>191</v>
      </c>
      <c r="D2095" t="s">
        <v>195</v>
      </c>
      <c r="E2095" t="s">
        <v>178</v>
      </c>
      <c r="F2095" s="57" t="s">
        <v>178</v>
      </c>
      <c r="G2095" s="124">
        <v>355</v>
      </c>
      <c r="H2095" t="s">
        <v>425</v>
      </c>
      <c r="I2095" s="34">
        <v>9</v>
      </c>
    </row>
    <row r="2096" spans="1:9" x14ac:dyDescent="0.3">
      <c r="A2096">
        <v>2</v>
      </c>
      <c r="B2096" t="s">
        <v>239</v>
      </c>
      <c r="C2096" t="s">
        <v>191</v>
      </c>
      <c r="D2096" t="s">
        <v>195</v>
      </c>
      <c r="E2096" s="1" t="s">
        <v>178</v>
      </c>
      <c r="F2096" s="31" t="s">
        <v>178</v>
      </c>
      <c r="G2096" s="124">
        <v>350</v>
      </c>
      <c r="H2096" t="s">
        <v>425</v>
      </c>
      <c r="I2096" s="34">
        <v>2</v>
      </c>
    </row>
    <row r="2097" spans="1:9" x14ac:dyDescent="0.3">
      <c r="A2097">
        <v>4</v>
      </c>
      <c r="B2097" t="s">
        <v>239</v>
      </c>
      <c r="C2097" t="s">
        <v>191</v>
      </c>
      <c r="D2097" t="s">
        <v>195</v>
      </c>
      <c r="E2097" s="1" t="s">
        <v>178</v>
      </c>
      <c r="F2097" s="32" t="s">
        <v>178</v>
      </c>
      <c r="G2097" s="124">
        <v>350</v>
      </c>
      <c r="H2097" t="s">
        <v>425</v>
      </c>
      <c r="I2097" s="34">
        <v>4</v>
      </c>
    </row>
    <row r="2098" spans="1:9" x14ac:dyDescent="0.3">
      <c r="A2098">
        <v>5</v>
      </c>
      <c r="B2098" t="s">
        <v>239</v>
      </c>
      <c r="C2098" t="s">
        <v>191</v>
      </c>
      <c r="D2098" t="s">
        <v>195</v>
      </c>
      <c r="E2098" t="s">
        <v>178</v>
      </c>
      <c r="F2098" s="57" t="s">
        <v>178</v>
      </c>
      <c r="G2098" s="124">
        <v>350</v>
      </c>
      <c r="H2098" t="s">
        <v>425</v>
      </c>
      <c r="I2098" s="34">
        <v>5</v>
      </c>
    </row>
    <row r="2099" spans="1:9" x14ac:dyDescent="0.3">
      <c r="A2099">
        <v>7</v>
      </c>
      <c r="B2099" t="s">
        <v>239</v>
      </c>
      <c r="C2099" t="s">
        <v>192</v>
      </c>
      <c r="D2099" t="s">
        <v>188</v>
      </c>
      <c r="E2099" t="s">
        <v>178</v>
      </c>
      <c r="F2099" s="57" t="s">
        <v>178</v>
      </c>
      <c r="G2099" s="124">
        <v>343.5</v>
      </c>
      <c r="H2099" t="s">
        <v>427</v>
      </c>
      <c r="I2099" s="34">
        <v>7</v>
      </c>
    </row>
    <row r="2100" spans="1:9" x14ac:dyDescent="0.3">
      <c r="A2100">
        <v>7</v>
      </c>
      <c r="B2100" t="s">
        <v>239</v>
      </c>
      <c r="C2100" t="s">
        <v>192</v>
      </c>
      <c r="D2100" t="s">
        <v>195</v>
      </c>
      <c r="E2100" t="s">
        <v>178</v>
      </c>
      <c r="F2100" s="57" t="s">
        <v>178</v>
      </c>
      <c r="G2100" s="124">
        <v>343</v>
      </c>
      <c r="H2100" t="s">
        <v>426</v>
      </c>
      <c r="I2100" s="34">
        <v>7</v>
      </c>
    </row>
    <row r="2101" spans="1:9" x14ac:dyDescent="0.3">
      <c r="A2101" s="53">
        <v>11</v>
      </c>
      <c r="B2101" t="s">
        <v>239</v>
      </c>
      <c r="C2101" s="53" t="s">
        <v>191</v>
      </c>
      <c r="D2101" s="53" t="s">
        <v>195</v>
      </c>
      <c r="E2101" s="53" t="s">
        <v>178</v>
      </c>
      <c r="F2101" s="57" t="s">
        <v>178</v>
      </c>
      <c r="G2101" s="124">
        <v>320</v>
      </c>
      <c r="H2101" t="s">
        <v>425</v>
      </c>
      <c r="I2101" s="34">
        <v>11</v>
      </c>
    </row>
    <row r="2102" spans="1:9" x14ac:dyDescent="0.3">
      <c r="A2102">
        <v>8</v>
      </c>
      <c r="B2102" t="s">
        <v>239</v>
      </c>
      <c r="C2102" t="s">
        <v>193</v>
      </c>
      <c r="D2102" t="s">
        <v>188</v>
      </c>
      <c r="E2102" t="s">
        <v>178</v>
      </c>
      <c r="F2102" s="57" t="s">
        <v>178</v>
      </c>
      <c r="G2102" s="124">
        <v>303.60000000000002</v>
      </c>
      <c r="H2102" t="s">
        <v>428</v>
      </c>
      <c r="I2102" s="34">
        <v>8</v>
      </c>
    </row>
    <row r="2103" spans="1:9" x14ac:dyDescent="0.3">
      <c r="A2103">
        <v>9</v>
      </c>
      <c r="B2103" t="s">
        <v>239</v>
      </c>
      <c r="C2103" t="s">
        <v>192</v>
      </c>
      <c r="D2103" t="s">
        <v>188</v>
      </c>
      <c r="E2103" t="s">
        <v>178</v>
      </c>
      <c r="F2103" s="57" t="s">
        <v>178</v>
      </c>
      <c r="G2103" s="124">
        <v>273</v>
      </c>
      <c r="H2103" s="53" t="s">
        <v>427</v>
      </c>
      <c r="I2103" s="77">
        <v>9</v>
      </c>
    </row>
    <row r="2104" spans="1:9" x14ac:dyDescent="0.3">
      <c r="A2104">
        <v>9</v>
      </c>
      <c r="B2104" t="s">
        <v>239</v>
      </c>
      <c r="C2104" t="s">
        <v>192</v>
      </c>
      <c r="D2104" t="s">
        <v>195</v>
      </c>
      <c r="E2104" t="s">
        <v>178</v>
      </c>
      <c r="F2104" s="57" t="s">
        <v>178</v>
      </c>
      <c r="G2104" s="124">
        <v>272</v>
      </c>
      <c r="H2104" t="s">
        <v>426</v>
      </c>
      <c r="I2104" s="34">
        <v>9</v>
      </c>
    </row>
    <row r="2105" spans="1:9" x14ac:dyDescent="0.3">
      <c r="A2105">
        <v>5</v>
      </c>
      <c r="B2105" t="s">
        <v>239</v>
      </c>
      <c r="C2105" t="s">
        <v>192</v>
      </c>
      <c r="D2105" t="s">
        <v>188</v>
      </c>
      <c r="E2105" t="s">
        <v>178</v>
      </c>
      <c r="F2105" s="57" t="s">
        <v>178</v>
      </c>
      <c r="G2105" s="124">
        <v>269</v>
      </c>
      <c r="H2105" t="s">
        <v>427</v>
      </c>
      <c r="I2105" s="34">
        <v>5</v>
      </c>
    </row>
    <row r="2106" spans="1:9" x14ac:dyDescent="0.3">
      <c r="A2106">
        <v>10</v>
      </c>
      <c r="B2106" t="s">
        <v>239</v>
      </c>
      <c r="C2106" t="s">
        <v>192</v>
      </c>
      <c r="D2106" t="s">
        <v>188</v>
      </c>
      <c r="E2106" t="s">
        <v>178</v>
      </c>
      <c r="F2106" s="57" t="s">
        <v>178</v>
      </c>
      <c r="G2106" s="124">
        <v>269</v>
      </c>
      <c r="H2106" t="s">
        <v>427</v>
      </c>
      <c r="I2106" s="34">
        <v>10</v>
      </c>
    </row>
    <row r="2107" spans="1:9" x14ac:dyDescent="0.3">
      <c r="A2107">
        <v>5</v>
      </c>
      <c r="B2107" t="s">
        <v>239</v>
      </c>
      <c r="C2107" t="s">
        <v>192</v>
      </c>
      <c r="D2107" t="s">
        <v>195</v>
      </c>
      <c r="E2107" t="s">
        <v>178</v>
      </c>
      <c r="F2107" s="57" t="s">
        <v>178</v>
      </c>
      <c r="G2107" s="124">
        <v>268</v>
      </c>
      <c r="H2107" t="s">
        <v>426</v>
      </c>
      <c r="I2107" s="34">
        <v>5</v>
      </c>
    </row>
    <row r="2108" spans="1:9" x14ac:dyDescent="0.3">
      <c r="A2108">
        <v>10</v>
      </c>
      <c r="B2108" t="s">
        <v>239</v>
      </c>
      <c r="C2108" t="s">
        <v>192</v>
      </c>
      <c r="D2108" t="s">
        <v>195</v>
      </c>
      <c r="E2108" t="s">
        <v>178</v>
      </c>
      <c r="F2108" s="57" t="s">
        <v>178</v>
      </c>
      <c r="G2108" s="124">
        <v>268</v>
      </c>
      <c r="H2108" t="s">
        <v>426</v>
      </c>
      <c r="I2108" s="34">
        <v>10</v>
      </c>
    </row>
    <row r="2109" spans="1:9" x14ac:dyDescent="0.3">
      <c r="A2109">
        <v>2</v>
      </c>
      <c r="B2109" t="s">
        <v>239</v>
      </c>
      <c r="C2109" t="s">
        <v>192</v>
      </c>
      <c r="D2109" t="s">
        <v>188</v>
      </c>
      <c r="E2109" s="1" t="s">
        <v>178</v>
      </c>
      <c r="F2109" s="54" t="s">
        <v>178</v>
      </c>
      <c r="G2109" s="124">
        <v>266.2</v>
      </c>
      <c r="H2109" t="s">
        <v>427</v>
      </c>
      <c r="I2109" s="34">
        <v>2</v>
      </c>
    </row>
    <row r="2110" spans="1:9" x14ac:dyDescent="0.3">
      <c r="A2110">
        <v>2</v>
      </c>
      <c r="B2110" t="s">
        <v>239</v>
      </c>
      <c r="C2110" t="s">
        <v>192</v>
      </c>
      <c r="D2110" t="s">
        <v>195</v>
      </c>
      <c r="E2110" s="1" t="s">
        <v>178</v>
      </c>
      <c r="F2110" s="54" t="s">
        <v>178</v>
      </c>
      <c r="G2110" s="124">
        <v>266.2</v>
      </c>
      <c r="H2110" t="s">
        <v>426</v>
      </c>
      <c r="I2110" s="34">
        <v>2</v>
      </c>
    </row>
    <row r="2111" spans="1:9" x14ac:dyDescent="0.3">
      <c r="A2111">
        <v>6</v>
      </c>
      <c r="B2111" t="s">
        <v>239</v>
      </c>
      <c r="C2111" t="s">
        <v>192</v>
      </c>
      <c r="D2111" t="s">
        <v>195</v>
      </c>
      <c r="E2111" t="s">
        <v>178</v>
      </c>
      <c r="F2111" s="57" t="s">
        <v>178</v>
      </c>
      <c r="G2111" s="124">
        <v>259</v>
      </c>
      <c r="H2111" t="s">
        <v>426</v>
      </c>
      <c r="I2111" s="34">
        <v>6</v>
      </c>
    </row>
    <row r="2112" spans="1:9" x14ac:dyDescent="0.3">
      <c r="A2112">
        <v>6</v>
      </c>
      <c r="B2112" t="s">
        <v>239</v>
      </c>
      <c r="C2112" t="s">
        <v>192</v>
      </c>
      <c r="D2112" t="s">
        <v>188</v>
      </c>
      <c r="E2112" t="s">
        <v>178</v>
      </c>
      <c r="F2112" s="57" t="s">
        <v>178</v>
      </c>
      <c r="G2112" s="124">
        <v>257</v>
      </c>
      <c r="H2112" t="s">
        <v>427</v>
      </c>
      <c r="I2112" s="34">
        <v>6</v>
      </c>
    </row>
    <row r="2113" spans="1:9" x14ac:dyDescent="0.3">
      <c r="A2113">
        <v>12</v>
      </c>
      <c r="B2113" t="s">
        <v>239</v>
      </c>
      <c r="C2113" t="s">
        <v>192</v>
      </c>
      <c r="D2113" t="s">
        <v>188</v>
      </c>
      <c r="E2113" t="s">
        <v>178</v>
      </c>
      <c r="F2113" s="57" t="s">
        <v>178</v>
      </c>
      <c r="G2113" s="124">
        <v>253.99799999999996</v>
      </c>
      <c r="H2113" t="s">
        <v>427</v>
      </c>
      <c r="I2113" s="34">
        <v>12</v>
      </c>
    </row>
    <row r="2114" spans="1:9" x14ac:dyDescent="0.3">
      <c r="A2114">
        <v>12</v>
      </c>
      <c r="B2114" t="s">
        <v>239</v>
      </c>
      <c r="C2114" t="s">
        <v>192</v>
      </c>
      <c r="D2114" t="s">
        <v>195</v>
      </c>
      <c r="E2114" t="s">
        <v>178</v>
      </c>
      <c r="F2114" s="57" t="s">
        <v>178</v>
      </c>
      <c r="G2114" s="124">
        <v>253</v>
      </c>
      <c r="H2114" t="s">
        <v>426</v>
      </c>
      <c r="I2114" s="34">
        <v>12</v>
      </c>
    </row>
    <row r="2115" spans="1:9" x14ac:dyDescent="0.3">
      <c r="A2115">
        <v>3</v>
      </c>
      <c r="B2115" t="s">
        <v>239</v>
      </c>
      <c r="C2115" t="s">
        <v>191</v>
      </c>
      <c r="D2115" t="s">
        <v>195</v>
      </c>
      <c r="E2115" s="1" t="s">
        <v>178</v>
      </c>
      <c r="F2115" s="31" t="s">
        <v>178</v>
      </c>
      <c r="G2115" s="124">
        <v>250</v>
      </c>
      <c r="H2115" t="s">
        <v>425</v>
      </c>
      <c r="I2115" s="34">
        <v>3</v>
      </c>
    </row>
    <row r="2116" spans="1:9" x14ac:dyDescent="0.3">
      <c r="A2116">
        <v>7</v>
      </c>
      <c r="B2116" t="s">
        <v>239</v>
      </c>
      <c r="C2116" t="s">
        <v>193</v>
      </c>
      <c r="D2116" t="s">
        <v>188</v>
      </c>
      <c r="E2116" t="s">
        <v>178</v>
      </c>
      <c r="F2116" s="57" t="s">
        <v>178</v>
      </c>
      <c r="G2116" s="124">
        <v>240.45</v>
      </c>
      <c r="H2116" s="53" t="s">
        <v>428</v>
      </c>
      <c r="I2116" s="77">
        <v>7</v>
      </c>
    </row>
    <row r="2117" spans="1:9" x14ac:dyDescent="0.3">
      <c r="A2117" s="53">
        <v>11</v>
      </c>
      <c r="B2117" t="s">
        <v>239</v>
      </c>
      <c r="C2117" s="53" t="s">
        <v>192</v>
      </c>
      <c r="D2117" s="53" t="s">
        <v>195</v>
      </c>
      <c r="E2117" s="53" t="s">
        <v>178</v>
      </c>
      <c r="F2117" s="57" t="s">
        <v>178</v>
      </c>
      <c r="G2117" s="124">
        <v>227.46999999999997</v>
      </c>
      <c r="H2117" t="s">
        <v>426</v>
      </c>
      <c r="I2117" s="34">
        <v>11</v>
      </c>
    </row>
    <row r="2118" spans="1:9" x14ac:dyDescent="0.3">
      <c r="A2118" s="53">
        <v>11</v>
      </c>
      <c r="B2118" t="s">
        <v>239</v>
      </c>
      <c r="C2118" s="53" t="s">
        <v>192</v>
      </c>
      <c r="D2118" s="53" t="s">
        <v>188</v>
      </c>
      <c r="E2118" s="53" t="s">
        <v>178</v>
      </c>
      <c r="F2118" s="57" t="s">
        <v>178</v>
      </c>
      <c r="G2118" s="124">
        <v>224.99199999999999</v>
      </c>
      <c r="H2118" t="s">
        <v>427</v>
      </c>
      <c r="I2118" s="34">
        <v>11</v>
      </c>
    </row>
    <row r="2119" spans="1:9" x14ac:dyDescent="0.3">
      <c r="A2119">
        <v>1</v>
      </c>
      <c r="B2119" t="s">
        <v>239</v>
      </c>
      <c r="C2119" t="s">
        <v>192</v>
      </c>
      <c r="D2119" t="s">
        <v>195</v>
      </c>
      <c r="E2119" s="1" t="s">
        <v>178</v>
      </c>
      <c r="F2119" s="54" t="s">
        <v>178</v>
      </c>
      <c r="G2119" s="124">
        <v>218</v>
      </c>
      <c r="H2119" s="53" t="s">
        <v>426</v>
      </c>
      <c r="I2119" s="77">
        <v>1</v>
      </c>
    </row>
    <row r="2120" spans="1:9" x14ac:dyDescent="0.3">
      <c r="A2120">
        <v>1</v>
      </c>
      <c r="B2120" t="s">
        <v>239</v>
      </c>
      <c r="C2120" t="s">
        <v>192</v>
      </c>
      <c r="D2120" t="s">
        <v>188</v>
      </c>
      <c r="E2120" s="1" t="s">
        <v>178</v>
      </c>
      <c r="F2120" s="54" t="s">
        <v>178</v>
      </c>
      <c r="G2120" s="124">
        <v>216.5</v>
      </c>
      <c r="H2120" t="s">
        <v>427</v>
      </c>
      <c r="I2120" s="34">
        <v>1</v>
      </c>
    </row>
    <row r="2121" spans="1:9" x14ac:dyDescent="0.3">
      <c r="A2121">
        <v>8</v>
      </c>
      <c r="B2121" t="s">
        <v>239</v>
      </c>
      <c r="C2121" t="s">
        <v>193</v>
      </c>
      <c r="D2121" t="s">
        <v>195</v>
      </c>
      <c r="E2121" t="s">
        <v>178</v>
      </c>
      <c r="F2121" s="57" t="s">
        <v>178</v>
      </c>
      <c r="G2121" s="124">
        <v>209.55</v>
      </c>
      <c r="H2121" t="s">
        <v>429</v>
      </c>
      <c r="I2121" s="34">
        <v>8</v>
      </c>
    </row>
    <row r="2122" spans="1:9" x14ac:dyDescent="0.3">
      <c r="A2122">
        <v>3</v>
      </c>
      <c r="B2122" t="s">
        <v>239</v>
      </c>
      <c r="C2122" t="s">
        <v>192</v>
      </c>
      <c r="D2122" t="s">
        <v>195</v>
      </c>
      <c r="E2122" s="1" t="s">
        <v>178</v>
      </c>
      <c r="F2122" s="31" t="s">
        <v>178</v>
      </c>
      <c r="G2122" s="124">
        <v>208</v>
      </c>
      <c r="H2122" t="s">
        <v>426</v>
      </c>
      <c r="I2122" s="34">
        <v>3</v>
      </c>
    </row>
    <row r="2123" spans="1:9" x14ac:dyDescent="0.3">
      <c r="A2123">
        <v>3</v>
      </c>
      <c r="B2123" t="s">
        <v>239</v>
      </c>
      <c r="C2123" t="s">
        <v>192</v>
      </c>
      <c r="D2123" t="s">
        <v>188</v>
      </c>
      <c r="E2123" s="1" t="s">
        <v>178</v>
      </c>
      <c r="F2123" s="31" t="s">
        <v>178</v>
      </c>
      <c r="G2123" s="124">
        <v>207</v>
      </c>
      <c r="H2123" t="s">
        <v>427</v>
      </c>
      <c r="I2123" s="34">
        <v>3</v>
      </c>
    </row>
    <row r="2124" spans="1:9" x14ac:dyDescent="0.3">
      <c r="A2124">
        <v>4</v>
      </c>
      <c r="B2124" t="s">
        <v>239</v>
      </c>
      <c r="C2124" t="s">
        <v>192</v>
      </c>
      <c r="D2124" t="s">
        <v>195</v>
      </c>
      <c r="E2124" s="1" t="s">
        <v>178</v>
      </c>
      <c r="F2124" s="54" t="s">
        <v>178</v>
      </c>
      <c r="G2124" s="124">
        <v>204.27099999999999</v>
      </c>
      <c r="H2124" t="s">
        <v>426</v>
      </c>
      <c r="I2124" s="34">
        <v>4</v>
      </c>
    </row>
    <row r="2125" spans="1:9" x14ac:dyDescent="0.3">
      <c r="A2125">
        <v>4</v>
      </c>
      <c r="B2125" t="s">
        <v>239</v>
      </c>
      <c r="C2125" t="s">
        <v>192</v>
      </c>
      <c r="D2125" t="s">
        <v>188</v>
      </c>
      <c r="E2125" s="1" t="s">
        <v>178</v>
      </c>
      <c r="F2125" s="54" t="s">
        <v>178</v>
      </c>
      <c r="G2125" s="124">
        <v>202.10410999999999</v>
      </c>
      <c r="H2125" t="s">
        <v>427</v>
      </c>
      <c r="I2125" s="34">
        <v>4</v>
      </c>
    </row>
    <row r="2126" spans="1:9" x14ac:dyDescent="0.3">
      <c r="A2126">
        <v>7</v>
      </c>
      <c r="B2126" t="s">
        <v>239</v>
      </c>
      <c r="C2126" t="s">
        <v>193</v>
      </c>
      <c r="D2126" t="s">
        <v>195</v>
      </c>
      <c r="E2126" t="s">
        <v>178</v>
      </c>
      <c r="F2126" s="57" t="s">
        <v>178</v>
      </c>
      <c r="G2126" s="124">
        <v>181.79</v>
      </c>
      <c r="H2126" t="s">
        <v>429</v>
      </c>
      <c r="I2126" s="34">
        <v>7</v>
      </c>
    </row>
    <row r="2127" spans="1:9" x14ac:dyDescent="0.3">
      <c r="A2127">
        <v>12</v>
      </c>
      <c r="B2127" t="s">
        <v>239</v>
      </c>
      <c r="C2127" t="s">
        <v>193</v>
      </c>
      <c r="D2127" t="s">
        <v>188</v>
      </c>
      <c r="E2127" t="s">
        <v>178</v>
      </c>
      <c r="F2127" s="57" t="s">
        <v>178</v>
      </c>
      <c r="G2127" s="124">
        <v>165.09869999999998</v>
      </c>
      <c r="H2127" s="53" t="s">
        <v>428</v>
      </c>
      <c r="I2127" s="77">
        <v>12</v>
      </c>
    </row>
    <row r="2128" spans="1:9" x14ac:dyDescent="0.3">
      <c r="A2128">
        <v>5</v>
      </c>
      <c r="B2128" t="s">
        <v>239</v>
      </c>
      <c r="C2128" t="s">
        <v>193</v>
      </c>
      <c r="D2128" t="s">
        <v>188</v>
      </c>
      <c r="E2128" t="s">
        <v>178</v>
      </c>
      <c r="F2128" s="57" t="s">
        <v>178</v>
      </c>
      <c r="G2128" s="124">
        <v>161.4</v>
      </c>
      <c r="H2128" t="s">
        <v>428</v>
      </c>
      <c r="I2128" s="34">
        <v>5</v>
      </c>
    </row>
    <row r="2129" spans="1:9" x14ac:dyDescent="0.3">
      <c r="A2129">
        <v>10</v>
      </c>
      <c r="B2129" t="s">
        <v>239</v>
      </c>
      <c r="C2129" t="s">
        <v>193</v>
      </c>
      <c r="D2129" t="s">
        <v>188</v>
      </c>
      <c r="E2129" t="s">
        <v>178</v>
      </c>
      <c r="F2129" s="57" t="s">
        <v>178</v>
      </c>
      <c r="G2129" s="124">
        <v>156.02000000000001</v>
      </c>
      <c r="H2129" s="53" t="s">
        <v>428</v>
      </c>
      <c r="I2129" s="77">
        <v>10</v>
      </c>
    </row>
    <row r="2130" spans="1:9" x14ac:dyDescent="0.3">
      <c r="A2130">
        <v>9</v>
      </c>
      <c r="B2130" t="s">
        <v>239</v>
      </c>
      <c r="C2130" t="s">
        <v>193</v>
      </c>
      <c r="D2130" t="s">
        <v>188</v>
      </c>
      <c r="E2130" t="s">
        <v>178</v>
      </c>
      <c r="F2130" s="57" t="s">
        <v>178</v>
      </c>
      <c r="G2130" s="124">
        <v>136.5</v>
      </c>
      <c r="H2130" t="s">
        <v>428</v>
      </c>
      <c r="I2130" s="34">
        <v>9</v>
      </c>
    </row>
    <row r="2131" spans="1:9" x14ac:dyDescent="0.3">
      <c r="A2131">
        <v>2</v>
      </c>
      <c r="B2131" t="s">
        <v>239</v>
      </c>
      <c r="C2131" t="s">
        <v>193</v>
      </c>
      <c r="D2131" t="s">
        <v>188</v>
      </c>
      <c r="E2131" s="1" t="s">
        <v>178</v>
      </c>
      <c r="F2131" s="54" t="s">
        <v>178</v>
      </c>
      <c r="G2131" s="124">
        <v>135.762</v>
      </c>
      <c r="H2131" t="s">
        <v>428</v>
      </c>
      <c r="I2131" s="34">
        <v>2</v>
      </c>
    </row>
    <row r="2132" spans="1:9" x14ac:dyDescent="0.3">
      <c r="A2132">
        <v>6</v>
      </c>
      <c r="B2132" t="s">
        <v>239</v>
      </c>
      <c r="C2132" t="s">
        <v>193</v>
      </c>
      <c r="D2132" t="s">
        <v>188</v>
      </c>
      <c r="E2132" t="s">
        <v>178</v>
      </c>
      <c r="F2132" s="57" t="s">
        <v>178</v>
      </c>
      <c r="G2132" s="124">
        <v>134.92500000000001</v>
      </c>
      <c r="H2132" t="s">
        <v>428</v>
      </c>
      <c r="I2132" s="34">
        <v>6</v>
      </c>
    </row>
    <row r="2133" spans="1:9" x14ac:dyDescent="0.3">
      <c r="A2133">
        <v>1</v>
      </c>
      <c r="B2133" t="s">
        <v>239</v>
      </c>
      <c r="C2133" t="s">
        <v>193</v>
      </c>
      <c r="D2133" t="s">
        <v>188</v>
      </c>
      <c r="E2133" s="1" t="s">
        <v>178</v>
      </c>
      <c r="F2133" s="32" t="s">
        <v>178</v>
      </c>
      <c r="G2133" s="124">
        <v>129.9</v>
      </c>
      <c r="H2133" t="s">
        <v>428</v>
      </c>
      <c r="I2133" s="34">
        <v>1</v>
      </c>
    </row>
    <row r="2134" spans="1:9" x14ac:dyDescent="0.3">
      <c r="A2134" s="53">
        <v>11</v>
      </c>
      <c r="B2134" t="s">
        <v>239</v>
      </c>
      <c r="C2134" s="53" t="s">
        <v>193</v>
      </c>
      <c r="D2134" s="53" t="s">
        <v>188</v>
      </c>
      <c r="E2134" s="53" t="s">
        <v>178</v>
      </c>
      <c r="F2134" s="57" t="s">
        <v>178</v>
      </c>
      <c r="G2134" s="124">
        <v>116.99584</v>
      </c>
      <c r="H2134" s="53" t="s">
        <v>428</v>
      </c>
      <c r="I2134" s="77">
        <v>11</v>
      </c>
    </row>
    <row r="2135" spans="1:9" x14ac:dyDescent="0.3">
      <c r="A2135">
        <v>6</v>
      </c>
      <c r="B2135" t="s">
        <v>239</v>
      </c>
      <c r="C2135" t="s">
        <v>193</v>
      </c>
      <c r="D2135" t="s">
        <v>195</v>
      </c>
      <c r="E2135" t="s">
        <v>178</v>
      </c>
      <c r="F2135" s="57" t="s">
        <v>178</v>
      </c>
      <c r="G2135" s="124">
        <v>110.075</v>
      </c>
      <c r="H2135" t="s">
        <v>429</v>
      </c>
      <c r="I2135" s="34">
        <v>6</v>
      </c>
    </row>
    <row r="2136" spans="1:9" x14ac:dyDescent="0.3">
      <c r="A2136">
        <v>12</v>
      </c>
      <c r="B2136" t="s">
        <v>239</v>
      </c>
      <c r="C2136" t="s">
        <v>193</v>
      </c>
      <c r="D2136" t="s">
        <v>195</v>
      </c>
      <c r="E2136" t="s">
        <v>178</v>
      </c>
      <c r="F2136" s="57" t="s">
        <v>178</v>
      </c>
      <c r="G2136" s="124">
        <v>101.2</v>
      </c>
      <c r="H2136" t="s">
        <v>429</v>
      </c>
      <c r="I2136" s="34">
        <v>12</v>
      </c>
    </row>
    <row r="2137" spans="1:9" x14ac:dyDescent="0.3">
      <c r="A2137">
        <v>4</v>
      </c>
      <c r="B2137" t="s">
        <v>239</v>
      </c>
      <c r="C2137" t="s">
        <v>193</v>
      </c>
      <c r="D2137" t="s">
        <v>188</v>
      </c>
      <c r="E2137" s="1" t="s">
        <v>178</v>
      </c>
      <c r="F2137" s="54" t="s">
        <v>178</v>
      </c>
      <c r="G2137" s="124">
        <v>101.052055</v>
      </c>
      <c r="H2137" t="s">
        <v>428</v>
      </c>
      <c r="I2137" s="34">
        <v>4</v>
      </c>
    </row>
    <row r="2138" spans="1:9" x14ac:dyDescent="0.3">
      <c r="A2138">
        <v>10</v>
      </c>
      <c r="B2138" t="s">
        <v>239</v>
      </c>
      <c r="C2138" t="s">
        <v>193</v>
      </c>
      <c r="D2138" t="s">
        <v>195</v>
      </c>
      <c r="E2138" t="s">
        <v>178</v>
      </c>
      <c r="F2138" s="57" t="s">
        <v>178</v>
      </c>
      <c r="G2138" s="124">
        <v>97.82</v>
      </c>
      <c r="H2138" t="s">
        <v>429</v>
      </c>
      <c r="I2138" s="34">
        <v>10</v>
      </c>
    </row>
    <row r="2139" spans="1:9" x14ac:dyDescent="0.3">
      <c r="A2139">
        <v>9</v>
      </c>
      <c r="B2139" t="s">
        <v>239</v>
      </c>
      <c r="C2139" t="s">
        <v>193</v>
      </c>
      <c r="D2139" t="s">
        <v>195</v>
      </c>
      <c r="E2139" t="s">
        <v>178</v>
      </c>
      <c r="F2139" s="57" t="s">
        <v>178</v>
      </c>
      <c r="G2139" s="124">
        <v>96.56</v>
      </c>
      <c r="H2139" t="s">
        <v>429</v>
      </c>
      <c r="I2139" s="34">
        <v>9</v>
      </c>
    </row>
    <row r="2140" spans="1:9" x14ac:dyDescent="0.3">
      <c r="A2140">
        <v>5</v>
      </c>
      <c r="B2140" t="s">
        <v>239</v>
      </c>
      <c r="C2140" t="s">
        <v>193</v>
      </c>
      <c r="D2140" t="s">
        <v>195</v>
      </c>
      <c r="E2140" t="s">
        <v>178</v>
      </c>
      <c r="F2140" s="57" t="s">
        <v>178</v>
      </c>
      <c r="G2140" s="124">
        <v>93.8</v>
      </c>
      <c r="H2140" t="s">
        <v>429</v>
      </c>
      <c r="I2140" s="34">
        <v>5</v>
      </c>
    </row>
    <row r="2141" spans="1:9" x14ac:dyDescent="0.3">
      <c r="A2141">
        <v>2</v>
      </c>
      <c r="B2141" t="s">
        <v>239</v>
      </c>
      <c r="C2141" t="s">
        <v>193</v>
      </c>
      <c r="D2141" t="s">
        <v>195</v>
      </c>
      <c r="E2141" s="1" t="s">
        <v>178</v>
      </c>
      <c r="F2141" s="54" t="s">
        <v>178</v>
      </c>
      <c r="G2141" s="124">
        <v>93.17</v>
      </c>
      <c r="H2141" t="s">
        <v>429</v>
      </c>
      <c r="I2141" s="34">
        <v>2</v>
      </c>
    </row>
    <row r="2142" spans="1:9" x14ac:dyDescent="0.3">
      <c r="A2142">
        <v>1</v>
      </c>
      <c r="B2142" t="s">
        <v>239</v>
      </c>
      <c r="C2142" t="s">
        <v>193</v>
      </c>
      <c r="D2142" t="s">
        <v>195</v>
      </c>
      <c r="E2142" s="1" t="s">
        <v>178</v>
      </c>
      <c r="F2142" s="32" t="s">
        <v>178</v>
      </c>
      <c r="G2142" s="124">
        <v>82.84</v>
      </c>
      <c r="H2142" s="53" t="s">
        <v>429</v>
      </c>
      <c r="I2142" s="77">
        <v>1</v>
      </c>
    </row>
    <row r="2143" spans="1:9" x14ac:dyDescent="0.3">
      <c r="A2143">
        <v>3</v>
      </c>
      <c r="B2143" t="s">
        <v>239</v>
      </c>
      <c r="C2143" t="s">
        <v>193</v>
      </c>
      <c r="D2143" t="s">
        <v>188</v>
      </c>
      <c r="E2143" s="1" t="s">
        <v>178</v>
      </c>
      <c r="F2143" s="31" t="s">
        <v>178</v>
      </c>
      <c r="G2143" s="124">
        <v>79.694999999999993</v>
      </c>
      <c r="H2143" t="s">
        <v>428</v>
      </c>
      <c r="I2143" s="34">
        <v>3</v>
      </c>
    </row>
    <row r="2144" spans="1:9" x14ac:dyDescent="0.3">
      <c r="A2144" s="53">
        <v>11</v>
      </c>
      <c r="B2144" t="s">
        <v>239</v>
      </c>
      <c r="C2144" s="53" t="s">
        <v>193</v>
      </c>
      <c r="D2144" s="53" t="s">
        <v>195</v>
      </c>
      <c r="E2144" s="53" t="s">
        <v>178</v>
      </c>
      <c r="F2144" s="57" t="s">
        <v>178</v>
      </c>
      <c r="G2144" s="124">
        <v>72.790399999999991</v>
      </c>
      <c r="H2144" t="s">
        <v>429</v>
      </c>
      <c r="I2144" s="34">
        <v>11</v>
      </c>
    </row>
    <row r="2145" spans="1:9" x14ac:dyDescent="0.3">
      <c r="A2145">
        <v>4</v>
      </c>
      <c r="B2145" t="s">
        <v>239</v>
      </c>
      <c r="C2145" t="s">
        <v>193</v>
      </c>
      <c r="D2145" t="s">
        <v>195</v>
      </c>
      <c r="E2145" s="1" t="s">
        <v>178</v>
      </c>
      <c r="F2145" s="54" t="s">
        <v>178</v>
      </c>
      <c r="G2145" s="124">
        <v>71.494849999999985</v>
      </c>
      <c r="H2145" t="s">
        <v>429</v>
      </c>
      <c r="I2145" s="34">
        <v>4</v>
      </c>
    </row>
    <row r="2146" spans="1:9" x14ac:dyDescent="0.3">
      <c r="A2146">
        <v>3</v>
      </c>
      <c r="B2146" t="s">
        <v>239</v>
      </c>
      <c r="C2146" t="s">
        <v>193</v>
      </c>
      <c r="D2146" t="s">
        <v>195</v>
      </c>
      <c r="E2146" s="1" t="s">
        <v>178</v>
      </c>
      <c r="F2146" s="31" t="s">
        <v>178</v>
      </c>
      <c r="G2146" s="124">
        <v>52</v>
      </c>
      <c r="H2146" t="s">
        <v>429</v>
      </c>
      <c r="I2146" s="34">
        <v>3</v>
      </c>
    </row>
    <row r="2147" spans="1:9" x14ac:dyDescent="0.3">
      <c r="A2147">
        <v>8</v>
      </c>
      <c r="B2147" t="s">
        <v>239</v>
      </c>
      <c r="C2147" t="s">
        <v>191</v>
      </c>
      <c r="D2147" t="s">
        <v>188</v>
      </c>
      <c r="E2147" t="s">
        <v>75</v>
      </c>
      <c r="F2147" s="54" t="s">
        <v>221</v>
      </c>
      <c r="G2147" s="124">
        <v>0</v>
      </c>
      <c r="H2147" t="s">
        <v>430</v>
      </c>
      <c r="I2147" s="34">
        <v>8</v>
      </c>
    </row>
    <row r="2148" spans="1:9" x14ac:dyDescent="0.3">
      <c r="A2148">
        <v>8</v>
      </c>
      <c r="B2148" t="s">
        <v>239</v>
      </c>
      <c r="C2148" t="s">
        <v>191</v>
      </c>
      <c r="D2148" t="s">
        <v>195</v>
      </c>
      <c r="E2148" t="s">
        <v>75</v>
      </c>
      <c r="F2148" s="54" t="s">
        <v>221</v>
      </c>
      <c r="G2148" s="124">
        <v>0</v>
      </c>
      <c r="H2148" t="s">
        <v>241</v>
      </c>
      <c r="I2148" s="34">
        <v>8</v>
      </c>
    </row>
    <row r="2149" spans="1:9" x14ac:dyDescent="0.3">
      <c r="A2149">
        <v>7</v>
      </c>
      <c r="B2149" t="s">
        <v>239</v>
      </c>
      <c r="C2149" t="s">
        <v>191</v>
      </c>
      <c r="D2149" t="s">
        <v>188</v>
      </c>
      <c r="E2149" t="s">
        <v>75</v>
      </c>
      <c r="F2149" s="54" t="s">
        <v>221</v>
      </c>
      <c r="G2149" s="124">
        <v>0</v>
      </c>
      <c r="H2149" t="s">
        <v>240</v>
      </c>
      <c r="I2149" s="34">
        <v>7</v>
      </c>
    </row>
    <row r="2150" spans="1:9" x14ac:dyDescent="0.3">
      <c r="A2150">
        <v>10</v>
      </c>
      <c r="B2150" t="s">
        <v>239</v>
      </c>
      <c r="C2150" t="s">
        <v>191</v>
      </c>
      <c r="D2150" t="s">
        <v>188</v>
      </c>
      <c r="E2150" t="s">
        <v>75</v>
      </c>
      <c r="F2150" s="54" t="s">
        <v>221</v>
      </c>
      <c r="G2150" s="124">
        <v>0</v>
      </c>
      <c r="H2150" s="53" t="s">
        <v>240</v>
      </c>
      <c r="I2150" s="77">
        <v>10</v>
      </c>
    </row>
    <row r="2151" spans="1:9" x14ac:dyDescent="0.3">
      <c r="A2151">
        <v>7</v>
      </c>
      <c r="B2151" t="s">
        <v>239</v>
      </c>
      <c r="C2151" t="s">
        <v>191</v>
      </c>
      <c r="D2151" t="s">
        <v>195</v>
      </c>
      <c r="E2151" t="s">
        <v>75</v>
      </c>
      <c r="F2151" s="54" t="s">
        <v>221</v>
      </c>
      <c r="G2151" s="124">
        <v>0</v>
      </c>
      <c r="H2151" t="s">
        <v>241</v>
      </c>
      <c r="I2151" s="34">
        <v>7</v>
      </c>
    </row>
    <row r="2152" spans="1:9" x14ac:dyDescent="0.3">
      <c r="A2152">
        <v>1</v>
      </c>
      <c r="B2152" t="s">
        <v>239</v>
      </c>
      <c r="C2152" t="s">
        <v>191</v>
      </c>
      <c r="D2152" t="s">
        <v>195</v>
      </c>
      <c r="E2152" s="1" t="s">
        <v>75</v>
      </c>
      <c r="F2152" s="54" t="s">
        <v>221</v>
      </c>
      <c r="G2152" s="124">
        <v>0</v>
      </c>
      <c r="H2152" t="s">
        <v>241</v>
      </c>
      <c r="I2152" s="34">
        <v>1</v>
      </c>
    </row>
    <row r="2153" spans="1:9" x14ac:dyDescent="0.3">
      <c r="A2153">
        <v>1</v>
      </c>
      <c r="B2153" t="s">
        <v>239</v>
      </c>
      <c r="C2153" t="s">
        <v>191</v>
      </c>
      <c r="D2153" t="s">
        <v>188</v>
      </c>
      <c r="E2153" s="1" t="s">
        <v>75</v>
      </c>
      <c r="F2153" s="54" t="s">
        <v>221</v>
      </c>
      <c r="G2153" s="124">
        <v>0</v>
      </c>
      <c r="H2153" t="s">
        <v>240</v>
      </c>
      <c r="I2153" s="34">
        <v>1</v>
      </c>
    </row>
    <row r="2154" spans="1:9" x14ac:dyDescent="0.3">
      <c r="A2154">
        <v>12</v>
      </c>
      <c r="B2154" t="s">
        <v>239</v>
      </c>
      <c r="C2154" t="s">
        <v>191</v>
      </c>
      <c r="D2154" t="s">
        <v>188</v>
      </c>
      <c r="E2154" t="s">
        <v>75</v>
      </c>
      <c r="F2154" s="54" t="s">
        <v>221</v>
      </c>
      <c r="G2154" s="124">
        <v>0</v>
      </c>
      <c r="H2154" s="53" t="s">
        <v>240</v>
      </c>
      <c r="I2154" s="77">
        <v>12</v>
      </c>
    </row>
    <row r="2155" spans="1:9" x14ac:dyDescent="0.3">
      <c r="A2155">
        <v>2</v>
      </c>
      <c r="B2155" t="s">
        <v>239</v>
      </c>
      <c r="C2155" t="s">
        <v>191</v>
      </c>
      <c r="D2155" t="s">
        <v>195</v>
      </c>
      <c r="E2155" s="1" t="s">
        <v>75</v>
      </c>
      <c r="F2155" s="54" t="s">
        <v>221</v>
      </c>
      <c r="G2155" s="124">
        <v>0</v>
      </c>
      <c r="H2155" t="s">
        <v>241</v>
      </c>
      <c r="I2155" s="34">
        <v>2</v>
      </c>
    </row>
    <row r="2156" spans="1:9" x14ac:dyDescent="0.3">
      <c r="A2156">
        <v>2</v>
      </c>
      <c r="B2156" t="s">
        <v>239</v>
      </c>
      <c r="C2156" t="s">
        <v>191</v>
      </c>
      <c r="D2156" t="s">
        <v>188</v>
      </c>
      <c r="E2156" s="1" t="s">
        <v>75</v>
      </c>
      <c r="F2156" s="54" t="s">
        <v>221</v>
      </c>
      <c r="G2156" s="124">
        <v>0</v>
      </c>
      <c r="H2156" t="s">
        <v>240</v>
      </c>
      <c r="I2156" s="34">
        <v>2</v>
      </c>
    </row>
    <row r="2157" spans="1:9" x14ac:dyDescent="0.3">
      <c r="A2157">
        <v>6</v>
      </c>
      <c r="B2157" t="s">
        <v>239</v>
      </c>
      <c r="C2157" t="s">
        <v>191</v>
      </c>
      <c r="D2157" t="s">
        <v>188</v>
      </c>
      <c r="E2157" t="s">
        <v>75</v>
      </c>
      <c r="F2157" s="54" t="s">
        <v>221</v>
      </c>
      <c r="G2157" s="124">
        <v>0</v>
      </c>
      <c r="H2157" t="s">
        <v>240</v>
      </c>
      <c r="I2157" s="34">
        <v>6</v>
      </c>
    </row>
    <row r="2158" spans="1:9" x14ac:dyDescent="0.3">
      <c r="A2158">
        <v>9</v>
      </c>
      <c r="B2158" t="s">
        <v>239</v>
      </c>
      <c r="C2158" t="s">
        <v>191</v>
      </c>
      <c r="D2158" t="s">
        <v>188</v>
      </c>
      <c r="E2158" t="s">
        <v>75</v>
      </c>
      <c r="F2158" s="54" t="s">
        <v>221</v>
      </c>
      <c r="G2158" s="124">
        <v>0</v>
      </c>
      <c r="H2158" s="53" t="s">
        <v>240</v>
      </c>
      <c r="I2158" s="77">
        <v>9</v>
      </c>
    </row>
    <row r="2159" spans="1:9" x14ac:dyDescent="0.3">
      <c r="A2159">
        <v>9</v>
      </c>
      <c r="B2159" t="s">
        <v>239</v>
      </c>
      <c r="C2159" t="s">
        <v>191</v>
      </c>
      <c r="D2159" t="s">
        <v>195</v>
      </c>
      <c r="E2159" t="s">
        <v>75</v>
      </c>
      <c r="F2159" s="54" t="s">
        <v>221</v>
      </c>
      <c r="G2159" s="124">
        <v>0</v>
      </c>
      <c r="H2159" t="s">
        <v>241</v>
      </c>
      <c r="I2159" s="34">
        <v>9</v>
      </c>
    </row>
    <row r="2160" spans="1:9" x14ac:dyDescent="0.3">
      <c r="A2160">
        <v>6</v>
      </c>
      <c r="B2160" t="s">
        <v>239</v>
      </c>
      <c r="C2160" t="s">
        <v>191</v>
      </c>
      <c r="D2160" t="s">
        <v>195</v>
      </c>
      <c r="E2160" t="s">
        <v>75</v>
      </c>
      <c r="F2160" s="54" t="s">
        <v>221</v>
      </c>
      <c r="G2160" s="124">
        <v>0</v>
      </c>
      <c r="H2160" t="s">
        <v>241</v>
      </c>
      <c r="I2160" s="34">
        <v>6</v>
      </c>
    </row>
    <row r="2161" spans="1:9" x14ac:dyDescent="0.3">
      <c r="A2161">
        <v>12</v>
      </c>
      <c r="B2161" t="s">
        <v>239</v>
      </c>
      <c r="C2161" t="s">
        <v>191</v>
      </c>
      <c r="D2161" t="s">
        <v>195</v>
      </c>
      <c r="E2161" t="s">
        <v>75</v>
      </c>
      <c r="F2161" s="54" t="s">
        <v>221</v>
      </c>
      <c r="G2161" s="124">
        <v>0</v>
      </c>
      <c r="H2161" t="s">
        <v>241</v>
      </c>
      <c r="I2161" s="34">
        <v>12</v>
      </c>
    </row>
    <row r="2162" spans="1:9" x14ac:dyDescent="0.3">
      <c r="A2162" s="53">
        <v>11</v>
      </c>
      <c r="B2162" t="s">
        <v>239</v>
      </c>
      <c r="C2162" s="53" t="s">
        <v>191</v>
      </c>
      <c r="D2162" s="53" t="s">
        <v>188</v>
      </c>
      <c r="E2162" s="53" t="s">
        <v>75</v>
      </c>
      <c r="F2162" s="54" t="s">
        <v>221</v>
      </c>
      <c r="G2162" s="124">
        <v>0</v>
      </c>
      <c r="H2162" s="53" t="s">
        <v>240</v>
      </c>
      <c r="I2162" s="77">
        <v>11</v>
      </c>
    </row>
    <row r="2163" spans="1:9" x14ac:dyDescent="0.3">
      <c r="A2163" s="53">
        <v>5</v>
      </c>
      <c r="B2163" t="s">
        <v>239</v>
      </c>
      <c r="C2163" s="53" t="s">
        <v>191</v>
      </c>
      <c r="D2163" s="53" t="s">
        <v>195</v>
      </c>
      <c r="E2163" s="55" t="s">
        <v>75</v>
      </c>
      <c r="F2163" s="54" t="s">
        <v>221</v>
      </c>
      <c r="G2163" s="124">
        <v>0</v>
      </c>
      <c r="H2163" t="s">
        <v>241</v>
      </c>
      <c r="I2163" s="34">
        <v>5</v>
      </c>
    </row>
    <row r="2164" spans="1:9" x14ac:dyDescent="0.3">
      <c r="A2164" s="53">
        <v>5</v>
      </c>
      <c r="B2164" t="s">
        <v>239</v>
      </c>
      <c r="C2164" s="53" t="s">
        <v>191</v>
      </c>
      <c r="D2164" s="53" t="s">
        <v>188</v>
      </c>
      <c r="E2164" s="55" t="s">
        <v>75</v>
      </c>
      <c r="F2164" s="54" t="s">
        <v>221</v>
      </c>
      <c r="G2164" s="124">
        <v>0</v>
      </c>
      <c r="H2164" t="s">
        <v>240</v>
      </c>
      <c r="I2164" s="34">
        <v>5</v>
      </c>
    </row>
    <row r="2165" spans="1:9" x14ac:dyDescent="0.3">
      <c r="A2165">
        <v>10</v>
      </c>
      <c r="B2165" t="s">
        <v>239</v>
      </c>
      <c r="C2165" t="s">
        <v>191</v>
      </c>
      <c r="D2165" t="s">
        <v>195</v>
      </c>
      <c r="E2165" t="s">
        <v>75</v>
      </c>
      <c r="F2165" s="54" t="s">
        <v>221</v>
      </c>
      <c r="G2165" s="124">
        <v>0</v>
      </c>
      <c r="H2165" t="s">
        <v>241</v>
      </c>
      <c r="I2165" s="34">
        <v>10</v>
      </c>
    </row>
    <row r="2166" spans="1:9" x14ac:dyDescent="0.3">
      <c r="A2166">
        <v>3</v>
      </c>
      <c r="B2166" t="s">
        <v>239</v>
      </c>
      <c r="C2166" t="s">
        <v>191</v>
      </c>
      <c r="D2166" t="s">
        <v>188</v>
      </c>
      <c r="E2166" s="1" t="s">
        <v>75</v>
      </c>
      <c r="F2166" s="54" t="s">
        <v>221</v>
      </c>
      <c r="G2166" s="124">
        <v>0</v>
      </c>
      <c r="H2166" t="s">
        <v>240</v>
      </c>
      <c r="I2166" s="34">
        <v>3</v>
      </c>
    </row>
    <row r="2167" spans="1:9" x14ac:dyDescent="0.3">
      <c r="A2167">
        <v>4</v>
      </c>
      <c r="B2167" t="s">
        <v>239</v>
      </c>
      <c r="C2167" t="s">
        <v>191</v>
      </c>
      <c r="D2167" t="s">
        <v>195</v>
      </c>
      <c r="E2167" s="1" t="s">
        <v>75</v>
      </c>
      <c r="F2167" s="54" t="s">
        <v>221</v>
      </c>
      <c r="G2167" s="124">
        <v>0</v>
      </c>
      <c r="H2167" t="s">
        <v>241</v>
      </c>
      <c r="I2167" s="34">
        <v>4</v>
      </c>
    </row>
    <row r="2168" spans="1:9" x14ac:dyDescent="0.3">
      <c r="A2168">
        <v>4</v>
      </c>
      <c r="B2168" t="s">
        <v>239</v>
      </c>
      <c r="C2168" t="s">
        <v>191</v>
      </c>
      <c r="D2168" t="s">
        <v>188</v>
      </c>
      <c r="E2168" s="1" t="s">
        <v>75</v>
      </c>
      <c r="F2168" s="54" t="s">
        <v>221</v>
      </c>
      <c r="G2168" s="124">
        <v>0</v>
      </c>
      <c r="H2168" t="s">
        <v>240</v>
      </c>
      <c r="I2168" s="34">
        <v>4</v>
      </c>
    </row>
    <row r="2169" spans="1:9" x14ac:dyDescent="0.3">
      <c r="A2169" s="53">
        <v>11</v>
      </c>
      <c r="B2169" t="s">
        <v>239</v>
      </c>
      <c r="C2169" s="53" t="s">
        <v>191</v>
      </c>
      <c r="D2169" s="53" t="s">
        <v>195</v>
      </c>
      <c r="E2169" s="53" t="s">
        <v>75</v>
      </c>
      <c r="F2169" s="54" t="s">
        <v>221</v>
      </c>
      <c r="G2169" s="124">
        <v>0</v>
      </c>
      <c r="H2169" t="s">
        <v>241</v>
      </c>
      <c r="I2169" s="34">
        <v>11</v>
      </c>
    </row>
    <row r="2170" spans="1:9" x14ac:dyDescent="0.3">
      <c r="A2170">
        <v>3</v>
      </c>
      <c r="B2170" t="s">
        <v>239</v>
      </c>
      <c r="C2170" t="s">
        <v>191</v>
      </c>
      <c r="D2170" t="s">
        <v>195</v>
      </c>
      <c r="E2170" s="1" t="s">
        <v>75</v>
      </c>
      <c r="F2170" s="54" t="s">
        <v>221</v>
      </c>
      <c r="G2170" s="124">
        <v>0</v>
      </c>
      <c r="H2170" t="s">
        <v>241</v>
      </c>
      <c r="I2170" s="34">
        <v>3</v>
      </c>
    </row>
    <row r="2171" spans="1:9" x14ac:dyDescent="0.3">
      <c r="A2171">
        <v>8</v>
      </c>
      <c r="B2171" t="s">
        <v>239</v>
      </c>
      <c r="C2171" t="s">
        <v>193</v>
      </c>
      <c r="D2171" t="s">
        <v>188</v>
      </c>
      <c r="E2171" t="s">
        <v>75</v>
      </c>
      <c r="F2171" s="54" t="s">
        <v>221</v>
      </c>
      <c r="G2171" s="124">
        <v>0</v>
      </c>
      <c r="H2171" s="53" t="s">
        <v>243</v>
      </c>
      <c r="I2171" s="77">
        <v>8</v>
      </c>
    </row>
    <row r="2172" spans="1:9" x14ac:dyDescent="0.3">
      <c r="A2172">
        <v>8</v>
      </c>
      <c r="B2172" t="s">
        <v>239</v>
      </c>
      <c r="C2172" t="s">
        <v>193</v>
      </c>
      <c r="D2172" t="s">
        <v>195</v>
      </c>
      <c r="E2172" t="s">
        <v>75</v>
      </c>
      <c r="F2172" s="54" t="s">
        <v>221</v>
      </c>
      <c r="G2172" s="124">
        <v>0</v>
      </c>
      <c r="H2172" t="s">
        <v>244</v>
      </c>
      <c r="I2172" s="34">
        <v>8</v>
      </c>
    </row>
    <row r="2173" spans="1:9" x14ac:dyDescent="0.3">
      <c r="A2173">
        <v>7</v>
      </c>
      <c r="B2173" t="s">
        <v>239</v>
      </c>
      <c r="C2173" t="s">
        <v>193</v>
      </c>
      <c r="D2173" t="s">
        <v>188</v>
      </c>
      <c r="E2173" t="s">
        <v>75</v>
      </c>
      <c r="F2173" s="54" t="s">
        <v>221</v>
      </c>
      <c r="G2173" s="124">
        <v>0</v>
      </c>
      <c r="H2173" t="s">
        <v>243</v>
      </c>
      <c r="I2173" s="34">
        <v>7</v>
      </c>
    </row>
    <row r="2174" spans="1:9" x14ac:dyDescent="0.3">
      <c r="A2174">
        <v>10</v>
      </c>
      <c r="B2174" t="s">
        <v>239</v>
      </c>
      <c r="C2174" t="s">
        <v>193</v>
      </c>
      <c r="D2174" t="s">
        <v>188</v>
      </c>
      <c r="E2174" t="s">
        <v>75</v>
      </c>
      <c r="F2174" s="54" t="s">
        <v>221</v>
      </c>
      <c r="G2174" s="124">
        <v>0</v>
      </c>
      <c r="H2174" t="s">
        <v>243</v>
      </c>
      <c r="I2174" s="34">
        <v>10</v>
      </c>
    </row>
    <row r="2175" spans="1:9" x14ac:dyDescent="0.3">
      <c r="A2175">
        <v>7</v>
      </c>
      <c r="B2175" t="s">
        <v>239</v>
      </c>
      <c r="C2175" t="s">
        <v>193</v>
      </c>
      <c r="D2175" t="s">
        <v>195</v>
      </c>
      <c r="E2175" t="s">
        <v>75</v>
      </c>
      <c r="F2175" s="54" t="s">
        <v>221</v>
      </c>
      <c r="G2175" s="124">
        <v>0</v>
      </c>
      <c r="H2175" t="s">
        <v>244</v>
      </c>
      <c r="I2175" s="34">
        <v>7</v>
      </c>
    </row>
    <row r="2176" spans="1:9" x14ac:dyDescent="0.3">
      <c r="A2176">
        <v>12</v>
      </c>
      <c r="B2176" t="s">
        <v>239</v>
      </c>
      <c r="C2176" t="s">
        <v>193</v>
      </c>
      <c r="D2176" t="s">
        <v>188</v>
      </c>
      <c r="E2176" t="s">
        <v>75</v>
      </c>
      <c r="F2176" s="54" t="s">
        <v>221</v>
      </c>
      <c r="G2176" s="124">
        <v>0</v>
      </c>
      <c r="H2176" t="s">
        <v>243</v>
      </c>
      <c r="I2176" s="34">
        <v>12</v>
      </c>
    </row>
    <row r="2177" spans="1:9" x14ac:dyDescent="0.3">
      <c r="A2177">
        <v>9</v>
      </c>
      <c r="B2177" t="s">
        <v>239</v>
      </c>
      <c r="C2177" t="s">
        <v>193</v>
      </c>
      <c r="D2177" t="s">
        <v>188</v>
      </c>
      <c r="E2177" t="s">
        <v>75</v>
      </c>
      <c r="F2177" s="54" t="s">
        <v>221</v>
      </c>
      <c r="G2177" s="124">
        <v>0</v>
      </c>
      <c r="H2177" t="s">
        <v>243</v>
      </c>
      <c r="I2177" s="34">
        <v>9</v>
      </c>
    </row>
    <row r="2178" spans="1:9" x14ac:dyDescent="0.3">
      <c r="A2178">
        <v>1</v>
      </c>
      <c r="B2178" t="s">
        <v>239</v>
      </c>
      <c r="C2178" t="s">
        <v>193</v>
      </c>
      <c r="D2178" t="s">
        <v>188</v>
      </c>
      <c r="E2178" s="1" t="s">
        <v>75</v>
      </c>
      <c r="F2178" s="54" t="s">
        <v>221</v>
      </c>
      <c r="G2178" s="124">
        <v>0</v>
      </c>
      <c r="H2178" t="s">
        <v>243</v>
      </c>
      <c r="I2178" s="34">
        <v>1</v>
      </c>
    </row>
    <row r="2179" spans="1:9" x14ac:dyDescent="0.3">
      <c r="A2179">
        <v>1</v>
      </c>
      <c r="B2179" t="s">
        <v>239</v>
      </c>
      <c r="C2179" t="s">
        <v>193</v>
      </c>
      <c r="D2179" t="s">
        <v>195</v>
      </c>
      <c r="E2179" s="1" t="s">
        <v>75</v>
      </c>
      <c r="F2179" s="54" t="s">
        <v>221</v>
      </c>
      <c r="G2179" s="124">
        <v>0</v>
      </c>
      <c r="H2179" t="s">
        <v>244</v>
      </c>
      <c r="I2179" s="34">
        <v>1</v>
      </c>
    </row>
    <row r="2180" spans="1:9" x14ac:dyDescent="0.3">
      <c r="A2180">
        <v>2</v>
      </c>
      <c r="B2180" t="s">
        <v>239</v>
      </c>
      <c r="C2180" t="s">
        <v>193</v>
      </c>
      <c r="D2180" t="s">
        <v>195</v>
      </c>
      <c r="E2180" s="1" t="s">
        <v>75</v>
      </c>
      <c r="F2180" s="54" t="s">
        <v>221</v>
      </c>
      <c r="G2180" s="124">
        <v>0</v>
      </c>
      <c r="H2180" t="s">
        <v>244</v>
      </c>
      <c r="I2180" s="34">
        <v>2</v>
      </c>
    </row>
    <row r="2181" spans="1:9" x14ac:dyDescent="0.3">
      <c r="A2181">
        <v>9</v>
      </c>
      <c r="B2181" t="s">
        <v>239</v>
      </c>
      <c r="C2181" t="s">
        <v>193</v>
      </c>
      <c r="D2181" t="s">
        <v>195</v>
      </c>
      <c r="E2181" t="s">
        <v>75</v>
      </c>
      <c r="F2181" s="54" t="s">
        <v>221</v>
      </c>
      <c r="G2181" s="124">
        <v>0</v>
      </c>
      <c r="H2181" t="s">
        <v>244</v>
      </c>
      <c r="I2181" s="34">
        <v>9</v>
      </c>
    </row>
    <row r="2182" spans="1:9" x14ac:dyDescent="0.3">
      <c r="A2182">
        <v>2</v>
      </c>
      <c r="B2182" t="s">
        <v>239</v>
      </c>
      <c r="C2182" t="s">
        <v>193</v>
      </c>
      <c r="D2182" t="s">
        <v>188</v>
      </c>
      <c r="E2182" s="1" t="s">
        <v>75</v>
      </c>
      <c r="F2182" s="54" t="s">
        <v>221</v>
      </c>
      <c r="G2182" s="124">
        <v>0</v>
      </c>
      <c r="H2182" t="s">
        <v>243</v>
      </c>
      <c r="I2182" s="34">
        <v>2</v>
      </c>
    </row>
    <row r="2183" spans="1:9" x14ac:dyDescent="0.3">
      <c r="A2183">
        <v>6</v>
      </c>
      <c r="B2183" t="s">
        <v>239</v>
      </c>
      <c r="C2183" t="s">
        <v>193</v>
      </c>
      <c r="D2183" t="s">
        <v>188</v>
      </c>
      <c r="E2183" t="s">
        <v>75</v>
      </c>
      <c r="F2183" s="54" t="s">
        <v>221</v>
      </c>
      <c r="G2183" s="124">
        <v>0</v>
      </c>
      <c r="H2183" t="s">
        <v>243</v>
      </c>
      <c r="I2183" s="34">
        <v>6</v>
      </c>
    </row>
    <row r="2184" spans="1:9" x14ac:dyDescent="0.3">
      <c r="A2184">
        <v>8</v>
      </c>
      <c r="B2184" t="s">
        <v>239</v>
      </c>
      <c r="C2184" t="s">
        <v>192</v>
      </c>
      <c r="D2184" t="s">
        <v>188</v>
      </c>
      <c r="E2184" t="s">
        <v>75</v>
      </c>
      <c r="F2184" s="54" t="s">
        <v>221</v>
      </c>
      <c r="G2184" s="124">
        <v>0</v>
      </c>
      <c r="H2184" t="s">
        <v>245</v>
      </c>
      <c r="I2184" s="34">
        <v>8</v>
      </c>
    </row>
    <row r="2185" spans="1:9" x14ac:dyDescent="0.3">
      <c r="A2185">
        <v>7</v>
      </c>
      <c r="B2185" t="s">
        <v>239</v>
      </c>
      <c r="C2185" t="s">
        <v>192</v>
      </c>
      <c r="D2185" t="s">
        <v>188</v>
      </c>
      <c r="E2185" t="s">
        <v>75</v>
      </c>
      <c r="F2185" s="54" t="s">
        <v>221</v>
      </c>
      <c r="G2185" s="124">
        <v>0</v>
      </c>
      <c r="H2185" t="s">
        <v>245</v>
      </c>
      <c r="I2185" s="34">
        <v>7</v>
      </c>
    </row>
    <row r="2186" spans="1:9" x14ac:dyDescent="0.3">
      <c r="A2186">
        <v>10</v>
      </c>
      <c r="B2186" t="s">
        <v>239</v>
      </c>
      <c r="C2186" t="s">
        <v>191</v>
      </c>
      <c r="D2186" t="s">
        <v>238</v>
      </c>
      <c r="E2186" t="s">
        <v>75</v>
      </c>
      <c r="F2186" s="54" t="s">
        <v>221</v>
      </c>
      <c r="G2186" s="124">
        <v>0</v>
      </c>
      <c r="H2186" t="s">
        <v>246</v>
      </c>
      <c r="I2186" s="34">
        <v>10</v>
      </c>
    </row>
    <row r="2187" spans="1:9" x14ac:dyDescent="0.3">
      <c r="A2187">
        <v>8</v>
      </c>
      <c r="B2187" t="s">
        <v>239</v>
      </c>
      <c r="C2187" t="s">
        <v>192</v>
      </c>
      <c r="D2187" t="s">
        <v>195</v>
      </c>
      <c r="E2187" t="s">
        <v>75</v>
      </c>
      <c r="F2187" s="54" t="s">
        <v>221</v>
      </c>
      <c r="G2187" s="124">
        <v>0</v>
      </c>
      <c r="H2187" t="s">
        <v>247</v>
      </c>
      <c r="I2187" s="34">
        <v>8</v>
      </c>
    </row>
    <row r="2188" spans="1:9" x14ac:dyDescent="0.3">
      <c r="A2188">
        <v>5</v>
      </c>
      <c r="B2188" t="s">
        <v>239</v>
      </c>
      <c r="C2188" t="s">
        <v>193</v>
      </c>
      <c r="D2188" t="s">
        <v>195</v>
      </c>
      <c r="E2188" t="s">
        <v>75</v>
      </c>
      <c r="F2188" s="54" t="s">
        <v>221</v>
      </c>
      <c r="G2188" s="124">
        <v>0</v>
      </c>
      <c r="H2188" t="s">
        <v>244</v>
      </c>
      <c r="I2188" s="34">
        <v>5</v>
      </c>
    </row>
    <row r="2189" spans="1:9" x14ac:dyDescent="0.3">
      <c r="A2189">
        <v>9</v>
      </c>
      <c r="B2189" t="s">
        <v>239</v>
      </c>
      <c r="C2189" t="s">
        <v>192</v>
      </c>
      <c r="D2189" t="s">
        <v>188</v>
      </c>
      <c r="E2189" t="s">
        <v>75</v>
      </c>
      <c r="F2189" s="54" t="s">
        <v>221</v>
      </c>
      <c r="G2189" s="124">
        <v>0</v>
      </c>
      <c r="H2189" t="s">
        <v>245</v>
      </c>
      <c r="I2189" s="34">
        <v>9</v>
      </c>
    </row>
    <row r="2190" spans="1:9" x14ac:dyDescent="0.3">
      <c r="A2190">
        <v>5</v>
      </c>
      <c r="B2190" t="s">
        <v>239</v>
      </c>
      <c r="C2190" t="s">
        <v>192</v>
      </c>
      <c r="D2190" t="s">
        <v>188</v>
      </c>
      <c r="E2190" t="s">
        <v>75</v>
      </c>
      <c r="F2190" s="54" t="s">
        <v>221</v>
      </c>
      <c r="G2190" s="124">
        <v>0</v>
      </c>
      <c r="H2190" t="s">
        <v>245</v>
      </c>
      <c r="I2190" s="34">
        <v>5</v>
      </c>
    </row>
    <row r="2191" spans="1:9" x14ac:dyDescent="0.3">
      <c r="A2191">
        <v>5</v>
      </c>
      <c r="B2191" t="s">
        <v>239</v>
      </c>
      <c r="C2191" t="s">
        <v>193</v>
      </c>
      <c r="D2191" t="s">
        <v>188</v>
      </c>
      <c r="E2191" t="s">
        <v>75</v>
      </c>
      <c r="F2191" s="54" t="s">
        <v>221</v>
      </c>
      <c r="G2191" s="124">
        <v>0</v>
      </c>
      <c r="H2191" t="s">
        <v>243</v>
      </c>
      <c r="I2191" s="34">
        <v>5</v>
      </c>
    </row>
    <row r="2192" spans="1:9" x14ac:dyDescent="0.3">
      <c r="A2192">
        <v>12</v>
      </c>
      <c r="B2192" t="s">
        <v>239</v>
      </c>
      <c r="C2192" t="s">
        <v>193</v>
      </c>
      <c r="D2192" t="s">
        <v>195</v>
      </c>
      <c r="E2192" t="s">
        <v>75</v>
      </c>
      <c r="F2192" s="54" t="s">
        <v>221</v>
      </c>
      <c r="G2192" s="124">
        <v>0</v>
      </c>
      <c r="H2192" t="s">
        <v>244</v>
      </c>
      <c r="I2192" s="34">
        <v>12</v>
      </c>
    </row>
    <row r="2193" spans="1:9" x14ac:dyDescent="0.3">
      <c r="A2193" s="53">
        <v>11</v>
      </c>
      <c r="B2193" t="s">
        <v>239</v>
      </c>
      <c r="C2193" s="53" t="s">
        <v>193</v>
      </c>
      <c r="D2193" s="53" t="s">
        <v>188</v>
      </c>
      <c r="E2193" s="53" t="s">
        <v>75</v>
      </c>
      <c r="F2193" s="54" t="s">
        <v>221</v>
      </c>
      <c r="G2193" s="124">
        <v>0</v>
      </c>
      <c r="H2193" s="53" t="s">
        <v>243</v>
      </c>
      <c r="I2193" s="77">
        <v>11</v>
      </c>
    </row>
    <row r="2194" spans="1:9" x14ac:dyDescent="0.3">
      <c r="A2194">
        <v>7</v>
      </c>
      <c r="B2194" t="s">
        <v>239</v>
      </c>
      <c r="C2194" t="s">
        <v>192</v>
      </c>
      <c r="D2194" t="s">
        <v>195</v>
      </c>
      <c r="E2194" t="s">
        <v>75</v>
      </c>
      <c r="F2194" s="54" t="s">
        <v>221</v>
      </c>
      <c r="G2194" s="124">
        <v>0</v>
      </c>
      <c r="H2194" t="s">
        <v>247</v>
      </c>
      <c r="I2194" s="34">
        <v>7</v>
      </c>
    </row>
    <row r="2195" spans="1:9" x14ac:dyDescent="0.3">
      <c r="A2195">
        <v>10</v>
      </c>
      <c r="B2195" t="s">
        <v>239</v>
      </c>
      <c r="C2195" t="s">
        <v>192</v>
      </c>
      <c r="D2195" t="s">
        <v>188</v>
      </c>
      <c r="E2195" t="s">
        <v>75</v>
      </c>
      <c r="F2195" s="54" t="s">
        <v>221</v>
      </c>
      <c r="G2195" s="124">
        <v>0</v>
      </c>
      <c r="H2195" t="s">
        <v>245</v>
      </c>
      <c r="I2195" s="34">
        <v>10</v>
      </c>
    </row>
    <row r="2196" spans="1:9" x14ac:dyDescent="0.3">
      <c r="A2196">
        <v>3</v>
      </c>
      <c r="B2196" t="s">
        <v>239</v>
      </c>
      <c r="C2196" t="s">
        <v>192</v>
      </c>
      <c r="D2196" t="s">
        <v>188</v>
      </c>
      <c r="E2196" s="1" t="s">
        <v>75</v>
      </c>
      <c r="F2196" s="54" t="s">
        <v>221</v>
      </c>
      <c r="G2196" s="124">
        <v>0</v>
      </c>
      <c r="H2196" t="s">
        <v>245</v>
      </c>
      <c r="I2196" s="34">
        <v>3</v>
      </c>
    </row>
    <row r="2197" spans="1:9" x14ac:dyDescent="0.3">
      <c r="A2197">
        <v>6</v>
      </c>
      <c r="B2197" t="s">
        <v>239</v>
      </c>
      <c r="C2197" t="s">
        <v>193</v>
      </c>
      <c r="D2197" t="s">
        <v>195</v>
      </c>
      <c r="E2197" t="s">
        <v>75</v>
      </c>
      <c r="F2197" s="54" t="s">
        <v>221</v>
      </c>
      <c r="G2197" s="124">
        <v>0</v>
      </c>
      <c r="H2197" t="s">
        <v>244</v>
      </c>
      <c r="I2197" s="34">
        <v>6</v>
      </c>
    </row>
    <row r="2198" spans="1:9" x14ac:dyDescent="0.3">
      <c r="A2198">
        <v>5</v>
      </c>
      <c r="B2198" t="s">
        <v>239</v>
      </c>
      <c r="C2198" t="s">
        <v>192</v>
      </c>
      <c r="D2198" t="s">
        <v>195</v>
      </c>
      <c r="E2198" t="s">
        <v>75</v>
      </c>
      <c r="F2198" s="54" t="s">
        <v>221</v>
      </c>
      <c r="G2198" s="124">
        <v>0</v>
      </c>
      <c r="H2198" t="s">
        <v>247</v>
      </c>
      <c r="I2198" s="34">
        <v>5</v>
      </c>
    </row>
    <row r="2199" spans="1:9" x14ac:dyDescent="0.3">
      <c r="A2199">
        <v>12</v>
      </c>
      <c r="B2199" t="s">
        <v>239</v>
      </c>
      <c r="C2199" t="s">
        <v>192</v>
      </c>
      <c r="D2199" t="s">
        <v>188</v>
      </c>
      <c r="E2199" t="s">
        <v>75</v>
      </c>
      <c r="F2199" s="54" t="s">
        <v>221</v>
      </c>
      <c r="G2199" s="124">
        <v>0</v>
      </c>
      <c r="H2199" t="s">
        <v>245</v>
      </c>
      <c r="I2199" s="34">
        <v>12</v>
      </c>
    </row>
    <row r="2200" spans="1:9" x14ac:dyDescent="0.3">
      <c r="A2200">
        <v>9</v>
      </c>
      <c r="B2200" t="s">
        <v>239</v>
      </c>
      <c r="C2200" t="s">
        <v>192</v>
      </c>
      <c r="D2200" t="s">
        <v>195</v>
      </c>
      <c r="E2200" t="s">
        <v>75</v>
      </c>
      <c r="F2200" s="54" t="s">
        <v>221</v>
      </c>
      <c r="G2200" s="124">
        <v>0</v>
      </c>
      <c r="H2200" t="s">
        <v>247</v>
      </c>
      <c r="I2200" s="34">
        <v>9</v>
      </c>
    </row>
    <row r="2201" spans="1:9" x14ac:dyDescent="0.3">
      <c r="A2201" s="53">
        <v>11</v>
      </c>
      <c r="B2201" t="s">
        <v>239</v>
      </c>
      <c r="C2201" s="53" t="s">
        <v>192</v>
      </c>
      <c r="D2201" s="53" t="s">
        <v>188</v>
      </c>
      <c r="E2201" s="53" t="s">
        <v>75</v>
      </c>
      <c r="F2201" s="54" t="s">
        <v>221</v>
      </c>
      <c r="G2201" s="124">
        <v>0</v>
      </c>
      <c r="H2201" s="53" t="s">
        <v>245</v>
      </c>
      <c r="I2201" s="77">
        <v>11</v>
      </c>
    </row>
    <row r="2202" spans="1:9" x14ac:dyDescent="0.3">
      <c r="A2202">
        <v>6</v>
      </c>
      <c r="B2202" t="s">
        <v>239</v>
      </c>
      <c r="C2202" t="s">
        <v>192</v>
      </c>
      <c r="D2202" t="s">
        <v>188</v>
      </c>
      <c r="E2202" t="s">
        <v>75</v>
      </c>
      <c r="F2202" s="54" t="s">
        <v>221</v>
      </c>
      <c r="G2202" s="124">
        <v>0</v>
      </c>
      <c r="H2202" t="s">
        <v>245</v>
      </c>
      <c r="I2202" s="34">
        <v>6</v>
      </c>
    </row>
    <row r="2203" spans="1:9" x14ac:dyDescent="0.3">
      <c r="A2203">
        <v>10</v>
      </c>
      <c r="B2203" t="s">
        <v>239</v>
      </c>
      <c r="C2203" t="s">
        <v>192</v>
      </c>
      <c r="D2203" t="s">
        <v>195</v>
      </c>
      <c r="E2203" t="s">
        <v>75</v>
      </c>
      <c r="F2203" s="54" t="s">
        <v>221</v>
      </c>
      <c r="G2203" s="124">
        <v>0</v>
      </c>
      <c r="H2203" t="s">
        <v>247</v>
      </c>
      <c r="I2203" s="34">
        <v>10</v>
      </c>
    </row>
    <row r="2204" spans="1:9" x14ac:dyDescent="0.3">
      <c r="A2204">
        <v>10</v>
      </c>
      <c r="B2204" t="s">
        <v>239</v>
      </c>
      <c r="C2204" t="s">
        <v>193</v>
      </c>
      <c r="D2204" t="s">
        <v>195</v>
      </c>
      <c r="E2204" t="s">
        <v>75</v>
      </c>
      <c r="F2204" s="54" t="s">
        <v>221</v>
      </c>
      <c r="G2204" s="124">
        <v>0</v>
      </c>
      <c r="H2204" t="s">
        <v>244</v>
      </c>
      <c r="I2204" s="34">
        <v>10</v>
      </c>
    </row>
    <row r="2205" spans="1:9" x14ac:dyDescent="0.3">
      <c r="A2205">
        <v>2</v>
      </c>
      <c r="B2205" t="s">
        <v>239</v>
      </c>
      <c r="C2205" t="s">
        <v>192</v>
      </c>
      <c r="D2205" t="s">
        <v>188</v>
      </c>
      <c r="E2205" s="1" t="s">
        <v>75</v>
      </c>
      <c r="F2205" s="54" t="s">
        <v>221</v>
      </c>
      <c r="G2205" s="124">
        <v>0</v>
      </c>
      <c r="H2205" t="s">
        <v>245</v>
      </c>
      <c r="I2205" s="34">
        <v>2</v>
      </c>
    </row>
    <row r="2206" spans="1:9" x14ac:dyDescent="0.3">
      <c r="A2206" s="53">
        <v>11</v>
      </c>
      <c r="B2206" t="s">
        <v>239</v>
      </c>
      <c r="C2206" s="53" t="s">
        <v>192</v>
      </c>
      <c r="D2206" s="53" t="s">
        <v>195</v>
      </c>
      <c r="E2206" s="53" t="s">
        <v>75</v>
      </c>
      <c r="F2206" s="54" t="s">
        <v>221</v>
      </c>
      <c r="G2206" s="124">
        <v>0</v>
      </c>
      <c r="H2206" t="s">
        <v>247</v>
      </c>
      <c r="I2206" s="34">
        <v>11</v>
      </c>
    </row>
    <row r="2207" spans="1:9" x14ac:dyDescent="0.3">
      <c r="A2207">
        <v>4</v>
      </c>
      <c r="B2207" t="s">
        <v>239</v>
      </c>
      <c r="C2207" t="s">
        <v>192</v>
      </c>
      <c r="D2207" t="s">
        <v>188</v>
      </c>
      <c r="E2207" s="1" t="s">
        <v>75</v>
      </c>
      <c r="F2207" s="54" t="s">
        <v>221</v>
      </c>
      <c r="G2207" s="124">
        <v>0</v>
      </c>
      <c r="H2207" t="s">
        <v>245</v>
      </c>
      <c r="I2207" s="34">
        <v>4</v>
      </c>
    </row>
    <row r="2208" spans="1:9" x14ac:dyDescent="0.3">
      <c r="A2208">
        <v>2</v>
      </c>
      <c r="B2208" t="s">
        <v>239</v>
      </c>
      <c r="C2208" t="s">
        <v>192</v>
      </c>
      <c r="D2208" t="s">
        <v>195</v>
      </c>
      <c r="E2208" s="1" t="s">
        <v>75</v>
      </c>
      <c r="F2208" s="54" t="s">
        <v>221</v>
      </c>
      <c r="G2208" s="124">
        <v>0</v>
      </c>
      <c r="H2208" t="s">
        <v>247</v>
      </c>
      <c r="I2208" s="34">
        <v>2</v>
      </c>
    </row>
    <row r="2209" spans="1:9" x14ac:dyDescent="0.3">
      <c r="A2209">
        <v>12</v>
      </c>
      <c r="B2209" t="s">
        <v>239</v>
      </c>
      <c r="C2209" t="s">
        <v>192</v>
      </c>
      <c r="D2209" t="s">
        <v>195</v>
      </c>
      <c r="E2209" t="s">
        <v>75</v>
      </c>
      <c r="F2209" s="54" t="s">
        <v>221</v>
      </c>
      <c r="G2209" s="124">
        <v>0</v>
      </c>
      <c r="H2209" t="s">
        <v>247</v>
      </c>
      <c r="I2209" s="34">
        <v>12</v>
      </c>
    </row>
    <row r="2210" spans="1:9" x14ac:dyDescent="0.3">
      <c r="A2210">
        <v>3</v>
      </c>
      <c r="B2210" t="s">
        <v>239</v>
      </c>
      <c r="C2210" t="s">
        <v>192</v>
      </c>
      <c r="D2210" t="s">
        <v>195</v>
      </c>
      <c r="E2210" s="1" t="s">
        <v>75</v>
      </c>
      <c r="F2210" s="54" t="s">
        <v>221</v>
      </c>
      <c r="G2210" s="124">
        <v>0</v>
      </c>
      <c r="H2210" t="s">
        <v>247</v>
      </c>
      <c r="I2210" s="34">
        <v>3</v>
      </c>
    </row>
    <row r="2211" spans="1:9" x14ac:dyDescent="0.3">
      <c r="A2211">
        <v>1</v>
      </c>
      <c r="B2211" t="s">
        <v>239</v>
      </c>
      <c r="C2211" t="s">
        <v>192</v>
      </c>
      <c r="D2211" t="s">
        <v>188</v>
      </c>
      <c r="E2211" s="1" t="s">
        <v>75</v>
      </c>
      <c r="F2211" s="54" t="s">
        <v>221</v>
      </c>
      <c r="G2211" s="124">
        <v>0</v>
      </c>
      <c r="H2211" t="s">
        <v>245</v>
      </c>
      <c r="I2211" s="34">
        <v>1</v>
      </c>
    </row>
    <row r="2212" spans="1:9" x14ac:dyDescent="0.3">
      <c r="A2212">
        <v>6</v>
      </c>
      <c r="B2212" t="s">
        <v>239</v>
      </c>
      <c r="C2212" t="s">
        <v>192</v>
      </c>
      <c r="D2212" t="s">
        <v>195</v>
      </c>
      <c r="E2212" t="s">
        <v>75</v>
      </c>
      <c r="F2212" s="54" t="s">
        <v>221</v>
      </c>
      <c r="G2212" s="124">
        <v>0</v>
      </c>
      <c r="H2212" t="s">
        <v>247</v>
      </c>
      <c r="I2212" s="34">
        <v>6</v>
      </c>
    </row>
    <row r="2213" spans="1:9" x14ac:dyDescent="0.3">
      <c r="A2213">
        <v>1</v>
      </c>
      <c r="B2213" t="s">
        <v>239</v>
      </c>
      <c r="C2213" t="s">
        <v>192</v>
      </c>
      <c r="D2213" t="s">
        <v>195</v>
      </c>
      <c r="E2213" s="1" t="s">
        <v>75</v>
      </c>
      <c r="F2213" s="54" t="s">
        <v>221</v>
      </c>
      <c r="G2213" s="124">
        <v>0</v>
      </c>
      <c r="H2213" t="s">
        <v>247</v>
      </c>
      <c r="I2213" s="34">
        <v>1</v>
      </c>
    </row>
    <row r="2214" spans="1:9" x14ac:dyDescent="0.3">
      <c r="A2214">
        <v>3</v>
      </c>
      <c r="B2214" t="s">
        <v>239</v>
      </c>
      <c r="C2214" t="s">
        <v>193</v>
      </c>
      <c r="D2214" t="s">
        <v>188</v>
      </c>
      <c r="E2214" s="1" t="s">
        <v>75</v>
      </c>
      <c r="F2214" s="54" t="s">
        <v>221</v>
      </c>
      <c r="G2214" s="124">
        <v>0</v>
      </c>
      <c r="H2214" t="s">
        <v>243</v>
      </c>
      <c r="I2214" s="34">
        <v>3</v>
      </c>
    </row>
    <row r="2215" spans="1:9" x14ac:dyDescent="0.3">
      <c r="A2215">
        <v>4</v>
      </c>
      <c r="B2215" t="s">
        <v>239</v>
      </c>
      <c r="C2215" t="s">
        <v>192</v>
      </c>
      <c r="D2215" t="s">
        <v>195</v>
      </c>
      <c r="E2215" s="1" t="s">
        <v>75</v>
      </c>
      <c r="F2215" s="54" t="s">
        <v>221</v>
      </c>
      <c r="G2215" s="124">
        <v>0</v>
      </c>
      <c r="H2215" t="s">
        <v>247</v>
      </c>
      <c r="I2215" s="34">
        <v>4</v>
      </c>
    </row>
    <row r="2216" spans="1:9" x14ac:dyDescent="0.3">
      <c r="A2216">
        <v>4</v>
      </c>
      <c r="B2216" t="s">
        <v>239</v>
      </c>
      <c r="C2216" t="s">
        <v>193</v>
      </c>
      <c r="D2216" t="s">
        <v>188</v>
      </c>
      <c r="E2216" s="1" t="s">
        <v>75</v>
      </c>
      <c r="F2216" s="54" t="s">
        <v>221</v>
      </c>
      <c r="G2216" s="124">
        <v>0</v>
      </c>
      <c r="H2216" t="s">
        <v>243</v>
      </c>
      <c r="I2216" s="34">
        <v>4</v>
      </c>
    </row>
    <row r="2217" spans="1:9" x14ac:dyDescent="0.3">
      <c r="A2217">
        <v>4</v>
      </c>
      <c r="B2217" t="s">
        <v>239</v>
      </c>
      <c r="C2217" t="s">
        <v>193</v>
      </c>
      <c r="D2217" t="s">
        <v>195</v>
      </c>
      <c r="E2217" s="1" t="s">
        <v>75</v>
      </c>
      <c r="F2217" s="54" t="s">
        <v>221</v>
      </c>
      <c r="G2217" s="124">
        <v>0</v>
      </c>
      <c r="H2217" t="s">
        <v>244</v>
      </c>
      <c r="I2217" s="34">
        <v>4</v>
      </c>
    </row>
    <row r="2218" spans="1:9" x14ac:dyDescent="0.3">
      <c r="A2218">
        <v>8</v>
      </c>
      <c r="B2218" t="s">
        <v>239</v>
      </c>
      <c r="C2218" t="s">
        <v>192</v>
      </c>
      <c r="D2218" t="s">
        <v>238</v>
      </c>
      <c r="E2218" t="s">
        <v>75</v>
      </c>
      <c r="F2218" s="54" t="s">
        <v>221</v>
      </c>
      <c r="G2218" s="124">
        <v>0</v>
      </c>
      <c r="H2218" t="s">
        <v>248</v>
      </c>
      <c r="I2218" s="34">
        <v>8</v>
      </c>
    </row>
    <row r="2219" spans="1:9" x14ac:dyDescent="0.3">
      <c r="A2219" s="53">
        <v>11</v>
      </c>
      <c r="B2219" t="s">
        <v>239</v>
      </c>
      <c r="C2219" s="53" t="s">
        <v>193</v>
      </c>
      <c r="D2219" s="53" t="s">
        <v>195</v>
      </c>
      <c r="E2219" s="53" t="s">
        <v>75</v>
      </c>
      <c r="F2219" s="54" t="s">
        <v>221</v>
      </c>
      <c r="G2219" s="124">
        <v>0</v>
      </c>
      <c r="H2219" t="s">
        <v>244</v>
      </c>
      <c r="I2219" s="34">
        <v>11</v>
      </c>
    </row>
    <row r="2220" spans="1:9" x14ac:dyDescent="0.3">
      <c r="A2220">
        <v>3</v>
      </c>
      <c r="B2220" t="s">
        <v>239</v>
      </c>
      <c r="C2220" t="s">
        <v>193</v>
      </c>
      <c r="D2220" t="s">
        <v>195</v>
      </c>
      <c r="E2220" s="1" t="s">
        <v>75</v>
      </c>
      <c r="F2220" s="54" t="s">
        <v>221</v>
      </c>
      <c r="G2220" s="124">
        <v>0</v>
      </c>
      <c r="H2220" t="s">
        <v>244</v>
      </c>
      <c r="I2220" s="34">
        <v>3</v>
      </c>
    </row>
    <row r="2221" spans="1:9" x14ac:dyDescent="0.3">
      <c r="A2221">
        <v>3</v>
      </c>
      <c r="B2221" t="s">
        <v>239</v>
      </c>
      <c r="C2221" t="s">
        <v>191</v>
      </c>
      <c r="D2221" t="s">
        <v>238</v>
      </c>
      <c r="E2221" s="1" t="s">
        <v>75</v>
      </c>
      <c r="F2221" s="54" t="s">
        <v>221</v>
      </c>
      <c r="G2221" s="124">
        <v>0</v>
      </c>
      <c r="H2221" t="s">
        <v>246</v>
      </c>
      <c r="I2221" s="34">
        <v>3</v>
      </c>
    </row>
    <row r="2222" spans="1:9" x14ac:dyDescent="0.3">
      <c r="A2222">
        <v>4</v>
      </c>
      <c r="B2222" t="s">
        <v>239</v>
      </c>
      <c r="C2222" t="s">
        <v>191</v>
      </c>
      <c r="D2222" t="s">
        <v>238</v>
      </c>
      <c r="E2222" s="1" t="s">
        <v>75</v>
      </c>
      <c r="F2222" s="54" t="s">
        <v>221</v>
      </c>
      <c r="G2222" s="124">
        <v>0</v>
      </c>
      <c r="H2222" s="53" t="s">
        <v>246</v>
      </c>
      <c r="I2222" s="77">
        <v>4</v>
      </c>
    </row>
    <row r="2223" spans="1:9" x14ac:dyDescent="0.3">
      <c r="A2223" s="53">
        <v>11</v>
      </c>
      <c r="B2223" t="s">
        <v>239</v>
      </c>
      <c r="C2223" s="53" t="s">
        <v>191</v>
      </c>
      <c r="D2223" s="53" t="s">
        <v>238</v>
      </c>
      <c r="E2223" s="53" t="s">
        <v>75</v>
      </c>
      <c r="F2223" s="54" t="s">
        <v>221</v>
      </c>
      <c r="G2223" s="124">
        <v>0</v>
      </c>
      <c r="H2223" t="s">
        <v>246</v>
      </c>
      <c r="I2223" s="34">
        <v>11</v>
      </c>
    </row>
    <row r="2224" spans="1:9" x14ac:dyDescent="0.3">
      <c r="A2224">
        <v>12</v>
      </c>
      <c r="B2224" t="s">
        <v>239</v>
      </c>
      <c r="C2224" t="s">
        <v>191</v>
      </c>
      <c r="D2224" t="s">
        <v>238</v>
      </c>
      <c r="E2224" t="s">
        <v>75</v>
      </c>
      <c r="F2224" s="54" t="s">
        <v>221</v>
      </c>
      <c r="G2224" s="124">
        <v>0</v>
      </c>
      <c r="H2224" t="s">
        <v>246</v>
      </c>
      <c r="I2224" s="34">
        <v>12</v>
      </c>
    </row>
    <row r="2225" spans="1:9" x14ac:dyDescent="0.3">
      <c r="A2225">
        <v>9</v>
      </c>
      <c r="B2225" t="s">
        <v>239</v>
      </c>
      <c r="C2225" t="s">
        <v>192</v>
      </c>
      <c r="D2225" t="s">
        <v>238</v>
      </c>
      <c r="E2225" t="s">
        <v>75</v>
      </c>
      <c r="F2225" s="54" t="s">
        <v>221</v>
      </c>
      <c r="G2225" s="124">
        <v>0</v>
      </c>
      <c r="H2225" t="s">
        <v>248</v>
      </c>
      <c r="I2225" s="34">
        <v>9</v>
      </c>
    </row>
    <row r="2226" spans="1:9" x14ac:dyDescent="0.3">
      <c r="A2226">
        <v>10</v>
      </c>
      <c r="B2226" t="s">
        <v>239</v>
      </c>
      <c r="C2226" t="s">
        <v>192</v>
      </c>
      <c r="D2226" t="s">
        <v>238</v>
      </c>
      <c r="E2226" t="s">
        <v>75</v>
      </c>
      <c r="F2226" s="54" t="s">
        <v>221</v>
      </c>
      <c r="G2226" s="124">
        <v>0</v>
      </c>
      <c r="H2226" t="s">
        <v>248</v>
      </c>
      <c r="I2226" s="34">
        <v>10</v>
      </c>
    </row>
    <row r="2227" spans="1:9" x14ac:dyDescent="0.3">
      <c r="A2227">
        <v>1</v>
      </c>
      <c r="B2227" t="s">
        <v>239</v>
      </c>
      <c r="C2227" t="s">
        <v>192</v>
      </c>
      <c r="D2227" t="s">
        <v>238</v>
      </c>
      <c r="E2227" s="1" t="s">
        <v>75</v>
      </c>
      <c r="F2227" s="54" t="s">
        <v>221</v>
      </c>
      <c r="G2227" s="124">
        <v>0</v>
      </c>
      <c r="H2227" t="s">
        <v>248</v>
      </c>
      <c r="I2227" s="34">
        <v>1</v>
      </c>
    </row>
    <row r="2228" spans="1:9" x14ac:dyDescent="0.3">
      <c r="A2228" s="53">
        <v>11</v>
      </c>
      <c r="B2228" t="s">
        <v>239</v>
      </c>
      <c r="C2228" s="53" t="s">
        <v>192</v>
      </c>
      <c r="D2228" s="53" t="s">
        <v>238</v>
      </c>
      <c r="E2228" s="53" t="s">
        <v>75</v>
      </c>
      <c r="F2228" s="54" t="s">
        <v>221</v>
      </c>
      <c r="G2228" s="124">
        <v>0</v>
      </c>
      <c r="H2228" s="53" t="s">
        <v>248</v>
      </c>
      <c r="I2228" s="77">
        <v>11</v>
      </c>
    </row>
    <row r="2229" spans="1:9" x14ac:dyDescent="0.3">
      <c r="A2229">
        <v>12</v>
      </c>
      <c r="B2229" t="s">
        <v>239</v>
      </c>
      <c r="C2229" t="s">
        <v>192</v>
      </c>
      <c r="D2229" t="s">
        <v>238</v>
      </c>
      <c r="E2229" t="s">
        <v>75</v>
      </c>
      <c r="F2229" s="54" t="s">
        <v>221</v>
      </c>
      <c r="G2229" s="124">
        <v>0</v>
      </c>
      <c r="H2229" t="s">
        <v>248</v>
      </c>
      <c r="I2229" s="34">
        <v>12</v>
      </c>
    </row>
    <row r="2230" spans="1:9" x14ac:dyDescent="0.3">
      <c r="A2230">
        <v>5</v>
      </c>
      <c r="B2230" t="s">
        <v>239</v>
      </c>
      <c r="C2230" t="s">
        <v>192</v>
      </c>
      <c r="D2230" t="s">
        <v>238</v>
      </c>
      <c r="E2230" t="s">
        <v>75</v>
      </c>
      <c r="F2230" s="54" t="s">
        <v>221</v>
      </c>
      <c r="G2230" s="124">
        <v>0</v>
      </c>
      <c r="H2230" t="s">
        <v>248</v>
      </c>
      <c r="I2230" s="34">
        <v>5</v>
      </c>
    </row>
    <row r="2231" spans="1:9" x14ac:dyDescent="0.3">
      <c r="A2231">
        <v>7</v>
      </c>
      <c r="B2231" t="s">
        <v>239</v>
      </c>
      <c r="C2231" t="s">
        <v>192</v>
      </c>
      <c r="D2231" t="s">
        <v>238</v>
      </c>
      <c r="E2231" t="s">
        <v>75</v>
      </c>
      <c r="F2231" s="54" t="s">
        <v>221</v>
      </c>
      <c r="G2231" s="124">
        <v>0</v>
      </c>
      <c r="H2231" t="s">
        <v>248</v>
      </c>
      <c r="I2231" s="34">
        <v>7</v>
      </c>
    </row>
    <row r="2232" spans="1:9" x14ac:dyDescent="0.3">
      <c r="A2232">
        <v>6</v>
      </c>
      <c r="B2232" t="s">
        <v>239</v>
      </c>
      <c r="C2232" t="s">
        <v>192</v>
      </c>
      <c r="D2232" t="s">
        <v>238</v>
      </c>
      <c r="E2232" t="s">
        <v>75</v>
      </c>
      <c r="F2232" s="54" t="s">
        <v>221</v>
      </c>
      <c r="G2232" s="124">
        <v>0</v>
      </c>
      <c r="H2232" t="s">
        <v>248</v>
      </c>
      <c r="I2232" s="34">
        <v>6</v>
      </c>
    </row>
    <row r="2233" spans="1:9" x14ac:dyDescent="0.3">
      <c r="A2233">
        <v>2</v>
      </c>
      <c r="B2233" t="s">
        <v>239</v>
      </c>
      <c r="C2233" t="s">
        <v>192</v>
      </c>
      <c r="D2233" t="s">
        <v>238</v>
      </c>
      <c r="E2233" s="1" t="s">
        <v>75</v>
      </c>
      <c r="F2233" s="54" t="s">
        <v>221</v>
      </c>
      <c r="G2233" s="124">
        <v>0</v>
      </c>
      <c r="H2233" t="s">
        <v>248</v>
      </c>
      <c r="I2233" s="34">
        <v>2</v>
      </c>
    </row>
    <row r="2234" spans="1:9" x14ac:dyDescent="0.3">
      <c r="A2234">
        <v>3</v>
      </c>
      <c r="B2234" t="s">
        <v>239</v>
      </c>
      <c r="C2234" t="s">
        <v>192</v>
      </c>
      <c r="D2234" t="s">
        <v>238</v>
      </c>
      <c r="E2234" s="1" t="s">
        <v>75</v>
      </c>
      <c r="F2234" s="54" t="s">
        <v>221</v>
      </c>
      <c r="G2234" s="124">
        <v>0</v>
      </c>
      <c r="H2234" t="s">
        <v>248</v>
      </c>
      <c r="I2234" s="34">
        <v>3</v>
      </c>
    </row>
    <row r="2235" spans="1:9" x14ac:dyDescent="0.3">
      <c r="A2235">
        <v>4</v>
      </c>
      <c r="B2235" t="s">
        <v>239</v>
      </c>
      <c r="C2235" t="s">
        <v>192</v>
      </c>
      <c r="D2235" t="s">
        <v>238</v>
      </c>
      <c r="E2235" s="1" t="s">
        <v>75</v>
      </c>
      <c r="F2235" s="54" t="s">
        <v>221</v>
      </c>
      <c r="G2235" s="124">
        <v>0</v>
      </c>
      <c r="H2235" t="s">
        <v>248</v>
      </c>
      <c r="I2235" s="34">
        <v>4</v>
      </c>
    </row>
    <row r="2236" spans="1:9" x14ac:dyDescent="0.3">
      <c r="A2236">
        <v>2</v>
      </c>
      <c r="B2236" t="s">
        <v>239</v>
      </c>
      <c r="C2236" t="s">
        <v>191</v>
      </c>
      <c r="D2236" t="s">
        <v>238</v>
      </c>
      <c r="E2236" s="1" t="s">
        <v>75</v>
      </c>
      <c r="F2236" s="54" t="s">
        <v>221</v>
      </c>
      <c r="G2236" s="124">
        <v>0</v>
      </c>
      <c r="H2236" t="s">
        <v>246</v>
      </c>
      <c r="I2236" s="34">
        <v>2</v>
      </c>
    </row>
    <row r="2237" spans="1:9" x14ac:dyDescent="0.3">
      <c r="A2237" s="53">
        <v>5</v>
      </c>
      <c r="B2237" t="s">
        <v>239</v>
      </c>
      <c r="C2237" s="53" t="s">
        <v>191</v>
      </c>
      <c r="D2237" s="53" t="s">
        <v>238</v>
      </c>
      <c r="E2237" s="55" t="s">
        <v>75</v>
      </c>
      <c r="F2237" s="54" t="s">
        <v>221</v>
      </c>
      <c r="G2237" s="124">
        <v>0</v>
      </c>
      <c r="H2237" s="53" t="s">
        <v>246</v>
      </c>
      <c r="I2237" s="77">
        <v>5</v>
      </c>
    </row>
    <row r="2238" spans="1:9" x14ac:dyDescent="0.3">
      <c r="A2238">
        <v>6</v>
      </c>
      <c r="B2238" t="s">
        <v>239</v>
      </c>
      <c r="C2238" t="s">
        <v>191</v>
      </c>
      <c r="D2238" t="s">
        <v>238</v>
      </c>
      <c r="E2238" t="s">
        <v>75</v>
      </c>
      <c r="F2238" s="54" t="s">
        <v>221</v>
      </c>
      <c r="G2238" s="124">
        <v>0</v>
      </c>
      <c r="H2238" s="53" t="s">
        <v>246</v>
      </c>
      <c r="I2238" s="77">
        <v>6</v>
      </c>
    </row>
    <row r="2239" spans="1:9" x14ac:dyDescent="0.3">
      <c r="A2239">
        <v>7</v>
      </c>
      <c r="B2239" t="s">
        <v>239</v>
      </c>
      <c r="C2239" t="s">
        <v>191</v>
      </c>
      <c r="D2239" t="s">
        <v>238</v>
      </c>
      <c r="E2239" t="s">
        <v>75</v>
      </c>
      <c r="F2239" s="54" t="s">
        <v>221</v>
      </c>
      <c r="G2239" s="124">
        <v>0</v>
      </c>
      <c r="H2239" s="53" t="s">
        <v>246</v>
      </c>
      <c r="I2239" s="77">
        <v>7</v>
      </c>
    </row>
    <row r="2240" spans="1:9" x14ac:dyDescent="0.3">
      <c r="A2240">
        <v>9</v>
      </c>
      <c r="B2240" t="s">
        <v>239</v>
      </c>
      <c r="C2240" t="s">
        <v>191</v>
      </c>
      <c r="D2240" t="s">
        <v>238</v>
      </c>
      <c r="E2240" t="s">
        <v>75</v>
      </c>
      <c r="F2240" s="54" t="s">
        <v>221</v>
      </c>
      <c r="G2240" s="124">
        <v>0</v>
      </c>
      <c r="H2240" t="s">
        <v>246</v>
      </c>
      <c r="I2240" s="34">
        <v>9</v>
      </c>
    </row>
    <row r="2241" spans="1:9" x14ac:dyDescent="0.3">
      <c r="A2241">
        <v>1</v>
      </c>
      <c r="B2241" t="s">
        <v>239</v>
      </c>
      <c r="C2241" t="s">
        <v>191</v>
      </c>
      <c r="D2241" t="s">
        <v>238</v>
      </c>
      <c r="E2241" s="1" t="s">
        <v>75</v>
      </c>
      <c r="F2241" s="54" t="s">
        <v>221</v>
      </c>
      <c r="G2241" s="124">
        <v>0</v>
      </c>
      <c r="H2241" s="53" t="s">
        <v>246</v>
      </c>
      <c r="I2241" s="77">
        <v>1</v>
      </c>
    </row>
    <row r="2242" spans="1:9" x14ac:dyDescent="0.3">
      <c r="A2242">
        <v>8</v>
      </c>
      <c r="B2242" t="s">
        <v>239</v>
      </c>
      <c r="C2242" t="s">
        <v>191</v>
      </c>
      <c r="D2242" t="s">
        <v>238</v>
      </c>
      <c r="E2242" t="s">
        <v>75</v>
      </c>
      <c r="F2242" s="54" t="s">
        <v>221</v>
      </c>
      <c r="G2242" s="124">
        <v>0</v>
      </c>
      <c r="H2242" t="s">
        <v>246</v>
      </c>
      <c r="I2242" s="34">
        <v>8</v>
      </c>
    </row>
    <row r="2243" spans="1:9" x14ac:dyDescent="0.3">
      <c r="A2243">
        <v>10</v>
      </c>
      <c r="B2243" t="s">
        <v>239</v>
      </c>
      <c r="C2243" t="s">
        <v>193</v>
      </c>
      <c r="D2243" t="s">
        <v>238</v>
      </c>
      <c r="E2243" t="s">
        <v>75</v>
      </c>
      <c r="F2243" s="54" t="s">
        <v>221</v>
      </c>
      <c r="G2243" s="124">
        <v>0</v>
      </c>
      <c r="H2243" s="53" t="s">
        <v>249</v>
      </c>
      <c r="I2243" s="77">
        <v>10</v>
      </c>
    </row>
    <row r="2244" spans="1:9" x14ac:dyDescent="0.3">
      <c r="A2244" s="53">
        <v>11</v>
      </c>
      <c r="B2244" t="s">
        <v>239</v>
      </c>
      <c r="C2244" s="53" t="s">
        <v>193</v>
      </c>
      <c r="D2244" s="53" t="s">
        <v>238</v>
      </c>
      <c r="E2244" s="53" t="s">
        <v>75</v>
      </c>
      <c r="F2244" s="54" t="s">
        <v>221</v>
      </c>
      <c r="G2244" s="124">
        <v>0</v>
      </c>
      <c r="H2244" t="s">
        <v>249</v>
      </c>
      <c r="I2244" s="34">
        <v>11</v>
      </c>
    </row>
    <row r="2245" spans="1:9" x14ac:dyDescent="0.3">
      <c r="A2245">
        <v>12</v>
      </c>
      <c r="B2245" t="s">
        <v>239</v>
      </c>
      <c r="C2245" t="s">
        <v>193</v>
      </c>
      <c r="D2245" t="s">
        <v>238</v>
      </c>
      <c r="E2245" t="s">
        <v>75</v>
      </c>
      <c r="F2245" s="54" t="s">
        <v>221</v>
      </c>
      <c r="G2245" s="124">
        <v>0</v>
      </c>
      <c r="H2245" t="s">
        <v>249</v>
      </c>
      <c r="I2245" s="34">
        <v>12</v>
      </c>
    </row>
    <row r="2246" spans="1:9" x14ac:dyDescent="0.3">
      <c r="A2246" s="53">
        <v>3</v>
      </c>
      <c r="B2246" t="s">
        <v>239</v>
      </c>
      <c r="C2246" s="53" t="s">
        <v>193</v>
      </c>
      <c r="D2246" s="53" t="s">
        <v>238</v>
      </c>
      <c r="E2246" s="55" t="s">
        <v>75</v>
      </c>
      <c r="F2246" s="54" t="s">
        <v>221</v>
      </c>
      <c r="G2246" s="124">
        <v>0</v>
      </c>
      <c r="H2246" s="53" t="s">
        <v>249</v>
      </c>
      <c r="I2246" s="77">
        <v>3</v>
      </c>
    </row>
    <row r="2247" spans="1:9" x14ac:dyDescent="0.3">
      <c r="A2247">
        <v>4</v>
      </c>
      <c r="B2247" t="s">
        <v>190</v>
      </c>
      <c r="C2247" t="s">
        <v>193</v>
      </c>
      <c r="D2247" t="s">
        <v>195</v>
      </c>
      <c r="E2247" s="1" t="s">
        <v>78</v>
      </c>
      <c r="F2247" s="31" t="s">
        <v>88</v>
      </c>
      <c r="G2247" s="34">
        <f>VLOOKUP(표4[[#This Row],[구분]],ota_rns[#All],표4[[#This Row],[구분1]]+5,FALSE)</f>
        <v>96.95</v>
      </c>
      <c r="H2247" s="58" t="str">
        <f>CONCATENATE(표4[[#This Row],[세그먼트 (OTA , GOTA, IB'[IB'])]],표4[[#This Row],[목표구분 (REV, RNS, ADR)]],표4[[#This Row],[영업장코드(예약 영업장 코드)]])</f>
        <v>GOTAREV08</v>
      </c>
      <c r="I2247" s="34">
        <f>RIGHT(표4[[#This Row],[년월(XXXX-XX 형식)]],2)*1</f>
        <v>4</v>
      </c>
    </row>
    <row r="2248" spans="1:9" x14ac:dyDescent="0.3">
      <c r="A2248">
        <v>4</v>
      </c>
      <c r="B2248" t="s">
        <v>190</v>
      </c>
      <c r="C2248" t="s">
        <v>193</v>
      </c>
      <c r="D2248" t="s">
        <v>195</v>
      </c>
      <c r="E2248" s="1" t="s">
        <v>81</v>
      </c>
      <c r="F2248" s="54" t="s">
        <v>81</v>
      </c>
      <c r="G2248" s="34">
        <f>VLOOKUP(표4[[#This Row],[구분]],ota_rns[#All],표4[[#This Row],[구분1]]+5,FALSE)</f>
        <v>29.415804181034485</v>
      </c>
      <c r="H2248" s="58" t="str">
        <f>CONCATENATE(표4[[#This Row],[세그먼트 (OTA , GOTA, IB'[IB'])]],표4[[#This Row],[목표구분 (REV, RNS, ADR)]],표4[[#This Row],[영업장코드(예약 영업장 코드)]])</f>
        <v>GOTAREV03</v>
      </c>
      <c r="I2248" s="34">
        <f>RIGHT(표4[[#This Row],[년월(XXXX-XX 형식)]],2)*1</f>
        <v>4</v>
      </c>
    </row>
    <row r="2249" spans="1:9" x14ac:dyDescent="0.3">
      <c r="A2249">
        <v>4</v>
      </c>
      <c r="B2249" t="s">
        <v>190</v>
      </c>
      <c r="C2249" t="s">
        <v>193</v>
      </c>
      <c r="D2249" t="s">
        <v>195</v>
      </c>
      <c r="E2249" s="1" t="s">
        <v>75</v>
      </c>
      <c r="F2249" s="54" t="s">
        <v>75</v>
      </c>
      <c r="G2249" s="34">
        <f>VLOOKUP(표4[[#This Row],[구분]],ota_rns[#All],표4[[#This Row],[구분1]]+5,FALSE)</f>
        <v>117.6</v>
      </c>
      <c r="H2249" s="58" t="str">
        <f>CONCATENATE(표4[[#This Row],[세그먼트 (OTA , GOTA, IB'[IB'])]],표4[[#This Row],[목표구분 (REV, RNS, ADR)]],표4[[#This Row],[영업장코드(예약 영업장 코드)]])</f>
        <v>GOTAREV01</v>
      </c>
      <c r="I2249" s="34">
        <f>RIGHT(표4[[#This Row],[년월(XXXX-XX 형식)]],2)*1</f>
        <v>4</v>
      </c>
    </row>
    <row r="2250" spans="1:9" x14ac:dyDescent="0.3">
      <c r="A2250">
        <v>4</v>
      </c>
      <c r="B2250" t="s">
        <v>190</v>
      </c>
      <c r="C2250" t="s">
        <v>193</v>
      </c>
      <c r="D2250" t="s">
        <v>195</v>
      </c>
      <c r="E2250" s="1" t="s">
        <v>75</v>
      </c>
      <c r="F2250" s="31" t="s">
        <v>141</v>
      </c>
      <c r="G2250" s="34">
        <f>VLOOKUP(표4[[#This Row],[구분]],ota_rns[#All],표4[[#This Row],[구분1]]+5,FALSE)</f>
        <v>489.58</v>
      </c>
      <c r="H2250" s="58" t="str">
        <f>CONCATENATE(표4[[#This Row],[세그먼트 (OTA , GOTA, IB'[IB'])]],표4[[#This Row],[목표구분 (REV, RNS, ADR)]],표4[[#This Row],[영업장코드(예약 영업장 코드)]])</f>
        <v>GOTAREV70</v>
      </c>
      <c r="I2250" s="34">
        <f>RIGHT(표4[[#This Row],[년월(XXXX-XX 형식)]],2)*1</f>
        <v>4</v>
      </c>
    </row>
    <row r="2251" spans="1:9" x14ac:dyDescent="0.3">
      <c r="A2251">
        <v>4</v>
      </c>
      <c r="B2251" t="s">
        <v>190</v>
      </c>
      <c r="C2251" t="s">
        <v>193</v>
      </c>
      <c r="D2251" t="s">
        <v>195</v>
      </c>
      <c r="E2251" s="1" t="s">
        <v>75</v>
      </c>
      <c r="F2251" s="54" t="s">
        <v>113</v>
      </c>
      <c r="G2251" s="34">
        <f>VLOOKUP(표4[[#This Row],[구분]],ota_rns[#All],표4[[#This Row],[구분1]]+5,FALSE)</f>
        <v>54.9</v>
      </c>
      <c r="H2251" s="58" t="str">
        <f>CONCATENATE(표4[[#This Row],[세그먼트 (OTA , GOTA, IB'[IB'])]],표4[[#This Row],[목표구분 (REV, RNS, ADR)]],표4[[#This Row],[영업장코드(예약 영업장 코드)]])</f>
        <v>GOTAREV25</v>
      </c>
      <c r="I2251" s="34">
        <f>RIGHT(표4[[#This Row],[년월(XXXX-XX 형식)]],2)*1</f>
        <v>4</v>
      </c>
    </row>
    <row r="2252" spans="1:9" x14ac:dyDescent="0.3">
      <c r="A2252">
        <v>4</v>
      </c>
      <c r="B2252" t="s">
        <v>190</v>
      </c>
      <c r="C2252" t="s">
        <v>193</v>
      </c>
      <c r="D2252" t="s">
        <v>195</v>
      </c>
      <c r="E2252" s="1" t="s">
        <v>75</v>
      </c>
      <c r="F2252" s="31" t="s">
        <v>117</v>
      </c>
      <c r="G2252" s="34">
        <f>VLOOKUP(표4[[#This Row],[구분]],ota_rns[#All],표4[[#This Row],[구분1]]+5,FALSE)</f>
        <v>306</v>
      </c>
      <c r="H2252" s="58" t="str">
        <f>CONCATENATE(표4[[#This Row],[세그먼트 (OTA , GOTA, IB'[IB'])]],표4[[#This Row],[목표구분 (REV, RNS, ADR)]],표4[[#This Row],[영업장코드(예약 영업장 코드)]])</f>
        <v>GOTAREV27</v>
      </c>
      <c r="I2252" s="34">
        <f>RIGHT(표4[[#This Row],[년월(XXXX-XX 형식)]],2)*1</f>
        <v>4</v>
      </c>
    </row>
    <row r="2253" spans="1:9" x14ac:dyDescent="0.3">
      <c r="A2253">
        <v>4</v>
      </c>
      <c r="B2253" t="s">
        <v>190</v>
      </c>
      <c r="C2253" t="s">
        <v>193</v>
      </c>
      <c r="D2253" t="s">
        <v>195</v>
      </c>
      <c r="E2253" s="1" t="s">
        <v>75</v>
      </c>
      <c r="F2253" s="32" t="s">
        <v>122</v>
      </c>
      <c r="G2253" s="34">
        <f>VLOOKUP(표4[[#This Row],[구분]],ota_rns[#All],표4[[#This Row],[구분1]]+5,FALSE)</f>
        <v>11.08</v>
      </c>
      <c r="H2253" s="58" t="str">
        <f>CONCATENATE(표4[[#This Row],[세그먼트 (OTA , GOTA, IB'[IB'])]],표4[[#This Row],[목표구분 (REV, RNS, ADR)]],표4[[#This Row],[영업장코드(예약 영업장 코드)]])</f>
        <v>GOTAREV46</v>
      </c>
      <c r="I2253" s="34">
        <f>RIGHT(표4[[#This Row],[년월(XXXX-XX 형식)]],2)*1</f>
        <v>4</v>
      </c>
    </row>
    <row r="2254" spans="1:9" x14ac:dyDescent="0.3">
      <c r="A2254">
        <v>4</v>
      </c>
      <c r="B2254" t="s">
        <v>190</v>
      </c>
      <c r="C2254" t="s">
        <v>193</v>
      </c>
      <c r="D2254" t="s">
        <v>195</v>
      </c>
      <c r="E2254" s="1" t="s">
        <v>92</v>
      </c>
      <c r="F2254" s="54" t="s">
        <v>92</v>
      </c>
      <c r="G2254" s="34">
        <f>VLOOKUP(표4[[#This Row],[구분]],ota_rns[#All],표4[[#This Row],[구분1]]+5,FALSE)</f>
        <v>164</v>
      </c>
      <c r="H2254" s="58" t="str">
        <f>CONCATENATE(표4[[#This Row],[세그먼트 (OTA , GOTA, IB'[IB'])]],표4[[#This Row],[목표구분 (REV, RNS, ADR)]],표4[[#This Row],[영업장코드(예약 영업장 코드)]])</f>
        <v>GOTAREV10</v>
      </c>
      <c r="I2254" s="34">
        <f>RIGHT(표4[[#This Row],[년월(XXXX-XX 형식)]],2)*1</f>
        <v>4</v>
      </c>
    </row>
    <row r="2255" spans="1:9" x14ac:dyDescent="0.3">
      <c r="A2255">
        <v>4</v>
      </c>
      <c r="B2255" t="s">
        <v>190</v>
      </c>
      <c r="C2255" t="s">
        <v>193</v>
      </c>
      <c r="D2255" t="s">
        <v>195</v>
      </c>
      <c r="E2255" s="1" t="s">
        <v>110</v>
      </c>
      <c r="F2255" s="31" t="s">
        <v>131</v>
      </c>
      <c r="G2255" s="34">
        <f>VLOOKUP(표4[[#This Row],[구분]],ota_rns[#All],표4[[#This Row],[구분1]]+5,FALSE)</f>
        <v>312</v>
      </c>
      <c r="H2255" s="58" t="str">
        <f>CONCATENATE(표4[[#This Row],[세그먼트 (OTA , GOTA, IB'[IB'])]],표4[[#This Row],[목표구분 (REV, RNS, ADR)]],표4[[#This Row],[영업장코드(예약 영업장 코드)]])</f>
        <v>GOTAREV61</v>
      </c>
      <c r="I2255" s="34">
        <f>RIGHT(표4[[#This Row],[년월(XXXX-XX 형식)]],2)*1</f>
        <v>4</v>
      </c>
    </row>
    <row r="2256" spans="1:9" x14ac:dyDescent="0.3">
      <c r="A2256">
        <v>4</v>
      </c>
      <c r="B2256" t="s">
        <v>190</v>
      </c>
      <c r="C2256" t="s">
        <v>193</v>
      </c>
      <c r="D2256" t="s">
        <v>195</v>
      </c>
      <c r="E2256" s="1" t="s">
        <v>180</v>
      </c>
      <c r="F2256" s="32" t="s">
        <v>180</v>
      </c>
      <c r="G2256" s="34">
        <f>VLOOKUP(표4[[#This Row],[구분]],ota_rns[#All],표4[[#This Row],[구분1]]+5,FALSE)</f>
        <v>265.42309089931319</v>
      </c>
      <c r="H2256" s="58" t="str">
        <f>CONCATENATE(표4[[#This Row],[세그먼트 (OTA , GOTA, IB'[IB'])]],표4[[#This Row],[목표구분 (REV, RNS, ADR)]],표4[[#This Row],[영업장코드(예약 영업장 코드)]])</f>
        <v>GOTAREV05</v>
      </c>
      <c r="I2256" s="34">
        <f>RIGHT(표4[[#This Row],[년월(XXXX-XX 형식)]],2)*1</f>
        <v>4</v>
      </c>
    </row>
    <row r="2257" spans="1:9" x14ac:dyDescent="0.3">
      <c r="A2257">
        <v>4</v>
      </c>
      <c r="B2257" t="s">
        <v>190</v>
      </c>
      <c r="C2257" t="s">
        <v>193</v>
      </c>
      <c r="D2257" t="s">
        <v>195</v>
      </c>
      <c r="E2257" s="1" t="s">
        <v>181</v>
      </c>
      <c r="F2257" s="54" t="s">
        <v>137</v>
      </c>
      <c r="G2257" s="34">
        <f>VLOOKUP(표4[[#This Row],[구분]],ota_rns[#All],표4[[#This Row],[구분1]]+5,FALSE)</f>
        <v>62.1</v>
      </c>
      <c r="H2257" s="58" t="str">
        <f>CONCATENATE(표4[[#This Row],[세그먼트 (OTA , GOTA, IB'[IB'])]],표4[[#This Row],[목표구분 (REV, RNS, ADR)]],표4[[#This Row],[영업장코드(예약 영업장 코드)]])</f>
        <v>GOTAREV66</v>
      </c>
      <c r="I2257" s="34">
        <f>RIGHT(표4[[#This Row],[년월(XXXX-XX 형식)]],2)*1</f>
        <v>4</v>
      </c>
    </row>
    <row r="2258" spans="1:9" x14ac:dyDescent="0.3">
      <c r="A2258">
        <v>4</v>
      </c>
      <c r="B2258" t="s">
        <v>190</v>
      </c>
      <c r="C2258" t="s">
        <v>193</v>
      </c>
      <c r="D2258" t="s">
        <v>195</v>
      </c>
      <c r="E2258" s="1" t="s">
        <v>84</v>
      </c>
      <c r="F2258" s="54" t="s">
        <v>84</v>
      </c>
      <c r="G2258" s="34">
        <f>VLOOKUP(표4[[#This Row],[구분]],ota_rns[#All],표4[[#This Row],[구분1]]+5,FALSE)</f>
        <v>155.94</v>
      </c>
      <c r="H2258" s="58" t="str">
        <f>CONCATENATE(표4[[#This Row],[세그먼트 (OTA , GOTA, IB'[IB'])]],표4[[#This Row],[목표구분 (REV, RNS, ADR)]],표4[[#This Row],[영업장코드(예약 영업장 코드)]])</f>
        <v>GOTAREV06</v>
      </c>
      <c r="I2258" s="34">
        <f>RIGHT(표4[[#This Row],[년월(XXXX-XX 형식)]],2)*1</f>
        <v>4</v>
      </c>
    </row>
    <row r="2259" spans="1:9" x14ac:dyDescent="0.3">
      <c r="A2259">
        <v>4</v>
      </c>
      <c r="B2259" t="s">
        <v>190</v>
      </c>
      <c r="C2259" t="s">
        <v>193</v>
      </c>
      <c r="D2259" t="s">
        <v>195</v>
      </c>
      <c r="E2259" s="1" t="s">
        <v>143</v>
      </c>
      <c r="F2259" s="54" t="s">
        <v>143</v>
      </c>
      <c r="G2259" s="34">
        <f>VLOOKUP(표4[[#This Row],[구분]],ota_rns[#All],표4[[#This Row],[구분1]]+5,FALSE)</f>
        <v>72.11</v>
      </c>
      <c r="H2259" s="58" t="str">
        <f>CONCATENATE(표4[[#This Row],[세그먼트 (OTA , GOTA, IB'[IB'])]],표4[[#This Row],[목표구분 (REV, RNS, ADR)]],표4[[#This Row],[영업장코드(예약 영업장 코드)]])</f>
        <v>GOTAREV73</v>
      </c>
      <c r="I2259" s="34">
        <f>RIGHT(표4[[#This Row],[년월(XXXX-XX 형식)]],2)*1</f>
        <v>4</v>
      </c>
    </row>
    <row r="2260" spans="1:9" x14ac:dyDescent="0.3">
      <c r="A2260">
        <v>4</v>
      </c>
      <c r="B2260" t="s">
        <v>190</v>
      </c>
      <c r="C2260" t="s">
        <v>193</v>
      </c>
      <c r="D2260" t="s">
        <v>195</v>
      </c>
      <c r="E2260" s="1" t="s">
        <v>99</v>
      </c>
      <c r="F2260" s="32" t="s">
        <v>99</v>
      </c>
      <c r="G2260" s="34">
        <f>VLOOKUP(표4[[#This Row],[구분]],ota_rns[#All],표4[[#This Row],[구분1]]+5,FALSE)</f>
        <v>178.8</v>
      </c>
      <c r="H2260" s="58" t="str">
        <f>CONCATENATE(표4[[#This Row],[세그먼트 (OTA , GOTA, IB'[IB'])]],표4[[#This Row],[목표구분 (REV, RNS, ADR)]],표4[[#This Row],[영업장코드(예약 영업장 코드)]])</f>
        <v>GOTAREV16</v>
      </c>
      <c r="I2260" s="34">
        <f>RIGHT(표4[[#This Row],[년월(XXXX-XX 형식)]],2)*1</f>
        <v>4</v>
      </c>
    </row>
    <row r="2261" spans="1:9" x14ac:dyDescent="0.3">
      <c r="A2261">
        <v>4</v>
      </c>
      <c r="B2261" t="s">
        <v>190</v>
      </c>
      <c r="C2261" t="s">
        <v>193</v>
      </c>
      <c r="D2261" t="s">
        <v>195</v>
      </c>
      <c r="E2261" s="1" t="s">
        <v>103</v>
      </c>
      <c r="F2261" s="54" t="s">
        <v>110</v>
      </c>
      <c r="G2261" s="34">
        <f>VLOOKUP(표4[[#This Row],[구분]],ota_rns[#All],표4[[#This Row],[구분1]]+5,FALSE)</f>
        <v>206</v>
      </c>
      <c r="H2261" s="58" t="str">
        <f>CONCATENATE(표4[[#This Row],[세그먼트 (OTA , GOTA, IB'[IB'])]],표4[[#This Row],[목표구분 (REV, RNS, ADR)]],표4[[#This Row],[영업장코드(예약 영업장 코드)]])</f>
        <v>GOTAREV24</v>
      </c>
      <c r="I2261" s="34">
        <f>RIGHT(표4[[#This Row],[년월(XXXX-XX 형식)]],2)*1</f>
        <v>4</v>
      </c>
    </row>
    <row r="2262" spans="1:9" x14ac:dyDescent="0.3">
      <c r="A2262">
        <v>4</v>
      </c>
      <c r="B2262" t="s">
        <v>190</v>
      </c>
      <c r="C2262" t="s">
        <v>193</v>
      </c>
      <c r="D2262" t="s">
        <v>195</v>
      </c>
      <c r="E2262" s="1" t="s">
        <v>101</v>
      </c>
      <c r="F2262" s="32" t="s">
        <v>107</v>
      </c>
      <c r="G2262" s="34">
        <f>VLOOKUP(표4[[#This Row],[구분]],ota_rns[#All],표4[[#This Row],[구분1]]+5,FALSE)</f>
        <v>219.15</v>
      </c>
      <c r="H2262" s="58" t="str">
        <f>CONCATENATE(표4[[#This Row],[세그먼트 (OTA , GOTA, IB'[IB'])]],표4[[#This Row],[목표구분 (REV, RNS, ADR)]],표4[[#This Row],[영업장코드(예약 영업장 코드)]])</f>
        <v>GOTAREV22</v>
      </c>
      <c r="I2262" s="34">
        <f>RIGHT(표4[[#This Row],[년월(XXXX-XX 형식)]],2)*1</f>
        <v>4</v>
      </c>
    </row>
    <row r="2263" spans="1:9" x14ac:dyDescent="0.3">
      <c r="A2263">
        <v>4</v>
      </c>
      <c r="B2263" t="s">
        <v>190</v>
      </c>
      <c r="C2263" t="s">
        <v>193</v>
      </c>
      <c r="D2263" t="s">
        <v>195</v>
      </c>
      <c r="E2263" s="1" t="s">
        <v>182</v>
      </c>
      <c r="F2263" s="54" t="s">
        <v>147</v>
      </c>
      <c r="G2263" s="34">
        <f>VLOOKUP(표4[[#This Row],[구분]],ota_rns[#All],표4[[#This Row],[구분1]]+5,FALSE)</f>
        <v>267.39999999999998</v>
      </c>
      <c r="H2263" s="58" t="str">
        <f>CONCATENATE(표4[[#This Row],[세그먼트 (OTA , GOTA, IB'[IB'])]],표4[[#This Row],[목표구분 (REV, RNS, ADR)]],표4[[#This Row],[영업장코드(예약 영업장 코드)]])</f>
        <v>GOTAREV77</v>
      </c>
      <c r="I2263" s="34">
        <f>RIGHT(표4[[#This Row],[년월(XXXX-XX 형식)]],2)*1</f>
        <v>4</v>
      </c>
    </row>
    <row r="2264" spans="1:9" x14ac:dyDescent="0.3">
      <c r="A2264">
        <v>4</v>
      </c>
      <c r="B2264" t="s">
        <v>190</v>
      </c>
      <c r="C2264" t="s">
        <v>193</v>
      </c>
      <c r="D2264" t="s">
        <v>195</v>
      </c>
      <c r="E2264" s="1" t="s">
        <v>183</v>
      </c>
      <c r="F2264" s="54" t="s">
        <v>157</v>
      </c>
      <c r="G2264" s="34">
        <f>VLOOKUP(표4[[#This Row],[구분]],ota_rns[#All],표4[[#This Row],[구분1]]+5,FALSE)</f>
        <v>181.76</v>
      </c>
      <c r="H2264" s="58" t="str">
        <f>CONCATENATE(표4[[#This Row],[세그먼트 (OTA , GOTA, IB'[IB'])]],표4[[#This Row],[목표구분 (REV, RNS, ADR)]],표4[[#This Row],[영업장코드(예약 영업장 코드)]])</f>
        <v>GOTAREV87</v>
      </c>
      <c r="I2264" s="34">
        <f>RIGHT(표4[[#This Row],[년월(XXXX-XX 형식)]],2)*1</f>
        <v>4</v>
      </c>
    </row>
    <row r="2265" spans="1:9" x14ac:dyDescent="0.3">
      <c r="A2265">
        <v>4</v>
      </c>
      <c r="B2265" t="s">
        <v>190</v>
      </c>
      <c r="C2265" t="s">
        <v>193</v>
      </c>
      <c r="D2265" t="s">
        <v>195</v>
      </c>
      <c r="E2265" s="1" t="s">
        <v>96</v>
      </c>
      <c r="F2265" s="31" t="s">
        <v>96</v>
      </c>
      <c r="G2265" s="34">
        <f>VLOOKUP(표4[[#This Row],[구분]],ota_rns[#All],표4[[#This Row],[구분1]]+5,FALSE)</f>
        <v>124.95</v>
      </c>
      <c r="H2265" s="58" t="str">
        <f>CONCATENATE(표4[[#This Row],[세그먼트 (OTA , GOTA, IB'[IB'])]],표4[[#This Row],[목표구분 (REV, RNS, ADR)]],표4[[#This Row],[영업장코드(예약 영업장 코드)]])</f>
        <v>GOTAREV15</v>
      </c>
      <c r="I2265" s="34">
        <f>RIGHT(표4[[#This Row],[년월(XXXX-XX 형식)]],2)*1</f>
        <v>4</v>
      </c>
    </row>
    <row r="2266" spans="1:9" x14ac:dyDescent="0.3">
      <c r="A2266">
        <v>4</v>
      </c>
      <c r="B2266" t="s">
        <v>190</v>
      </c>
      <c r="C2266" t="s">
        <v>193</v>
      </c>
      <c r="D2266" t="s">
        <v>195</v>
      </c>
      <c r="E2266" s="1" t="s">
        <v>105</v>
      </c>
      <c r="F2266" s="31" t="s">
        <v>119</v>
      </c>
      <c r="G2266" s="34">
        <f>VLOOKUP(표4[[#This Row],[구분]],ota_rns[#All],표4[[#This Row],[구분1]]+5,FALSE)</f>
        <v>545.6</v>
      </c>
      <c r="H2266" s="58" t="str">
        <f>CONCATENATE(표4[[#This Row],[세그먼트 (OTA , GOTA, IB'[IB'])]],표4[[#This Row],[목표구분 (REV, RNS, ADR)]],표4[[#This Row],[영업장코드(예약 영업장 코드)]])</f>
        <v>GOTAREV29</v>
      </c>
      <c r="I2266" s="34">
        <f>RIGHT(표4[[#This Row],[년월(XXXX-XX 형식)]],2)*1</f>
        <v>4</v>
      </c>
    </row>
    <row r="2267" spans="1:9" x14ac:dyDescent="0.3">
      <c r="A2267">
        <v>4</v>
      </c>
      <c r="B2267" t="s">
        <v>190</v>
      </c>
      <c r="C2267" t="s">
        <v>193</v>
      </c>
      <c r="D2267" t="s">
        <v>195</v>
      </c>
      <c r="E2267" s="1" t="s">
        <v>184</v>
      </c>
      <c r="F2267" s="54" t="s">
        <v>152</v>
      </c>
      <c r="G2267" s="34">
        <f>VLOOKUP(표4[[#This Row],[구분]],ota_rns[#All],표4[[#This Row],[구분1]]+5,FALSE)</f>
        <v>313.27999999999997</v>
      </c>
      <c r="H2267" s="58" t="str">
        <f>CONCATENATE(표4[[#This Row],[세그먼트 (OTA , GOTA, IB'[IB'])]],표4[[#This Row],[목표구분 (REV, RNS, ADR)]],표4[[#This Row],[영업장코드(예약 영업장 코드)]])</f>
        <v>GOTAREV85</v>
      </c>
      <c r="I2267" s="34">
        <f>RIGHT(표4[[#This Row],[년월(XXXX-XX 형식)]],2)*1</f>
        <v>4</v>
      </c>
    </row>
    <row r="2268" spans="1:9" x14ac:dyDescent="0.3">
      <c r="A2268">
        <v>4</v>
      </c>
      <c r="B2268" t="s">
        <v>190</v>
      </c>
      <c r="C2268" t="s">
        <v>193</v>
      </c>
      <c r="D2268" t="s">
        <v>195</v>
      </c>
      <c r="E2268" s="1" t="s">
        <v>185</v>
      </c>
      <c r="F2268" s="31" t="s">
        <v>128</v>
      </c>
      <c r="G2268" s="34">
        <f>VLOOKUP(표4[[#This Row],[구분]],ota_rns[#All],표4[[#This Row],[구분1]]+5,FALSE)</f>
        <v>81</v>
      </c>
      <c r="H2268" s="58" t="str">
        <f>CONCATENATE(표4[[#This Row],[세그먼트 (OTA , GOTA, IB'[IB'])]],표4[[#This Row],[목표구분 (REV, RNS, ADR)]],표4[[#This Row],[영업장코드(예약 영업장 코드)]])</f>
        <v>GOTAREV58</v>
      </c>
      <c r="I2268" s="34">
        <f>RIGHT(표4[[#This Row],[년월(XXXX-XX 형식)]],2)*1</f>
        <v>4</v>
      </c>
    </row>
    <row r="2269" spans="1:9" x14ac:dyDescent="0.3">
      <c r="A2269">
        <v>4</v>
      </c>
      <c r="B2269" t="s">
        <v>190</v>
      </c>
      <c r="C2269" t="s">
        <v>193</v>
      </c>
      <c r="D2269" t="s">
        <v>195</v>
      </c>
      <c r="E2269" s="1" t="s">
        <v>178</v>
      </c>
      <c r="F2269" s="54" t="s">
        <v>178</v>
      </c>
      <c r="G2269" s="34">
        <f>VLOOKUP(표4[[#This Row],[구분]],ota_rns[#All],표4[[#This Row],[구분1]]+5,FALSE)</f>
        <v>71.494849999999985</v>
      </c>
      <c r="H2269" s="58" t="str">
        <f>CONCATENATE(표4[[#This Row],[세그먼트 (OTA , GOTA, IB'[IB'])]],표4[[#This Row],[목표구분 (REV, RNS, ADR)]],표4[[#This Row],[영업장코드(예약 영업장 코드)]])</f>
        <v>GOTAREV94</v>
      </c>
      <c r="I2269" s="34">
        <f>RIGHT(표4[[#This Row],[년월(XXXX-XX 형식)]],2)*1</f>
        <v>4</v>
      </c>
    </row>
    <row r="2270" spans="1:9" x14ac:dyDescent="0.3">
      <c r="A2270">
        <v>5</v>
      </c>
      <c r="B2270" t="s">
        <v>190</v>
      </c>
      <c r="C2270" t="s">
        <v>191</v>
      </c>
      <c r="D2270" t="s">
        <v>195</v>
      </c>
      <c r="E2270" s="1" t="s">
        <v>78</v>
      </c>
      <c r="F2270" s="54" t="s">
        <v>78</v>
      </c>
      <c r="G2270" s="34">
        <f>VLOOKUP(표4[[#This Row],[구분]],ota_rns[#All],표4[[#This Row],[구분1]]+5,FALSE)</f>
        <v>1000</v>
      </c>
      <c r="H2270" s="58" t="str">
        <f>CONCATENATE(표4[[#This Row],[세그먼트 (OTA , GOTA, IB'[IB'])]],표4[[#This Row],[목표구분 (REV, RNS, ADR)]],표4[[#This Row],[영업장코드(예약 영업장 코드)]])</f>
        <v>GOTARNS02</v>
      </c>
      <c r="I2270" s="34">
        <f>RIGHT(표4[[#This Row],[년월(XXXX-XX 형식)]],2)*1</f>
        <v>5</v>
      </c>
    </row>
    <row r="2271" spans="1:9" x14ac:dyDescent="0.3">
      <c r="A2271">
        <v>5</v>
      </c>
      <c r="B2271" t="s">
        <v>190</v>
      </c>
      <c r="C2271" t="s">
        <v>191</v>
      </c>
      <c r="D2271" t="s">
        <v>195</v>
      </c>
      <c r="E2271" s="1" t="s">
        <v>78</v>
      </c>
      <c r="F2271" s="31" t="s">
        <v>86</v>
      </c>
      <c r="G2271" s="34">
        <f>VLOOKUP(표4[[#This Row],[구분]],ota_rns[#All],표4[[#This Row],[구분1]]+5,FALSE)</f>
        <v>510</v>
      </c>
      <c r="H2271" s="58" t="str">
        <f>CONCATENATE(표4[[#This Row],[세그먼트 (OTA , GOTA, IB'[IB'])]],표4[[#This Row],[목표구분 (REV, RNS, ADR)]],표4[[#This Row],[영업장코드(예약 영업장 코드)]])</f>
        <v>GOTARNS07</v>
      </c>
      <c r="I2271" s="34">
        <f>RIGHT(표4[[#This Row],[년월(XXXX-XX 형식)]],2)*1</f>
        <v>5</v>
      </c>
    </row>
    <row r="2272" spans="1:9" x14ac:dyDescent="0.3">
      <c r="A2272">
        <v>5</v>
      </c>
      <c r="B2272" t="s">
        <v>190</v>
      </c>
      <c r="C2272" t="s">
        <v>191</v>
      </c>
      <c r="D2272" t="s">
        <v>195</v>
      </c>
      <c r="E2272" s="1" t="s">
        <v>78</v>
      </c>
      <c r="F2272" s="54" t="s">
        <v>105</v>
      </c>
      <c r="G2272" s="34">
        <f>VLOOKUP(표4[[#This Row],[구분]],ota_rns[#All],표4[[#This Row],[구분1]]+5,FALSE)</f>
        <v>800</v>
      </c>
      <c r="H2272" s="58" t="str">
        <f>CONCATENATE(표4[[#This Row],[세그먼트 (OTA , GOTA, IB'[IB'])]],표4[[#This Row],[목표구분 (REV, RNS, ADR)]],표4[[#This Row],[영업장코드(예약 영업장 코드)]])</f>
        <v>GOTARNS19</v>
      </c>
      <c r="I2272" s="34">
        <f>RIGHT(표4[[#This Row],[년월(XXXX-XX 형식)]],2)*1</f>
        <v>5</v>
      </c>
    </row>
    <row r="2273" spans="1:9" x14ac:dyDescent="0.3">
      <c r="A2273">
        <v>5</v>
      </c>
      <c r="B2273" t="s">
        <v>190</v>
      </c>
      <c r="C2273" t="s">
        <v>191</v>
      </c>
      <c r="D2273" t="s">
        <v>195</v>
      </c>
      <c r="E2273" s="1" t="s">
        <v>78</v>
      </c>
      <c r="F2273" s="54" t="s">
        <v>124</v>
      </c>
      <c r="G2273" s="34">
        <f>VLOOKUP(표4[[#This Row],[구분]],ota_rns[#All],표4[[#This Row],[구분1]]+5,FALSE)</f>
        <v>400</v>
      </c>
      <c r="H2273" s="58" t="str">
        <f>CONCATENATE(표4[[#This Row],[세그먼트 (OTA , GOTA, IB'[IB'])]],표4[[#This Row],[목표구분 (REV, RNS, ADR)]],표4[[#This Row],[영업장코드(예약 영업장 코드)]])</f>
        <v>GOTARNS50</v>
      </c>
      <c r="I2273" s="34">
        <f>RIGHT(표4[[#This Row],[년월(XXXX-XX 형식)]],2)*1</f>
        <v>5</v>
      </c>
    </row>
    <row r="2274" spans="1:9" x14ac:dyDescent="0.3">
      <c r="A2274">
        <v>5</v>
      </c>
      <c r="B2274" t="s">
        <v>190</v>
      </c>
      <c r="C2274" t="s">
        <v>191</v>
      </c>
      <c r="D2274" t="s">
        <v>195</v>
      </c>
      <c r="E2274" s="1" t="s">
        <v>78</v>
      </c>
      <c r="F2274" s="54" t="s">
        <v>88</v>
      </c>
      <c r="G2274" s="34">
        <f>VLOOKUP(표4[[#This Row],[구분]],ota_rns[#All],표4[[#This Row],[구분1]]+5,FALSE)</f>
        <v>500</v>
      </c>
      <c r="H2274" s="58" t="str">
        <f>CONCATENATE(표4[[#This Row],[세그먼트 (OTA , GOTA, IB'[IB'])]],표4[[#This Row],[목표구분 (REV, RNS, ADR)]],표4[[#This Row],[영업장코드(예약 영업장 코드)]])</f>
        <v>GOTARNS08</v>
      </c>
      <c r="I2274" s="34">
        <f>RIGHT(표4[[#This Row],[년월(XXXX-XX 형식)]],2)*1</f>
        <v>5</v>
      </c>
    </row>
    <row r="2275" spans="1:9" x14ac:dyDescent="0.3">
      <c r="A2275">
        <v>5</v>
      </c>
      <c r="B2275" t="s">
        <v>190</v>
      </c>
      <c r="C2275" t="s">
        <v>191</v>
      </c>
      <c r="D2275" t="s">
        <v>195</v>
      </c>
      <c r="E2275" s="1" t="s">
        <v>81</v>
      </c>
      <c r="F2275" s="54" t="s">
        <v>81</v>
      </c>
      <c r="G2275" s="34">
        <f>VLOOKUP(표4[[#This Row],[구분]],ota_rns[#All],표4[[#This Row],[구분1]]+5,FALSE)</f>
        <v>330</v>
      </c>
      <c r="H2275" s="58" t="str">
        <f>CONCATENATE(표4[[#This Row],[세그먼트 (OTA , GOTA, IB'[IB'])]],표4[[#This Row],[목표구분 (REV, RNS, ADR)]],표4[[#This Row],[영업장코드(예약 영업장 코드)]])</f>
        <v>GOTARNS03</v>
      </c>
      <c r="I2275" s="34">
        <f>RIGHT(표4[[#This Row],[년월(XXXX-XX 형식)]],2)*1</f>
        <v>5</v>
      </c>
    </row>
    <row r="2276" spans="1:9" x14ac:dyDescent="0.3">
      <c r="A2276" s="53">
        <v>5</v>
      </c>
      <c r="B2276" t="s">
        <v>190</v>
      </c>
      <c r="C2276" s="53" t="s">
        <v>191</v>
      </c>
      <c r="D2276" s="53" t="s">
        <v>195</v>
      </c>
      <c r="E2276" s="55" t="s">
        <v>75</v>
      </c>
      <c r="F2276" s="54" t="s">
        <v>75</v>
      </c>
      <c r="G2276" s="34">
        <f>VLOOKUP(표4[[#This Row],[구분]],ota_rns[#All],표4[[#This Row],[구분1]]+5,FALSE)</f>
        <v>1100</v>
      </c>
      <c r="H2276" s="58" t="str">
        <f>CONCATENATE(표4[[#This Row],[세그먼트 (OTA , GOTA, IB'[IB'])]],표4[[#This Row],[목표구분 (REV, RNS, ADR)]],표4[[#This Row],[영업장코드(예약 영업장 코드)]])</f>
        <v>GOTARNS01</v>
      </c>
      <c r="I2276" s="34">
        <f>RIGHT(표4[[#This Row],[년월(XXXX-XX 형식)]],2)*1</f>
        <v>5</v>
      </c>
    </row>
    <row r="2277" spans="1:9" x14ac:dyDescent="0.3">
      <c r="A2277">
        <v>5</v>
      </c>
      <c r="B2277" t="s">
        <v>190</v>
      </c>
      <c r="C2277" t="s">
        <v>191</v>
      </c>
      <c r="D2277" t="s">
        <v>195</v>
      </c>
      <c r="E2277" s="1" t="s">
        <v>75</v>
      </c>
      <c r="F2277" s="54" t="s">
        <v>141</v>
      </c>
      <c r="G2277" s="34">
        <f>VLOOKUP(표4[[#This Row],[구분]],ota_rns[#All],표4[[#This Row],[구분1]]+5,FALSE)</f>
        <v>2380</v>
      </c>
      <c r="H2277" s="58" t="str">
        <f>CONCATENATE(표4[[#This Row],[세그먼트 (OTA , GOTA, IB'[IB'])]],표4[[#This Row],[목표구분 (REV, RNS, ADR)]],표4[[#This Row],[영업장코드(예약 영업장 코드)]])</f>
        <v>GOTARNS70</v>
      </c>
      <c r="I2277" s="34">
        <f>RIGHT(표4[[#This Row],[년월(XXXX-XX 형식)]],2)*1</f>
        <v>5</v>
      </c>
    </row>
    <row r="2278" spans="1:9" x14ac:dyDescent="0.3">
      <c r="A2278">
        <v>5</v>
      </c>
      <c r="B2278" t="s">
        <v>190</v>
      </c>
      <c r="C2278" t="s">
        <v>191</v>
      </c>
      <c r="D2278" t="s">
        <v>195</v>
      </c>
      <c r="E2278" s="1" t="s">
        <v>75</v>
      </c>
      <c r="F2278" s="32" t="s">
        <v>113</v>
      </c>
      <c r="G2278" s="34">
        <f>VLOOKUP(표4[[#This Row],[구분]],ota_rns[#All],표4[[#This Row],[구분1]]+5,FALSE)</f>
        <v>300</v>
      </c>
      <c r="H2278" s="58" t="str">
        <f>CONCATENATE(표4[[#This Row],[세그먼트 (OTA , GOTA, IB'[IB'])]],표4[[#This Row],[목표구분 (REV, RNS, ADR)]],표4[[#This Row],[영업장코드(예약 영업장 코드)]])</f>
        <v>GOTARNS25</v>
      </c>
      <c r="I2278" s="34">
        <f>RIGHT(표4[[#This Row],[년월(XXXX-XX 형식)]],2)*1</f>
        <v>5</v>
      </c>
    </row>
    <row r="2279" spans="1:9" x14ac:dyDescent="0.3">
      <c r="A2279">
        <v>5</v>
      </c>
      <c r="B2279" t="s">
        <v>190</v>
      </c>
      <c r="C2279" t="s">
        <v>191</v>
      </c>
      <c r="D2279" t="s">
        <v>195</v>
      </c>
      <c r="E2279" s="1" t="s">
        <v>75</v>
      </c>
      <c r="F2279" s="54" t="s">
        <v>117</v>
      </c>
      <c r="G2279" s="34">
        <f>VLOOKUP(표4[[#This Row],[구분]],ota_rns[#All],표4[[#This Row],[구분1]]+5,FALSE)</f>
        <v>950</v>
      </c>
      <c r="H2279" s="58" t="str">
        <f>CONCATENATE(표4[[#This Row],[세그먼트 (OTA , GOTA, IB'[IB'])]],표4[[#This Row],[목표구분 (REV, RNS, ADR)]],표4[[#This Row],[영업장코드(예약 영업장 코드)]])</f>
        <v>GOTARNS27</v>
      </c>
      <c r="I2279" s="34">
        <f>RIGHT(표4[[#This Row],[년월(XXXX-XX 형식)]],2)*1</f>
        <v>5</v>
      </c>
    </row>
    <row r="2280" spans="1:9" x14ac:dyDescent="0.3">
      <c r="A2280">
        <v>5</v>
      </c>
      <c r="B2280" t="s">
        <v>190</v>
      </c>
      <c r="C2280" t="s">
        <v>191</v>
      </c>
      <c r="D2280" t="s">
        <v>195</v>
      </c>
      <c r="E2280" s="1" t="s">
        <v>75</v>
      </c>
      <c r="F2280" s="54" t="s">
        <v>122</v>
      </c>
      <c r="G2280" s="34">
        <f>VLOOKUP(표4[[#This Row],[구분]],ota_rns[#All],표4[[#This Row],[구분1]]+5,FALSE)</f>
        <v>30</v>
      </c>
      <c r="H2280" s="58" t="str">
        <f>CONCATENATE(표4[[#This Row],[세그먼트 (OTA , GOTA, IB'[IB'])]],표4[[#This Row],[목표구분 (REV, RNS, ADR)]],표4[[#This Row],[영업장코드(예약 영업장 코드)]])</f>
        <v>GOTARNS46</v>
      </c>
      <c r="I2280" s="34">
        <f>RIGHT(표4[[#This Row],[년월(XXXX-XX 형식)]],2)*1</f>
        <v>5</v>
      </c>
    </row>
    <row r="2281" spans="1:9" x14ac:dyDescent="0.3">
      <c r="A2281">
        <v>5</v>
      </c>
      <c r="B2281" t="s">
        <v>190</v>
      </c>
      <c r="C2281" t="s">
        <v>191</v>
      </c>
      <c r="D2281" t="s">
        <v>195</v>
      </c>
      <c r="E2281" s="1" t="s">
        <v>92</v>
      </c>
      <c r="F2281" s="54" t="s">
        <v>92</v>
      </c>
      <c r="G2281" s="34">
        <f>VLOOKUP(표4[[#This Row],[구분]],ota_rns[#All],표4[[#This Row],[구분1]]+5,FALSE)</f>
        <v>1300</v>
      </c>
      <c r="H2281" s="58" t="str">
        <f>CONCATENATE(표4[[#This Row],[세그먼트 (OTA , GOTA, IB'[IB'])]],표4[[#This Row],[목표구분 (REV, RNS, ADR)]],표4[[#This Row],[영업장코드(예약 영업장 코드)]])</f>
        <v>GOTARNS10</v>
      </c>
      <c r="I2281" s="34">
        <f>RIGHT(표4[[#This Row],[년월(XXXX-XX 형식)]],2)*1</f>
        <v>5</v>
      </c>
    </row>
    <row r="2282" spans="1:9" x14ac:dyDescent="0.3">
      <c r="A2282">
        <v>5</v>
      </c>
      <c r="B2282" t="s">
        <v>190</v>
      </c>
      <c r="C2282" t="s">
        <v>191</v>
      </c>
      <c r="D2282" t="s">
        <v>195</v>
      </c>
      <c r="E2282" s="1" t="s">
        <v>110</v>
      </c>
      <c r="F2282" s="32" t="s">
        <v>131</v>
      </c>
      <c r="G2282" s="34">
        <f>VLOOKUP(표4[[#This Row],[구분]],ota_rns[#All],표4[[#This Row],[구분1]]+5,FALSE)</f>
        <v>2100</v>
      </c>
      <c r="H2282" s="58" t="str">
        <f>CONCATENATE(표4[[#This Row],[세그먼트 (OTA , GOTA, IB'[IB'])]],표4[[#This Row],[목표구분 (REV, RNS, ADR)]],표4[[#This Row],[영업장코드(예약 영업장 코드)]])</f>
        <v>GOTARNS61</v>
      </c>
      <c r="I2282" s="34">
        <f>RIGHT(표4[[#This Row],[년월(XXXX-XX 형식)]],2)*1</f>
        <v>5</v>
      </c>
    </row>
    <row r="2283" spans="1:9" x14ac:dyDescent="0.3">
      <c r="A2283">
        <v>5</v>
      </c>
      <c r="B2283" t="s">
        <v>190</v>
      </c>
      <c r="C2283" t="s">
        <v>191</v>
      </c>
      <c r="D2283" t="s">
        <v>195</v>
      </c>
      <c r="E2283" s="1" t="s">
        <v>180</v>
      </c>
      <c r="F2283" s="54" t="s">
        <v>180</v>
      </c>
      <c r="G2283" s="34">
        <f>VLOOKUP(표4[[#This Row],[구분]],ota_rns[#All],표4[[#This Row],[구분1]]+5,FALSE)</f>
        <v>875</v>
      </c>
      <c r="H2283" s="58" t="str">
        <f>CONCATENATE(표4[[#This Row],[세그먼트 (OTA , GOTA, IB'[IB'])]],표4[[#This Row],[목표구분 (REV, RNS, ADR)]],표4[[#This Row],[영업장코드(예약 영업장 코드)]])</f>
        <v>GOTARNS05</v>
      </c>
      <c r="I2283" s="34">
        <f>RIGHT(표4[[#This Row],[년월(XXXX-XX 형식)]],2)*1</f>
        <v>5</v>
      </c>
    </row>
    <row r="2284" spans="1:9" x14ac:dyDescent="0.3">
      <c r="A2284">
        <v>5</v>
      </c>
      <c r="B2284" t="s">
        <v>190</v>
      </c>
      <c r="C2284" t="s">
        <v>191</v>
      </c>
      <c r="D2284" t="s">
        <v>195</v>
      </c>
      <c r="E2284" s="1" t="s">
        <v>181</v>
      </c>
      <c r="F2284" s="54" t="s">
        <v>137</v>
      </c>
      <c r="G2284" s="34">
        <f>VLOOKUP(표4[[#This Row],[구분]],ota_rns[#All],표4[[#This Row],[구분1]]+5,FALSE)</f>
        <v>470</v>
      </c>
      <c r="H2284" s="58" t="str">
        <f>CONCATENATE(표4[[#This Row],[세그먼트 (OTA , GOTA, IB'[IB'])]],표4[[#This Row],[목표구분 (REV, RNS, ADR)]],표4[[#This Row],[영업장코드(예약 영업장 코드)]])</f>
        <v>GOTARNS66</v>
      </c>
      <c r="I2284" s="34">
        <f>RIGHT(표4[[#This Row],[년월(XXXX-XX 형식)]],2)*1</f>
        <v>5</v>
      </c>
    </row>
    <row r="2285" spans="1:9" x14ac:dyDescent="0.3">
      <c r="A2285" s="53">
        <v>5</v>
      </c>
      <c r="B2285" t="s">
        <v>190</v>
      </c>
      <c r="C2285" s="53" t="s">
        <v>191</v>
      </c>
      <c r="D2285" t="s">
        <v>195</v>
      </c>
      <c r="E2285" s="55" t="s">
        <v>84</v>
      </c>
      <c r="F2285" s="54" t="s">
        <v>84</v>
      </c>
      <c r="G2285" s="34">
        <f>VLOOKUP(표4[[#This Row],[구분]],ota_rns[#All],표4[[#This Row],[구분1]]+5,FALSE)</f>
        <v>1250</v>
      </c>
      <c r="H2285" s="58" t="str">
        <f>CONCATENATE(표4[[#This Row],[세그먼트 (OTA , GOTA, IB'[IB'])]],표4[[#This Row],[목표구분 (REV, RNS, ADR)]],표4[[#This Row],[영업장코드(예약 영업장 코드)]])</f>
        <v>GOTARNS06</v>
      </c>
      <c r="I2285" s="34">
        <f>RIGHT(표4[[#This Row],[년월(XXXX-XX 형식)]],2)*1</f>
        <v>5</v>
      </c>
    </row>
    <row r="2286" spans="1:9" x14ac:dyDescent="0.3">
      <c r="A2286">
        <v>5</v>
      </c>
      <c r="B2286" t="s">
        <v>190</v>
      </c>
      <c r="C2286" t="s">
        <v>191</v>
      </c>
      <c r="D2286" t="s">
        <v>195</v>
      </c>
      <c r="E2286" s="1" t="s">
        <v>143</v>
      </c>
      <c r="F2286" s="31" t="s">
        <v>143</v>
      </c>
      <c r="G2286" s="34">
        <f>VLOOKUP(표4[[#This Row],[구분]],ota_rns[#All],표4[[#This Row],[구분1]]+5,FALSE)</f>
        <v>600</v>
      </c>
      <c r="H2286" s="58" t="str">
        <f>CONCATENATE(표4[[#This Row],[세그먼트 (OTA , GOTA, IB'[IB'])]],표4[[#This Row],[목표구분 (REV, RNS, ADR)]],표4[[#This Row],[영업장코드(예약 영업장 코드)]])</f>
        <v>GOTARNS73</v>
      </c>
      <c r="I2286" s="34">
        <f>RIGHT(표4[[#This Row],[년월(XXXX-XX 형식)]],2)*1</f>
        <v>5</v>
      </c>
    </row>
    <row r="2287" spans="1:9" x14ac:dyDescent="0.3">
      <c r="A2287">
        <v>5</v>
      </c>
      <c r="B2287" t="s">
        <v>190</v>
      </c>
      <c r="C2287" t="s">
        <v>191</v>
      </c>
      <c r="D2287" t="s">
        <v>195</v>
      </c>
      <c r="E2287" s="1" t="s">
        <v>99</v>
      </c>
      <c r="F2287" s="54" t="s">
        <v>99</v>
      </c>
      <c r="G2287" s="34">
        <f>VLOOKUP(표4[[#This Row],[구분]],ota_rns[#All],표4[[#This Row],[구분1]]+5,FALSE)</f>
        <v>1300</v>
      </c>
      <c r="H2287" s="58" t="str">
        <f>CONCATENATE(표4[[#This Row],[세그먼트 (OTA , GOTA, IB'[IB'])]],표4[[#This Row],[목표구분 (REV, RNS, ADR)]],표4[[#This Row],[영업장코드(예약 영업장 코드)]])</f>
        <v>GOTARNS16</v>
      </c>
      <c r="I2287" s="34">
        <f>RIGHT(표4[[#This Row],[년월(XXXX-XX 형식)]],2)*1</f>
        <v>5</v>
      </c>
    </row>
    <row r="2288" spans="1:9" x14ac:dyDescent="0.3">
      <c r="A2288">
        <v>5</v>
      </c>
      <c r="B2288" t="s">
        <v>190</v>
      </c>
      <c r="C2288" t="s">
        <v>191</v>
      </c>
      <c r="D2288" t="s">
        <v>195</v>
      </c>
      <c r="E2288" s="1" t="s">
        <v>103</v>
      </c>
      <c r="F2288" s="54" t="s">
        <v>110</v>
      </c>
      <c r="G2288" s="34">
        <f>VLOOKUP(표4[[#This Row],[구분]],ota_rns[#All],표4[[#This Row],[구분1]]+5,FALSE)</f>
        <v>800</v>
      </c>
      <c r="H2288" s="58" t="str">
        <f>CONCATENATE(표4[[#This Row],[세그먼트 (OTA , GOTA, IB'[IB'])]],표4[[#This Row],[목표구분 (REV, RNS, ADR)]],표4[[#This Row],[영업장코드(예약 영업장 코드)]])</f>
        <v>GOTARNS24</v>
      </c>
      <c r="I2288" s="34">
        <f>RIGHT(표4[[#This Row],[년월(XXXX-XX 형식)]],2)*1</f>
        <v>5</v>
      </c>
    </row>
    <row r="2289" spans="1:9" x14ac:dyDescent="0.3">
      <c r="A2289">
        <v>5</v>
      </c>
      <c r="B2289" t="s">
        <v>190</v>
      </c>
      <c r="C2289" t="s">
        <v>191</v>
      </c>
      <c r="D2289" t="s">
        <v>195</v>
      </c>
      <c r="E2289" s="1" t="s">
        <v>101</v>
      </c>
      <c r="F2289" s="54" t="s">
        <v>107</v>
      </c>
      <c r="G2289" s="34">
        <f>VLOOKUP(표4[[#This Row],[구분]],ota_rns[#All],표4[[#This Row],[구분1]]+5,FALSE)</f>
        <v>700</v>
      </c>
      <c r="H2289" s="58" t="str">
        <f>CONCATENATE(표4[[#This Row],[세그먼트 (OTA , GOTA, IB'[IB'])]],표4[[#This Row],[목표구분 (REV, RNS, ADR)]],표4[[#This Row],[영업장코드(예약 영업장 코드)]])</f>
        <v>GOTARNS22</v>
      </c>
      <c r="I2289" s="34">
        <f>RIGHT(표4[[#This Row],[년월(XXXX-XX 형식)]],2)*1</f>
        <v>5</v>
      </c>
    </row>
    <row r="2290" spans="1:9" x14ac:dyDescent="0.3">
      <c r="A2290">
        <v>5</v>
      </c>
      <c r="B2290" t="s">
        <v>190</v>
      </c>
      <c r="C2290" t="s">
        <v>191</v>
      </c>
      <c r="D2290" t="s">
        <v>195</v>
      </c>
      <c r="E2290" s="1" t="s">
        <v>182</v>
      </c>
      <c r="F2290" s="54" t="s">
        <v>147</v>
      </c>
      <c r="G2290" s="34">
        <f>VLOOKUP(표4[[#This Row],[구분]],ota_rns[#All],표4[[#This Row],[구분1]]+5,FALSE)</f>
        <v>1500</v>
      </c>
      <c r="H2290" s="58" t="str">
        <f>CONCATENATE(표4[[#This Row],[세그먼트 (OTA , GOTA, IB'[IB'])]],표4[[#This Row],[목표구분 (REV, RNS, ADR)]],표4[[#This Row],[영업장코드(예약 영업장 코드)]])</f>
        <v>GOTARNS77</v>
      </c>
      <c r="I2290" s="34">
        <f>RIGHT(표4[[#This Row],[년월(XXXX-XX 형식)]],2)*1</f>
        <v>5</v>
      </c>
    </row>
    <row r="2291" spans="1:9" x14ac:dyDescent="0.3">
      <c r="A2291">
        <v>5</v>
      </c>
      <c r="B2291" t="s">
        <v>190</v>
      </c>
      <c r="C2291" t="s">
        <v>191</v>
      </c>
      <c r="D2291" t="s">
        <v>195</v>
      </c>
      <c r="E2291" s="1" t="s">
        <v>183</v>
      </c>
      <c r="F2291" s="54" t="s">
        <v>157</v>
      </c>
      <c r="G2291" s="34">
        <f>VLOOKUP(표4[[#This Row],[구분]],ota_rns[#All],표4[[#This Row],[구분1]]+5,FALSE)</f>
        <v>770</v>
      </c>
      <c r="H2291" s="58" t="str">
        <f>CONCATENATE(표4[[#This Row],[세그먼트 (OTA , GOTA, IB'[IB'])]],표4[[#This Row],[목표구분 (REV, RNS, ADR)]],표4[[#This Row],[영업장코드(예약 영업장 코드)]])</f>
        <v>GOTARNS87</v>
      </c>
      <c r="I2291" s="34">
        <f>RIGHT(표4[[#This Row],[년월(XXXX-XX 형식)]],2)*1</f>
        <v>5</v>
      </c>
    </row>
    <row r="2292" spans="1:9" x14ac:dyDescent="0.3">
      <c r="A2292">
        <v>5</v>
      </c>
      <c r="B2292" t="s">
        <v>190</v>
      </c>
      <c r="C2292" t="s">
        <v>191</v>
      </c>
      <c r="D2292" t="s">
        <v>195</v>
      </c>
      <c r="E2292" s="1" t="s">
        <v>96</v>
      </c>
      <c r="F2292" s="54" t="s">
        <v>96</v>
      </c>
      <c r="G2292" s="34">
        <f>VLOOKUP(표4[[#This Row],[구분]],ota_rns[#All],표4[[#This Row],[구분1]]+5,FALSE)</f>
        <v>850</v>
      </c>
      <c r="H2292" s="58" t="str">
        <f>CONCATENATE(표4[[#This Row],[세그먼트 (OTA , GOTA, IB'[IB'])]],표4[[#This Row],[목표구분 (REV, RNS, ADR)]],표4[[#This Row],[영업장코드(예약 영업장 코드)]])</f>
        <v>GOTARNS15</v>
      </c>
      <c r="I2292" s="34">
        <f>RIGHT(표4[[#This Row],[년월(XXXX-XX 형식)]],2)*1</f>
        <v>5</v>
      </c>
    </row>
    <row r="2293" spans="1:9" x14ac:dyDescent="0.3">
      <c r="A2293">
        <v>5</v>
      </c>
      <c r="B2293" t="s">
        <v>190</v>
      </c>
      <c r="C2293" t="s">
        <v>191</v>
      </c>
      <c r="D2293" t="s">
        <v>195</v>
      </c>
      <c r="E2293" s="1" t="s">
        <v>105</v>
      </c>
      <c r="F2293" s="56" t="s">
        <v>119</v>
      </c>
      <c r="G2293" s="34">
        <f>VLOOKUP(표4[[#This Row],[구분]],ota_rns[#All],표4[[#This Row],[구분1]]+5,FALSE)</f>
        <v>2300</v>
      </c>
      <c r="H2293" s="58" t="str">
        <f>CONCATENATE(표4[[#This Row],[세그먼트 (OTA , GOTA, IB'[IB'])]],표4[[#This Row],[목표구분 (REV, RNS, ADR)]],표4[[#This Row],[영업장코드(예약 영업장 코드)]])</f>
        <v>GOTARNS29</v>
      </c>
      <c r="I2293" s="34">
        <f>RIGHT(표4[[#This Row],[년월(XXXX-XX 형식)]],2)*1</f>
        <v>5</v>
      </c>
    </row>
    <row r="2294" spans="1:9" x14ac:dyDescent="0.3">
      <c r="A2294">
        <v>5</v>
      </c>
      <c r="B2294" t="s">
        <v>190</v>
      </c>
      <c r="C2294" t="s">
        <v>191</v>
      </c>
      <c r="D2294" t="s">
        <v>195</v>
      </c>
      <c r="E2294" t="s">
        <v>184</v>
      </c>
      <c r="F2294" s="57" t="s">
        <v>152</v>
      </c>
      <c r="G2294" s="34">
        <f>VLOOKUP(표4[[#This Row],[구분]],ota_rns[#All],표4[[#This Row],[구분1]]+5,FALSE)</f>
        <v>1030</v>
      </c>
      <c r="H2294" s="58" t="str">
        <f>CONCATENATE(표4[[#This Row],[세그먼트 (OTA , GOTA, IB'[IB'])]],표4[[#This Row],[목표구분 (REV, RNS, ADR)]],표4[[#This Row],[영업장코드(예약 영업장 코드)]])</f>
        <v>GOTARNS85</v>
      </c>
      <c r="I2294" s="34">
        <f>RIGHT(표4[[#This Row],[년월(XXXX-XX 형식)]],2)*1</f>
        <v>5</v>
      </c>
    </row>
    <row r="2295" spans="1:9" x14ac:dyDescent="0.3">
      <c r="A2295">
        <v>5</v>
      </c>
      <c r="B2295" t="s">
        <v>190</v>
      </c>
      <c r="C2295" t="s">
        <v>191</v>
      </c>
      <c r="D2295" t="s">
        <v>195</v>
      </c>
      <c r="E2295" t="s">
        <v>185</v>
      </c>
      <c r="F2295" s="57" t="s">
        <v>128</v>
      </c>
      <c r="G2295" s="34">
        <f>VLOOKUP(표4[[#This Row],[구분]],ota_rns[#All],표4[[#This Row],[구분1]]+5,FALSE)</f>
        <v>1100</v>
      </c>
      <c r="H2295" s="58" t="str">
        <f>CONCATENATE(표4[[#This Row],[세그먼트 (OTA , GOTA, IB'[IB'])]],표4[[#This Row],[목표구분 (REV, RNS, ADR)]],표4[[#This Row],[영업장코드(예약 영업장 코드)]])</f>
        <v>GOTARNS58</v>
      </c>
      <c r="I2295" s="34">
        <f>RIGHT(표4[[#This Row],[년월(XXXX-XX 형식)]],2)*1</f>
        <v>5</v>
      </c>
    </row>
    <row r="2296" spans="1:9" x14ac:dyDescent="0.3">
      <c r="A2296">
        <v>5</v>
      </c>
      <c r="B2296" t="s">
        <v>190</v>
      </c>
      <c r="C2296" t="s">
        <v>191</v>
      </c>
      <c r="D2296" t="s">
        <v>195</v>
      </c>
      <c r="E2296" t="s">
        <v>178</v>
      </c>
      <c r="F2296" s="57" t="s">
        <v>178</v>
      </c>
      <c r="G2296" s="34">
        <f>VLOOKUP(표4[[#This Row],[구분]],ota_rns[#All],표4[[#This Row],[구분1]]+5,FALSE)</f>
        <v>350</v>
      </c>
      <c r="H2296" s="58" t="str">
        <f>CONCATENATE(표4[[#This Row],[세그먼트 (OTA , GOTA, IB'[IB'])]],표4[[#This Row],[목표구분 (REV, RNS, ADR)]],표4[[#This Row],[영업장코드(예약 영업장 코드)]])</f>
        <v>GOTARNS94</v>
      </c>
      <c r="I2296" s="34">
        <f>RIGHT(표4[[#This Row],[년월(XXXX-XX 형식)]],2)*1</f>
        <v>5</v>
      </c>
    </row>
    <row r="2297" spans="1:9" x14ac:dyDescent="0.3">
      <c r="A2297">
        <v>5</v>
      </c>
      <c r="B2297" t="s">
        <v>190</v>
      </c>
      <c r="C2297" t="s">
        <v>192</v>
      </c>
      <c r="D2297" t="s">
        <v>195</v>
      </c>
      <c r="E2297" t="s">
        <v>78</v>
      </c>
      <c r="F2297" s="57" t="s">
        <v>78</v>
      </c>
      <c r="G2297" s="34">
        <f>VLOOKUP(표4[[#This Row],[구분]],ota_rns[#All],표4[[#This Row],[구분1]]+5,FALSE)</f>
        <v>173.58948271777001</v>
      </c>
      <c r="H2297" s="58" t="str">
        <f>CONCATENATE(표4[[#This Row],[세그먼트 (OTA , GOTA, IB'[IB'])]],표4[[#This Row],[목표구분 (REV, RNS, ADR)]],표4[[#This Row],[영업장코드(예약 영업장 코드)]])</f>
        <v>GOTAADR02</v>
      </c>
      <c r="I2297" s="34">
        <f>RIGHT(표4[[#This Row],[년월(XXXX-XX 형식)]],2)*1</f>
        <v>5</v>
      </c>
    </row>
    <row r="2298" spans="1:9" x14ac:dyDescent="0.3">
      <c r="A2298">
        <v>5</v>
      </c>
      <c r="B2298" t="s">
        <v>190</v>
      </c>
      <c r="C2298" t="s">
        <v>192</v>
      </c>
      <c r="D2298" t="s">
        <v>195</v>
      </c>
      <c r="E2298" t="s">
        <v>78</v>
      </c>
      <c r="F2298" s="57" t="s">
        <v>86</v>
      </c>
      <c r="G2298" s="34">
        <f>VLOOKUP(표4[[#This Row],[구분]],ota_rns[#All],표4[[#This Row],[구분1]]+5,FALSE)</f>
        <v>247.54173847138563</v>
      </c>
      <c r="H2298" s="58" t="str">
        <f>CONCATENATE(표4[[#This Row],[세그먼트 (OTA , GOTA, IB'[IB'])]],표4[[#This Row],[목표구분 (REV, RNS, ADR)]],표4[[#This Row],[영업장코드(예약 영업장 코드)]])</f>
        <v>GOTAADR07</v>
      </c>
      <c r="I2298" s="34">
        <f>RIGHT(표4[[#This Row],[년월(XXXX-XX 형식)]],2)*1</f>
        <v>5</v>
      </c>
    </row>
    <row r="2299" spans="1:9" x14ac:dyDescent="0.3">
      <c r="A2299">
        <v>5</v>
      </c>
      <c r="B2299" t="s">
        <v>190</v>
      </c>
      <c r="C2299" t="s">
        <v>192</v>
      </c>
      <c r="D2299" t="s">
        <v>195</v>
      </c>
      <c r="E2299" t="s">
        <v>78</v>
      </c>
      <c r="F2299" s="57" t="s">
        <v>105</v>
      </c>
      <c r="G2299" s="34">
        <f>VLOOKUP(표4[[#This Row],[구분]],ota_rns[#All],표4[[#This Row],[구분1]]+5,FALSE)</f>
        <v>300</v>
      </c>
      <c r="H2299" s="58" t="str">
        <f>CONCATENATE(표4[[#This Row],[세그먼트 (OTA , GOTA, IB'[IB'])]],표4[[#This Row],[목표구분 (REV, RNS, ADR)]],표4[[#This Row],[영업장코드(예약 영업장 코드)]])</f>
        <v>GOTAADR19</v>
      </c>
      <c r="I2299" s="34">
        <f>RIGHT(표4[[#This Row],[년월(XXXX-XX 형식)]],2)*1</f>
        <v>5</v>
      </c>
    </row>
    <row r="2300" spans="1:9" x14ac:dyDescent="0.3">
      <c r="A2300">
        <v>5</v>
      </c>
      <c r="B2300" t="s">
        <v>190</v>
      </c>
      <c r="C2300" t="s">
        <v>192</v>
      </c>
      <c r="D2300" t="s">
        <v>195</v>
      </c>
      <c r="E2300" t="s">
        <v>78</v>
      </c>
      <c r="F2300" s="57" t="s">
        <v>124</v>
      </c>
      <c r="G2300" s="34">
        <f>VLOOKUP(표4[[#This Row],[구분]],ota_rns[#All],표4[[#This Row],[구분1]]+5,FALSE)</f>
        <v>325</v>
      </c>
      <c r="H2300" s="58" t="str">
        <f>CONCATENATE(표4[[#This Row],[세그먼트 (OTA , GOTA, IB'[IB'])]],표4[[#This Row],[목표구분 (REV, RNS, ADR)]],표4[[#This Row],[영업장코드(예약 영업장 코드)]])</f>
        <v>GOTAADR50</v>
      </c>
      <c r="I2300" s="34">
        <f>RIGHT(표4[[#This Row],[년월(XXXX-XX 형식)]],2)*1</f>
        <v>5</v>
      </c>
    </row>
    <row r="2301" spans="1:9" x14ac:dyDescent="0.3">
      <c r="A2301">
        <v>5</v>
      </c>
      <c r="B2301" t="s">
        <v>190</v>
      </c>
      <c r="C2301" t="s">
        <v>192</v>
      </c>
      <c r="D2301" t="s">
        <v>195</v>
      </c>
      <c r="E2301" t="s">
        <v>78</v>
      </c>
      <c r="F2301" s="57" t="s">
        <v>88</v>
      </c>
      <c r="G2301" s="34">
        <f>VLOOKUP(표4[[#This Row],[구분]],ota_rns[#All],표4[[#This Row],[구분1]]+5,FALSE)</f>
        <v>315</v>
      </c>
      <c r="H2301" s="58" t="str">
        <f>CONCATENATE(표4[[#This Row],[세그먼트 (OTA , GOTA, IB'[IB'])]],표4[[#This Row],[목표구분 (REV, RNS, ADR)]],표4[[#This Row],[영업장코드(예약 영업장 코드)]])</f>
        <v>GOTAADR08</v>
      </c>
      <c r="I2301" s="34">
        <f>RIGHT(표4[[#This Row],[년월(XXXX-XX 형식)]],2)*1</f>
        <v>5</v>
      </c>
    </row>
    <row r="2302" spans="1:9" x14ac:dyDescent="0.3">
      <c r="A2302">
        <v>5</v>
      </c>
      <c r="B2302" t="s">
        <v>190</v>
      </c>
      <c r="C2302" t="s">
        <v>192</v>
      </c>
      <c r="D2302" t="s">
        <v>195</v>
      </c>
      <c r="E2302" t="s">
        <v>81</v>
      </c>
      <c r="F2302" s="57" t="s">
        <v>81</v>
      </c>
      <c r="G2302" s="34">
        <f>VLOOKUP(표4[[#This Row],[구분]],ota_rns[#All],표4[[#This Row],[구분1]]+5,FALSE)</f>
        <v>133.101143589744</v>
      </c>
      <c r="H2302" s="58" t="str">
        <f>CONCATENATE(표4[[#This Row],[세그먼트 (OTA , GOTA, IB'[IB'])]],표4[[#This Row],[목표구분 (REV, RNS, ADR)]],표4[[#This Row],[영업장코드(예약 영업장 코드)]])</f>
        <v>GOTAADR03</v>
      </c>
      <c r="I2302" s="34">
        <f>RIGHT(표4[[#This Row],[년월(XXXX-XX 형식)]],2)*1</f>
        <v>5</v>
      </c>
    </row>
    <row r="2303" spans="1:9" x14ac:dyDescent="0.3">
      <c r="A2303">
        <v>5</v>
      </c>
      <c r="B2303" t="s">
        <v>190</v>
      </c>
      <c r="C2303" t="s">
        <v>192</v>
      </c>
      <c r="D2303" t="s">
        <v>195</v>
      </c>
      <c r="E2303" t="s">
        <v>75</v>
      </c>
      <c r="F2303" s="57" t="s">
        <v>75</v>
      </c>
      <c r="G2303" s="34">
        <f>VLOOKUP(표4[[#This Row],[구분]],ota_rns[#All],표4[[#This Row],[구분1]]+5,FALSE)</f>
        <v>178</v>
      </c>
      <c r="H2303" s="58" t="str">
        <f>CONCATENATE(표4[[#This Row],[세그먼트 (OTA , GOTA, IB'[IB'])]],표4[[#This Row],[목표구분 (REV, RNS, ADR)]],표4[[#This Row],[영업장코드(예약 영업장 코드)]])</f>
        <v>GOTAADR01</v>
      </c>
      <c r="I2303" s="34">
        <f>RIGHT(표4[[#This Row],[년월(XXXX-XX 형식)]],2)*1</f>
        <v>5</v>
      </c>
    </row>
    <row r="2304" spans="1:9" x14ac:dyDescent="0.3">
      <c r="A2304">
        <v>5</v>
      </c>
      <c r="B2304" t="s">
        <v>190</v>
      </c>
      <c r="C2304" t="s">
        <v>192</v>
      </c>
      <c r="D2304" t="s">
        <v>195</v>
      </c>
      <c r="E2304" t="s">
        <v>75</v>
      </c>
      <c r="F2304" s="57" t="s">
        <v>141</v>
      </c>
      <c r="G2304" s="34">
        <f>VLOOKUP(표4[[#This Row],[구분]],ota_rns[#All],표4[[#This Row],[구분1]]+5,FALSE)</f>
        <v>265.52521008403363</v>
      </c>
      <c r="H2304" s="58" t="str">
        <f>CONCATENATE(표4[[#This Row],[세그먼트 (OTA , GOTA, IB'[IB'])]],표4[[#This Row],[목표구분 (REV, RNS, ADR)]],표4[[#This Row],[영업장코드(예약 영업장 코드)]])</f>
        <v>GOTAADR70</v>
      </c>
      <c r="I2304" s="34">
        <f>RIGHT(표4[[#This Row],[년월(XXXX-XX 형식)]],2)*1</f>
        <v>5</v>
      </c>
    </row>
    <row r="2305" spans="1:9" x14ac:dyDescent="0.3">
      <c r="A2305">
        <v>5</v>
      </c>
      <c r="B2305" t="s">
        <v>190</v>
      </c>
      <c r="C2305" t="s">
        <v>192</v>
      </c>
      <c r="D2305" t="s">
        <v>195</v>
      </c>
      <c r="E2305" t="s">
        <v>75</v>
      </c>
      <c r="F2305" s="57" t="s">
        <v>113</v>
      </c>
      <c r="G2305" s="34">
        <f>VLOOKUP(표4[[#This Row],[구분]],ota_rns[#All],표4[[#This Row],[구분1]]+5,FALSE)</f>
        <v>232</v>
      </c>
      <c r="H2305" s="58" t="str">
        <f>CONCATENATE(표4[[#This Row],[세그먼트 (OTA , GOTA, IB'[IB'])]],표4[[#This Row],[목표구분 (REV, RNS, ADR)]],표4[[#This Row],[영업장코드(예약 영업장 코드)]])</f>
        <v>GOTAADR25</v>
      </c>
      <c r="I2305" s="34">
        <f>RIGHT(표4[[#This Row],[년월(XXXX-XX 형식)]],2)*1</f>
        <v>5</v>
      </c>
    </row>
    <row r="2306" spans="1:9" x14ac:dyDescent="0.3">
      <c r="A2306">
        <v>5</v>
      </c>
      <c r="B2306" t="s">
        <v>190</v>
      </c>
      <c r="C2306" t="s">
        <v>192</v>
      </c>
      <c r="D2306" t="s">
        <v>195</v>
      </c>
      <c r="E2306" t="s">
        <v>75</v>
      </c>
      <c r="F2306" s="57" t="s">
        <v>117</v>
      </c>
      <c r="G2306" s="34">
        <f>VLOOKUP(표4[[#This Row],[구분]],ota_rns[#All],표4[[#This Row],[구분1]]+5,FALSE)</f>
        <v>377</v>
      </c>
      <c r="H2306" s="58" t="str">
        <f>CONCATENATE(표4[[#This Row],[세그먼트 (OTA , GOTA, IB'[IB'])]],표4[[#This Row],[목표구분 (REV, RNS, ADR)]],표4[[#This Row],[영업장코드(예약 영업장 코드)]])</f>
        <v>GOTAADR27</v>
      </c>
      <c r="I2306" s="34">
        <f>RIGHT(표4[[#This Row],[년월(XXXX-XX 형식)]],2)*1</f>
        <v>5</v>
      </c>
    </row>
    <row r="2307" spans="1:9" x14ac:dyDescent="0.3">
      <c r="A2307">
        <v>5</v>
      </c>
      <c r="B2307" t="s">
        <v>190</v>
      </c>
      <c r="C2307" t="s">
        <v>192</v>
      </c>
      <c r="D2307" t="s">
        <v>195</v>
      </c>
      <c r="E2307" t="s">
        <v>75</v>
      </c>
      <c r="F2307" s="57" t="s">
        <v>122</v>
      </c>
      <c r="G2307" s="34">
        <f>VLOOKUP(표4[[#This Row],[구분]],ota_rns[#All],표4[[#This Row],[구분1]]+5,FALSE)</f>
        <v>280</v>
      </c>
      <c r="H2307" s="58" t="str">
        <f>CONCATENATE(표4[[#This Row],[세그먼트 (OTA , GOTA, IB'[IB'])]],표4[[#This Row],[목표구분 (REV, RNS, ADR)]],표4[[#This Row],[영업장코드(예약 영업장 코드)]])</f>
        <v>GOTAADR46</v>
      </c>
      <c r="I2307" s="34">
        <f>RIGHT(표4[[#This Row],[년월(XXXX-XX 형식)]],2)*1</f>
        <v>5</v>
      </c>
    </row>
    <row r="2308" spans="1:9" x14ac:dyDescent="0.3">
      <c r="A2308">
        <v>5</v>
      </c>
      <c r="B2308" t="s">
        <v>190</v>
      </c>
      <c r="C2308" t="s">
        <v>192</v>
      </c>
      <c r="D2308" t="s">
        <v>195</v>
      </c>
      <c r="E2308" t="s">
        <v>92</v>
      </c>
      <c r="F2308" s="57" t="s">
        <v>92</v>
      </c>
      <c r="G2308" s="34">
        <f>VLOOKUP(표4[[#This Row],[구분]],ota_rns[#All],표4[[#This Row],[구분1]]+5,FALSE)</f>
        <v>187</v>
      </c>
      <c r="H2308" s="58" t="str">
        <f>CONCATENATE(표4[[#This Row],[세그먼트 (OTA , GOTA, IB'[IB'])]],표4[[#This Row],[목표구분 (REV, RNS, ADR)]],표4[[#This Row],[영업장코드(예약 영업장 코드)]])</f>
        <v>GOTAADR10</v>
      </c>
      <c r="I2308" s="34">
        <f>RIGHT(표4[[#This Row],[년월(XXXX-XX 형식)]],2)*1</f>
        <v>5</v>
      </c>
    </row>
    <row r="2309" spans="1:9" x14ac:dyDescent="0.3">
      <c r="A2309">
        <v>5</v>
      </c>
      <c r="B2309" t="s">
        <v>190</v>
      </c>
      <c r="C2309" t="s">
        <v>192</v>
      </c>
      <c r="D2309" t="s">
        <v>195</v>
      </c>
      <c r="E2309" t="s">
        <v>110</v>
      </c>
      <c r="F2309" s="57" t="s">
        <v>131</v>
      </c>
      <c r="G2309" s="34">
        <f>VLOOKUP(표4[[#This Row],[구분]],ota_rns[#All],표4[[#This Row],[구분1]]+5,FALSE)</f>
        <v>212</v>
      </c>
      <c r="H2309" s="58" t="str">
        <f>CONCATENATE(표4[[#This Row],[세그먼트 (OTA , GOTA, IB'[IB'])]],표4[[#This Row],[목표구분 (REV, RNS, ADR)]],표4[[#This Row],[영업장코드(예약 영업장 코드)]])</f>
        <v>GOTAADR61</v>
      </c>
      <c r="I2309" s="34">
        <f>RIGHT(표4[[#This Row],[년월(XXXX-XX 형식)]],2)*1</f>
        <v>5</v>
      </c>
    </row>
    <row r="2310" spans="1:9" x14ac:dyDescent="0.3">
      <c r="A2310">
        <v>5</v>
      </c>
      <c r="B2310" t="s">
        <v>190</v>
      </c>
      <c r="C2310" t="s">
        <v>192</v>
      </c>
      <c r="D2310" t="s">
        <v>195</v>
      </c>
      <c r="E2310" t="s">
        <v>180</v>
      </c>
      <c r="F2310" s="57" t="s">
        <v>180</v>
      </c>
      <c r="G2310" s="34">
        <f>VLOOKUP(표4[[#This Row],[구분]],ota_rns[#All],표4[[#This Row],[구분1]]+5,FALSE)</f>
        <v>269.7786760559444</v>
      </c>
      <c r="H2310" s="58" t="str">
        <f>CONCATENATE(표4[[#This Row],[세그먼트 (OTA , GOTA, IB'[IB'])]],표4[[#This Row],[목표구분 (REV, RNS, ADR)]],표4[[#This Row],[영업장코드(예약 영업장 코드)]])</f>
        <v>GOTAADR05</v>
      </c>
      <c r="I2310" s="34">
        <f>RIGHT(표4[[#This Row],[년월(XXXX-XX 형식)]],2)*1</f>
        <v>5</v>
      </c>
    </row>
    <row r="2311" spans="1:9" x14ac:dyDescent="0.3">
      <c r="A2311">
        <v>5</v>
      </c>
      <c r="B2311" t="s">
        <v>190</v>
      </c>
      <c r="C2311" t="s">
        <v>192</v>
      </c>
      <c r="D2311" t="s">
        <v>195</v>
      </c>
      <c r="E2311" t="s">
        <v>181</v>
      </c>
      <c r="F2311" s="57" t="s">
        <v>137</v>
      </c>
      <c r="G2311" s="34">
        <f>VLOOKUP(표4[[#This Row],[구분]],ota_rns[#All],표4[[#This Row],[구분1]]+5,FALSE)</f>
        <v>148.6</v>
      </c>
      <c r="H2311" s="58" t="str">
        <f>CONCATENATE(표4[[#This Row],[세그먼트 (OTA , GOTA, IB'[IB'])]],표4[[#This Row],[목표구분 (REV, RNS, ADR)]],표4[[#This Row],[영업장코드(예약 영업장 코드)]])</f>
        <v>GOTAADR66</v>
      </c>
      <c r="I2311" s="34">
        <f>RIGHT(표4[[#This Row],[년월(XXXX-XX 형식)]],2)*1</f>
        <v>5</v>
      </c>
    </row>
    <row r="2312" spans="1:9" x14ac:dyDescent="0.3">
      <c r="A2312">
        <v>5</v>
      </c>
      <c r="B2312" t="s">
        <v>190</v>
      </c>
      <c r="C2312" t="s">
        <v>192</v>
      </c>
      <c r="D2312" t="s">
        <v>195</v>
      </c>
      <c r="E2312" t="s">
        <v>84</v>
      </c>
      <c r="F2312" s="57" t="s">
        <v>84</v>
      </c>
      <c r="G2312" s="34">
        <f>VLOOKUP(표4[[#This Row],[구분]],ota_rns[#All],표4[[#This Row],[구분1]]+5,FALSE)</f>
        <v>159.69999999999999</v>
      </c>
      <c r="H2312" s="58" t="str">
        <f>CONCATENATE(표4[[#This Row],[세그먼트 (OTA , GOTA, IB'[IB'])]],표4[[#This Row],[목표구분 (REV, RNS, ADR)]],표4[[#This Row],[영업장코드(예약 영업장 코드)]])</f>
        <v>GOTAADR06</v>
      </c>
      <c r="I2312" s="34">
        <f>RIGHT(표4[[#This Row],[년월(XXXX-XX 형식)]],2)*1</f>
        <v>5</v>
      </c>
    </row>
    <row r="2313" spans="1:9" x14ac:dyDescent="0.3">
      <c r="A2313">
        <v>5</v>
      </c>
      <c r="B2313" t="s">
        <v>190</v>
      </c>
      <c r="C2313" t="s">
        <v>192</v>
      </c>
      <c r="D2313" t="s">
        <v>195</v>
      </c>
      <c r="E2313" t="s">
        <v>143</v>
      </c>
      <c r="F2313" s="57" t="s">
        <v>143</v>
      </c>
      <c r="G2313" s="34">
        <f>VLOOKUP(표4[[#This Row],[구분]],ota_rns[#All],표4[[#This Row],[구분1]]+5,FALSE)</f>
        <v>182.5</v>
      </c>
      <c r="H2313" s="58" t="str">
        <f>CONCATENATE(표4[[#This Row],[세그먼트 (OTA , GOTA, IB'[IB'])]],표4[[#This Row],[목표구분 (REV, RNS, ADR)]],표4[[#This Row],[영업장코드(예약 영업장 코드)]])</f>
        <v>GOTAADR73</v>
      </c>
      <c r="I2313" s="34">
        <f>RIGHT(표4[[#This Row],[년월(XXXX-XX 형식)]],2)*1</f>
        <v>5</v>
      </c>
    </row>
    <row r="2314" spans="1:9" x14ac:dyDescent="0.3">
      <c r="A2314">
        <v>5</v>
      </c>
      <c r="B2314" t="s">
        <v>190</v>
      </c>
      <c r="C2314" t="s">
        <v>192</v>
      </c>
      <c r="D2314" t="s">
        <v>195</v>
      </c>
      <c r="E2314" t="s">
        <v>99</v>
      </c>
      <c r="F2314" s="57" t="s">
        <v>99</v>
      </c>
      <c r="G2314" s="34">
        <f>VLOOKUP(표4[[#This Row],[구분]],ota_rns[#All],표4[[#This Row],[구분1]]+5,FALSE)</f>
        <v>179</v>
      </c>
      <c r="H2314" s="58" t="str">
        <f>CONCATENATE(표4[[#This Row],[세그먼트 (OTA , GOTA, IB'[IB'])]],표4[[#This Row],[목표구분 (REV, RNS, ADR)]],표4[[#This Row],[영업장코드(예약 영업장 코드)]])</f>
        <v>GOTAADR16</v>
      </c>
      <c r="I2314" s="34">
        <f>RIGHT(표4[[#This Row],[년월(XXXX-XX 형식)]],2)*1</f>
        <v>5</v>
      </c>
    </row>
    <row r="2315" spans="1:9" x14ac:dyDescent="0.3">
      <c r="A2315">
        <v>5</v>
      </c>
      <c r="B2315" t="s">
        <v>190</v>
      </c>
      <c r="C2315" t="s">
        <v>192</v>
      </c>
      <c r="D2315" t="s">
        <v>195</v>
      </c>
      <c r="E2315" t="s">
        <v>103</v>
      </c>
      <c r="F2315" s="57" t="s">
        <v>110</v>
      </c>
      <c r="G2315" s="34">
        <f>VLOOKUP(표4[[#This Row],[구분]],ota_rns[#All],표4[[#This Row],[구분1]]+5,FALSE)</f>
        <v>228</v>
      </c>
      <c r="H2315" s="58" t="str">
        <f>CONCATENATE(표4[[#This Row],[세그먼트 (OTA , GOTA, IB'[IB'])]],표4[[#This Row],[목표구분 (REV, RNS, ADR)]],표4[[#This Row],[영업장코드(예약 영업장 코드)]])</f>
        <v>GOTAADR24</v>
      </c>
      <c r="I2315" s="34">
        <f>RIGHT(표4[[#This Row],[년월(XXXX-XX 형식)]],2)*1</f>
        <v>5</v>
      </c>
    </row>
    <row r="2316" spans="1:9" x14ac:dyDescent="0.3">
      <c r="A2316">
        <v>5</v>
      </c>
      <c r="B2316" t="s">
        <v>190</v>
      </c>
      <c r="C2316" t="s">
        <v>192</v>
      </c>
      <c r="D2316" t="s">
        <v>195</v>
      </c>
      <c r="E2316" t="s">
        <v>101</v>
      </c>
      <c r="F2316" s="57" t="s">
        <v>107</v>
      </c>
      <c r="G2316" s="34">
        <f>VLOOKUP(표4[[#This Row],[구분]],ota_rns[#All],표4[[#This Row],[구분1]]+5,FALSE)</f>
        <v>295.39999999999998</v>
      </c>
      <c r="H2316" s="58" t="str">
        <f>CONCATENATE(표4[[#This Row],[세그먼트 (OTA , GOTA, IB'[IB'])]],표4[[#This Row],[목표구분 (REV, RNS, ADR)]],표4[[#This Row],[영업장코드(예약 영업장 코드)]])</f>
        <v>GOTAADR22</v>
      </c>
      <c r="I2316" s="34">
        <f>RIGHT(표4[[#This Row],[년월(XXXX-XX 형식)]],2)*1</f>
        <v>5</v>
      </c>
    </row>
    <row r="2317" spans="1:9" x14ac:dyDescent="0.3">
      <c r="A2317">
        <v>5</v>
      </c>
      <c r="B2317" t="s">
        <v>190</v>
      </c>
      <c r="C2317" t="s">
        <v>192</v>
      </c>
      <c r="D2317" t="s">
        <v>195</v>
      </c>
      <c r="E2317" t="s">
        <v>182</v>
      </c>
      <c r="F2317" s="57" t="s">
        <v>147</v>
      </c>
      <c r="G2317" s="34">
        <f>VLOOKUP(표4[[#This Row],[구분]],ota_rns[#All],표4[[#This Row],[구분1]]+5,FALSE)</f>
        <v>211</v>
      </c>
      <c r="H2317" s="58" t="str">
        <f>CONCATENATE(표4[[#This Row],[세그먼트 (OTA , GOTA, IB'[IB'])]],표4[[#This Row],[목표구분 (REV, RNS, ADR)]],표4[[#This Row],[영업장코드(예약 영업장 코드)]])</f>
        <v>GOTAADR77</v>
      </c>
      <c r="I2317" s="34">
        <f>RIGHT(표4[[#This Row],[년월(XXXX-XX 형식)]],2)*1</f>
        <v>5</v>
      </c>
    </row>
    <row r="2318" spans="1:9" x14ac:dyDescent="0.3">
      <c r="A2318">
        <v>5</v>
      </c>
      <c r="B2318" t="s">
        <v>190</v>
      </c>
      <c r="C2318" t="s">
        <v>192</v>
      </c>
      <c r="D2318" t="s">
        <v>195</v>
      </c>
      <c r="E2318" t="s">
        <v>183</v>
      </c>
      <c r="F2318" s="57" t="s">
        <v>157</v>
      </c>
      <c r="G2318" s="34">
        <f>VLOOKUP(표4[[#This Row],[구분]],ota_rns[#All],표4[[#This Row],[구분1]]+5,FALSE)</f>
        <v>249.67532467532467</v>
      </c>
      <c r="H2318" s="58" t="str">
        <f>CONCATENATE(표4[[#This Row],[세그먼트 (OTA , GOTA, IB'[IB'])]],표4[[#This Row],[목표구분 (REV, RNS, ADR)]],표4[[#This Row],[영업장코드(예약 영업장 코드)]])</f>
        <v>GOTAADR87</v>
      </c>
      <c r="I2318" s="34">
        <f>RIGHT(표4[[#This Row],[년월(XXXX-XX 형식)]],2)*1</f>
        <v>5</v>
      </c>
    </row>
    <row r="2319" spans="1:9" x14ac:dyDescent="0.3">
      <c r="A2319">
        <v>5</v>
      </c>
      <c r="B2319" t="s">
        <v>190</v>
      </c>
      <c r="C2319" t="s">
        <v>192</v>
      </c>
      <c r="D2319" t="s">
        <v>195</v>
      </c>
      <c r="E2319" t="s">
        <v>96</v>
      </c>
      <c r="F2319" s="57" t="s">
        <v>96</v>
      </c>
      <c r="G2319" s="34">
        <f>VLOOKUP(표4[[#This Row],[구분]],ota_rns[#All],표4[[#This Row],[구분1]]+5,FALSE)</f>
        <v>184.8</v>
      </c>
      <c r="H2319" s="58" t="str">
        <f>CONCATENATE(표4[[#This Row],[세그먼트 (OTA , GOTA, IB'[IB'])]],표4[[#This Row],[목표구분 (REV, RNS, ADR)]],표4[[#This Row],[영업장코드(예약 영업장 코드)]])</f>
        <v>GOTAADR15</v>
      </c>
      <c r="I2319" s="34">
        <f>RIGHT(표4[[#This Row],[년월(XXXX-XX 형식)]],2)*1</f>
        <v>5</v>
      </c>
    </row>
    <row r="2320" spans="1:9" x14ac:dyDescent="0.3">
      <c r="A2320">
        <v>5</v>
      </c>
      <c r="B2320" t="s">
        <v>190</v>
      </c>
      <c r="C2320" t="s">
        <v>192</v>
      </c>
      <c r="D2320" t="s">
        <v>195</v>
      </c>
      <c r="E2320" t="s">
        <v>105</v>
      </c>
      <c r="F2320" s="57" t="s">
        <v>119</v>
      </c>
      <c r="G2320" s="34">
        <f>VLOOKUP(표4[[#This Row],[구분]],ota_rns[#All],표4[[#This Row],[구분1]]+5,FALSE)</f>
        <v>187</v>
      </c>
      <c r="H2320" s="58" t="str">
        <f>CONCATENATE(표4[[#This Row],[세그먼트 (OTA , GOTA, IB'[IB'])]],표4[[#This Row],[목표구분 (REV, RNS, ADR)]],표4[[#This Row],[영업장코드(예약 영업장 코드)]])</f>
        <v>GOTAADR29</v>
      </c>
      <c r="I2320" s="34">
        <f>RIGHT(표4[[#This Row],[년월(XXXX-XX 형식)]],2)*1</f>
        <v>5</v>
      </c>
    </row>
    <row r="2321" spans="1:9" x14ac:dyDescent="0.3">
      <c r="A2321">
        <v>5</v>
      </c>
      <c r="B2321" t="s">
        <v>190</v>
      </c>
      <c r="C2321" t="s">
        <v>192</v>
      </c>
      <c r="D2321" t="s">
        <v>195</v>
      </c>
      <c r="E2321" t="s">
        <v>184</v>
      </c>
      <c r="F2321" s="57" t="s">
        <v>152</v>
      </c>
      <c r="G2321" s="34">
        <f>VLOOKUP(표4[[#This Row],[구분]],ota_rns[#All],표4[[#This Row],[구분1]]+5,FALSE)</f>
        <v>360.33980582524271</v>
      </c>
      <c r="H2321" s="58" t="str">
        <f>CONCATENATE(표4[[#This Row],[세그먼트 (OTA , GOTA, IB'[IB'])]],표4[[#This Row],[목표구분 (REV, RNS, ADR)]],표4[[#This Row],[영업장코드(예약 영업장 코드)]])</f>
        <v>GOTAADR85</v>
      </c>
      <c r="I2321" s="34">
        <f>RIGHT(표4[[#This Row],[년월(XXXX-XX 형식)]],2)*1</f>
        <v>5</v>
      </c>
    </row>
    <row r="2322" spans="1:9" x14ac:dyDescent="0.3">
      <c r="A2322">
        <v>5</v>
      </c>
      <c r="B2322" t="s">
        <v>190</v>
      </c>
      <c r="C2322" t="s">
        <v>192</v>
      </c>
      <c r="D2322" t="s">
        <v>195</v>
      </c>
      <c r="E2322" t="s">
        <v>185</v>
      </c>
      <c r="F2322" s="57" t="s">
        <v>128</v>
      </c>
      <c r="G2322" s="34">
        <f>VLOOKUP(표4[[#This Row],[구분]],ota_rns[#All],표4[[#This Row],[구분1]]+5,FALSE)</f>
        <v>97</v>
      </c>
      <c r="H2322" s="58" t="str">
        <f>CONCATENATE(표4[[#This Row],[세그먼트 (OTA , GOTA, IB'[IB'])]],표4[[#This Row],[목표구분 (REV, RNS, ADR)]],표4[[#This Row],[영업장코드(예약 영업장 코드)]])</f>
        <v>GOTAADR58</v>
      </c>
      <c r="I2322" s="34">
        <f>RIGHT(표4[[#This Row],[년월(XXXX-XX 형식)]],2)*1</f>
        <v>5</v>
      </c>
    </row>
    <row r="2323" spans="1:9" x14ac:dyDescent="0.3">
      <c r="A2323">
        <v>5</v>
      </c>
      <c r="B2323" t="s">
        <v>190</v>
      </c>
      <c r="C2323" t="s">
        <v>192</v>
      </c>
      <c r="D2323" t="s">
        <v>195</v>
      </c>
      <c r="E2323" t="s">
        <v>178</v>
      </c>
      <c r="F2323" s="57" t="s">
        <v>178</v>
      </c>
      <c r="G2323" s="34">
        <f>VLOOKUP(표4[[#This Row],[구분]],ota_rns[#All],표4[[#This Row],[구분1]]+5,FALSE)</f>
        <v>268</v>
      </c>
      <c r="H2323" s="58" t="str">
        <f>CONCATENATE(표4[[#This Row],[세그먼트 (OTA , GOTA, IB'[IB'])]],표4[[#This Row],[목표구분 (REV, RNS, ADR)]],표4[[#This Row],[영업장코드(예약 영업장 코드)]])</f>
        <v>GOTAADR94</v>
      </c>
      <c r="I2323" s="34">
        <f>RIGHT(표4[[#This Row],[년월(XXXX-XX 형식)]],2)*1</f>
        <v>5</v>
      </c>
    </row>
    <row r="2324" spans="1:9" x14ac:dyDescent="0.3">
      <c r="A2324">
        <v>5</v>
      </c>
      <c r="B2324" t="s">
        <v>190</v>
      </c>
      <c r="C2324" t="s">
        <v>193</v>
      </c>
      <c r="D2324" t="s">
        <v>195</v>
      </c>
      <c r="E2324" t="s">
        <v>78</v>
      </c>
      <c r="F2324" s="57" t="s">
        <v>78</v>
      </c>
      <c r="G2324" s="34">
        <f>VLOOKUP(표4[[#This Row],[구분]],ota_rns[#All],표4[[#This Row],[구분1]]+5,FALSE)</f>
        <v>173.58948271777001</v>
      </c>
      <c r="H2324" s="58" t="str">
        <f>CONCATENATE(표4[[#This Row],[세그먼트 (OTA , GOTA, IB'[IB'])]],표4[[#This Row],[목표구분 (REV, RNS, ADR)]],표4[[#This Row],[영업장코드(예약 영업장 코드)]])</f>
        <v>GOTAREV02</v>
      </c>
      <c r="I2324" s="34">
        <f>RIGHT(표4[[#This Row],[년월(XXXX-XX 형식)]],2)*1</f>
        <v>5</v>
      </c>
    </row>
    <row r="2325" spans="1:9" x14ac:dyDescent="0.3">
      <c r="A2325">
        <v>5</v>
      </c>
      <c r="B2325" t="s">
        <v>190</v>
      </c>
      <c r="C2325" t="s">
        <v>193</v>
      </c>
      <c r="D2325" t="s">
        <v>195</v>
      </c>
      <c r="E2325" t="s">
        <v>78</v>
      </c>
      <c r="F2325" s="57" t="s">
        <v>86</v>
      </c>
      <c r="G2325" s="34">
        <f>VLOOKUP(표4[[#This Row],[구분]],ota_rns[#All],표4[[#This Row],[구분1]]+5,FALSE)</f>
        <v>126.24628662040666</v>
      </c>
      <c r="H2325" s="58" t="str">
        <f>CONCATENATE(표4[[#This Row],[세그먼트 (OTA , GOTA, IB'[IB'])]],표4[[#This Row],[목표구분 (REV, RNS, ADR)]],표4[[#This Row],[영업장코드(예약 영업장 코드)]])</f>
        <v>GOTAREV07</v>
      </c>
      <c r="I2325" s="34">
        <f>RIGHT(표4[[#This Row],[년월(XXXX-XX 형식)]],2)*1</f>
        <v>5</v>
      </c>
    </row>
    <row r="2326" spans="1:9" x14ac:dyDescent="0.3">
      <c r="A2326">
        <v>5</v>
      </c>
      <c r="B2326" t="s">
        <v>190</v>
      </c>
      <c r="C2326" t="s">
        <v>193</v>
      </c>
      <c r="D2326" t="s">
        <v>195</v>
      </c>
      <c r="E2326" t="s">
        <v>78</v>
      </c>
      <c r="F2326" s="57" t="s">
        <v>105</v>
      </c>
      <c r="G2326" s="34">
        <f>VLOOKUP(표4[[#This Row],[구분]],ota_rns[#All],표4[[#This Row],[구분1]]+5,FALSE)</f>
        <v>240</v>
      </c>
      <c r="H2326" s="58" t="str">
        <f>CONCATENATE(표4[[#This Row],[세그먼트 (OTA , GOTA, IB'[IB'])]],표4[[#This Row],[목표구분 (REV, RNS, ADR)]],표4[[#This Row],[영업장코드(예약 영업장 코드)]])</f>
        <v>GOTAREV19</v>
      </c>
      <c r="I2326" s="34">
        <f>RIGHT(표4[[#This Row],[년월(XXXX-XX 형식)]],2)*1</f>
        <v>5</v>
      </c>
    </row>
    <row r="2327" spans="1:9" x14ac:dyDescent="0.3">
      <c r="A2327">
        <v>5</v>
      </c>
      <c r="B2327" t="s">
        <v>190</v>
      </c>
      <c r="C2327" t="s">
        <v>193</v>
      </c>
      <c r="D2327" t="s">
        <v>195</v>
      </c>
      <c r="E2327" t="s">
        <v>78</v>
      </c>
      <c r="F2327" s="57" t="s">
        <v>124</v>
      </c>
      <c r="G2327" s="34">
        <f>VLOOKUP(표4[[#This Row],[구분]],ota_rns[#All],표4[[#This Row],[구분1]]+5,FALSE)</f>
        <v>130</v>
      </c>
      <c r="H2327" s="58" t="str">
        <f>CONCATENATE(표4[[#This Row],[세그먼트 (OTA , GOTA, IB'[IB'])]],표4[[#This Row],[목표구분 (REV, RNS, ADR)]],표4[[#This Row],[영업장코드(예약 영업장 코드)]])</f>
        <v>GOTAREV50</v>
      </c>
      <c r="I2327" s="34">
        <f>RIGHT(표4[[#This Row],[년월(XXXX-XX 형식)]],2)*1</f>
        <v>5</v>
      </c>
    </row>
    <row r="2328" spans="1:9" x14ac:dyDescent="0.3">
      <c r="A2328">
        <v>5</v>
      </c>
      <c r="B2328" t="s">
        <v>190</v>
      </c>
      <c r="C2328" t="s">
        <v>193</v>
      </c>
      <c r="D2328" t="s">
        <v>195</v>
      </c>
      <c r="E2328" t="s">
        <v>78</v>
      </c>
      <c r="F2328" s="57" t="s">
        <v>88</v>
      </c>
      <c r="G2328" s="34">
        <f>VLOOKUP(표4[[#This Row],[구분]],ota_rns[#All],표4[[#This Row],[구분1]]+5,FALSE)</f>
        <v>157.5</v>
      </c>
      <c r="H2328" s="58" t="str">
        <f>CONCATENATE(표4[[#This Row],[세그먼트 (OTA , GOTA, IB'[IB'])]],표4[[#This Row],[목표구분 (REV, RNS, ADR)]],표4[[#This Row],[영업장코드(예약 영업장 코드)]])</f>
        <v>GOTAREV08</v>
      </c>
      <c r="I2328" s="34">
        <f>RIGHT(표4[[#This Row],[년월(XXXX-XX 형식)]],2)*1</f>
        <v>5</v>
      </c>
    </row>
    <row r="2329" spans="1:9" x14ac:dyDescent="0.3">
      <c r="A2329">
        <v>5</v>
      </c>
      <c r="B2329" t="s">
        <v>190</v>
      </c>
      <c r="C2329" t="s">
        <v>193</v>
      </c>
      <c r="D2329" t="s">
        <v>195</v>
      </c>
      <c r="E2329" t="s">
        <v>81</v>
      </c>
      <c r="F2329" s="57" t="s">
        <v>81</v>
      </c>
      <c r="G2329" s="34">
        <f>VLOOKUP(표4[[#This Row],[구분]],ota_rns[#All],표4[[#This Row],[구분1]]+5,FALSE)</f>
        <v>43.923377384615513</v>
      </c>
      <c r="H2329" s="58" t="str">
        <f>CONCATENATE(표4[[#This Row],[세그먼트 (OTA , GOTA, IB'[IB'])]],표4[[#This Row],[목표구분 (REV, RNS, ADR)]],표4[[#This Row],[영업장코드(예약 영업장 코드)]])</f>
        <v>GOTAREV03</v>
      </c>
      <c r="I2329" s="34">
        <f>RIGHT(표4[[#This Row],[년월(XXXX-XX 형식)]],2)*1</f>
        <v>5</v>
      </c>
    </row>
    <row r="2330" spans="1:9" x14ac:dyDescent="0.3">
      <c r="A2330">
        <v>5</v>
      </c>
      <c r="B2330" t="s">
        <v>190</v>
      </c>
      <c r="C2330" t="s">
        <v>193</v>
      </c>
      <c r="D2330" t="s">
        <v>195</v>
      </c>
      <c r="E2330" t="s">
        <v>75</v>
      </c>
      <c r="F2330" s="57" t="s">
        <v>75</v>
      </c>
      <c r="G2330" s="34">
        <f>VLOOKUP(표4[[#This Row],[구분]],ota_rns[#All],표4[[#This Row],[구분1]]+5,FALSE)</f>
        <v>195.8</v>
      </c>
      <c r="H2330" s="58" t="str">
        <f>CONCATENATE(표4[[#This Row],[세그먼트 (OTA , GOTA, IB'[IB'])]],표4[[#This Row],[목표구분 (REV, RNS, ADR)]],표4[[#This Row],[영업장코드(예약 영업장 코드)]])</f>
        <v>GOTAREV01</v>
      </c>
      <c r="I2330" s="34">
        <f>RIGHT(표4[[#This Row],[년월(XXXX-XX 형식)]],2)*1</f>
        <v>5</v>
      </c>
    </row>
    <row r="2331" spans="1:9" x14ac:dyDescent="0.3">
      <c r="A2331">
        <v>5</v>
      </c>
      <c r="B2331" t="s">
        <v>190</v>
      </c>
      <c r="C2331" t="s">
        <v>193</v>
      </c>
      <c r="D2331" t="s">
        <v>195</v>
      </c>
      <c r="E2331" t="s">
        <v>75</v>
      </c>
      <c r="F2331" s="57" t="s">
        <v>141</v>
      </c>
      <c r="G2331" s="34">
        <f>VLOOKUP(표4[[#This Row],[구분]],ota_rns[#All],표4[[#This Row],[구분1]]+5,FALSE)</f>
        <v>631.95000000000005</v>
      </c>
      <c r="H2331" s="58" t="str">
        <f>CONCATENATE(표4[[#This Row],[세그먼트 (OTA , GOTA, IB'[IB'])]],표4[[#This Row],[목표구분 (REV, RNS, ADR)]],표4[[#This Row],[영업장코드(예약 영업장 코드)]])</f>
        <v>GOTAREV70</v>
      </c>
      <c r="I2331" s="34">
        <f>RIGHT(표4[[#This Row],[년월(XXXX-XX 형식)]],2)*1</f>
        <v>5</v>
      </c>
    </row>
    <row r="2332" spans="1:9" x14ac:dyDescent="0.3">
      <c r="A2332">
        <v>5</v>
      </c>
      <c r="B2332" t="s">
        <v>190</v>
      </c>
      <c r="C2332" t="s">
        <v>193</v>
      </c>
      <c r="D2332" t="s">
        <v>195</v>
      </c>
      <c r="E2332" t="s">
        <v>75</v>
      </c>
      <c r="F2332" s="57" t="s">
        <v>113</v>
      </c>
      <c r="G2332" s="34">
        <f>VLOOKUP(표4[[#This Row],[구분]],ota_rns[#All],표4[[#This Row],[구분1]]+5,FALSE)</f>
        <v>69.599999999999994</v>
      </c>
      <c r="H2332" s="58" t="str">
        <f>CONCATENATE(표4[[#This Row],[세그먼트 (OTA , GOTA, IB'[IB'])]],표4[[#This Row],[목표구분 (REV, RNS, ADR)]],표4[[#This Row],[영업장코드(예약 영업장 코드)]])</f>
        <v>GOTAREV25</v>
      </c>
      <c r="I2332" s="34">
        <f>RIGHT(표4[[#This Row],[년월(XXXX-XX 형식)]],2)*1</f>
        <v>5</v>
      </c>
    </row>
    <row r="2333" spans="1:9" x14ac:dyDescent="0.3">
      <c r="A2333">
        <v>5</v>
      </c>
      <c r="B2333" t="s">
        <v>190</v>
      </c>
      <c r="C2333" t="s">
        <v>193</v>
      </c>
      <c r="D2333" t="s">
        <v>195</v>
      </c>
      <c r="E2333" t="s">
        <v>75</v>
      </c>
      <c r="F2333" s="57" t="s">
        <v>117</v>
      </c>
      <c r="G2333" s="34">
        <f>VLOOKUP(표4[[#This Row],[구분]],ota_rns[#All],표4[[#This Row],[구분1]]+5,FALSE)</f>
        <v>358.15</v>
      </c>
      <c r="H2333" s="58" t="str">
        <f>CONCATENATE(표4[[#This Row],[세그먼트 (OTA , GOTA, IB'[IB'])]],표4[[#This Row],[목표구분 (REV, RNS, ADR)]],표4[[#This Row],[영업장코드(예약 영업장 코드)]])</f>
        <v>GOTAREV27</v>
      </c>
      <c r="I2333" s="34">
        <f>RIGHT(표4[[#This Row],[년월(XXXX-XX 형식)]],2)*1</f>
        <v>5</v>
      </c>
    </row>
    <row r="2334" spans="1:9" x14ac:dyDescent="0.3">
      <c r="A2334">
        <v>5</v>
      </c>
      <c r="B2334" t="s">
        <v>190</v>
      </c>
      <c r="C2334" t="s">
        <v>193</v>
      </c>
      <c r="D2334" t="s">
        <v>195</v>
      </c>
      <c r="E2334" t="s">
        <v>75</v>
      </c>
      <c r="F2334" s="57" t="s">
        <v>122</v>
      </c>
      <c r="G2334" s="34">
        <f>VLOOKUP(표4[[#This Row],[구분]],ota_rns[#All],표4[[#This Row],[구분1]]+5,FALSE)</f>
        <v>8.4</v>
      </c>
      <c r="H2334" s="58" t="str">
        <f>CONCATENATE(표4[[#This Row],[세그먼트 (OTA , GOTA, IB'[IB'])]],표4[[#This Row],[목표구분 (REV, RNS, ADR)]],표4[[#This Row],[영업장코드(예약 영업장 코드)]])</f>
        <v>GOTAREV46</v>
      </c>
      <c r="I2334" s="34">
        <f>RIGHT(표4[[#This Row],[년월(XXXX-XX 형식)]],2)*1</f>
        <v>5</v>
      </c>
    </row>
    <row r="2335" spans="1:9" x14ac:dyDescent="0.3">
      <c r="A2335">
        <v>5</v>
      </c>
      <c r="B2335" t="s">
        <v>190</v>
      </c>
      <c r="C2335" t="s">
        <v>193</v>
      </c>
      <c r="D2335" t="s">
        <v>195</v>
      </c>
      <c r="E2335" t="s">
        <v>92</v>
      </c>
      <c r="F2335" s="57" t="s">
        <v>92</v>
      </c>
      <c r="G2335" s="34">
        <f>VLOOKUP(표4[[#This Row],[구분]],ota_rns[#All],표4[[#This Row],[구분1]]+5,FALSE)</f>
        <v>243.1</v>
      </c>
      <c r="H2335" s="58" t="str">
        <f>CONCATENATE(표4[[#This Row],[세그먼트 (OTA , GOTA, IB'[IB'])]],표4[[#This Row],[목표구분 (REV, RNS, ADR)]],표4[[#This Row],[영업장코드(예약 영업장 코드)]])</f>
        <v>GOTAREV10</v>
      </c>
      <c r="I2335" s="34">
        <f>RIGHT(표4[[#This Row],[년월(XXXX-XX 형식)]],2)*1</f>
        <v>5</v>
      </c>
    </row>
    <row r="2336" spans="1:9" x14ac:dyDescent="0.3">
      <c r="A2336">
        <v>5</v>
      </c>
      <c r="B2336" t="s">
        <v>190</v>
      </c>
      <c r="C2336" t="s">
        <v>193</v>
      </c>
      <c r="D2336" t="s">
        <v>195</v>
      </c>
      <c r="E2336" t="s">
        <v>110</v>
      </c>
      <c r="F2336" s="57" t="s">
        <v>131</v>
      </c>
      <c r="G2336" s="34">
        <f>VLOOKUP(표4[[#This Row],[구분]],ota_rns[#All],표4[[#This Row],[구분1]]+5,FALSE)</f>
        <v>445.2</v>
      </c>
      <c r="H2336" s="58" t="str">
        <f>CONCATENATE(표4[[#This Row],[세그먼트 (OTA , GOTA, IB'[IB'])]],표4[[#This Row],[목표구분 (REV, RNS, ADR)]],표4[[#This Row],[영업장코드(예약 영업장 코드)]])</f>
        <v>GOTAREV61</v>
      </c>
      <c r="I2336" s="34">
        <f>RIGHT(표4[[#This Row],[년월(XXXX-XX 형식)]],2)*1</f>
        <v>5</v>
      </c>
    </row>
    <row r="2337" spans="1:9" x14ac:dyDescent="0.3">
      <c r="A2337">
        <v>5</v>
      </c>
      <c r="B2337" t="s">
        <v>190</v>
      </c>
      <c r="C2337" t="s">
        <v>193</v>
      </c>
      <c r="D2337" t="s">
        <v>195</v>
      </c>
      <c r="E2337" t="s">
        <v>180</v>
      </c>
      <c r="F2337" s="57" t="s">
        <v>180</v>
      </c>
      <c r="G2337" s="34">
        <f>VLOOKUP(표4[[#This Row],[구분]],ota_rns[#All],표4[[#This Row],[구분1]]+5,FALSE)</f>
        <v>236.05634154895137</v>
      </c>
      <c r="H2337" s="58" t="str">
        <f>CONCATENATE(표4[[#This Row],[세그먼트 (OTA , GOTA, IB'[IB'])]],표4[[#This Row],[목표구분 (REV, RNS, ADR)]],표4[[#This Row],[영업장코드(예약 영업장 코드)]])</f>
        <v>GOTAREV05</v>
      </c>
      <c r="I2337" s="34">
        <f>RIGHT(표4[[#This Row],[년월(XXXX-XX 형식)]],2)*1</f>
        <v>5</v>
      </c>
    </row>
    <row r="2338" spans="1:9" x14ac:dyDescent="0.3">
      <c r="A2338">
        <v>5</v>
      </c>
      <c r="B2338" t="s">
        <v>190</v>
      </c>
      <c r="C2338" t="s">
        <v>193</v>
      </c>
      <c r="D2338" t="s">
        <v>195</v>
      </c>
      <c r="E2338" t="s">
        <v>181</v>
      </c>
      <c r="F2338" s="57" t="s">
        <v>137</v>
      </c>
      <c r="G2338" s="34">
        <f>VLOOKUP(표4[[#This Row],[구분]],ota_rns[#All],표4[[#This Row],[구분1]]+5,FALSE)</f>
        <v>69.841999999999999</v>
      </c>
      <c r="H2338" s="58" t="str">
        <f>CONCATENATE(표4[[#This Row],[세그먼트 (OTA , GOTA, IB'[IB'])]],표4[[#This Row],[목표구분 (REV, RNS, ADR)]],표4[[#This Row],[영업장코드(예약 영업장 코드)]])</f>
        <v>GOTAREV66</v>
      </c>
      <c r="I2338" s="34">
        <f>RIGHT(표4[[#This Row],[년월(XXXX-XX 형식)]],2)*1</f>
        <v>5</v>
      </c>
    </row>
    <row r="2339" spans="1:9" x14ac:dyDescent="0.3">
      <c r="A2339">
        <v>5</v>
      </c>
      <c r="B2339" t="s">
        <v>190</v>
      </c>
      <c r="C2339" t="s">
        <v>193</v>
      </c>
      <c r="D2339" t="s">
        <v>195</v>
      </c>
      <c r="E2339" t="s">
        <v>84</v>
      </c>
      <c r="F2339" s="57" t="s">
        <v>84</v>
      </c>
      <c r="G2339" s="34">
        <f>VLOOKUP(표4[[#This Row],[구분]],ota_rns[#All],표4[[#This Row],[구분1]]+5,FALSE)</f>
        <v>199.625</v>
      </c>
      <c r="H2339" s="58" t="str">
        <f>CONCATENATE(표4[[#This Row],[세그먼트 (OTA , GOTA, IB'[IB'])]],표4[[#This Row],[목표구분 (REV, RNS, ADR)]],표4[[#This Row],[영업장코드(예약 영업장 코드)]])</f>
        <v>GOTAREV06</v>
      </c>
      <c r="I2339" s="34">
        <f>RIGHT(표4[[#This Row],[년월(XXXX-XX 형식)]],2)*1</f>
        <v>5</v>
      </c>
    </row>
    <row r="2340" spans="1:9" x14ac:dyDescent="0.3">
      <c r="A2340">
        <v>5</v>
      </c>
      <c r="B2340" t="s">
        <v>190</v>
      </c>
      <c r="C2340" t="s">
        <v>193</v>
      </c>
      <c r="D2340" t="s">
        <v>195</v>
      </c>
      <c r="E2340" t="s">
        <v>143</v>
      </c>
      <c r="F2340" s="57" t="s">
        <v>143</v>
      </c>
      <c r="G2340" s="34">
        <f>VLOOKUP(표4[[#This Row],[구분]],ota_rns[#All],표4[[#This Row],[구분1]]+5,FALSE)</f>
        <v>109.5</v>
      </c>
      <c r="H2340" s="58" t="str">
        <f>CONCATENATE(표4[[#This Row],[세그먼트 (OTA , GOTA, IB'[IB'])]],표4[[#This Row],[목표구분 (REV, RNS, ADR)]],표4[[#This Row],[영업장코드(예약 영업장 코드)]])</f>
        <v>GOTAREV73</v>
      </c>
      <c r="I2340" s="34">
        <f>RIGHT(표4[[#This Row],[년월(XXXX-XX 형식)]],2)*1</f>
        <v>5</v>
      </c>
    </row>
    <row r="2341" spans="1:9" x14ac:dyDescent="0.3">
      <c r="A2341">
        <v>5</v>
      </c>
      <c r="B2341" t="s">
        <v>190</v>
      </c>
      <c r="C2341" t="s">
        <v>193</v>
      </c>
      <c r="D2341" t="s">
        <v>195</v>
      </c>
      <c r="E2341" t="s">
        <v>99</v>
      </c>
      <c r="F2341" s="57" t="s">
        <v>99</v>
      </c>
      <c r="G2341" s="34">
        <f>VLOOKUP(표4[[#This Row],[구분]],ota_rns[#All],표4[[#This Row],[구분1]]+5,FALSE)</f>
        <v>232.7</v>
      </c>
      <c r="H2341" s="58" t="str">
        <f>CONCATENATE(표4[[#This Row],[세그먼트 (OTA , GOTA, IB'[IB'])]],표4[[#This Row],[목표구분 (REV, RNS, ADR)]],표4[[#This Row],[영업장코드(예약 영업장 코드)]])</f>
        <v>GOTAREV16</v>
      </c>
      <c r="I2341" s="34">
        <f>RIGHT(표4[[#This Row],[년월(XXXX-XX 형식)]],2)*1</f>
        <v>5</v>
      </c>
    </row>
    <row r="2342" spans="1:9" x14ac:dyDescent="0.3">
      <c r="A2342">
        <v>5</v>
      </c>
      <c r="B2342" t="s">
        <v>190</v>
      </c>
      <c r="C2342" t="s">
        <v>193</v>
      </c>
      <c r="D2342" t="s">
        <v>195</v>
      </c>
      <c r="E2342" t="s">
        <v>103</v>
      </c>
      <c r="F2342" s="57" t="s">
        <v>110</v>
      </c>
      <c r="G2342" s="34">
        <f>VLOOKUP(표4[[#This Row],[구분]],ota_rns[#All],표4[[#This Row],[구분1]]+5,FALSE)</f>
        <v>182.4</v>
      </c>
      <c r="H2342" s="58" t="str">
        <f>CONCATENATE(표4[[#This Row],[세그먼트 (OTA , GOTA, IB'[IB'])]],표4[[#This Row],[목표구분 (REV, RNS, ADR)]],표4[[#This Row],[영업장코드(예약 영업장 코드)]])</f>
        <v>GOTAREV24</v>
      </c>
      <c r="I2342" s="34">
        <f>RIGHT(표4[[#This Row],[년월(XXXX-XX 형식)]],2)*1</f>
        <v>5</v>
      </c>
    </row>
    <row r="2343" spans="1:9" x14ac:dyDescent="0.3">
      <c r="A2343">
        <v>5</v>
      </c>
      <c r="B2343" t="s">
        <v>190</v>
      </c>
      <c r="C2343" t="s">
        <v>193</v>
      </c>
      <c r="D2343" t="s">
        <v>195</v>
      </c>
      <c r="E2343" t="s">
        <v>101</v>
      </c>
      <c r="F2343" s="57" t="s">
        <v>107</v>
      </c>
      <c r="G2343" s="34">
        <f>VLOOKUP(표4[[#This Row],[구분]],ota_rns[#All],표4[[#This Row],[구분1]]+5,FALSE)</f>
        <v>206.77999999999997</v>
      </c>
      <c r="H2343" s="58" t="str">
        <f>CONCATENATE(표4[[#This Row],[세그먼트 (OTA , GOTA, IB'[IB'])]],표4[[#This Row],[목표구분 (REV, RNS, ADR)]],표4[[#This Row],[영업장코드(예약 영업장 코드)]])</f>
        <v>GOTAREV22</v>
      </c>
      <c r="I2343" s="34">
        <f>RIGHT(표4[[#This Row],[년월(XXXX-XX 형식)]],2)*1</f>
        <v>5</v>
      </c>
    </row>
    <row r="2344" spans="1:9" x14ac:dyDescent="0.3">
      <c r="A2344">
        <v>5</v>
      </c>
      <c r="B2344" t="s">
        <v>190</v>
      </c>
      <c r="C2344" t="s">
        <v>193</v>
      </c>
      <c r="D2344" t="s">
        <v>195</v>
      </c>
      <c r="E2344" t="s">
        <v>182</v>
      </c>
      <c r="F2344" s="57" t="s">
        <v>147</v>
      </c>
      <c r="G2344" s="34">
        <f>VLOOKUP(표4[[#This Row],[구분]],ota_rns[#All],표4[[#This Row],[구분1]]+5,FALSE)</f>
        <v>316.5</v>
      </c>
      <c r="H2344" s="58" t="str">
        <f>CONCATENATE(표4[[#This Row],[세그먼트 (OTA , GOTA, IB'[IB'])]],표4[[#This Row],[목표구분 (REV, RNS, ADR)]],표4[[#This Row],[영업장코드(예약 영업장 코드)]])</f>
        <v>GOTAREV77</v>
      </c>
      <c r="I2344" s="34">
        <f>RIGHT(표4[[#This Row],[년월(XXXX-XX 형식)]],2)*1</f>
        <v>5</v>
      </c>
    </row>
    <row r="2345" spans="1:9" x14ac:dyDescent="0.3">
      <c r="A2345">
        <v>5</v>
      </c>
      <c r="B2345" t="s">
        <v>190</v>
      </c>
      <c r="C2345" t="s">
        <v>193</v>
      </c>
      <c r="D2345" t="s">
        <v>195</v>
      </c>
      <c r="E2345" t="s">
        <v>183</v>
      </c>
      <c r="F2345" s="57" t="s">
        <v>157</v>
      </c>
      <c r="G2345" s="34">
        <f>VLOOKUP(표4[[#This Row],[구분]],ota_rns[#All],표4[[#This Row],[구분1]]+5,FALSE)</f>
        <v>192.25</v>
      </c>
      <c r="H2345" s="58" t="str">
        <f>CONCATENATE(표4[[#This Row],[세그먼트 (OTA , GOTA, IB'[IB'])]],표4[[#This Row],[목표구분 (REV, RNS, ADR)]],표4[[#This Row],[영업장코드(예약 영업장 코드)]])</f>
        <v>GOTAREV87</v>
      </c>
      <c r="I2345" s="34">
        <f>RIGHT(표4[[#This Row],[년월(XXXX-XX 형식)]],2)*1</f>
        <v>5</v>
      </c>
    </row>
    <row r="2346" spans="1:9" x14ac:dyDescent="0.3">
      <c r="A2346">
        <v>5</v>
      </c>
      <c r="B2346" t="s">
        <v>190</v>
      </c>
      <c r="C2346" t="s">
        <v>193</v>
      </c>
      <c r="D2346" t="s">
        <v>195</v>
      </c>
      <c r="E2346" t="s">
        <v>96</v>
      </c>
      <c r="F2346" s="57" t="s">
        <v>96</v>
      </c>
      <c r="G2346" s="34">
        <f>VLOOKUP(표4[[#This Row],[구분]],ota_rns[#All],표4[[#This Row],[구분1]]+5,FALSE)</f>
        <v>157.08000000000001</v>
      </c>
      <c r="H2346" s="58" t="str">
        <f>CONCATENATE(표4[[#This Row],[세그먼트 (OTA , GOTA, IB'[IB'])]],표4[[#This Row],[목표구분 (REV, RNS, ADR)]],표4[[#This Row],[영업장코드(예약 영업장 코드)]])</f>
        <v>GOTAREV15</v>
      </c>
      <c r="I2346" s="34">
        <f>RIGHT(표4[[#This Row],[년월(XXXX-XX 형식)]],2)*1</f>
        <v>5</v>
      </c>
    </row>
    <row r="2347" spans="1:9" x14ac:dyDescent="0.3">
      <c r="A2347">
        <v>5</v>
      </c>
      <c r="B2347" t="s">
        <v>190</v>
      </c>
      <c r="C2347" t="s">
        <v>193</v>
      </c>
      <c r="D2347" t="s">
        <v>195</v>
      </c>
      <c r="E2347" t="s">
        <v>105</v>
      </c>
      <c r="F2347" s="57" t="s">
        <v>119</v>
      </c>
      <c r="G2347" s="34">
        <f>VLOOKUP(표4[[#This Row],[구분]],ota_rns[#All],표4[[#This Row],[구분1]]+5,FALSE)</f>
        <v>430.1</v>
      </c>
      <c r="H2347" s="58" t="str">
        <f>CONCATENATE(표4[[#This Row],[세그먼트 (OTA , GOTA, IB'[IB'])]],표4[[#This Row],[목표구분 (REV, RNS, ADR)]],표4[[#This Row],[영업장코드(예약 영업장 코드)]])</f>
        <v>GOTAREV29</v>
      </c>
      <c r="I2347" s="34">
        <f>RIGHT(표4[[#This Row],[년월(XXXX-XX 형식)]],2)*1</f>
        <v>5</v>
      </c>
    </row>
    <row r="2348" spans="1:9" x14ac:dyDescent="0.3">
      <c r="A2348">
        <v>5</v>
      </c>
      <c r="B2348" t="s">
        <v>190</v>
      </c>
      <c r="C2348" t="s">
        <v>193</v>
      </c>
      <c r="D2348" t="s">
        <v>195</v>
      </c>
      <c r="E2348" t="s">
        <v>184</v>
      </c>
      <c r="F2348" s="57" t="s">
        <v>152</v>
      </c>
      <c r="G2348" s="34">
        <f>VLOOKUP(표4[[#This Row],[구분]],ota_rns[#All],표4[[#This Row],[구분1]]+5,FALSE)</f>
        <v>371.15</v>
      </c>
      <c r="H2348" s="58" t="str">
        <f>CONCATENATE(표4[[#This Row],[세그먼트 (OTA , GOTA, IB'[IB'])]],표4[[#This Row],[목표구분 (REV, RNS, ADR)]],표4[[#This Row],[영업장코드(예약 영업장 코드)]])</f>
        <v>GOTAREV85</v>
      </c>
      <c r="I2348" s="34">
        <f>RIGHT(표4[[#This Row],[년월(XXXX-XX 형식)]],2)*1</f>
        <v>5</v>
      </c>
    </row>
    <row r="2349" spans="1:9" x14ac:dyDescent="0.3">
      <c r="A2349">
        <v>5</v>
      </c>
      <c r="B2349" t="s">
        <v>190</v>
      </c>
      <c r="C2349" t="s">
        <v>193</v>
      </c>
      <c r="D2349" t="s">
        <v>195</v>
      </c>
      <c r="E2349" t="s">
        <v>185</v>
      </c>
      <c r="F2349" s="57" t="s">
        <v>128</v>
      </c>
      <c r="G2349" s="34">
        <f>VLOOKUP(표4[[#This Row],[구분]],ota_rns[#All],표4[[#This Row],[구분1]]+5,FALSE)</f>
        <v>106.7</v>
      </c>
      <c r="H2349" s="58" t="str">
        <f>CONCATENATE(표4[[#This Row],[세그먼트 (OTA , GOTA, IB'[IB'])]],표4[[#This Row],[목표구분 (REV, RNS, ADR)]],표4[[#This Row],[영업장코드(예약 영업장 코드)]])</f>
        <v>GOTAREV58</v>
      </c>
      <c r="I2349" s="34">
        <f>RIGHT(표4[[#This Row],[년월(XXXX-XX 형식)]],2)*1</f>
        <v>5</v>
      </c>
    </row>
    <row r="2350" spans="1:9" x14ac:dyDescent="0.3">
      <c r="A2350">
        <v>5</v>
      </c>
      <c r="B2350" t="s">
        <v>190</v>
      </c>
      <c r="C2350" t="s">
        <v>193</v>
      </c>
      <c r="D2350" t="s">
        <v>195</v>
      </c>
      <c r="E2350" t="s">
        <v>178</v>
      </c>
      <c r="F2350" s="57" t="s">
        <v>178</v>
      </c>
      <c r="G2350" s="34">
        <f>VLOOKUP(표4[[#This Row],[구분]],ota_rns[#All],표4[[#This Row],[구분1]]+5,FALSE)</f>
        <v>93.8</v>
      </c>
      <c r="H2350" s="58" t="str">
        <f>CONCATENATE(표4[[#This Row],[세그먼트 (OTA , GOTA, IB'[IB'])]],표4[[#This Row],[목표구분 (REV, RNS, ADR)]],표4[[#This Row],[영업장코드(예약 영업장 코드)]])</f>
        <v>GOTAREV94</v>
      </c>
      <c r="I2350" s="34">
        <f>RIGHT(표4[[#This Row],[년월(XXXX-XX 형식)]],2)*1</f>
        <v>5</v>
      </c>
    </row>
    <row r="2351" spans="1:9" x14ac:dyDescent="0.3">
      <c r="A2351">
        <v>6</v>
      </c>
      <c r="B2351" t="s">
        <v>190</v>
      </c>
      <c r="C2351" t="s">
        <v>191</v>
      </c>
      <c r="D2351" t="s">
        <v>195</v>
      </c>
      <c r="E2351" t="s">
        <v>78</v>
      </c>
      <c r="F2351" s="57" t="s">
        <v>78</v>
      </c>
      <c r="G2351" s="34">
        <f>VLOOKUP(표4[[#This Row],[구분]],ota_rns[#All],표4[[#This Row],[구분1]]+5,FALSE)</f>
        <v>1100</v>
      </c>
      <c r="H2351" s="58" t="str">
        <f>CONCATENATE(표4[[#This Row],[세그먼트 (OTA , GOTA, IB'[IB'])]],표4[[#This Row],[목표구분 (REV, RNS, ADR)]],표4[[#This Row],[영업장코드(예약 영업장 코드)]])</f>
        <v>GOTARNS02</v>
      </c>
      <c r="I2351" s="34">
        <f>RIGHT(표4[[#This Row],[년월(XXXX-XX 형식)]],2)*1</f>
        <v>6</v>
      </c>
    </row>
    <row r="2352" spans="1:9" x14ac:dyDescent="0.3">
      <c r="A2352">
        <v>6</v>
      </c>
      <c r="B2352" t="s">
        <v>190</v>
      </c>
      <c r="C2352" t="s">
        <v>191</v>
      </c>
      <c r="D2352" t="s">
        <v>195</v>
      </c>
      <c r="E2352" t="s">
        <v>78</v>
      </c>
      <c r="F2352" s="57" t="s">
        <v>86</v>
      </c>
      <c r="G2352" s="34">
        <f>VLOOKUP(표4[[#This Row],[구분]],ota_rns[#All],표4[[#This Row],[구분1]]+5,FALSE)</f>
        <v>500</v>
      </c>
      <c r="H2352" s="58" t="str">
        <f>CONCATENATE(표4[[#This Row],[세그먼트 (OTA , GOTA, IB'[IB'])]],표4[[#This Row],[목표구분 (REV, RNS, ADR)]],표4[[#This Row],[영업장코드(예약 영업장 코드)]])</f>
        <v>GOTARNS07</v>
      </c>
      <c r="I2352" s="34">
        <f>RIGHT(표4[[#This Row],[년월(XXXX-XX 형식)]],2)*1</f>
        <v>6</v>
      </c>
    </row>
    <row r="2353" spans="1:9" x14ac:dyDescent="0.3">
      <c r="A2353">
        <v>6</v>
      </c>
      <c r="B2353" t="s">
        <v>190</v>
      </c>
      <c r="C2353" t="s">
        <v>191</v>
      </c>
      <c r="D2353" t="s">
        <v>195</v>
      </c>
      <c r="E2353" t="s">
        <v>78</v>
      </c>
      <c r="F2353" s="57" t="s">
        <v>105</v>
      </c>
      <c r="G2353" s="34">
        <f>VLOOKUP(표4[[#This Row],[구분]],ota_rns[#All],표4[[#This Row],[구분1]]+5,FALSE)</f>
        <v>600</v>
      </c>
      <c r="H2353" s="58" t="str">
        <f>CONCATENATE(표4[[#This Row],[세그먼트 (OTA , GOTA, IB'[IB'])]],표4[[#This Row],[목표구분 (REV, RNS, ADR)]],표4[[#This Row],[영업장코드(예약 영업장 코드)]])</f>
        <v>GOTARNS19</v>
      </c>
      <c r="I2353" s="34">
        <f>RIGHT(표4[[#This Row],[년월(XXXX-XX 형식)]],2)*1</f>
        <v>6</v>
      </c>
    </row>
    <row r="2354" spans="1:9" x14ac:dyDescent="0.3">
      <c r="A2354">
        <v>6</v>
      </c>
      <c r="B2354" t="s">
        <v>190</v>
      </c>
      <c r="C2354" t="s">
        <v>191</v>
      </c>
      <c r="D2354" t="s">
        <v>195</v>
      </c>
      <c r="E2354" t="s">
        <v>78</v>
      </c>
      <c r="F2354" s="57" t="s">
        <v>124</v>
      </c>
      <c r="G2354" s="34">
        <f>VLOOKUP(표4[[#This Row],[구분]],ota_rns[#All],표4[[#This Row],[구분1]]+5,FALSE)</f>
        <v>300</v>
      </c>
      <c r="H2354" s="58" t="str">
        <f>CONCATENATE(표4[[#This Row],[세그먼트 (OTA , GOTA, IB'[IB'])]],표4[[#This Row],[목표구분 (REV, RNS, ADR)]],표4[[#This Row],[영업장코드(예약 영업장 코드)]])</f>
        <v>GOTARNS50</v>
      </c>
      <c r="I2354" s="34">
        <f>RIGHT(표4[[#This Row],[년월(XXXX-XX 형식)]],2)*1</f>
        <v>6</v>
      </c>
    </row>
    <row r="2355" spans="1:9" x14ac:dyDescent="0.3">
      <c r="A2355">
        <v>6</v>
      </c>
      <c r="B2355" t="s">
        <v>190</v>
      </c>
      <c r="C2355" t="s">
        <v>191</v>
      </c>
      <c r="D2355" t="s">
        <v>195</v>
      </c>
      <c r="E2355" t="s">
        <v>78</v>
      </c>
      <c r="F2355" s="57" t="s">
        <v>88</v>
      </c>
      <c r="G2355" s="34">
        <f>VLOOKUP(표4[[#This Row],[구분]],ota_rns[#All],표4[[#This Row],[구분1]]+5,FALSE)</f>
        <v>450</v>
      </c>
      <c r="H2355" s="58" t="str">
        <f>CONCATENATE(표4[[#This Row],[세그먼트 (OTA , GOTA, IB'[IB'])]],표4[[#This Row],[목표구분 (REV, RNS, ADR)]],표4[[#This Row],[영업장코드(예약 영업장 코드)]])</f>
        <v>GOTARNS08</v>
      </c>
      <c r="I2355" s="34">
        <f>RIGHT(표4[[#This Row],[년월(XXXX-XX 형식)]],2)*1</f>
        <v>6</v>
      </c>
    </row>
    <row r="2356" spans="1:9" x14ac:dyDescent="0.3">
      <c r="A2356">
        <v>6</v>
      </c>
      <c r="B2356" t="s">
        <v>190</v>
      </c>
      <c r="C2356" t="s">
        <v>191</v>
      </c>
      <c r="D2356" t="s">
        <v>195</v>
      </c>
      <c r="E2356" t="s">
        <v>81</v>
      </c>
      <c r="F2356" s="57" t="s">
        <v>81</v>
      </c>
      <c r="G2356" s="34">
        <f>VLOOKUP(표4[[#This Row],[구분]],ota_rns[#All],표4[[#This Row],[구분1]]+5,FALSE)</f>
        <v>250</v>
      </c>
      <c r="H2356" s="58" t="str">
        <f>CONCATENATE(표4[[#This Row],[세그먼트 (OTA , GOTA, IB'[IB'])]],표4[[#This Row],[목표구분 (REV, RNS, ADR)]],표4[[#This Row],[영업장코드(예약 영업장 코드)]])</f>
        <v>GOTARNS03</v>
      </c>
      <c r="I2356" s="34">
        <f>RIGHT(표4[[#This Row],[년월(XXXX-XX 형식)]],2)*1</f>
        <v>6</v>
      </c>
    </row>
    <row r="2357" spans="1:9" x14ac:dyDescent="0.3">
      <c r="A2357">
        <v>6</v>
      </c>
      <c r="B2357" t="s">
        <v>190</v>
      </c>
      <c r="C2357" t="s">
        <v>191</v>
      </c>
      <c r="D2357" t="s">
        <v>195</v>
      </c>
      <c r="E2357" t="s">
        <v>75</v>
      </c>
      <c r="F2357" s="57" t="s">
        <v>75</v>
      </c>
      <c r="G2357" s="34">
        <f>VLOOKUP(표4[[#This Row],[구분]],ota_rns[#All],표4[[#This Row],[구분1]]+5,FALSE)</f>
        <v>1200</v>
      </c>
      <c r="H2357" s="58" t="str">
        <f>CONCATENATE(표4[[#This Row],[세그먼트 (OTA , GOTA, IB'[IB'])]],표4[[#This Row],[목표구분 (REV, RNS, ADR)]],표4[[#This Row],[영업장코드(예약 영업장 코드)]])</f>
        <v>GOTARNS01</v>
      </c>
      <c r="I2357" s="34">
        <f>RIGHT(표4[[#This Row],[년월(XXXX-XX 형식)]],2)*1</f>
        <v>6</v>
      </c>
    </row>
    <row r="2358" spans="1:9" x14ac:dyDescent="0.3">
      <c r="A2358">
        <v>6</v>
      </c>
      <c r="B2358" t="s">
        <v>190</v>
      </c>
      <c r="C2358" t="s">
        <v>191</v>
      </c>
      <c r="D2358" t="s">
        <v>195</v>
      </c>
      <c r="E2358" t="s">
        <v>75</v>
      </c>
      <c r="F2358" s="57" t="s">
        <v>141</v>
      </c>
      <c r="G2358" s="34">
        <f>VLOOKUP(표4[[#This Row],[구분]],ota_rns[#All],표4[[#This Row],[구분1]]+5,FALSE)</f>
        <v>2640</v>
      </c>
      <c r="H2358" s="58" t="str">
        <f>CONCATENATE(표4[[#This Row],[세그먼트 (OTA , GOTA, IB'[IB'])]],표4[[#This Row],[목표구분 (REV, RNS, ADR)]],표4[[#This Row],[영업장코드(예약 영업장 코드)]])</f>
        <v>GOTARNS70</v>
      </c>
      <c r="I2358" s="34">
        <f>RIGHT(표4[[#This Row],[년월(XXXX-XX 형식)]],2)*1</f>
        <v>6</v>
      </c>
    </row>
    <row r="2359" spans="1:9" x14ac:dyDescent="0.3">
      <c r="A2359">
        <v>6</v>
      </c>
      <c r="B2359" t="s">
        <v>190</v>
      </c>
      <c r="C2359" t="s">
        <v>191</v>
      </c>
      <c r="D2359" t="s">
        <v>195</v>
      </c>
      <c r="E2359" t="s">
        <v>75</v>
      </c>
      <c r="F2359" s="57" t="s">
        <v>113</v>
      </c>
      <c r="G2359" s="34">
        <f>VLOOKUP(표4[[#This Row],[구분]],ota_rns[#All],표4[[#This Row],[구분1]]+5,FALSE)</f>
        <v>350</v>
      </c>
      <c r="H2359" s="58" t="str">
        <f>CONCATENATE(표4[[#This Row],[세그먼트 (OTA , GOTA, IB'[IB'])]],표4[[#This Row],[목표구분 (REV, RNS, ADR)]],표4[[#This Row],[영업장코드(예약 영업장 코드)]])</f>
        <v>GOTARNS25</v>
      </c>
      <c r="I2359" s="34">
        <f>RIGHT(표4[[#This Row],[년월(XXXX-XX 형식)]],2)*1</f>
        <v>6</v>
      </c>
    </row>
    <row r="2360" spans="1:9" x14ac:dyDescent="0.3">
      <c r="A2360">
        <v>6</v>
      </c>
      <c r="B2360" t="s">
        <v>190</v>
      </c>
      <c r="C2360" t="s">
        <v>191</v>
      </c>
      <c r="D2360" t="s">
        <v>195</v>
      </c>
      <c r="E2360" t="s">
        <v>75</v>
      </c>
      <c r="F2360" s="57" t="s">
        <v>117</v>
      </c>
      <c r="G2360" s="34">
        <f>VLOOKUP(표4[[#This Row],[구분]],ota_rns[#All],표4[[#This Row],[구분1]]+5,FALSE)</f>
        <v>1050</v>
      </c>
      <c r="H2360" s="58" t="str">
        <f>CONCATENATE(표4[[#This Row],[세그먼트 (OTA , GOTA, IB'[IB'])]],표4[[#This Row],[목표구분 (REV, RNS, ADR)]],표4[[#This Row],[영업장코드(예약 영업장 코드)]])</f>
        <v>GOTARNS27</v>
      </c>
      <c r="I2360" s="34">
        <f>RIGHT(표4[[#This Row],[년월(XXXX-XX 형식)]],2)*1</f>
        <v>6</v>
      </c>
    </row>
    <row r="2361" spans="1:9" x14ac:dyDescent="0.3">
      <c r="A2361">
        <v>6</v>
      </c>
      <c r="B2361" t="s">
        <v>190</v>
      </c>
      <c r="C2361" t="s">
        <v>191</v>
      </c>
      <c r="D2361" t="s">
        <v>195</v>
      </c>
      <c r="E2361" t="s">
        <v>75</v>
      </c>
      <c r="F2361" s="57" t="s">
        <v>122</v>
      </c>
      <c r="G2361" s="34">
        <f>VLOOKUP(표4[[#This Row],[구분]],ota_rns[#All],표4[[#This Row],[구분1]]+5,FALSE)</f>
        <v>40</v>
      </c>
      <c r="H2361" s="58" t="str">
        <f>CONCATENATE(표4[[#This Row],[세그먼트 (OTA , GOTA, IB'[IB'])]],표4[[#This Row],[목표구분 (REV, RNS, ADR)]],표4[[#This Row],[영업장코드(예약 영업장 코드)]])</f>
        <v>GOTARNS46</v>
      </c>
      <c r="I2361" s="34">
        <f>RIGHT(표4[[#This Row],[년월(XXXX-XX 형식)]],2)*1</f>
        <v>6</v>
      </c>
    </row>
    <row r="2362" spans="1:9" x14ac:dyDescent="0.3">
      <c r="A2362">
        <v>6</v>
      </c>
      <c r="B2362" t="s">
        <v>190</v>
      </c>
      <c r="C2362" t="s">
        <v>191</v>
      </c>
      <c r="D2362" t="s">
        <v>195</v>
      </c>
      <c r="E2362" t="s">
        <v>92</v>
      </c>
      <c r="F2362" s="57" t="s">
        <v>92</v>
      </c>
      <c r="G2362" s="34">
        <f>VLOOKUP(표4[[#This Row],[구분]],ota_rns[#All],표4[[#This Row],[구분1]]+5,FALSE)</f>
        <v>1100</v>
      </c>
      <c r="H2362" s="58" t="str">
        <f>CONCATENATE(표4[[#This Row],[세그먼트 (OTA , GOTA, IB'[IB'])]],표4[[#This Row],[목표구분 (REV, RNS, ADR)]],표4[[#This Row],[영업장코드(예약 영업장 코드)]])</f>
        <v>GOTARNS10</v>
      </c>
      <c r="I2362" s="34">
        <f>RIGHT(표4[[#This Row],[년월(XXXX-XX 형식)]],2)*1</f>
        <v>6</v>
      </c>
    </row>
    <row r="2363" spans="1:9" x14ac:dyDescent="0.3">
      <c r="A2363">
        <v>6</v>
      </c>
      <c r="B2363" t="s">
        <v>190</v>
      </c>
      <c r="C2363" t="s">
        <v>191</v>
      </c>
      <c r="D2363" t="s">
        <v>195</v>
      </c>
      <c r="E2363" t="s">
        <v>110</v>
      </c>
      <c r="F2363" s="57" t="s">
        <v>131</v>
      </c>
      <c r="G2363" s="34">
        <f>VLOOKUP(표4[[#This Row],[구분]],ota_rns[#All],표4[[#This Row],[구분1]]+5,FALSE)</f>
        <v>3300</v>
      </c>
      <c r="H2363" s="58" t="str">
        <f>CONCATENATE(표4[[#This Row],[세그먼트 (OTA , GOTA, IB'[IB'])]],표4[[#This Row],[목표구분 (REV, RNS, ADR)]],표4[[#This Row],[영업장코드(예약 영업장 코드)]])</f>
        <v>GOTARNS61</v>
      </c>
      <c r="I2363" s="34">
        <f>RIGHT(표4[[#This Row],[년월(XXXX-XX 형식)]],2)*1</f>
        <v>6</v>
      </c>
    </row>
    <row r="2364" spans="1:9" x14ac:dyDescent="0.3">
      <c r="A2364">
        <v>6</v>
      </c>
      <c r="B2364" t="s">
        <v>190</v>
      </c>
      <c r="C2364" t="s">
        <v>191</v>
      </c>
      <c r="D2364" t="s">
        <v>195</v>
      </c>
      <c r="E2364" t="s">
        <v>180</v>
      </c>
      <c r="F2364" s="57" t="s">
        <v>180</v>
      </c>
      <c r="G2364" s="34">
        <f>VLOOKUP(표4[[#This Row],[구분]],ota_rns[#All],표4[[#This Row],[구분1]]+5,FALSE)</f>
        <v>930</v>
      </c>
      <c r="H2364" s="58" t="str">
        <f>CONCATENATE(표4[[#This Row],[세그먼트 (OTA , GOTA, IB'[IB'])]],표4[[#This Row],[목표구분 (REV, RNS, ADR)]],표4[[#This Row],[영업장코드(예약 영업장 코드)]])</f>
        <v>GOTARNS05</v>
      </c>
      <c r="I2364" s="34">
        <f>RIGHT(표4[[#This Row],[년월(XXXX-XX 형식)]],2)*1</f>
        <v>6</v>
      </c>
    </row>
    <row r="2365" spans="1:9" x14ac:dyDescent="0.3">
      <c r="A2365">
        <v>6</v>
      </c>
      <c r="B2365" t="s">
        <v>190</v>
      </c>
      <c r="C2365" t="s">
        <v>191</v>
      </c>
      <c r="D2365" t="s">
        <v>195</v>
      </c>
      <c r="E2365" t="s">
        <v>181</v>
      </c>
      <c r="F2365" s="57" t="s">
        <v>137</v>
      </c>
      <c r="G2365" s="34">
        <f>VLOOKUP(표4[[#This Row],[구분]],ota_rns[#All],표4[[#This Row],[구분1]]+5,FALSE)</f>
        <v>400</v>
      </c>
      <c r="H2365" s="58" t="str">
        <f>CONCATENATE(표4[[#This Row],[세그먼트 (OTA , GOTA, IB'[IB'])]],표4[[#This Row],[목표구분 (REV, RNS, ADR)]],표4[[#This Row],[영업장코드(예약 영업장 코드)]])</f>
        <v>GOTARNS66</v>
      </c>
      <c r="I2365" s="34">
        <f>RIGHT(표4[[#This Row],[년월(XXXX-XX 형식)]],2)*1</f>
        <v>6</v>
      </c>
    </row>
    <row r="2366" spans="1:9" x14ac:dyDescent="0.3">
      <c r="A2366">
        <v>6</v>
      </c>
      <c r="B2366" t="s">
        <v>190</v>
      </c>
      <c r="C2366" t="s">
        <v>191</v>
      </c>
      <c r="D2366" t="s">
        <v>195</v>
      </c>
      <c r="E2366" t="s">
        <v>84</v>
      </c>
      <c r="F2366" s="57" t="s">
        <v>84</v>
      </c>
      <c r="G2366" s="34">
        <f>VLOOKUP(표4[[#This Row],[구분]],ota_rns[#All],표4[[#This Row],[구분1]]+5,FALSE)</f>
        <v>1650</v>
      </c>
      <c r="H2366" s="58" t="str">
        <f>CONCATENATE(표4[[#This Row],[세그먼트 (OTA , GOTA, IB'[IB'])]],표4[[#This Row],[목표구분 (REV, RNS, ADR)]],표4[[#This Row],[영업장코드(예약 영업장 코드)]])</f>
        <v>GOTARNS06</v>
      </c>
      <c r="I2366" s="34">
        <f>RIGHT(표4[[#This Row],[년월(XXXX-XX 형식)]],2)*1</f>
        <v>6</v>
      </c>
    </row>
    <row r="2367" spans="1:9" x14ac:dyDescent="0.3">
      <c r="A2367">
        <v>6</v>
      </c>
      <c r="B2367" t="s">
        <v>190</v>
      </c>
      <c r="C2367" t="s">
        <v>191</v>
      </c>
      <c r="D2367" t="s">
        <v>195</v>
      </c>
      <c r="E2367" t="s">
        <v>143</v>
      </c>
      <c r="F2367" s="57" t="s">
        <v>143</v>
      </c>
      <c r="G2367" s="34">
        <f>VLOOKUP(표4[[#This Row],[구분]],ota_rns[#All],표4[[#This Row],[구분1]]+5,FALSE)</f>
        <v>900</v>
      </c>
      <c r="H2367" s="58" t="str">
        <f>CONCATENATE(표4[[#This Row],[세그먼트 (OTA , GOTA, IB'[IB'])]],표4[[#This Row],[목표구분 (REV, RNS, ADR)]],표4[[#This Row],[영업장코드(예약 영업장 코드)]])</f>
        <v>GOTARNS73</v>
      </c>
      <c r="I2367" s="34">
        <f>RIGHT(표4[[#This Row],[년월(XXXX-XX 형식)]],2)*1</f>
        <v>6</v>
      </c>
    </row>
    <row r="2368" spans="1:9" x14ac:dyDescent="0.3">
      <c r="A2368">
        <v>6</v>
      </c>
      <c r="B2368" t="s">
        <v>190</v>
      </c>
      <c r="C2368" t="s">
        <v>191</v>
      </c>
      <c r="D2368" t="s">
        <v>195</v>
      </c>
      <c r="E2368" t="s">
        <v>99</v>
      </c>
      <c r="F2368" s="57" t="s">
        <v>99</v>
      </c>
      <c r="G2368" s="34">
        <f>VLOOKUP(표4[[#This Row],[구분]],ota_rns[#All],표4[[#This Row],[구분1]]+5,FALSE)</f>
        <v>1200</v>
      </c>
      <c r="H2368" s="58" t="str">
        <f>CONCATENATE(표4[[#This Row],[세그먼트 (OTA , GOTA, IB'[IB'])]],표4[[#This Row],[목표구분 (REV, RNS, ADR)]],표4[[#This Row],[영업장코드(예약 영업장 코드)]])</f>
        <v>GOTARNS16</v>
      </c>
      <c r="I2368" s="34">
        <f>RIGHT(표4[[#This Row],[년월(XXXX-XX 형식)]],2)*1</f>
        <v>6</v>
      </c>
    </row>
    <row r="2369" spans="1:9" x14ac:dyDescent="0.3">
      <c r="A2369">
        <v>6</v>
      </c>
      <c r="B2369" t="s">
        <v>190</v>
      </c>
      <c r="C2369" t="s">
        <v>191</v>
      </c>
      <c r="D2369" t="s">
        <v>195</v>
      </c>
      <c r="E2369" t="s">
        <v>103</v>
      </c>
      <c r="F2369" s="57" t="s">
        <v>110</v>
      </c>
      <c r="G2369" s="34">
        <f>VLOOKUP(표4[[#This Row],[구분]],ota_rns[#All],표4[[#This Row],[구분1]]+5,FALSE)</f>
        <v>1600</v>
      </c>
      <c r="H2369" s="58" t="str">
        <f>CONCATENATE(표4[[#This Row],[세그먼트 (OTA , GOTA, IB'[IB'])]],표4[[#This Row],[목표구분 (REV, RNS, ADR)]],표4[[#This Row],[영업장코드(예약 영업장 코드)]])</f>
        <v>GOTARNS24</v>
      </c>
      <c r="I2369" s="34">
        <f>RIGHT(표4[[#This Row],[년월(XXXX-XX 형식)]],2)*1</f>
        <v>6</v>
      </c>
    </row>
    <row r="2370" spans="1:9" x14ac:dyDescent="0.3">
      <c r="A2370">
        <v>6</v>
      </c>
      <c r="B2370" t="s">
        <v>190</v>
      </c>
      <c r="C2370" t="s">
        <v>191</v>
      </c>
      <c r="D2370" t="s">
        <v>195</v>
      </c>
      <c r="E2370" t="s">
        <v>101</v>
      </c>
      <c r="F2370" s="57" t="s">
        <v>107</v>
      </c>
      <c r="G2370" s="34">
        <f>VLOOKUP(표4[[#This Row],[구분]],ota_rns[#All],표4[[#This Row],[구분1]]+5,FALSE)</f>
        <v>600</v>
      </c>
      <c r="H2370" s="58" t="str">
        <f>CONCATENATE(표4[[#This Row],[세그먼트 (OTA , GOTA, IB'[IB'])]],표4[[#This Row],[목표구분 (REV, RNS, ADR)]],표4[[#This Row],[영업장코드(예약 영업장 코드)]])</f>
        <v>GOTARNS22</v>
      </c>
      <c r="I2370" s="34">
        <f>RIGHT(표4[[#This Row],[년월(XXXX-XX 형식)]],2)*1</f>
        <v>6</v>
      </c>
    </row>
    <row r="2371" spans="1:9" x14ac:dyDescent="0.3">
      <c r="A2371">
        <v>6</v>
      </c>
      <c r="B2371" t="s">
        <v>190</v>
      </c>
      <c r="C2371" t="s">
        <v>191</v>
      </c>
      <c r="D2371" t="s">
        <v>195</v>
      </c>
      <c r="E2371" t="s">
        <v>182</v>
      </c>
      <c r="F2371" s="57" t="s">
        <v>147</v>
      </c>
      <c r="G2371" s="34">
        <f>VLOOKUP(표4[[#This Row],[구분]],ota_rns[#All],표4[[#This Row],[구분1]]+5,FALSE)</f>
        <v>2000</v>
      </c>
      <c r="H2371" s="58" t="str">
        <f>CONCATENATE(표4[[#This Row],[세그먼트 (OTA , GOTA, IB'[IB'])]],표4[[#This Row],[목표구분 (REV, RNS, ADR)]],표4[[#This Row],[영업장코드(예약 영업장 코드)]])</f>
        <v>GOTARNS77</v>
      </c>
      <c r="I2371" s="34">
        <f>RIGHT(표4[[#This Row],[년월(XXXX-XX 형식)]],2)*1</f>
        <v>6</v>
      </c>
    </row>
    <row r="2372" spans="1:9" x14ac:dyDescent="0.3">
      <c r="A2372">
        <v>6</v>
      </c>
      <c r="B2372" t="s">
        <v>190</v>
      </c>
      <c r="C2372" t="s">
        <v>191</v>
      </c>
      <c r="D2372" t="s">
        <v>195</v>
      </c>
      <c r="E2372" t="s">
        <v>183</v>
      </c>
      <c r="F2372" s="57" t="s">
        <v>157</v>
      </c>
      <c r="G2372" s="34">
        <f>VLOOKUP(표4[[#This Row],[구분]],ota_rns[#All],표4[[#This Row],[구분1]]+5,FALSE)</f>
        <v>720</v>
      </c>
      <c r="H2372" s="58" t="str">
        <f>CONCATENATE(표4[[#This Row],[세그먼트 (OTA , GOTA, IB'[IB'])]],표4[[#This Row],[목표구분 (REV, RNS, ADR)]],표4[[#This Row],[영업장코드(예약 영업장 코드)]])</f>
        <v>GOTARNS87</v>
      </c>
      <c r="I2372" s="34">
        <f>RIGHT(표4[[#This Row],[년월(XXXX-XX 형식)]],2)*1</f>
        <v>6</v>
      </c>
    </row>
    <row r="2373" spans="1:9" x14ac:dyDescent="0.3">
      <c r="A2373">
        <v>6</v>
      </c>
      <c r="B2373" t="s">
        <v>190</v>
      </c>
      <c r="C2373" t="s">
        <v>191</v>
      </c>
      <c r="D2373" t="s">
        <v>195</v>
      </c>
      <c r="E2373" t="s">
        <v>96</v>
      </c>
      <c r="F2373" s="57" t="s">
        <v>96</v>
      </c>
      <c r="G2373" s="34">
        <f>VLOOKUP(표4[[#This Row],[구분]],ota_rns[#All],표4[[#This Row],[구분1]]+5,FALSE)</f>
        <v>1000</v>
      </c>
      <c r="H2373" s="58" t="str">
        <f>CONCATENATE(표4[[#This Row],[세그먼트 (OTA , GOTA, IB'[IB'])]],표4[[#This Row],[목표구분 (REV, RNS, ADR)]],표4[[#This Row],[영업장코드(예약 영업장 코드)]])</f>
        <v>GOTARNS15</v>
      </c>
      <c r="I2373" s="34">
        <f>RIGHT(표4[[#This Row],[년월(XXXX-XX 형식)]],2)*1</f>
        <v>6</v>
      </c>
    </row>
    <row r="2374" spans="1:9" x14ac:dyDescent="0.3">
      <c r="A2374">
        <v>6</v>
      </c>
      <c r="B2374" t="s">
        <v>190</v>
      </c>
      <c r="C2374" t="s">
        <v>191</v>
      </c>
      <c r="D2374" t="s">
        <v>195</v>
      </c>
      <c r="E2374" t="s">
        <v>105</v>
      </c>
      <c r="F2374" s="57" t="s">
        <v>119</v>
      </c>
      <c r="G2374" s="34">
        <f>VLOOKUP(표4[[#This Row],[구분]],ota_rns[#All],표4[[#This Row],[구분1]]+5,FALSE)</f>
        <v>3800</v>
      </c>
      <c r="H2374" s="58" t="str">
        <f>CONCATENATE(표4[[#This Row],[세그먼트 (OTA , GOTA, IB'[IB'])]],표4[[#This Row],[목표구분 (REV, RNS, ADR)]],표4[[#This Row],[영업장코드(예약 영업장 코드)]])</f>
        <v>GOTARNS29</v>
      </c>
      <c r="I2374" s="34">
        <f>RIGHT(표4[[#This Row],[년월(XXXX-XX 형식)]],2)*1</f>
        <v>6</v>
      </c>
    </row>
    <row r="2375" spans="1:9" x14ac:dyDescent="0.3">
      <c r="A2375">
        <v>6</v>
      </c>
      <c r="B2375" t="s">
        <v>190</v>
      </c>
      <c r="C2375" t="s">
        <v>191</v>
      </c>
      <c r="D2375" t="s">
        <v>195</v>
      </c>
      <c r="E2375" t="s">
        <v>184</v>
      </c>
      <c r="F2375" s="57" t="s">
        <v>152</v>
      </c>
      <c r="G2375" s="34">
        <f>VLOOKUP(표4[[#This Row],[구분]],ota_rns[#All],표4[[#This Row],[구분1]]+5,FALSE)</f>
        <v>910</v>
      </c>
      <c r="H2375" s="58" t="str">
        <f>CONCATENATE(표4[[#This Row],[세그먼트 (OTA , GOTA, IB'[IB'])]],표4[[#This Row],[목표구분 (REV, RNS, ADR)]],표4[[#This Row],[영업장코드(예약 영업장 코드)]])</f>
        <v>GOTARNS85</v>
      </c>
      <c r="I2375" s="34">
        <f>RIGHT(표4[[#This Row],[년월(XXXX-XX 형식)]],2)*1</f>
        <v>6</v>
      </c>
    </row>
    <row r="2376" spans="1:9" x14ac:dyDescent="0.3">
      <c r="A2376">
        <v>6</v>
      </c>
      <c r="B2376" t="s">
        <v>190</v>
      </c>
      <c r="C2376" t="s">
        <v>191</v>
      </c>
      <c r="D2376" t="s">
        <v>195</v>
      </c>
      <c r="E2376" t="s">
        <v>185</v>
      </c>
      <c r="F2376" s="57" t="s">
        <v>128</v>
      </c>
      <c r="G2376" s="34">
        <f>VLOOKUP(표4[[#This Row],[구분]],ota_rns[#All],표4[[#This Row],[구분1]]+5,FALSE)</f>
        <v>1000</v>
      </c>
      <c r="H2376" s="58" t="str">
        <f>CONCATENATE(표4[[#This Row],[세그먼트 (OTA , GOTA, IB'[IB'])]],표4[[#This Row],[목표구분 (REV, RNS, ADR)]],표4[[#This Row],[영업장코드(예약 영업장 코드)]])</f>
        <v>GOTARNS58</v>
      </c>
      <c r="I2376" s="34">
        <f>RIGHT(표4[[#This Row],[년월(XXXX-XX 형식)]],2)*1</f>
        <v>6</v>
      </c>
    </row>
    <row r="2377" spans="1:9" x14ac:dyDescent="0.3">
      <c r="A2377">
        <v>6</v>
      </c>
      <c r="B2377" t="s">
        <v>190</v>
      </c>
      <c r="C2377" t="s">
        <v>191</v>
      </c>
      <c r="D2377" t="s">
        <v>195</v>
      </c>
      <c r="E2377" t="s">
        <v>178</v>
      </c>
      <c r="F2377" s="57" t="s">
        <v>178</v>
      </c>
      <c r="G2377" s="34">
        <f>VLOOKUP(표4[[#This Row],[구분]],ota_rns[#All],표4[[#This Row],[구분1]]+5,FALSE)</f>
        <v>425</v>
      </c>
      <c r="H2377" s="58" t="str">
        <f>CONCATENATE(표4[[#This Row],[세그먼트 (OTA , GOTA, IB'[IB'])]],표4[[#This Row],[목표구분 (REV, RNS, ADR)]],표4[[#This Row],[영업장코드(예약 영업장 코드)]])</f>
        <v>GOTARNS94</v>
      </c>
      <c r="I2377" s="34">
        <f>RIGHT(표4[[#This Row],[년월(XXXX-XX 형식)]],2)*1</f>
        <v>6</v>
      </c>
    </row>
    <row r="2378" spans="1:9" x14ac:dyDescent="0.3">
      <c r="A2378">
        <v>6</v>
      </c>
      <c r="B2378" t="s">
        <v>190</v>
      </c>
      <c r="C2378" t="s">
        <v>192</v>
      </c>
      <c r="D2378" t="s">
        <v>195</v>
      </c>
      <c r="E2378" t="s">
        <v>78</v>
      </c>
      <c r="F2378" s="57" t="s">
        <v>78</v>
      </c>
      <c r="G2378" s="34">
        <f>VLOOKUP(표4[[#This Row],[구분]],ota_rns[#All],표4[[#This Row],[구분1]]+5,FALSE)</f>
        <v>165.52897158790199</v>
      </c>
      <c r="H2378" s="58" t="str">
        <f>CONCATENATE(표4[[#This Row],[세그먼트 (OTA , GOTA, IB'[IB'])]],표4[[#This Row],[목표구분 (REV, RNS, ADR)]],표4[[#This Row],[영업장코드(예약 영업장 코드)]])</f>
        <v>GOTAADR02</v>
      </c>
      <c r="I2378" s="34">
        <f>RIGHT(표4[[#This Row],[년월(XXXX-XX 형식)]],2)*1</f>
        <v>6</v>
      </c>
    </row>
    <row r="2379" spans="1:9" x14ac:dyDescent="0.3">
      <c r="A2379">
        <v>6</v>
      </c>
      <c r="B2379" t="s">
        <v>190</v>
      </c>
      <c r="C2379" t="s">
        <v>192</v>
      </c>
      <c r="D2379" t="s">
        <v>195</v>
      </c>
      <c r="E2379" t="s">
        <v>78</v>
      </c>
      <c r="F2379" s="57" t="s">
        <v>86</v>
      </c>
      <c r="G2379" s="34">
        <f>VLOOKUP(표4[[#This Row],[구분]],ota_rns[#All],표4[[#This Row],[구분1]]+5,FALSE)</f>
        <v>224</v>
      </c>
      <c r="H2379" s="58" t="str">
        <f>CONCATENATE(표4[[#This Row],[세그먼트 (OTA , GOTA, IB'[IB'])]],표4[[#This Row],[목표구분 (REV, RNS, ADR)]],표4[[#This Row],[영업장코드(예약 영업장 코드)]])</f>
        <v>GOTAADR07</v>
      </c>
      <c r="I2379" s="34">
        <f>RIGHT(표4[[#This Row],[년월(XXXX-XX 형식)]],2)*1</f>
        <v>6</v>
      </c>
    </row>
    <row r="2380" spans="1:9" x14ac:dyDescent="0.3">
      <c r="A2380">
        <v>6</v>
      </c>
      <c r="B2380" t="s">
        <v>190</v>
      </c>
      <c r="C2380" t="s">
        <v>192</v>
      </c>
      <c r="D2380" t="s">
        <v>195</v>
      </c>
      <c r="E2380" t="s">
        <v>78</v>
      </c>
      <c r="F2380" s="57" t="s">
        <v>105</v>
      </c>
      <c r="G2380" s="34">
        <f>VLOOKUP(표4[[#This Row],[구분]],ota_rns[#All],표4[[#This Row],[구분1]]+5,FALSE)</f>
        <v>290</v>
      </c>
      <c r="H2380" s="58" t="str">
        <f>CONCATENATE(표4[[#This Row],[세그먼트 (OTA , GOTA, IB'[IB'])]],표4[[#This Row],[목표구분 (REV, RNS, ADR)]],표4[[#This Row],[영업장코드(예약 영업장 코드)]])</f>
        <v>GOTAADR19</v>
      </c>
      <c r="I2380" s="34">
        <f>RIGHT(표4[[#This Row],[년월(XXXX-XX 형식)]],2)*1</f>
        <v>6</v>
      </c>
    </row>
    <row r="2381" spans="1:9" x14ac:dyDescent="0.3">
      <c r="A2381">
        <v>6</v>
      </c>
      <c r="B2381" t="s">
        <v>190</v>
      </c>
      <c r="C2381" t="s">
        <v>192</v>
      </c>
      <c r="D2381" t="s">
        <v>195</v>
      </c>
      <c r="E2381" t="s">
        <v>78</v>
      </c>
      <c r="F2381" s="57" t="s">
        <v>124</v>
      </c>
      <c r="G2381" s="34">
        <f>VLOOKUP(표4[[#This Row],[구분]],ota_rns[#All],표4[[#This Row],[구분1]]+5,FALSE)</f>
        <v>322</v>
      </c>
      <c r="H2381" s="58" t="str">
        <f>CONCATENATE(표4[[#This Row],[세그먼트 (OTA , GOTA, IB'[IB'])]],표4[[#This Row],[목표구분 (REV, RNS, ADR)]],표4[[#This Row],[영업장코드(예약 영업장 코드)]])</f>
        <v>GOTAADR50</v>
      </c>
      <c r="I2381" s="34">
        <f>RIGHT(표4[[#This Row],[년월(XXXX-XX 형식)]],2)*1</f>
        <v>6</v>
      </c>
    </row>
    <row r="2382" spans="1:9" x14ac:dyDescent="0.3">
      <c r="A2382">
        <v>6</v>
      </c>
      <c r="B2382" t="s">
        <v>190</v>
      </c>
      <c r="C2382" t="s">
        <v>192</v>
      </c>
      <c r="D2382" t="s">
        <v>195</v>
      </c>
      <c r="E2382" t="s">
        <v>78</v>
      </c>
      <c r="F2382" s="57" t="s">
        <v>88</v>
      </c>
      <c r="G2382" s="34">
        <f>VLOOKUP(표4[[#This Row],[구분]],ota_rns[#All],표4[[#This Row],[구분1]]+5,FALSE)</f>
        <v>288</v>
      </c>
      <c r="H2382" s="58" t="str">
        <f>CONCATENATE(표4[[#This Row],[세그먼트 (OTA , GOTA, IB'[IB'])]],표4[[#This Row],[목표구분 (REV, RNS, ADR)]],표4[[#This Row],[영업장코드(예약 영업장 코드)]])</f>
        <v>GOTAADR08</v>
      </c>
      <c r="I2382" s="34">
        <f>RIGHT(표4[[#This Row],[년월(XXXX-XX 형식)]],2)*1</f>
        <v>6</v>
      </c>
    </row>
    <row r="2383" spans="1:9" x14ac:dyDescent="0.3">
      <c r="A2383">
        <v>6</v>
      </c>
      <c r="B2383" t="s">
        <v>190</v>
      </c>
      <c r="C2383" t="s">
        <v>192</v>
      </c>
      <c r="D2383" t="s">
        <v>195</v>
      </c>
      <c r="E2383" t="s">
        <v>81</v>
      </c>
      <c r="F2383" s="57" t="s">
        <v>81</v>
      </c>
      <c r="G2383" s="34">
        <f>VLOOKUP(표4[[#This Row],[구분]],ota_rns[#All],표4[[#This Row],[구분1]]+5,FALSE)</f>
        <v>138.087359897959</v>
      </c>
      <c r="H2383" s="58" t="str">
        <f>CONCATENATE(표4[[#This Row],[세그먼트 (OTA , GOTA, IB'[IB'])]],표4[[#This Row],[목표구분 (REV, RNS, ADR)]],표4[[#This Row],[영업장코드(예약 영업장 코드)]])</f>
        <v>GOTAADR03</v>
      </c>
      <c r="I2383" s="34">
        <f>RIGHT(표4[[#This Row],[년월(XXXX-XX 형식)]],2)*1</f>
        <v>6</v>
      </c>
    </row>
    <row r="2384" spans="1:9" x14ac:dyDescent="0.3">
      <c r="A2384">
        <v>6</v>
      </c>
      <c r="B2384" t="s">
        <v>190</v>
      </c>
      <c r="C2384" t="s">
        <v>192</v>
      </c>
      <c r="D2384" t="s">
        <v>195</v>
      </c>
      <c r="E2384" t="s">
        <v>75</v>
      </c>
      <c r="F2384" s="57" t="s">
        <v>75</v>
      </c>
      <c r="G2384" s="34">
        <f>VLOOKUP(표4[[#This Row],[구분]],ota_rns[#All],표4[[#This Row],[구분1]]+5,FALSE)</f>
        <v>152</v>
      </c>
      <c r="H2384" s="58" t="str">
        <f>CONCATENATE(표4[[#This Row],[세그먼트 (OTA , GOTA, IB'[IB'])]],표4[[#This Row],[목표구분 (REV, RNS, ADR)]],표4[[#This Row],[영업장코드(예약 영업장 코드)]])</f>
        <v>GOTAADR01</v>
      </c>
      <c r="I2384" s="34">
        <f>RIGHT(표4[[#This Row],[년월(XXXX-XX 형식)]],2)*1</f>
        <v>6</v>
      </c>
    </row>
    <row r="2385" spans="1:9" x14ac:dyDescent="0.3">
      <c r="A2385">
        <v>6</v>
      </c>
      <c r="B2385" t="s">
        <v>190</v>
      </c>
      <c r="C2385" t="s">
        <v>192</v>
      </c>
      <c r="D2385" t="s">
        <v>195</v>
      </c>
      <c r="E2385" t="s">
        <v>75</v>
      </c>
      <c r="F2385" s="57" t="s">
        <v>141</v>
      </c>
      <c r="G2385" s="34">
        <f>VLOOKUP(표4[[#This Row],[구분]],ota_rns[#All],표4[[#This Row],[구분1]]+5,FALSE)</f>
        <v>241.23659090909089</v>
      </c>
      <c r="H2385" s="58" t="str">
        <f>CONCATENATE(표4[[#This Row],[세그먼트 (OTA , GOTA, IB'[IB'])]],표4[[#This Row],[목표구분 (REV, RNS, ADR)]],표4[[#This Row],[영업장코드(예약 영업장 코드)]])</f>
        <v>GOTAADR70</v>
      </c>
      <c r="I2385" s="34">
        <f>RIGHT(표4[[#This Row],[년월(XXXX-XX 형식)]],2)*1</f>
        <v>6</v>
      </c>
    </row>
    <row r="2386" spans="1:9" x14ac:dyDescent="0.3">
      <c r="A2386">
        <v>6</v>
      </c>
      <c r="B2386" t="s">
        <v>190</v>
      </c>
      <c r="C2386" t="s">
        <v>192</v>
      </c>
      <c r="D2386" t="s">
        <v>195</v>
      </c>
      <c r="E2386" t="s">
        <v>75</v>
      </c>
      <c r="F2386" s="57" t="s">
        <v>113</v>
      </c>
      <c r="G2386" s="34">
        <f>VLOOKUP(표4[[#This Row],[구분]],ota_rns[#All],표4[[#This Row],[구분1]]+5,FALSE)</f>
        <v>206</v>
      </c>
      <c r="H2386" s="58" t="str">
        <f>CONCATENATE(표4[[#This Row],[세그먼트 (OTA , GOTA, IB'[IB'])]],표4[[#This Row],[목표구분 (REV, RNS, ADR)]],표4[[#This Row],[영업장코드(예약 영업장 코드)]])</f>
        <v>GOTAADR25</v>
      </c>
      <c r="I2386" s="34">
        <f>RIGHT(표4[[#This Row],[년월(XXXX-XX 형식)]],2)*1</f>
        <v>6</v>
      </c>
    </row>
    <row r="2387" spans="1:9" x14ac:dyDescent="0.3">
      <c r="A2387">
        <v>6</v>
      </c>
      <c r="B2387" t="s">
        <v>190</v>
      </c>
      <c r="C2387" t="s">
        <v>192</v>
      </c>
      <c r="D2387" t="s">
        <v>195</v>
      </c>
      <c r="E2387" t="s">
        <v>75</v>
      </c>
      <c r="F2387" s="57" t="s">
        <v>117</v>
      </c>
      <c r="G2387" s="34">
        <f>VLOOKUP(표4[[#This Row],[구분]],ota_rns[#All],표4[[#This Row],[구분1]]+5,FALSE)</f>
        <v>353</v>
      </c>
      <c r="H2387" s="58" t="str">
        <f>CONCATENATE(표4[[#This Row],[세그먼트 (OTA , GOTA, IB'[IB'])]],표4[[#This Row],[목표구분 (REV, RNS, ADR)]],표4[[#This Row],[영업장코드(예약 영업장 코드)]])</f>
        <v>GOTAADR27</v>
      </c>
      <c r="I2387" s="34">
        <f>RIGHT(표4[[#This Row],[년월(XXXX-XX 형식)]],2)*1</f>
        <v>6</v>
      </c>
    </row>
    <row r="2388" spans="1:9" x14ac:dyDescent="0.3">
      <c r="A2388">
        <v>6</v>
      </c>
      <c r="B2388" t="s">
        <v>190</v>
      </c>
      <c r="C2388" t="s">
        <v>192</v>
      </c>
      <c r="D2388" t="s">
        <v>195</v>
      </c>
      <c r="E2388" t="s">
        <v>75</v>
      </c>
      <c r="F2388" s="57" t="s">
        <v>122</v>
      </c>
      <c r="G2388" s="34">
        <f>VLOOKUP(표4[[#This Row],[구분]],ota_rns[#All],표4[[#This Row],[구분1]]+5,FALSE)</f>
        <v>292.86500000000001</v>
      </c>
      <c r="H2388" s="58" t="str">
        <f>CONCATENATE(표4[[#This Row],[세그먼트 (OTA , GOTA, IB'[IB'])]],표4[[#This Row],[목표구분 (REV, RNS, ADR)]],표4[[#This Row],[영업장코드(예약 영업장 코드)]])</f>
        <v>GOTAADR46</v>
      </c>
      <c r="I2388" s="34">
        <f>RIGHT(표4[[#This Row],[년월(XXXX-XX 형식)]],2)*1</f>
        <v>6</v>
      </c>
    </row>
    <row r="2389" spans="1:9" x14ac:dyDescent="0.3">
      <c r="A2389">
        <v>6</v>
      </c>
      <c r="B2389" t="s">
        <v>190</v>
      </c>
      <c r="C2389" t="s">
        <v>192</v>
      </c>
      <c r="D2389" t="s">
        <v>195</v>
      </c>
      <c r="E2389" t="s">
        <v>92</v>
      </c>
      <c r="F2389" s="57" t="s">
        <v>92</v>
      </c>
      <c r="G2389" s="34">
        <f>VLOOKUP(표4[[#This Row],[구분]],ota_rns[#All],표4[[#This Row],[구분1]]+5,FALSE)</f>
        <v>185.4</v>
      </c>
      <c r="H2389" s="58" t="str">
        <f>CONCATENATE(표4[[#This Row],[세그먼트 (OTA , GOTA, IB'[IB'])]],표4[[#This Row],[목표구분 (REV, RNS, ADR)]],표4[[#This Row],[영업장코드(예약 영업장 코드)]])</f>
        <v>GOTAADR10</v>
      </c>
      <c r="I2389" s="34">
        <f>RIGHT(표4[[#This Row],[년월(XXXX-XX 형식)]],2)*1</f>
        <v>6</v>
      </c>
    </row>
    <row r="2390" spans="1:9" x14ac:dyDescent="0.3">
      <c r="A2390">
        <v>6</v>
      </c>
      <c r="B2390" t="s">
        <v>190</v>
      </c>
      <c r="C2390" t="s">
        <v>192</v>
      </c>
      <c r="D2390" t="s">
        <v>195</v>
      </c>
      <c r="E2390" t="s">
        <v>110</v>
      </c>
      <c r="F2390" s="57" t="s">
        <v>131</v>
      </c>
      <c r="G2390" s="34">
        <f>VLOOKUP(표4[[#This Row],[구분]],ota_rns[#All],표4[[#This Row],[구분1]]+5,FALSE)</f>
        <v>202</v>
      </c>
      <c r="H2390" s="58" t="str">
        <f>CONCATENATE(표4[[#This Row],[세그먼트 (OTA , GOTA, IB'[IB'])]],표4[[#This Row],[목표구분 (REV, RNS, ADR)]],표4[[#This Row],[영업장코드(예약 영업장 코드)]])</f>
        <v>GOTAADR61</v>
      </c>
      <c r="I2390" s="34">
        <f>RIGHT(표4[[#This Row],[년월(XXXX-XX 형식)]],2)*1</f>
        <v>6</v>
      </c>
    </row>
    <row r="2391" spans="1:9" x14ac:dyDescent="0.3">
      <c r="A2391">
        <v>6</v>
      </c>
      <c r="B2391" t="s">
        <v>190</v>
      </c>
      <c r="C2391" t="s">
        <v>192</v>
      </c>
      <c r="D2391" t="s">
        <v>195</v>
      </c>
      <c r="E2391" t="s">
        <v>180</v>
      </c>
      <c r="F2391" s="57" t="s">
        <v>180</v>
      </c>
      <c r="G2391" s="34">
        <f>VLOOKUP(표4[[#This Row],[구분]],ota_rns[#All],표4[[#This Row],[구분1]]+5,FALSE)</f>
        <v>258.67950543188067</v>
      </c>
      <c r="H2391" s="58" t="str">
        <f>CONCATENATE(표4[[#This Row],[세그먼트 (OTA , GOTA, IB'[IB'])]],표4[[#This Row],[목표구분 (REV, RNS, ADR)]],표4[[#This Row],[영업장코드(예약 영업장 코드)]])</f>
        <v>GOTAADR05</v>
      </c>
      <c r="I2391" s="34">
        <f>RIGHT(표4[[#This Row],[년월(XXXX-XX 형식)]],2)*1</f>
        <v>6</v>
      </c>
    </row>
    <row r="2392" spans="1:9" x14ac:dyDescent="0.3">
      <c r="A2392">
        <v>6</v>
      </c>
      <c r="B2392" t="s">
        <v>190</v>
      </c>
      <c r="C2392" t="s">
        <v>192</v>
      </c>
      <c r="D2392" t="s">
        <v>195</v>
      </c>
      <c r="E2392" t="s">
        <v>181</v>
      </c>
      <c r="F2392" s="57" t="s">
        <v>137</v>
      </c>
      <c r="G2392" s="34">
        <f>VLOOKUP(표4[[#This Row],[구분]],ota_rns[#All],표4[[#This Row],[구분1]]+5,FALSE)</f>
        <v>150</v>
      </c>
      <c r="H2392" s="58" t="str">
        <f>CONCATENATE(표4[[#This Row],[세그먼트 (OTA , GOTA, IB'[IB'])]],표4[[#This Row],[목표구분 (REV, RNS, ADR)]],표4[[#This Row],[영업장코드(예약 영업장 코드)]])</f>
        <v>GOTAADR66</v>
      </c>
      <c r="I2392" s="34">
        <f>RIGHT(표4[[#This Row],[년월(XXXX-XX 형식)]],2)*1</f>
        <v>6</v>
      </c>
    </row>
    <row r="2393" spans="1:9" x14ac:dyDescent="0.3">
      <c r="A2393">
        <v>6</v>
      </c>
      <c r="B2393" t="s">
        <v>190</v>
      </c>
      <c r="C2393" t="s">
        <v>192</v>
      </c>
      <c r="D2393" t="s">
        <v>195</v>
      </c>
      <c r="E2393" t="s">
        <v>84</v>
      </c>
      <c r="F2393" s="57" t="s">
        <v>84</v>
      </c>
      <c r="G2393" s="34">
        <f>VLOOKUP(표4[[#This Row],[구분]],ota_rns[#All],표4[[#This Row],[구분1]]+5,FALSE)</f>
        <v>150.6</v>
      </c>
      <c r="H2393" s="58" t="str">
        <f>CONCATENATE(표4[[#This Row],[세그먼트 (OTA , GOTA, IB'[IB'])]],표4[[#This Row],[목표구분 (REV, RNS, ADR)]],표4[[#This Row],[영업장코드(예약 영업장 코드)]])</f>
        <v>GOTAADR06</v>
      </c>
      <c r="I2393" s="34">
        <f>RIGHT(표4[[#This Row],[년월(XXXX-XX 형식)]],2)*1</f>
        <v>6</v>
      </c>
    </row>
    <row r="2394" spans="1:9" x14ac:dyDescent="0.3">
      <c r="A2394">
        <v>6</v>
      </c>
      <c r="B2394" t="s">
        <v>190</v>
      </c>
      <c r="C2394" t="s">
        <v>192</v>
      </c>
      <c r="D2394" t="s">
        <v>195</v>
      </c>
      <c r="E2394" t="s">
        <v>143</v>
      </c>
      <c r="F2394" s="57" t="s">
        <v>143</v>
      </c>
      <c r="G2394" s="34">
        <f>VLOOKUP(표4[[#This Row],[구분]],ota_rns[#All],표4[[#This Row],[구분1]]+5,FALSE)</f>
        <v>164.3</v>
      </c>
      <c r="H2394" s="58" t="str">
        <f>CONCATENATE(표4[[#This Row],[세그먼트 (OTA , GOTA, IB'[IB'])]],표4[[#This Row],[목표구분 (REV, RNS, ADR)]],표4[[#This Row],[영업장코드(예약 영업장 코드)]])</f>
        <v>GOTAADR73</v>
      </c>
      <c r="I2394" s="34">
        <f>RIGHT(표4[[#This Row],[년월(XXXX-XX 형식)]],2)*1</f>
        <v>6</v>
      </c>
    </row>
    <row r="2395" spans="1:9" x14ac:dyDescent="0.3">
      <c r="A2395">
        <v>6</v>
      </c>
      <c r="B2395" t="s">
        <v>190</v>
      </c>
      <c r="C2395" t="s">
        <v>192</v>
      </c>
      <c r="D2395" t="s">
        <v>195</v>
      </c>
      <c r="E2395" t="s">
        <v>99</v>
      </c>
      <c r="F2395" s="57" t="s">
        <v>99</v>
      </c>
      <c r="G2395" s="34">
        <f>VLOOKUP(표4[[#This Row],[구분]],ota_rns[#All],표4[[#This Row],[구분1]]+5,FALSE)</f>
        <v>150</v>
      </c>
      <c r="H2395" s="58" t="str">
        <f>CONCATENATE(표4[[#This Row],[세그먼트 (OTA , GOTA, IB'[IB'])]],표4[[#This Row],[목표구분 (REV, RNS, ADR)]],표4[[#This Row],[영업장코드(예약 영업장 코드)]])</f>
        <v>GOTAADR16</v>
      </c>
      <c r="I2395" s="34">
        <f>RIGHT(표4[[#This Row],[년월(XXXX-XX 형식)]],2)*1</f>
        <v>6</v>
      </c>
    </row>
    <row r="2396" spans="1:9" x14ac:dyDescent="0.3">
      <c r="A2396">
        <v>6</v>
      </c>
      <c r="B2396" t="s">
        <v>190</v>
      </c>
      <c r="C2396" t="s">
        <v>192</v>
      </c>
      <c r="D2396" t="s">
        <v>195</v>
      </c>
      <c r="E2396" t="s">
        <v>103</v>
      </c>
      <c r="F2396" s="57" t="s">
        <v>110</v>
      </c>
      <c r="G2396" s="34">
        <f>VLOOKUP(표4[[#This Row],[구분]],ota_rns[#All],표4[[#This Row],[구분1]]+5,FALSE)</f>
        <v>203</v>
      </c>
      <c r="H2396" s="58" t="str">
        <f>CONCATENATE(표4[[#This Row],[세그먼트 (OTA , GOTA, IB'[IB'])]],표4[[#This Row],[목표구분 (REV, RNS, ADR)]],표4[[#This Row],[영업장코드(예약 영업장 코드)]])</f>
        <v>GOTAADR24</v>
      </c>
      <c r="I2396" s="34">
        <f>RIGHT(표4[[#This Row],[년월(XXXX-XX 형식)]],2)*1</f>
        <v>6</v>
      </c>
    </row>
    <row r="2397" spans="1:9" x14ac:dyDescent="0.3">
      <c r="A2397">
        <v>6</v>
      </c>
      <c r="B2397" t="s">
        <v>190</v>
      </c>
      <c r="C2397" t="s">
        <v>192</v>
      </c>
      <c r="D2397" t="s">
        <v>195</v>
      </c>
      <c r="E2397" t="s">
        <v>101</v>
      </c>
      <c r="F2397" s="57" t="s">
        <v>107</v>
      </c>
      <c r="G2397" s="34">
        <f>VLOOKUP(표4[[#This Row],[구분]],ota_rns[#All],표4[[#This Row],[구분1]]+5,FALSE)</f>
        <v>266</v>
      </c>
      <c r="H2397" s="58" t="str">
        <f>CONCATENATE(표4[[#This Row],[세그먼트 (OTA , GOTA, IB'[IB'])]],표4[[#This Row],[목표구분 (REV, RNS, ADR)]],표4[[#This Row],[영업장코드(예약 영업장 코드)]])</f>
        <v>GOTAADR22</v>
      </c>
      <c r="I2397" s="34">
        <f>RIGHT(표4[[#This Row],[년월(XXXX-XX 형식)]],2)*1</f>
        <v>6</v>
      </c>
    </row>
    <row r="2398" spans="1:9" x14ac:dyDescent="0.3">
      <c r="A2398">
        <v>6</v>
      </c>
      <c r="B2398" t="s">
        <v>190</v>
      </c>
      <c r="C2398" t="s">
        <v>192</v>
      </c>
      <c r="D2398" t="s">
        <v>195</v>
      </c>
      <c r="E2398" t="s">
        <v>182</v>
      </c>
      <c r="F2398" s="57" t="s">
        <v>147</v>
      </c>
      <c r="G2398" s="34">
        <f>VLOOKUP(표4[[#This Row],[구분]],ota_rns[#All],표4[[#This Row],[구분1]]+5,FALSE)</f>
        <v>194</v>
      </c>
      <c r="H2398" s="58" t="str">
        <f>CONCATENATE(표4[[#This Row],[세그먼트 (OTA , GOTA, IB'[IB'])]],표4[[#This Row],[목표구분 (REV, RNS, ADR)]],표4[[#This Row],[영업장코드(예약 영업장 코드)]])</f>
        <v>GOTAADR77</v>
      </c>
      <c r="I2398" s="34">
        <f>RIGHT(표4[[#This Row],[년월(XXXX-XX 형식)]],2)*1</f>
        <v>6</v>
      </c>
    </row>
    <row r="2399" spans="1:9" x14ac:dyDescent="0.3">
      <c r="A2399">
        <v>6</v>
      </c>
      <c r="B2399" t="s">
        <v>190</v>
      </c>
      <c r="C2399" t="s">
        <v>192</v>
      </c>
      <c r="D2399" t="s">
        <v>195</v>
      </c>
      <c r="E2399" t="s">
        <v>183</v>
      </c>
      <c r="F2399" s="57" t="s">
        <v>157</v>
      </c>
      <c r="G2399" s="34">
        <f>VLOOKUP(표4[[#This Row],[구분]],ota_rns[#All],표4[[#This Row],[구분1]]+5,FALSE)</f>
        <v>222.83333333333334</v>
      </c>
      <c r="H2399" s="58" t="str">
        <f>CONCATENATE(표4[[#This Row],[세그먼트 (OTA , GOTA, IB'[IB'])]],표4[[#This Row],[목표구분 (REV, RNS, ADR)]],표4[[#This Row],[영업장코드(예약 영업장 코드)]])</f>
        <v>GOTAADR87</v>
      </c>
      <c r="I2399" s="34">
        <f>RIGHT(표4[[#This Row],[년월(XXXX-XX 형식)]],2)*1</f>
        <v>6</v>
      </c>
    </row>
    <row r="2400" spans="1:9" x14ac:dyDescent="0.3">
      <c r="A2400">
        <v>6</v>
      </c>
      <c r="B2400" t="s">
        <v>190</v>
      </c>
      <c r="C2400" t="s">
        <v>192</v>
      </c>
      <c r="D2400" t="s">
        <v>195</v>
      </c>
      <c r="E2400" t="s">
        <v>96</v>
      </c>
      <c r="F2400" s="57" t="s">
        <v>96</v>
      </c>
      <c r="G2400" s="34">
        <f>VLOOKUP(표4[[#This Row],[구분]],ota_rns[#All],표4[[#This Row],[구분1]]+5,FALSE)</f>
        <v>152</v>
      </c>
      <c r="H2400" s="58" t="str">
        <f>CONCATENATE(표4[[#This Row],[세그먼트 (OTA , GOTA, IB'[IB'])]],표4[[#This Row],[목표구분 (REV, RNS, ADR)]],표4[[#This Row],[영업장코드(예약 영업장 코드)]])</f>
        <v>GOTAADR15</v>
      </c>
      <c r="I2400" s="34">
        <f>RIGHT(표4[[#This Row],[년월(XXXX-XX 형식)]],2)*1</f>
        <v>6</v>
      </c>
    </row>
    <row r="2401" spans="1:9" x14ac:dyDescent="0.3">
      <c r="A2401">
        <v>6</v>
      </c>
      <c r="B2401" t="s">
        <v>190</v>
      </c>
      <c r="C2401" t="s">
        <v>192</v>
      </c>
      <c r="D2401" t="s">
        <v>195</v>
      </c>
      <c r="E2401" t="s">
        <v>105</v>
      </c>
      <c r="F2401" s="57" t="s">
        <v>119</v>
      </c>
      <c r="G2401" s="34">
        <f>VLOOKUP(표4[[#This Row],[구분]],ota_rns[#All],표4[[#This Row],[구분1]]+5,FALSE)</f>
        <v>190.50299999999999</v>
      </c>
      <c r="H2401" s="58" t="str">
        <f>CONCATENATE(표4[[#This Row],[세그먼트 (OTA , GOTA, IB'[IB'])]],표4[[#This Row],[목표구분 (REV, RNS, ADR)]],표4[[#This Row],[영업장코드(예약 영업장 코드)]])</f>
        <v>GOTAADR29</v>
      </c>
      <c r="I2401" s="34">
        <f>RIGHT(표4[[#This Row],[년월(XXXX-XX 형식)]],2)*1</f>
        <v>6</v>
      </c>
    </row>
    <row r="2402" spans="1:9" x14ac:dyDescent="0.3">
      <c r="A2402">
        <v>6</v>
      </c>
      <c r="B2402" t="s">
        <v>190</v>
      </c>
      <c r="C2402" t="s">
        <v>192</v>
      </c>
      <c r="D2402" t="s">
        <v>195</v>
      </c>
      <c r="E2402" t="s">
        <v>184</v>
      </c>
      <c r="F2402" s="57" t="s">
        <v>152</v>
      </c>
      <c r="G2402" s="34">
        <f>VLOOKUP(표4[[#This Row],[구분]],ota_rns[#All],표4[[#This Row],[구분1]]+5,FALSE)</f>
        <v>342.41758241758242</v>
      </c>
      <c r="H2402" s="58" t="str">
        <f>CONCATENATE(표4[[#This Row],[세그먼트 (OTA , GOTA, IB'[IB'])]],표4[[#This Row],[목표구분 (REV, RNS, ADR)]],표4[[#This Row],[영업장코드(예약 영업장 코드)]])</f>
        <v>GOTAADR85</v>
      </c>
      <c r="I2402" s="34">
        <f>RIGHT(표4[[#This Row],[년월(XXXX-XX 형식)]],2)*1</f>
        <v>6</v>
      </c>
    </row>
    <row r="2403" spans="1:9" x14ac:dyDescent="0.3">
      <c r="A2403">
        <v>6</v>
      </c>
      <c r="B2403" t="s">
        <v>190</v>
      </c>
      <c r="C2403" t="s">
        <v>192</v>
      </c>
      <c r="D2403" t="s">
        <v>195</v>
      </c>
      <c r="E2403" t="s">
        <v>185</v>
      </c>
      <c r="F2403" s="57" t="s">
        <v>128</v>
      </c>
      <c r="G2403" s="34">
        <f>VLOOKUP(표4[[#This Row],[구분]],ota_rns[#All],표4[[#This Row],[구분1]]+5,FALSE)</f>
        <v>100</v>
      </c>
      <c r="H2403" s="58" t="str">
        <f>CONCATENATE(표4[[#This Row],[세그먼트 (OTA , GOTA, IB'[IB'])]],표4[[#This Row],[목표구분 (REV, RNS, ADR)]],표4[[#This Row],[영업장코드(예약 영업장 코드)]])</f>
        <v>GOTAADR58</v>
      </c>
      <c r="I2403" s="34">
        <f>RIGHT(표4[[#This Row],[년월(XXXX-XX 형식)]],2)*1</f>
        <v>6</v>
      </c>
    </row>
    <row r="2404" spans="1:9" x14ac:dyDescent="0.3">
      <c r="A2404">
        <v>6</v>
      </c>
      <c r="B2404" t="s">
        <v>190</v>
      </c>
      <c r="C2404" t="s">
        <v>192</v>
      </c>
      <c r="D2404" t="s">
        <v>195</v>
      </c>
      <c r="E2404" t="s">
        <v>178</v>
      </c>
      <c r="F2404" s="57" t="s">
        <v>178</v>
      </c>
      <c r="G2404" s="34">
        <f>VLOOKUP(표4[[#This Row],[구분]],ota_rns[#All],표4[[#This Row],[구분1]]+5,FALSE)</f>
        <v>259</v>
      </c>
      <c r="H2404" s="58" t="str">
        <f>CONCATENATE(표4[[#This Row],[세그먼트 (OTA , GOTA, IB'[IB'])]],표4[[#This Row],[목표구분 (REV, RNS, ADR)]],표4[[#This Row],[영업장코드(예약 영업장 코드)]])</f>
        <v>GOTAADR94</v>
      </c>
      <c r="I2404" s="34">
        <f>RIGHT(표4[[#This Row],[년월(XXXX-XX 형식)]],2)*1</f>
        <v>6</v>
      </c>
    </row>
    <row r="2405" spans="1:9" x14ac:dyDescent="0.3">
      <c r="A2405">
        <v>6</v>
      </c>
      <c r="B2405" t="s">
        <v>190</v>
      </c>
      <c r="C2405" t="s">
        <v>193</v>
      </c>
      <c r="D2405" t="s">
        <v>195</v>
      </c>
      <c r="E2405" t="s">
        <v>78</v>
      </c>
      <c r="F2405" s="57" t="s">
        <v>78</v>
      </c>
      <c r="G2405" s="34">
        <f>VLOOKUP(표4[[#This Row],[구분]],ota_rns[#All],표4[[#This Row],[구분1]]+5,FALSE)</f>
        <v>182.08186874669221</v>
      </c>
      <c r="H2405" s="58" t="str">
        <f>CONCATENATE(표4[[#This Row],[세그먼트 (OTA , GOTA, IB'[IB'])]],표4[[#This Row],[목표구분 (REV, RNS, ADR)]],표4[[#This Row],[영업장코드(예약 영업장 코드)]])</f>
        <v>GOTAREV02</v>
      </c>
      <c r="I2405" s="34">
        <f>RIGHT(표4[[#This Row],[년월(XXXX-XX 형식)]],2)*1</f>
        <v>6</v>
      </c>
    </row>
    <row r="2406" spans="1:9" x14ac:dyDescent="0.3">
      <c r="A2406">
        <v>6</v>
      </c>
      <c r="B2406" t="s">
        <v>190</v>
      </c>
      <c r="C2406" t="s">
        <v>193</v>
      </c>
      <c r="D2406" t="s">
        <v>195</v>
      </c>
      <c r="E2406" t="s">
        <v>78</v>
      </c>
      <c r="F2406" s="57" t="s">
        <v>86</v>
      </c>
      <c r="G2406" s="34">
        <f>VLOOKUP(표4[[#This Row],[구분]],ota_rns[#All],표4[[#This Row],[구분1]]+5,FALSE)</f>
        <v>112</v>
      </c>
      <c r="H2406" s="58" t="str">
        <f>CONCATENATE(표4[[#This Row],[세그먼트 (OTA , GOTA, IB'[IB'])]],표4[[#This Row],[목표구분 (REV, RNS, ADR)]],표4[[#This Row],[영업장코드(예약 영업장 코드)]])</f>
        <v>GOTAREV07</v>
      </c>
      <c r="I2406" s="34">
        <f>RIGHT(표4[[#This Row],[년월(XXXX-XX 형식)]],2)*1</f>
        <v>6</v>
      </c>
    </row>
    <row r="2407" spans="1:9" x14ac:dyDescent="0.3">
      <c r="A2407">
        <v>6</v>
      </c>
      <c r="B2407" t="s">
        <v>190</v>
      </c>
      <c r="C2407" t="s">
        <v>193</v>
      </c>
      <c r="D2407" t="s">
        <v>195</v>
      </c>
      <c r="E2407" t="s">
        <v>78</v>
      </c>
      <c r="F2407" s="57" t="s">
        <v>105</v>
      </c>
      <c r="G2407" s="34">
        <f>VLOOKUP(표4[[#This Row],[구분]],ota_rns[#All],표4[[#This Row],[구분1]]+5,FALSE)</f>
        <v>174</v>
      </c>
      <c r="H2407" s="58" t="str">
        <f>CONCATENATE(표4[[#This Row],[세그먼트 (OTA , GOTA, IB'[IB'])]],표4[[#This Row],[목표구분 (REV, RNS, ADR)]],표4[[#This Row],[영업장코드(예약 영업장 코드)]])</f>
        <v>GOTAREV19</v>
      </c>
      <c r="I2407" s="34">
        <f>RIGHT(표4[[#This Row],[년월(XXXX-XX 형식)]],2)*1</f>
        <v>6</v>
      </c>
    </row>
    <row r="2408" spans="1:9" x14ac:dyDescent="0.3">
      <c r="A2408">
        <v>6</v>
      </c>
      <c r="B2408" t="s">
        <v>190</v>
      </c>
      <c r="C2408" t="s">
        <v>193</v>
      </c>
      <c r="D2408" t="s">
        <v>195</v>
      </c>
      <c r="E2408" t="s">
        <v>78</v>
      </c>
      <c r="F2408" s="57" t="s">
        <v>124</v>
      </c>
      <c r="G2408" s="34">
        <f>VLOOKUP(표4[[#This Row],[구분]],ota_rns[#All],표4[[#This Row],[구분1]]+5,FALSE)</f>
        <v>96.6</v>
      </c>
      <c r="H2408" s="58" t="str">
        <f>CONCATENATE(표4[[#This Row],[세그먼트 (OTA , GOTA, IB'[IB'])]],표4[[#This Row],[목표구분 (REV, RNS, ADR)]],표4[[#This Row],[영업장코드(예약 영업장 코드)]])</f>
        <v>GOTAREV50</v>
      </c>
      <c r="I2408" s="34">
        <f>RIGHT(표4[[#This Row],[년월(XXXX-XX 형식)]],2)*1</f>
        <v>6</v>
      </c>
    </row>
    <row r="2409" spans="1:9" x14ac:dyDescent="0.3">
      <c r="A2409">
        <v>6</v>
      </c>
      <c r="B2409" t="s">
        <v>190</v>
      </c>
      <c r="C2409" t="s">
        <v>193</v>
      </c>
      <c r="D2409" t="s">
        <v>195</v>
      </c>
      <c r="E2409" t="s">
        <v>78</v>
      </c>
      <c r="F2409" s="57" t="s">
        <v>88</v>
      </c>
      <c r="G2409" s="34">
        <f>VLOOKUP(표4[[#This Row],[구분]],ota_rns[#All],표4[[#This Row],[구분1]]+5,FALSE)</f>
        <v>129.6</v>
      </c>
      <c r="H2409" s="58" t="str">
        <f>CONCATENATE(표4[[#This Row],[세그먼트 (OTA , GOTA, IB'[IB'])]],표4[[#This Row],[목표구분 (REV, RNS, ADR)]],표4[[#This Row],[영업장코드(예약 영업장 코드)]])</f>
        <v>GOTAREV08</v>
      </c>
      <c r="I2409" s="34">
        <f>RIGHT(표4[[#This Row],[년월(XXXX-XX 형식)]],2)*1</f>
        <v>6</v>
      </c>
    </row>
    <row r="2410" spans="1:9" x14ac:dyDescent="0.3">
      <c r="A2410">
        <v>6</v>
      </c>
      <c r="B2410" t="s">
        <v>190</v>
      </c>
      <c r="C2410" t="s">
        <v>193</v>
      </c>
      <c r="D2410" t="s">
        <v>195</v>
      </c>
      <c r="E2410" t="s">
        <v>81</v>
      </c>
      <c r="F2410" s="57" t="s">
        <v>81</v>
      </c>
      <c r="G2410" s="34">
        <f>VLOOKUP(표4[[#This Row],[구분]],ota_rns[#All],표4[[#This Row],[구분1]]+5,FALSE)</f>
        <v>34.521839974489751</v>
      </c>
      <c r="H2410" s="58" t="str">
        <f>CONCATENATE(표4[[#This Row],[세그먼트 (OTA , GOTA, IB'[IB'])]],표4[[#This Row],[목표구분 (REV, RNS, ADR)]],표4[[#This Row],[영업장코드(예약 영업장 코드)]])</f>
        <v>GOTAREV03</v>
      </c>
      <c r="I2410" s="34">
        <f>RIGHT(표4[[#This Row],[년월(XXXX-XX 형식)]],2)*1</f>
        <v>6</v>
      </c>
    </row>
    <row r="2411" spans="1:9" x14ac:dyDescent="0.3">
      <c r="A2411">
        <v>6</v>
      </c>
      <c r="B2411" t="s">
        <v>190</v>
      </c>
      <c r="C2411" t="s">
        <v>193</v>
      </c>
      <c r="D2411" t="s">
        <v>195</v>
      </c>
      <c r="E2411" t="s">
        <v>75</v>
      </c>
      <c r="F2411" s="57" t="s">
        <v>75</v>
      </c>
      <c r="G2411" s="34">
        <f>VLOOKUP(표4[[#This Row],[구분]],ota_rns[#All],표4[[#This Row],[구분1]]+5,FALSE)</f>
        <v>182.4</v>
      </c>
      <c r="H2411" s="58" t="str">
        <f>CONCATENATE(표4[[#This Row],[세그먼트 (OTA , GOTA, IB'[IB'])]],표4[[#This Row],[목표구분 (REV, RNS, ADR)]],표4[[#This Row],[영업장코드(예약 영업장 코드)]])</f>
        <v>GOTAREV01</v>
      </c>
      <c r="I2411" s="34">
        <f>RIGHT(표4[[#This Row],[년월(XXXX-XX 형식)]],2)*1</f>
        <v>6</v>
      </c>
    </row>
    <row r="2412" spans="1:9" x14ac:dyDescent="0.3">
      <c r="A2412">
        <v>6</v>
      </c>
      <c r="B2412" t="s">
        <v>190</v>
      </c>
      <c r="C2412" t="s">
        <v>193</v>
      </c>
      <c r="D2412" t="s">
        <v>195</v>
      </c>
      <c r="E2412" t="s">
        <v>75</v>
      </c>
      <c r="F2412" s="57" t="s">
        <v>141</v>
      </c>
      <c r="G2412" s="34">
        <f>VLOOKUP(표4[[#This Row],[구분]],ota_rns[#All],표4[[#This Row],[구분1]]+5,FALSE)</f>
        <v>636.8646</v>
      </c>
      <c r="H2412" s="58" t="str">
        <f>CONCATENATE(표4[[#This Row],[세그먼트 (OTA , GOTA, IB'[IB'])]],표4[[#This Row],[목표구분 (REV, RNS, ADR)]],표4[[#This Row],[영업장코드(예약 영업장 코드)]])</f>
        <v>GOTAREV70</v>
      </c>
      <c r="I2412" s="34">
        <f>RIGHT(표4[[#This Row],[년월(XXXX-XX 형식)]],2)*1</f>
        <v>6</v>
      </c>
    </row>
    <row r="2413" spans="1:9" x14ac:dyDescent="0.3">
      <c r="A2413">
        <v>6</v>
      </c>
      <c r="B2413" t="s">
        <v>190</v>
      </c>
      <c r="C2413" t="s">
        <v>193</v>
      </c>
      <c r="D2413" t="s">
        <v>195</v>
      </c>
      <c r="E2413" t="s">
        <v>75</v>
      </c>
      <c r="F2413" s="57" t="s">
        <v>113</v>
      </c>
      <c r="G2413" s="34">
        <f>VLOOKUP(표4[[#This Row],[구분]],ota_rns[#All],표4[[#This Row],[구분1]]+5,FALSE)</f>
        <v>72.099999999999994</v>
      </c>
      <c r="H2413" s="58" t="str">
        <f>CONCATENATE(표4[[#This Row],[세그먼트 (OTA , GOTA, IB'[IB'])]],표4[[#This Row],[목표구분 (REV, RNS, ADR)]],표4[[#This Row],[영업장코드(예약 영업장 코드)]])</f>
        <v>GOTAREV25</v>
      </c>
      <c r="I2413" s="34">
        <f>RIGHT(표4[[#This Row],[년월(XXXX-XX 형식)]],2)*1</f>
        <v>6</v>
      </c>
    </row>
    <row r="2414" spans="1:9" x14ac:dyDescent="0.3">
      <c r="A2414">
        <v>6</v>
      </c>
      <c r="B2414" t="s">
        <v>190</v>
      </c>
      <c r="C2414" t="s">
        <v>193</v>
      </c>
      <c r="D2414" t="s">
        <v>195</v>
      </c>
      <c r="E2414" t="s">
        <v>75</v>
      </c>
      <c r="F2414" s="57" t="s">
        <v>117</v>
      </c>
      <c r="G2414" s="34">
        <f>VLOOKUP(표4[[#This Row],[구분]],ota_rns[#All],표4[[#This Row],[구분1]]+5,FALSE)</f>
        <v>370.65</v>
      </c>
      <c r="H2414" s="58" t="str">
        <f>CONCATENATE(표4[[#This Row],[세그먼트 (OTA , GOTA, IB'[IB'])]],표4[[#This Row],[목표구분 (REV, RNS, ADR)]],표4[[#This Row],[영업장코드(예약 영업장 코드)]])</f>
        <v>GOTAREV27</v>
      </c>
      <c r="I2414" s="34">
        <f>RIGHT(표4[[#This Row],[년월(XXXX-XX 형식)]],2)*1</f>
        <v>6</v>
      </c>
    </row>
    <row r="2415" spans="1:9" x14ac:dyDescent="0.3">
      <c r="A2415">
        <v>6</v>
      </c>
      <c r="B2415" t="s">
        <v>190</v>
      </c>
      <c r="C2415" t="s">
        <v>193</v>
      </c>
      <c r="D2415" t="s">
        <v>195</v>
      </c>
      <c r="E2415" t="s">
        <v>75</v>
      </c>
      <c r="F2415" s="57" t="s">
        <v>122</v>
      </c>
      <c r="G2415" s="34">
        <f>VLOOKUP(표4[[#This Row],[구분]],ota_rns[#All],표4[[#This Row],[구분1]]+5,FALSE)</f>
        <v>11.714600000000001</v>
      </c>
      <c r="H2415" s="58" t="str">
        <f>CONCATENATE(표4[[#This Row],[세그먼트 (OTA , GOTA, IB'[IB'])]],표4[[#This Row],[목표구분 (REV, RNS, ADR)]],표4[[#This Row],[영업장코드(예약 영업장 코드)]])</f>
        <v>GOTAREV46</v>
      </c>
      <c r="I2415" s="34">
        <f>RIGHT(표4[[#This Row],[년월(XXXX-XX 형식)]],2)*1</f>
        <v>6</v>
      </c>
    </row>
    <row r="2416" spans="1:9" x14ac:dyDescent="0.3">
      <c r="A2416">
        <v>6</v>
      </c>
      <c r="B2416" t="s">
        <v>190</v>
      </c>
      <c r="C2416" t="s">
        <v>193</v>
      </c>
      <c r="D2416" t="s">
        <v>195</v>
      </c>
      <c r="E2416" t="s">
        <v>92</v>
      </c>
      <c r="F2416" s="57" t="s">
        <v>92</v>
      </c>
      <c r="G2416" s="34">
        <f>VLOOKUP(표4[[#This Row],[구분]],ota_rns[#All],표4[[#This Row],[구분1]]+5,FALSE)</f>
        <v>203.94</v>
      </c>
      <c r="H2416" s="58" t="str">
        <f>CONCATENATE(표4[[#This Row],[세그먼트 (OTA , GOTA, IB'[IB'])]],표4[[#This Row],[목표구분 (REV, RNS, ADR)]],표4[[#This Row],[영업장코드(예약 영업장 코드)]])</f>
        <v>GOTAREV10</v>
      </c>
      <c r="I2416" s="34">
        <f>RIGHT(표4[[#This Row],[년월(XXXX-XX 형식)]],2)*1</f>
        <v>6</v>
      </c>
    </row>
    <row r="2417" spans="1:9" x14ac:dyDescent="0.3">
      <c r="A2417">
        <v>6</v>
      </c>
      <c r="B2417" t="s">
        <v>190</v>
      </c>
      <c r="C2417" t="s">
        <v>193</v>
      </c>
      <c r="D2417" t="s">
        <v>195</v>
      </c>
      <c r="E2417" t="s">
        <v>110</v>
      </c>
      <c r="F2417" s="57" t="s">
        <v>131</v>
      </c>
      <c r="G2417" s="34">
        <f>VLOOKUP(표4[[#This Row],[구분]],ota_rns[#All],표4[[#This Row],[구분1]]+5,FALSE)</f>
        <v>666.6</v>
      </c>
      <c r="H2417" s="58" t="str">
        <f>CONCATENATE(표4[[#This Row],[세그먼트 (OTA , GOTA, IB'[IB'])]],표4[[#This Row],[목표구분 (REV, RNS, ADR)]],표4[[#This Row],[영업장코드(예약 영업장 코드)]])</f>
        <v>GOTAREV61</v>
      </c>
      <c r="I2417" s="34">
        <f>RIGHT(표4[[#This Row],[년월(XXXX-XX 형식)]],2)*1</f>
        <v>6</v>
      </c>
    </row>
    <row r="2418" spans="1:9" x14ac:dyDescent="0.3">
      <c r="A2418">
        <v>6</v>
      </c>
      <c r="B2418" t="s">
        <v>190</v>
      </c>
      <c r="C2418" t="s">
        <v>193</v>
      </c>
      <c r="D2418" t="s">
        <v>195</v>
      </c>
      <c r="E2418" t="s">
        <v>180</v>
      </c>
      <c r="F2418" s="57" t="s">
        <v>180</v>
      </c>
      <c r="G2418" s="34">
        <f>VLOOKUP(표4[[#This Row],[구분]],ota_rns[#All],표4[[#This Row],[구분1]]+5,FALSE)</f>
        <v>240.57194005164899</v>
      </c>
      <c r="H2418" s="58" t="str">
        <f>CONCATENATE(표4[[#This Row],[세그먼트 (OTA , GOTA, IB'[IB'])]],표4[[#This Row],[목표구분 (REV, RNS, ADR)]],표4[[#This Row],[영업장코드(예약 영업장 코드)]])</f>
        <v>GOTAREV05</v>
      </c>
      <c r="I2418" s="34">
        <f>RIGHT(표4[[#This Row],[년월(XXXX-XX 형식)]],2)*1</f>
        <v>6</v>
      </c>
    </row>
    <row r="2419" spans="1:9" x14ac:dyDescent="0.3">
      <c r="A2419">
        <v>6</v>
      </c>
      <c r="B2419" t="s">
        <v>190</v>
      </c>
      <c r="C2419" t="s">
        <v>193</v>
      </c>
      <c r="D2419" t="s">
        <v>195</v>
      </c>
      <c r="E2419" t="s">
        <v>181</v>
      </c>
      <c r="F2419" s="57" t="s">
        <v>137</v>
      </c>
      <c r="G2419" s="34">
        <f>VLOOKUP(표4[[#This Row],[구분]],ota_rns[#All],표4[[#This Row],[구분1]]+5,FALSE)</f>
        <v>60</v>
      </c>
      <c r="H2419" s="58" t="str">
        <f>CONCATENATE(표4[[#This Row],[세그먼트 (OTA , GOTA, IB'[IB'])]],표4[[#This Row],[목표구분 (REV, RNS, ADR)]],표4[[#This Row],[영업장코드(예약 영업장 코드)]])</f>
        <v>GOTAREV66</v>
      </c>
      <c r="I2419" s="34">
        <f>RIGHT(표4[[#This Row],[년월(XXXX-XX 형식)]],2)*1</f>
        <v>6</v>
      </c>
    </row>
    <row r="2420" spans="1:9" x14ac:dyDescent="0.3">
      <c r="A2420">
        <v>6</v>
      </c>
      <c r="B2420" t="s">
        <v>190</v>
      </c>
      <c r="C2420" t="s">
        <v>193</v>
      </c>
      <c r="D2420" t="s">
        <v>195</v>
      </c>
      <c r="E2420" t="s">
        <v>84</v>
      </c>
      <c r="F2420" s="57" t="s">
        <v>84</v>
      </c>
      <c r="G2420" s="34">
        <f>VLOOKUP(표4[[#This Row],[구분]],ota_rns[#All],표4[[#This Row],[구분1]]+5,FALSE)</f>
        <v>248.49</v>
      </c>
      <c r="H2420" s="58" t="str">
        <f>CONCATENATE(표4[[#This Row],[세그먼트 (OTA , GOTA, IB'[IB'])]],표4[[#This Row],[목표구분 (REV, RNS, ADR)]],표4[[#This Row],[영업장코드(예약 영업장 코드)]])</f>
        <v>GOTAREV06</v>
      </c>
      <c r="I2420" s="34">
        <f>RIGHT(표4[[#This Row],[년월(XXXX-XX 형식)]],2)*1</f>
        <v>6</v>
      </c>
    </row>
    <row r="2421" spans="1:9" x14ac:dyDescent="0.3">
      <c r="A2421">
        <v>6</v>
      </c>
      <c r="B2421" t="s">
        <v>190</v>
      </c>
      <c r="C2421" t="s">
        <v>193</v>
      </c>
      <c r="D2421" t="s">
        <v>195</v>
      </c>
      <c r="E2421" t="s">
        <v>143</v>
      </c>
      <c r="F2421" s="57" t="s">
        <v>143</v>
      </c>
      <c r="G2421" s="34">
        <f>VLOOKUP(표4[[#This Row],[구분]],ota_rns[#All],표4[[#This Row],[구분1]]+5,FALSE)</f>
        <v>147.87</v>
      </c>
      <c r="H2421" s="58" t="str">
        <f>CONCATENATE(표4[[#This Row],[세그먼트 (OTA , GOTA, IB'[IB'])]],표4[[#This Row],[목표구분 (REV, RNS, ADR)]],표4[[#This Row],[영업장코드(예약 영업장 코드)]])</f>
        <v>GOTAREV73</v>
      </c>
      <c r="I2421" s="34">
        <f>RIGHT(표4[[#This Row],[년월(XXXX-XX 형식)]],2)*1</f>
        <v>6</v>
      </c>
    </row>
    <row r="2422" spans="1:9" x14ac:dyDescent="0.3">
      <c r="A2422">
        <v>6</v>
      </c>
      <c r="B2422" t="s">
        <v>190</v>
      </c>
      <c r="C2422" t="s">
        <v>193</v>
      </c>
      <c r="D2422" t="s">
        <v>195</v>
      </c>
      <c r="E2422" t="s">
        <v>99</v>
      </c>
      <c r="F2422" s="57" t="s">
        <v>99</v>
      </c>
      <c r="G2422" s="34">
        <f>VLOOKUP(표4[[#This Row],[구분]],ota_rns[#All],표4[[#This Row],[구분1]]+5,FALSE)</f>
        <v>180</v>
      </c>
      <c r="H2422" s="58" t="str">
        <f>CONCATENATE(표4[[#This Row],[세그먼트 (OTA , GOTA, IB'[IB'])]],표4[[#This Row],[목표구분 (REV, RNS, ADR)]],표4[[#This Row],[영업장코드(예약 영업장 코드)]])</f>
        <v>GOTAREV16</v>
      </c>
      <c r="I2422" s="34">
        <f>RIGHT(표4[[#This Row],[년월(XXXX-XX 형식)]],2)*1</f>
        <v>6</v>
      </c>
    </row>
    <row r="2423" spans="1:9" x14ac:dyDescent="0.3">
      <c r="A2423">
        <v>6</v>
      </c>
      <c r="B2423" t="s">
        <v>190</v>
      </c>
      <c r="C2423" t="s">
        <v>193</v>
      </c>
      <c r="D2423" t="s">
        <v>195</v>
      </c>
      <c r="E2423" t="s">
        <v>103</v>
      </c>
      <c r="F2423" s="57" t="s">
        <v>110</v>
      </c>
      <c r="G2423" s="34">
        <f>VLOOKUP(표4[[#This Row],[구분]],ota_rns[#All],표4[[#This Row],[구분1]]+5,FALSE)</f>
        <v>324.8</v>
      </c>
      <c r="H2423" s="58" t="str">
        <f>CONCATENATE(표4[[#This Row],[세그먼트 (OTA , GOTA, IB'[IB'])]],표4[[#This Row],[목표구분 (REV, RNS, ADR)]],표4[[#This Row],[영업장코드(예약 영업장 코드)]])</f>
        <v>GOTAREV24</v>
      </c>
      <c r="I2423" s="34">
        <f>RIGHT(표4[[#This Row],[년월(XXXX-XX 형식)]],2)*1</f>
        <v>6</v>
      </c>
    </row>
    <row r="2424" spans="1:9" x14ac:dyDescent="0.3">
      <c r="A2424">
        <v>6</v>
      </c>
      <c r="B2424" t="s">
        <v>190</v>
      </c>
      <c r="C2424" t="s">
        <v>193</v>
      </c>
      <c r="D2424" t="s">
        <v>195</v>
      </c>
      <c r="E2424" t="s">
        <v>101</v>
      </c>
      <c r="F2424" s="57" t="s">
        <v>107</v>
      </c>
      <c r="G2424" s="34">
        <f>VLOOKUP(표4[[#This Row],[구분]],ota_rns[#All],표4[[#This Row],[구분1]]+5,FALSE)</f>
        <v>159.6</v>
      </c>
      <c r="H2424" s="58" t="str">
        <f>CONCATENATE(표4[[#This Row],[세그먼트 (OTA , GOTA, IB'[IB'])]],표4[[#This Row],[목표구분 (REV, RNS, ADR)]],표4[[#This Row],[영업장코드(예약 영업장 코드)]])</f>
        <v>GOTAREV22</v>
      </c>
      <c r="I2424" s="34">
        <f>RIGHT(표4[[#This Row],[년월(XXXX-XX 형식)]],2)*1</f>
        <v>6</v>
      </c>
    </row>
    <row r="2425" spans="1:9" x14ac:dyDescent="0.3">
      <c r="A2425">
        <v>6</v>
      </c>
      <c r="B2425" t="s">
        <v>190</v>
      </c>
      <c r="C2425" t="s">
        <v>193</v>
      </c>
      <c r="D2425" t="s">
        <v>195</v>
      </c>
      <c r="E2425" t="s">
        <v>182</v>
      </c>
      <c r="F2425" s="57" t="s">
        <v>147</v>
      </c>
      <c r="G2425" s="34">
        <f>VLOOKUP(표4[[#This Row],[구분]],ota_rns[#All],표4[[#This Row],[구분1]]+5,FALSE)</f>
        <v>388</v>
      </c>
      <c r="H2425" s="58" t="str">
        <f>CONCATENATE(표4[[#This Row],[세그먼트 (OTA , GOTA, IB'[IB'])]],표4[[#This Row],[목표구분 (REV, RNS, ADR)]],표4[[#This Row],[영업장코드(예약 영업장 코드)]])</f>
        <v>GOTAREV77</v>
      </c>
      <c r="I2425" s="34">
        <f>RIGHT(표4[[#This Row],[년월(XXXX-XX 형식)]],2)*1</f>
        <v>6</v>
      </c>
    </row>
    <row r="2426" spans="1:9" x14ac:dyDescent="0.3">
      <c r="A2426">
        <v>6</v>
      </c>
      <c r="B2426" t="s">
        <v>190</v>
      </c>
      <c r="C2426" t="s">
        <v>193</v>
      </c>
      <c r="D2426" t="s">
        <v>195</v>
      </c>
      <c r="E2426" t="s">
        <v>183</v>
      </c>
      <c r="F2426" s="57" t="s">
        <v>157</v>
      </c>
      <c r="G2426" s="34">
        <f>VLOOKUP(표4[[#This Row],[구분]],ota_rns[#All],표4[[#This Row],[구분1]]+5,FALSE)</f>
        <v>160.44</v>
      </c>
      <c r="H2426" s="58" t="str">
        <f>CONCATENATE(표4[[#This Row],[세그먼트 (OTA , GOTA, IB'[IB'])]],표4[[#This Row],[목표구분 (REV, RNS, ADR)]],표4[[#This Row],[영업장코드(예약 영업장 코드)]])</f>
        <v>GOTAREV87</v>
      </c>
      <c r="I2426" s="34">
        <f>RIGHT(표4[[#This Row],[년월(XXXX-XX 형식)]],2)*1</f>
        <v>6</v>
      </c>
    </row>
    <row r="2427" spans="1:9" x14ac:dyDescent="0.3">
      <c r="A2427">
        <v>6</v>
      </c>
      <c r="B2427" t="s">
        <v>190</v>
      </c>
      <c r="C2427" t="s">
        <v>193</v>
      </c>
      <c r="D2427" t="s">
        <v>195</v>
      </c>
      <c r="E2427" t="s">
        <v>96</v>
      </c>
      <c r="F2427" s="57" t="s">
        <v>96</v>
      </c>
      <c r="G2427" s="34">
        <f>VLOOKUP(표4[[#This Row],[구분]],ota_rns[#All],표4[[#This Row],[구분1]]+5,FALSE)</f>
        <v>152</v>
      </c>
      <c r="H2427" s="58" t="str">
        <f>CONCATENATE(표4[[#This Row],[세그먼트 (OTA , GOTA, IB'[IB'])]],표4[[#This Row],[목표구분 (REV, RNS, ADR)]],표4[[#This Row],[영업장코드(예약 영업장 코드)]])</f>
        <v>GOTAREV15</v>
      </c>
      <c r="I2427" s="34">
        <f>RIGHT(표4[[#This Row],[년월(XXXX-XX 형식)]],2)*1</f>
        <v>6</v>
      </c>
    </row>
    <row r="2428" spans="1:9" x14ac:dyDescent="0.3">
      <c r="A2428">
        <v>6</v>
      </c>
      <c r="B2428" t="s">
        <v>190</v>
      </c>
      <c r="C2428" t="s">
        <v>193</v>
      </c>
      <c r="D2428" t="s">
        <v>195</v>
      </c>
      <c r="E2428" t="s">
        <v>105</v>
      </c>
      <c r="F2428" s="57" t="s">
        <v>119</v>
      </c>
      <c r="G2428" s="34">
        <f>VLOOKUP(표4[[#This Row],[구분]],ota_rns[#All],표4[[#This Row],[구분1]]+5,FALSE)</f>
        <v>723.91139999999996</v>
      </c>
      <c r="H2428" s="58" t="str">
        <f>CONCATENATE(표4[[#This Row],[세그먼트 (OTA , GOTA, IB'[IB'])]],표4[[#This Row],[목표구분 (REV, RNS, ADR)]],표4[[#This Row],[영업장코드(예약 영업장 코드)]])</f>
        <v>GOTAREV29</v>
      </c>
      <c r="I2428" s="34">
        <f>RIGHT(표4[[#This Row],[년월(XXXX-XX 형식)]],2)*1</f>
        <v>6</v>
      </c>
    </row>
    <row r="2429" spans="1:9" x14ac:dyDescent="0.3">
      <c r="A2429">
        <v>6</v>
      </c>
      <c r="B2429" t="s">
        <v>190</v>
      </c>
      <c r="C2429" t="s">
        <v>193</v>
      </c>
      <c r="D2429" t="s">
        <v>195</v>
      </c>
      <c r="E2429" t="s">
        <v>184</v>
      </c>
      <c r="F2429" s="57" t="s">
        <v>152</v>
      </c>
      <c r="G2429" s="34">
        <f>VLOOKUP(표4[[#This Row],[구분]],ota_rns[#All],표4[[#This Row],[구분1]]+5,FALSE)</f>
        <v>311.60000000000002</v>
      </c>
      <c r="H2429" s="58" t="str">
        <f>CONCATENATE(표4[[#This Row],[세그먼트 (OTA , GOTA, IB'[IB'])]],표4[[#This Row],[목표구분 (REV, RNS, ADR)]],표4[[#This Row],[영업장코드(예약 영업장 코드)]])</f>
        <v>GOTAREV85</v>
      </c>
      <c r="I2429" s="34">
        <f>RIGHT(표4[[#This Row],[년월(XXXX-XX 형식)]],2)*1</f>
        <v>6</v>
      </c>
    </row>
    <row r="2430" spans="1:9" x14ac:dyDescent="0.3">
      <c r="A2430">
        <v>6</v>
      </c>
      <c r="B2430" t="s">
        <v>190</v>
      </c>
      <c r="C2430" t="s">
        <v>193</v>
      </c>
      <c r="D2430" t="s">
        <v>195</v>
      </c>
      <c r="E2430" t="s">
        <v>185</v>
      </c>
      <c r="F2430" s="57" t="s">
        <v>128</v>
      </c>
      <c r="G2430" s="34">
        <f>VLOOKUP(표4[[#This Row],[구분]],ota_rns[#All],표4[[#This Row],[구분1]]+5,FALSE)</f>
        <v>100</v>
      </c>
      <c r="H2430" s="58" t="str">
        <f>CONCATENATE(표4[[#This Row],[세그먼트 (OTA , GOTA, IB'[IB'])]],표4[[#This Row],[목표구분 (REV, RNS, ADR)]],표4[[#This Row],[영업장코드(예약 영업장 코드)]])</f>
        <v>GOTAREV58</v>
      </c>
      <c r="I2430" s="34">
        <f>RIGHT(표4[[#This Row],[년월(XXXX-XX 형식)]],2)*1</f>
        <v>6</v>
      </c>
    </row>
    <row r="2431" spans="1:9" x14ac:dyDescent="0.3">
      <c r="A2431">
        <v>6</v>
      </c>
      <c r="B2431" t="s">
        <v>190</v>
      </c>
      <c r="C2431" t="s">
        <v>193</v>
      </c>
      <c r="D2431" t="s">
        <v>195</v>
      </c>
      <c r="E2431" t="s">
        <v>178</v>
      </c>
      <c r="F2431" s="57" t="s">
        <v>178</v>
      </c>
      <c r="G2431" s="34">
        <f>VLOOKUP(표4[[#This Row],[구분]],ota_rns[#All],표4[[#This Row],[구분1]]+5,FALSE)</f>
        <v>110.075</v>
      </c>
      <c r="H2431" s="58" t="str">
        <f>CONCATENATE(표4[[#This Row],[세그먼트 (OTA , GOTA, IB'[IB'])]],표4[[#This Row],[목표구분 (REV, RNS, ADR)]],표4[[#This Row],[영업장코드(예약 영업장 코드)]])</f>
        <v>GOTAREV94</v>
      </c>
      <c r="I2431" s="34">
        <f>RIGHT(표4[[#This Row],[년월(XXXX-XX 형식)]],2)*1</f>
        <v>6</v>
      </c>
    </row>
    <row r="2432" spans="1:9" x14ac:dyDescent="0.3">
      <c r="A2432">
        <v>7</v>
      </c>
      <c r="B2432" t="s">
        <v>190</v>
      </c>
      <c r="C2432" t="s">
        <v>191</v>
      </c>
      <c r="D2432" t="s">
        <v>195</v>
      </c>
      <c r="E2432" t="s">
        <v>78</v>
      </c>
      <c r="F2432" s="57" t="s">
        <v>78</v>
      </c>
      <c r="G2432" s="34">
        <f>VLOOKUP(표4[[#This Row],[구분]],ota_rns[#All],표4[[#This Row],[구분1]]+5,FALSE)</f>
        <v>2700</v>
      </c>
      <c r="H2432" s="58" t="str">
        <f>CONCATENATE(표4[[#This Row],[세그먼트 (OTA , GOTA, IB'[IB'])]],표4[[#This Row],[목표구분 (REV, RNS, ADR)]],표4[[#This Row],[영업장코드(예약 영업장 코드)]])</f>
        <v>GOTARNS02</v>
      </c>
      <c r="I2432" s="34">
        <f>RIGHT(표4[[#This Row],[년월(XXXX-XX 형식)]],2)*1</f>
        <v>7</v>
      </c>
    </row>
    <row r="2433" spans="1:9" x14ac:dyDescent="0.3">
      <c r="A2433">
        <v>7</v>
      </c>
      <c r="B2433" t="s">
        <v>190</v>
      </c>
      <c r="C2433" t="s">
        <v>191</v>
      </c>
      <c r="D2433" t="s">
        <v>195</v>
      </c>
      <c r="E2433" t="s">
        <v>78</v>
      </c>
      <c r="F2433" s="57" t="s">
        <v>86</v>
      </c>
      <c r="G2433" s="34">
        <f>VLOOKUP(표4[[#This Row],[구분]],ota_rns[#All],표4[[#This Row],[구분1]]+5,FALSE)</f>
        <v>860</v>
      </c>
      <c r="H2433" s="58" t="str">
        <f>CONCATENATE(표4[[#This Row],[세그먼트 (OTA , GOTA, IB'[IB'])]],표4[[#This Row],[목표구분 (REV, RNS, ADR)]],표4[[#This Row],[영업장코드(예약 영업장 코드)]])</f>
        <v>GOTARNS07</v>
      </c>
      <c r="I2433" s="34">
        <f>RIGHT(표4[[#This Row],[년월(XXXX-XX 형식)]],2)*1</f>
        <v>7</v>
      </c>
    </row>
    <row r="2434" spans="1:9" x14ac:dyDescent="0.3">
      <c r="A2434">
        <v>7</v>
      </c>
      <c r="B2434" t="s">
        <v>190</v>
      </c>
      <c r="C2434" t="s">
        <v>191</v>
      </c>
      <c r="D2434" t="s">
        <v>195</v>
      </c>
      <c r="E2434" t="s">
        <v>78</v>
      </c>
      <c r="F2434" s="57" t="s">
        <v>105</v>
      </c>
      <c r="G2434" s="34">
        <f>VLOOKUP(표4[[#This Row],[구분]],ota_rns[#All],표4[[#This Row],[구분1]]+5,FALSE)</f>
        <v>1420</v>
      </c>
      <c r="H2434" s="58" t="str">
        <f>CONCATENATE(표4[[#This Row],[세그먼트 (OTA , GOTA, IB'[IB'])]],표4[[#This Row],[목표구분 (REV, RNS, ADR)]],표4[[#This Row],[영업장코드(예약 영업장 코드)]])</f>
        <v>GOTARNS19</v>
      </c>
      <c r="I2434" s="34">
        <f>RIGHT(표4[[#This Row],[년월(XXXX-XX 형식)]],2)*1</f>
        <v>7</v>
      </c>
    </row>
    <row r="2435" spans="1:9" x14ac:dyDescent="0.3">
      <c r="A2435">
        <v>7</v>
      </c>
      <c r="B2435" t="s">
        <v>190</v>
      </c>
      <c r="C2435" t="s">
        <v>191</v>
      </c>
      <c r="D2435" t="s">
        <v>195</v>
      </c>
      <c r="E2435" t="s">
        <v>78</v>
      </c>
      <c r="F2435" s="57" t="s">
        <v>124</v>
      </c>
      <c r="G2435" s="34">
        <f>VLOOKUP(표4[[#This Row],[구분]],ota_rns[#All],표4[[#This Row],[구분1]]+5,FALSE)</f>
        <v>600</v>
      </c>
      <c r="H2435" s="58" t="str">
        <f>CONCATENATE(표4[[#This Row],[세그먼트 (OTA , GOTA, IB'[IB'])]],표4[[#This Row],[목표구분 (REV, RNS, ADR)]],표4[[#This Row],[영업장코드(예약 영업장 코드)]])</f>
        <v>GOTARNS50</v>
      </c>
      <c r="I2435" s="34">
        <f>RIGHT(표4[[#This Row],[년월(XXXX-XX 형식)]],2)*1</f>
        <v>7</v>
      </c>
    </row>
    <row r="2436" spans="1:9" x14ac:dyDescent="0.3">
      <c r="A2436">
        <v>7</v>
      </c>
      <c r="B2436" t="s">
        <v>190</v>
      </c>
      <c r="C2436" t="s">
        <v>191</v>
      </c>
      <c r="D2436" t="s">
        <v>195</v>
      </c>
      <c r="E2436" t="s">
        <v>78</v>
      </c>
      <c r="F2436" s="57" t="s">
        <v>88</v>
      </c>
      <c r="G2436" s="34">
        <f>VLOOKUP(표4[[#This Row],[구분]],ota_rns[#All],표4[[#This Row],[구분1]]+5,FALSE)</f>
        <v>820</v>
      </c>
      <c r="H2436" s="58" t="str">
        <f>CONCATENATE(표4[[#This Row],[세그먼트 (OTA , GOTA, IB'[IB'])]],표4[[#This Row],[목표구분 (REV, RNS, ADR)]],표4[[#This Row],[영업장코드(예약 영업장 코드)]])</f>
        <v>GOTARNS08</v>
      </c>
      <c r="I2436" s="34">
        <f>RIGHT(표4[[#This Row],[년월(XXXX-XX 형식)]],2)*1</f>
        <v>7</v>
      </c>
    </row>
    <row r="2437" spans="1:9" x14ac:dyDescent="0.3">
      <c r="A2437">
        <v>7</v>
      </c>
      <c r="B2437" t="s">
        <v>190</v>
      </c>
      <c r="C2437" t="s">
        <v>191</v>
      </c>
      <c r="D2437" t="s">
        <v>195</v>
      </c>
      <c r="E2437" t="s">
        <v>81</v>
      </c>
      <c r="F2437" s="57" t="s">
        <v>81</v>
      </c>
      <c r="G2437" s="34">
        <f>VLOOKUP(표4[[#This Row],[구분]],ota_rns[#All],표4[[#This Row],[구분1]]+5,FALSE)</f>
        <v>350</v>
      </c>
      <c r="H2437" s="58" t="str">
        <f>CONCATENATE(표4[[#This Row],[세그먼트 (OTA , GOTA, IB'[IB'])]],표4[[#This Row],[목표구분 (REV, RNS, ADR)]],표4[[#This Row],[영업장코드(예약 영업장 코드)]])</f>
        <v>GOTARNS03</v>
      </c>
      <c r="I2437" s="34">
        <f>RIGHT(표4[[#This Row],[년월(XXXX-XX 형식)]],2)*1</f>
        <v>7</v>
      </c>
    </row>
    <row r="2438" spans="1:9" x14ac:dyDescent="0.3">
      <c r="A2438">
        <v>7</v>
      </c>
      <c r="B2438" t="s">
        <v>190</v>
      </c>
      <c r="C2438" t="s">
        <v>191</v>
      </c>
      <c r="D2438" t="s">
        <v>195</v>
      </c>
      <c r="E2438" t="s">
        <v>75</v>
      </c>
      <c r="F2438" s="57" t="s">
        <v>75</v>
      </c>
      <c r="G2438" s="34">
        <f>VLOOKUP(표4[[#This Row],[구분]],ota_rns[#All],표4[[#This Row],[구분1]]+5,FALSE)</f>
        <v>1900</v>
      </c>
      <c r="H2438" s="58" t="str">
        <f>CONCATENATE(표4[[#This Row],[세그먼트 (OTA , GOTA, IB'[IB'])]],표4[[#This Row],[목표구분 (REV, RNS, ADR)]],표4[[#This Row],[영업장코드(예약 영업장 코드)]])</f>
        <v>GOTARNS01</v>
      </c>
      <c r="I2438" s="34">
        <f>RIGHT(표4[[#This Row],[년월(XXXX-XX 형식)]],2)*1</f>
        <v>7</v>
      </c>
    </row>
    <row r="2439" spans="1:9" x14ac:dyDescent="0.3">
      <c r="A2439">
        <v>7</v>
      </c>
      <c r="B2439" t="s">
        <v>190</v>
      </c>
      <c r="C2439" t="s">
        <v>191</v>
      </c>
      <c r="D2439" t="s">
        <v>195</v>
      </c>
      <c r="E2439" t="s">
        <v>75</v>
      </c>
      <c r="F2439" s="57" t="s">
        <v>141</v>
      </c>
      <c r="G2439" s="34">
        <f>VLOOKUP(표4[[#This Row],[구분]],ota_rns[#All],표4[[#This Row],[구분1]]+5,FALSE)</f>
        <v>3670</v>
      </c>
      <c r="H2439" s="58" t="str">
        <f>CONCATENATE(표4[[#This Row],[세그먼트 (OTA , GOTA, IB'[IB'])]],표4[[#This Row],[목표구분 (REV, RNS, ADR)]],표4[[#This Row],[영업장코드(예약 영업장 코드)]])</f>
        <v>GOTARNS70</v>
      </c>
      <c r="I2439" s="34">
        <f>RIGHT(표4[[#This Row],[년월(XXXX-XX 형식)]],2)*1</f>
        <v>7</v>
      </c>
    </row>
    <row r="2440" spans="1:9" x14ac:dyDescent="0.3">
      <c r="A2440">
        <v>7</v>
      </c>
      <c r="B2440" t="s">
        <v>190</v>
      </c>
      <c r="C2440" t="s">
        <v>191</v>
      </c>
      <c r="D2440" t="s">
        <v>195</v>
      </c>
      <c r="E2440" t="s">
        <v>75</v>
      </c>
      <c r="F2440" s="57" t="s">
        <v>113</v>
      </c>
      <c r="G2440" s="34">
        <f>VLOOKUP(표4[[#This Row],[구분]],ota_rns[#All],표4[[#This Row],[구분1]]+5,FALSE)</f>
        <v>700</v>
      </c>
      <c r="H2440" s="58" t="str">
        <f>CONCATENATE(표4[[#This Row],[세그먼트 (OTA , GOTA, IB'[IB'])]],표4[[#This Row],[목표구분 (REV, RNS, ADR)]],표4[[#This Row],[영업장코드(예약 영업장 코드)]])</f>
        <v>GOTARNS25</v>
      </c>
      <c r="I2440" s="34">
        <f>RIGHT(표4[[#This Row],[년월(XXXX-XX 형식)]],2)*1</f>
        <v>7</v>
      </c>
    </row>
    <row r="2441" spans="1:9" x14ac:dyDescent="0.3">
      <c r="A2441">
        <v>7</v>
      </c>
      <c r="B2441" t="s">
        <v>190</v>
      </c>
      <c r="C2441" t="s">
        <v>191</v>
      </c>
      <c r="D2441" t="s">
        <v>195</v>
      </c>
      <c r="E2441" t="s">
        <v>75</v>
      </c>
      <c r="F2441" s="57" t="s">
        <v>117</v>
      </c>
      <c r="G2441" s="34">
        <f>VLOOKUP(표4[[#This Row],[구분]],ota_rns[#All],표4[[#This Row],[구분1]]+5,FALSE)</f>
        <v>1000</v>
      </c>
      <c r="H2441" s="58" t="str">
        <f>CONCATENATE(표4[[#This Row],[세그먼트 (OTA , GOTA, IB'[IB'])]],표4[[#This Row],[목표구분 (REV, RNS, ADR)]],표4[[#This Row],[영업장코드(예약 영업장 코드)]])</f>
        <v>GOTARNS27</v>
      </c>
      <c r="I2441" s="34">
        <f>RIGHT(표4[[#This Row],[년월(XXXX-XX 형식)]],2)*1</f>
        <v>7</v>
      </c>
    </row>
    <row r="2442" spans="1:9" x14ac:dyDescent="0.3">
      <c r="A2442">
        <v>7</v>
      </c>
      <c r="B2442" t="s">
        <v>190</v>
      </c>
      <c r="C2442" t="s">
        <v>191</v>
      </c>
      <c r="D2442" t="s">
        <v>195</v>
      </c>
      <c r="E2442" t="s">
        <v>75</v>
      </c>
      <c r="F2442" s="57" t="s">
        <v>122</v>
      </c>
      <c r="G2442" s="34">
        <f>VLOOKUP(표4[[#This Row],[구분]],ota_rns[#All],표4[[#This Row],[구분1]]+5,FALSE)</f>
        <v>70</v>
      </c>
      <c r="H2442" s="58" t="str">
        <f>CONCATENATE(표4[[#This Row],[세그먼트 (OTA , GOTA, IB'[IB'])]],표4[[#This Row],[목표구분 (REV, RNS, ADR)]],표4[[#This Row],[영업장코드(예약 영업장 코드)]])</f>
        <v>GOTARNS46</v>
      </c>
      <c r="I2442" s="34">
        <f>RIGHT(표4[[#This Row],[년월(XXXX-XX 형식)]],2)*1</f>
        <v>7</v>
      </c>
    </row>
    <row r="2443" spans="1:9" x14ac:dyDescent="0.3">
      <c r="A2443">
        <v>7</v>
      </c>
      <c r="B2443" t="s">
        <v>190</v>
      </c>
      <c r="C2443" t="s">
        <v>191</v>
      </c>
      <c r="D2443" t="s">
        <v>195</v>
      </c>
      <c r="E2443" t="s">
        <v>92</v>
      </c>
      <c r="F2443" s="57" t="s">
        <v>92</v>
      </c>
      <c r="G2443" s="34">
        <f>VLOOKUP(표4[[#This Row],[구분]],ota_rns[#All],표4[[#This Row],[구분1]]+5,FALSE)</f>
        <v>1350</v>
      </c>
      <c r="H2443" s="58" t="str">
        <f>CONCATENATE(표4[[#This Row],[세그먼트 (OTA , GOTA, IB'[IB'])]],표4[[#This Row],[목표구분 (REV, RNS, ADR)]],표4[[#This Row],[영업장코드(예약 영업장 코드)]])</f>
        <v>GOTARNS10</v>
      </c>
      <c r="I2443" s="34">
        <f>RIGHT(표4[[#This Row],[년월(XXXX-XX 형식)]],2)*1</f>
        <v>7</v>
      </c>
    </row>
    <row r="2444" spans="1:9" x14ac:dyDescent="0.3">
      <c r="A2444">
        <v>7</v>
      </c>
      <c r="B2444" t="s">
        <v>190</v>
      </c>
      <c r="C2444" t="s">
        <v>191</v>
      </c>
      <c r="D2444" t="s">
        <v>195</v>
      </c>
      <c r="E2444" t="s">
        <v>110</v>
      </c>
      <c r="F2444" s="57" t="s">
        <v>131</v>
      </c>
      <c r="G2444" s="34">
        <f>VLOOKUP(표4[[#This Row],[구분]],ota_rns[#All],표4[[#This Row],[구분1]]+5,FALSE)</f>
        <v>2900</v>
      </c>
      <c r="H2444" s="58" t="str">
        <f>CONCATENATE(표4[[#This Row],[세그먼트 (OTA , GOTA, IB'[IB'])]],표4[[#This Row],[목표구분 (REV, RNS, ADR)]],표4[[#This Row],[영업장코드(예약 영업장 코드)]])</f>
        <v>GOTARNS61</v>
      </c>
      <c r="I2444" s="34">
        <f>RIGHT(표4[[#This Row],[년월(XXXX-XX 형식)]],2)*1</f>
        <v>7</v>
      </c>
    </row>
    <row r="2445" spans="1:9" x14ac:dyDescent="0.3">
      <c r="A2445">
        <v>7</v>
      </c>
      <c r="B2445" t="s">
        <v>190</v>
      </c>
      <c r="C2445" t="s">
        <v>191</v>
      </c>
      <c r="D2445" t="s">
        <v>195</v>
      </c>
      <c r="E2445" t="s">
        <v>180</v>
      </c>
      <c r="F2445" s="57" t="s">
        <v>180</v>
      </c>
      <c r="G2445" s="34">
        <f>VLOOKUP(표4[[#This Row],[구분]],ota_rns[#All],표4[[#This Row],[구분1]]+5,FALSE)</f>
        <v>1125</v>
      </c>
      <c r="H2445" s="58" t="str">
        <f>CONCATENATE(표4[[#This Row],[세그먼트 (OTA , GOTA, IB'[IB'])]],표4[[#This Row],[목표구분 (REV, RNS, ADR)]],표4[[#This Row],[영업장코드(예약 영업장 코드)]])</f>
        <v>GOTARNS05</v>
      </c>
      <c r="I2445" s="34">
        <f>RIGHT(표4[[#This Row],[년월(XXXX-XX 형식)]],2)*1</f>
        <v>7</v>
      </c>
    </row>
    <row r="2446" spans="1:9" x14ac:dyDescent="0.3">
      <c r="A2446">
        <v>7</v>
      </c>
      <c r="B2446" t="s">
        <v>190</v>
      </c>
      <c r="C2446" t="s">
        <v>191</v>
      </c>
      <c r="D2446" t="s">
        <v>195</v>
      </c>
      <c r="E2446" t="s">
        <v>181</v>
      </c>
      <c r="F2446" s="57" t="s">
        <v>137</v>
      </c>
      <c r="G2446" s="34">
        <f>VLOOKUP(표4[[#This Row],[구분]],ota_rns[#All],표4[[#This Row],[구분1]]+5,FALSE)</f>
        <v>600</v>
      </c>
      <c r="H2446" s="58" t="str">
        <f>CONCATENATE(표4[[#This Row],[세그먼트 (OTA , GOTA, IB'[IB'])]],표4[[#This Row],[목표구분 (REV, RNS, ADR)]],표4[[#This Row],[영업장코드(예약 영업장 코드)]])</f>
        <v>GOTARNS66</v>
      </c>
      <c r="I2446" s="34">
        <f>RIGHT(표4[[#This Row],[년월(XXXX-XX 형식)]],2)*1</f>
        <v>7</v>
      </c>
    </row>
    <row r="2447" spans="1:9" x14ac:dyDescent="0.3">
      <c r="A2447">
        <v>7</v>
      </c>
      <c r="B2447" t="s">
        <v>190</v>
      </c>
      <c r="C2447" t="s">
        <v>191</v>
      </c>
      <c r="D2447" t="s">
        <v>195</v>
      </c>
      <c r="E2447" t="s">
        <v>84</v>
      </c>
      <c r="F2447" s="57" t="s">
        <v>84</v>
      </c>
      <c r="G2447" s="34">
        <f>VLOOKUP(표4[[#This Row],[구분]],ota_rns[#All],표4[[#This Row],[구분1]]+5,FALSE)</f>
        <v>2200</v>
      </c>
      <c r="H2447" s="58" t="str">
        <f>CONCATENATE(표4[[#This Row],[세그먼트 (OTA , GOTA, IB'[IB'])]],표4[[#This Row],[목표구분 (REV, RNS, ADR)]],표4[[#This Row],[영업장코드(예약 영업장 코드)]])</f>
        <v>GOTARNS06</v>
      </c>
      <c r="I2447" s="34">
        <f>RIGHT(표4[[#This Row],[년월(XXXX-XX 형식)]],2)*1</f>
        <v>7</v>
      </c>
    </row>
    <row r="2448" spans="1:9" x14ac:dyDescent="0.3">
      <c r="A2448">
        <v>7</v>
      </c>
      <c r="B2448" t="s">
        <v>190</v>
      </c>
      <c r="C2448" t="s">
        <v>191</v>
      </c>
      <c r="D2448" t="s">
        <v>195</v>
      </c>
      <c r="E2448" t="s">
        <v>143</v>
      </c>
      <c r="F2448" s="57" t="s">
        <v>143</v>
      </c>
      <c r="G2448" s="34">
        <f>VLOOKUP(표4[[#This Row],[구분]],ota_rns[#All],표4[[#This Row],[구분1]]+5,FALSE)</f>
        <v>1400</v>
      </c>
      <c r="H2448" s="58" t="str">
        <f>CONCATENATE(표4[[#This Row],[세그먼트 (OTA , GOTA, IB'[IB'])]],표4[[#This Row],[목표구분 (REV, RNS, ADR)]],표4[[#This Row],[영업장코드(예약 영업장 코드)]])</f>
        <v>GOTARNS73</v>
      </c>
      <c r="I2448" s="34">
        <f>RIGHT(표4[[#This Row],[년월(XXXX-XX 형식)]],2)*1</f>
        <v>7</v>
      </c>
    </row>
    <row r="2449" spans="1:9" x14ac:dyDescent="0.3">
      <c r="A2449">
        <v>7</v>
      </c>
      <c r="B2449" t="s">
        <v>190</v>
      </c>
      <c r="C2449" t="s">
        <v>191</v>
      </c>
      <c r="D2449" t="s">
        <v>195</v>
      </c>
      <c r="E2449" t="s">
        <v>99</v>
      </c>
      <c r="F2449" s="57" t="s">
        <v>99</v>
      </c>
      <c r="G2449" s="34">
        <f>VLOOKUP(표4[[#This Row],[구분]],ota_rns[#All],표4[[#This Row],[구분1]]+5,FALSE)</f>
        <v>1600</v>
      </c>
      <c r="H2449" s="58" t="str">
        <f>CONCATENATE(표4[[#This Row],[세그먼트 (OTA , GOTA, IB'[IB'])]],표4[[#This Row],[목표구분 (REV, RNS, ADR)]],표4[[#This Row],[영업장코드(예약 영업장 코드)]])</f>
        <v>GOTARNS16</v>
      </c>
      <c r="I2449" s="34">
        <f>RIGHT(표4[[#This Row],[년월(XXXX-XX 형식)]],2)*1</f>
        <v>7</v>
      </c>
    </row>
    <row r="2450" spans="1:9" x14ac:dyDescent="0.3">
      <c r="A2450">
        <v>7</v>
      </c>
      <c r="B2450" t="s">
        <v>190</v>
      </c>
      <c r="C2450" t="s">
        <v>191</v>
      </c>
      <c r="D2450" t="s">
        <v>195</v>
      </c>
      <c r="E2450" t="s">
        <v>103</v>
      </c>
      <c r="F2450" s="57" t="s">
        <v>110</v>
      </c>
      <c r="G2450" s="34">
        <f>VLOOKUP(표4[[#This Row],[구분]],ota_rns[#All],표4[[#This Row],[구분1]]+5,FALSE)</f>
        <v>1500</v>
      </c>
      <c r="H2450" s="58" t="str">
        <f>CONCATENATE(표4[[#This Row],[세그먼트 (OTA , GOTA, IB'[IB'])]],표4[[#This Row],[목표구분 (REV, RNS, ADR)]],표4[[#This Row],[영업장코드(예약 영업장 코드)]])</f>
        <v>GOTARNS24</v>
      </c>
      <c r="I2450" s="34">
        <f>RIGHT(표4[[#This Row],[년월(XXXX-XX 형식)]],2)*1</f>
        <v>7</v>
      </c>
    </row>
    <row r="2451" spans="1:9" x14ac:dyDescent="0.3">
      <c r="A2451">
        <v>7</v>
      </c>
      <c r="B2451" t="s">
        <v>190</v>
      </c>
      <c r="C2451" t="s">
        <v>191</v>
      </c>
      <c r="D2451" t="s">
        <v>195</v>
      </c>
      <c r="E2451" t="s">
        <v>101</v>
      </c>
      <c r="F2451" s="57" t="s">
        <v>107</v>
      </c>
      <c r="G2451" s="34">
        <f>VLOOKUP(표4[[#This Row],[구분]],ota_rns[#All],표4[[#This Row],[구분1]]+5,FALSE)</f>
        <v>800</v>
      </c>
      <c r="H2451" s="58" t="str">
        <f>CONCATENATE(표4[[#This Row],[세그먼트 (OTA , GOTA, IB'[IB'])]],표4[[#This Row],[목표구분 (REV, RNS, ADR)]],표4[[#This Row],[영업장코드(예약 영업장 코드)]])</f>
        <v>GOTARNS22</v>
      </c>
      <c r="I2451" s="34">
        <f>RIGHT(표4[[#This Row],[년월(XXXX-XX 형식)]],2)*1</f>
        <v>7</v>
      </c>
    </row>
    <row r="2452" spans="1:9" x14ac:dyDescent="0.3">
      <c r="A2452">
        <v>7</v>
      </c>
      <c r="B2452" t="s">
        <v>190</v>
      </c>
      <c r="C2452" t="s">
        <v>191</v>
      </c>
      <c r="D2452" t="s">
        <v>195</v>
      </c>
      <c r="E2452" t="s">
        <v>182</v>
      </c>
      <c r="F2452" s="57" t="s">
        <v>147</v>
      </c>
      <c r="G2452" s="34">
        <f>VLOOKUP(표4[[#This Row],[구분]],ota_rns[#All],표4[[#This Row],[구분1]]+5,FALSE)</f>
        <v>2800</v>
      </c>
      <c r="H2452" s="58" t="str">
        <f>CONCATENATE(표4[[#This Row],[세그먼트 (OTA , GOTA, IB'[IB'])]],표4[[#This Row],[목표구분 (REV, RNS, ADR)]],표4[[#This Row],[영업장코드(예약 영업장 코드)]])</f>
        <v>GOTARNS77</v>
      </c>
      <c r="I2452" s="34">
        <f>RIGHT(표4[[#This Row],[년월(XXXX-XX 형식)]],2)*1</f>
        <v>7</v>
      </c>
    </row>
    <row r="2453" spans="1:9" x14ac:dyDescent="0.3">
      <c r="A2453">
        <v>7</v>
      </c>
      <c r="B2453" t="s">
        <v>190</v>
      </c>
      <c r="C2453" t="s">
        <v>191</v>
      </c>
      <c r="D2453" t="s">
        <v>195</v>
      </c>
      <c r="E2453" t="s">
        <v>183</v>
      </c>
      <c r="F2453" s="57" t="s">
        <v>157</v>
      </c>
      <c r="G2453" s="34">
        <f>VLOOKUP(표4[[#This Row],[구분]],ota_rns[#All],표4[[#This Row],[구분1]]+5,FALSE)</f>
        <v>690</v>
      </c>
      <c r="H2453" s="58" t="str">
        <f>CONCATENATE(표4[[#This Row],[세그먼트 (OTA , GOTA, IB'[IB'])]],표4[[#This Row],[목표구분 (REV, RNS, ADR)]],표4[[#This Row],[영업장코드(예약 영업장 코드)]])</f>
        <v>GOTARNS87</v>
      </c>
      <c r="I2453" s="34">
        <f>RIGHT(표4[[#This Row],[년월(XXXX-XX 형식)]],2)*1</f>
        <v>7</v>
      </c>
    </row>
    <row r="2454" spans="1:9" x14ac:dyDescent="0.3">
      <c r="A2454">
        <v>7</v>
      </c>
      <c r="B2454" t="s">
        <v>190</v>
      </c>
      <c r="C2454" t="s">
        <v>191</v>
      </c>
      <c r="D2454" t="s">
        <v>195</v>
      </c>
      <c r="E2454" t="s">
        <v>96</v>
      </c>
      <c r="F2454" s="57" t="s">
        <v>96</v>
      </c>
      <c r="G2454" s="34">
        <f>VLOOKUP(표4[[#This Row],[구분]],ota_rns[#All],표4[[#This Row],[구분1]]+5,FALSE)</f>
        <v>2200</v>
      </c>
      <c r="H2454" s="58" t="str">
        <f>CONCATENATE(표4[[#This Row],[세그먼트 (OTA , GOTA, IB'[IB'])]],표4[[#This Row],[목표구분 (REV, RNS, ADR)]],표4[[#This Row],[영업장코드(예약 영업장 코드)]])</f>
        <v>GOTARNS15</v>
      </c>
      <c r="I2454" s="34">
        <f>RIGHT(표4[[#This Row],[년월(XXXX-XX 형식)]],2)*1</f>
        <v>7</v>
      </c>
    </row>
    <row r="2455" spans="1:9" x14ac:dyDescent="0.3">
      <c r="A2455">
        <v>7</v>
      </c>
      <c r="B2455" t="s">
        <v>190</v>
      </c>
      <c r="C2455" t="s">
        <v>191</v>
      </c>
      <c r="D2455" t="s">
        <v>195</v>
      </c>
      <c r="E2455" t="s">
        <v>105</v>
      </c>
      <c r="F2455" s="57" t="s">
        <v>119</v>
      </c>
      <c r="G2455" s="34">
        <f>VLOOKUP(표4[[#This Row],[구분]],ota_rns[#All],표4[[#This Row],[구분1]]+5,FALSE)</f>
        <v>2700</v>
      </c>
      <c r="H2455" s="58" t="str">
        <f>CONCATENATE(표4[[#This Row],[세그먼트 (OTA , GOTA, IB'[IB'])]],표4[[#This Row],[목표구분 (REV, RNS, ADR)]],표4[[#This Row],[영업장코드(예약 영업장 코드)]])</f>
        <v>GOTARNS29</v>
      </c>
      <c r="I2455" s="34">
        <f>RIGHT(표4[[#This Row],[년월(XXXX-XX 형식)]],2)*1</f>
        <v>7</v>
      </c>
    </row>
    <row r="2456" spans="1:9" x14ac:dyDescent="0.3">
      <c r="A2456">
        <v>7</v>
      </c>
      <c r="B2456" t="s">
        <v>190</v>
      </c>
      <c r="C2456" t="s">
        <v>191</v>
      </c>
      <c r="D2456" t="s">
        <v>195</v>
      </c>
      <c r="E2456" t="s">
        <v>184</v>
      </c>
      <c r="F2456" s="57" t="s">
        <v>152</v>
      </c>
      <c r="G2456" s="34">
        <f>VLOOKUP(표4[[#This Row],[구분]],ota_rns[#All],표4[[#This Row],[구분1]]+5,FALSE)</f>
        <v>1040</v>
      </c>
      <c r="H2456" s="58" t="str">
        <f>CONCATENATE(표4[[#This Row],[세그먼트 (OTA , GOTA, IB'[IB'])]],표4[[#This Row],[목표구분 (REV, RNS, ADR)]],표4[[#This Row],[영업장코드(예약 영업장 코드)]])</f>
        <v>GOTARNS85</v>
      </c>
      <c r="I2456" s="34">
        <f>RIGHT(표4[[#This Row],[년월(XXXX-XX 형식)]],2)*1</f>
        <v>7</v>
      </c>
    </row>
    <row r="2457" spans="1:9" x14ac:dyDescent="0.3">
      <c r="A2457">
        <v>7</v>
      </c>
      <c r="B2457" t="s">
        <v>190</v>
      </c>
      <c r="C2457" t="s">
        <v>191</v>
      </c>
      <c r="D2457" t="s">
        <v>195</v>
      </c>
      <c r="E2457" t="s">
        <v>185</v>
      </c>
      <c r="F2457" s="57" t="s">
        <v>128</v>
      </c>
      <c r="G2457" s="34">
        <f>VLOOKUP(표4[[#This Row],[구분]],ota_rns[#All],표4[[#This Row],[구분1]]+5,FALSE)</f>
        <v>1200</v>
      </c>
      <c r="H2457" s="58" t="str">
        <f>CONCATENATE(표4[[#This Row],[세그먼트 (OTA , GOTA, IB'[IB'])]],표4[[#This Row],[목표구분 (REV, RNS, ADR)]],표4[[#This Row],[영업장코드(예약 영업장 코드)]])</f>
        <v>GOTARNS58</v>
      </c>
      <c r="I2457" s="34">
        <f>RIGHT(표4[[#This Row],[년월(XXXX-XX 형식)]],2)*1</f>
        <v>7</v>
      </c>
    </row>
    <row r="2458" spans="1:9" x14ac:dyDescent="0.3">
      <c r="A2458">
        <v>7</v>
      </c>
      <c r="B2458" t="s">
        <v>190</v>
      </c>
      <c r="C2458" t="s">
        <v>191</v>
      </c>
      <c r="D2458" t="s">
        <v>195</v>
      </c>
      <c r="E2458" t="s">
        <v>178</v>
      </c>
      <c r="F2458" s="57" t="s">
        <v>178</v>
      </c>
      <c r="G2458" s="34">
        <f>VLOOKUP(표4[[#This Row],[구분]],ota_rns[#All],표4[[#This Row],[구분1]]+5,FALSE)</f>
        <v>530</v>
      </c>
      <c r="H2458" s="58" t="str">
        <f>CONCATENATE(표4[[#This Row],[세그먼트 (OTA , GOTA, IB'[IB'])]],표4[[#This Row],[목표구분 (REV, RNS, ADR)]],표4[[#This Row],[영업장코드(예약 영업장 코드)]])</f>
        <v>GOTARNS94</v>
      </c>
      <c r="I2458" s="34">
        <f>RIGHT(표4[[#This Row],[년월(XXXX-XX 형식)]],2)*1</f>
        <v>7</v>
      </c>
    </row>
    <row r="2459" spans="1:9" x14ac:dyDescent="0.3">
      <c r="A2459">
        <v>7</v>
      </c>
      <c r="B2459" t="s">
        <v>190</v>
      </c>
      <c r="C2459" t="s">
        <v>192</v>
      </c>
      <c r="D2459" t="s">
        <v>195</v>
      </c>
      <c r="E2459" t="s">
        <v>78</v>
      </c>
      <c r="F2459" s="57" t="s">
        <v>78</v>
      </c>
      <c r="G2459" s="34">
        <f>VLOOKUP(표4[[#This Row],[구분]],ota_rns[#All],표4[[#This Row],[구분1]]+5,FALSE)</f>
        <v>221.90974743657702</v>
      </c>
      <c r="H2459" s="58" t="str">
        <f>CONCATENATE(표4[[#This Row],[세그먼트 (OTA , GOTA, IB'[IB'])]],표4[[#This Row],[목표구분 (REV, RNS, ADR)]],표4[[#This Row],[영업장코드(예약 영업장 코드)]])</f>
        <v>GOTAADR02</v>
      </c>
      <c r="I2459" s="34">
        <f>RIGHT(표4[[#This Row],[년월(XXXX-XX 형식)]],2)*1</f>
        <v>7</v>
      </c>
    </row>
    <row r="2460" spans="1:9" x14ac:dyDescent="0.3">
      <c r="A2460">
        <v>7</v>
      </c>
      <c r="B2460" t="s">
        <v>190</v>
      </c>
      <c r="C2460" t="s">
        <v>192</v>
      </c>
      <c r="D2460" t="s">
        <v>195</v>
      </c>
      <c r="E2460" t="s">
        <v>78</v>
      </c>
      <c r="F2460" s="57" t="s">
        <v>86</v>
      </c>
      <c r="G2460" s="34">
        <f>VLOOKUP(표4[[#This Row],[구분]],ota_rns[#All],표4[[#This Row],[구분1]]+5,FALSE)</f>
        <v>281.79301953649571</v>
      </c>
      <c r="H2460" s="58" t="str">
        <f>CONCATENATE(표4[[#This Row],[세그먼트 (OTA , GOTA, IB'[IB'])]],표4[[#This Row],[목표구분 (REV, RNS, ADR)]],표4[[#This Row],[영업장코드(예약 영업장 코드)]])</f>
        <v>GOTAADR07</v>
      </c>
      <c r="I2460" s="34">
        <f>RIGHT(표4[[#This Row],[년월(XXXX-XX 형식)]],2)*1</f>
        <v>7</v>
      </c>
    </row>
    <row r="2461" spans="1:9" x14ac:dyDescent="0.3">
      <c r="A2461">
        <v>7</v>
      </c>
      <c r="B2461" t="s">
        <v>190</v>
      </c>
      <c r="C2461" t="s">
        <v>192</v>
      </c>
      <c r="D2461" t="s">
        <v>195</v>
      </c>
      <c r="E2461" t="s">
        <v>78</v>
      </c>
      <c r="F2461" s="57" t="s">
        <v>105</v>
      </c>
      <c r="G2461" s="34">
        <f>VLOOKUP(표4[[#This Row],[구분]],ota_rns[#All],표4[[#This Row],[구분1]]+5,FALSE)</f>
        <v>359.33300000000003</v>
      </c>
      <c r="H2461" s="58" t="str">
        <f>CONCATENATE(표4[[#This Row],[세그먼트 (OTA , GOTA, IB'[IB'])]],표4[[#This Row],[목표구분 (REV, RNS, ADR)]],표4[[#This Row],[영업장코드(예약 영업장 코드)]])</f>
        <v>GOTAADR19</v>
      </c>
      <c r="I2461" s="34">
        <f>RIGHT(표4[[#This Row],[년월(XXXX-XX 형식)]],2)*1</f>
        <v>7</v>
      </c>
    </row>
    <row r="2462" spans="1:9" x14ac:dyDescent="0.3">
      <c r="A2462">
        <v>7</v>
      </c>
      <c r="B2462" t="s">
        <v>190</v>
      </c>
      <c r="C2462" t="s">
        <v>192</v>
      </c>
      <c r="D2462" t="s">
        <v>195</v>
      </c>
      <c r="E2462" t="s">
        <v>78</v>
      </c>
      <c r="F2462" s="57" t="s">
        <v>124</v>
      </c>
      <c r="G2462" s="34">
        <f>VLOOKUP(표4[[#This Row],[구분]],ota_rns[#All],표4[[#This Row],[구분1]]+5,FALSE)</f>
        <v>391</v>
      </c>
      <c r="H2462" s="58" t="str">
        <f>CONCATENATE(표4[[#This Row],[세그먼트 (OTA , GOTA, IB'[IB'])]],표4[[#This Row],[목표구분 (REV, RNS, ADR)]],표4[[#This Row],[영업장코드(예약 영업장 코드)]])</f>
        <v>GOTAADR50</v>
      </c>
      <c r="I2462" s="34">
        <f>RIGHT(표4[[#This Row],[년월(XXXX-XX 형식)]],2)*1</f>
        <v>7</v>
      </c>
    </row>
    <row r="2463" spans="1:9" x14ac:dyDescent="0.3">
      <c r="A2463">
        <v>7</v>
      </c>
      <c r="B2463" t="s">
        <v>190</v>
      </c>
      <c r="C2463" t="s">
        <v>192</v>
      </c>
      <c r="D2463" t="s">
        <v>195</v>
      </c>
      <c r="E2463" t="s">
        <v>78</v>
      </c>
      <c r="F2463" s="57" t="s">
        <v>88</v>
      </c>
      <c r="G2463" s="34">
        <f>VLOOKUP(표4[[#This Row],[구분]],ota_rns[#All],표4[[#This Row],[구분1]]+5,FALSE)</f>
        <v>395</v>
      </c>
      <c r="H2463" s="58" t="str">
        <f>CONCATENATE(표4[[#This Row],[세그먼트 (OTA , GOTA, IB'[IB'])]],표4[[#This Row],[목표구분 (REV, RNS, ADR)]],표4[[#This Row],[영업장코드(예약 영업장 코드)]])</f>
        <v>GOTAADR08</v>
      </c>
      <c r="I2463" s="34">
        <f>RIGHT(표4[[#This Row],[년월(XXXX-XX 형식)]],2)*1</f>
        <v>7</v>
      </c>
    </row>
    <row r="2464" spans="1:9" x14ac:dyDescent="0.3">
      <c r="A2464">
        <v>7</v>
      </c>
      <c r="B2464" t="s">
        <v>190</v>
      </c>
      <c r="C2464" t="s">
        <v>192</v>
      </c>
      <c r="D2464" t="s">
        <v>195</v>
      </c>
      <c r="E2464" t="s">
        <v>81</v>
      </c>
      <c r="F2464" s="57" t="s">
        <v>81</v>
      </c>
      <c r="G2464" s="34">
        <f>VLOOKUP(표4[[#This Row],[구분]],ota_rns[#All],표4[[#This Row],[구분1]]+5,FALSE)</f>
        <v>179.532730684039</v>
      </c>
      <c r="H2464" s="58" t="str">
        <f>CONCATENATE(표4[[#This Row],[세그먼트 (OTA , GOTA, IB'[IB'])]],표4[[#This Row],[목표구분 (REV, RNS, ADR)]],표4[[#This Row],[영업장코드(예약 영업장 코드)]])</f>
        <v>GOTAADR03</v>
      </c>
      <c r="I2464" s="34">
        <f>RIGHT(표4[[#This Row],[년월(XXXX-XX 형식)]],2)*1</f>
        <v>7</v>
      </c>
    </row>
    <row r="2465" spans="1:9" x14ac:dyDescent="0.3">
      <c r="A2465">
        <v>7</v>
      </c>
      <c r="B2465" t="s">
        <v>190</v>
      </c>
      <c r="C2465" t="s">
        <v>192</v>
      </c>
      <c r="D2465" t="s">
        <v>195</v>
      </c>
      <c r="E2465" t="s">
        <v>75</v>
      </c>
      <c r="F2465" s="57" t="s">
        <v>75</v>
      </c>
      <c r="G2465" s="34">
        <f>VLOOKUP(표4[[#This Row],[구분]],ota_rns[#All],표4[[#This Row],[구분1]]+5,FALSE)</f>
        <v>188</v>
      </c>
      <c r="H2465" s="58" t="str">
        <f>CONCATENATE(표4[[#This Row],[세그먼트 (OTA , GOTA, IB'[IB'])]],표4[[#This Row],[목표구분 (REV, RNS, ADR)]],표4[[#This Row],[영업장코드(예약 영업장 코드)]])</f>
        <v>GOTAADR01</v>
      </c>
      <c r="I2465" s="34">
        <f>RIGHT(표4[[#This Row],[년월(XXXX-XX 형식)]],2)*1</f>
        <v>7</v>
      </c>
    </row>
    <row r="2466" spans="1:9" x14ac:dyDescent="0.3">
      <c r="A2466">
        <v>7</v>
      </c>
      <c r="B2466" t="s">
        <v>190</v>
      </c>
      <c r="C2466" t="s">
        <v>192</v>
      </c>
      <c r="D2466" t="s">
        <v>195</v>
      </c>
      <c r="E2466" t="s">
        <v>75</v>
      </c>
      <c r="F2466" s="57" t="s">
        <v>141</v>
      </c>
      <c r="G2466" s="34">
        <f>VLOOKUP(표4[[#This Row],[구분]],ota_rns[#All],표4[[#This Row],[구분1]]+5,FALSE)</f>
        <v>260.38147138964575</v>
      </c>
      <c r="H2466" s="58" t="str">
        <f>CONCATENATE(표4[[#This Row],[세그먼트 (OTA , GOTA, IB'[IB'])]],표4[[#This Row],[목표구분 (REV, RNS, ADR)]],표4[[#This Row],[영업장코드(예약 영업장 코드)]])</f>
        <v>GOTAADR70</v>
      </c>
      <c r="I2466" s="34">
        <f>RIGHT(표4[[#This Row],[년월(XXXX-XX 형식)]],2)*1</f>
        <v>7</v>
      </c>
    </row>
    <row r="2467" spans="1:9" x14ac:dyDescent="0.3">
      <c r="A2467">
        <v>7</v>
      </c>
      <c r="B2467" t="s">
        <v>190</v>
      </c>
      <c r="C2467" t="s">
        <v>192</v>
      </c>
      <c r="D2467" t="s">
        <v>195</v>
      </c>
      <c r="E2467" t="s">
        <v>75</v>
      </c>
      <c r="F2467" s="57" t="s">
        <v>113</v>
      </c>
      <c r="G2467" s="34">
        <f>VLOOKUP(표4[[#This Row],[구분]],ota_rns[#All],표4[[#This Row],[구분1]]+5,FALSE)</f>
        <v>223</v>
      </c>
      <c r="H2467" s="58" t="str">
        <f>CONCATENATE(표4[[#This Row],[세그먼트 (OTA , GOTA, IB'[IB'])]],표4[[#This Row],[목표구분 (REV, RNS, ADR)]],표4[[#This Row],[영업장코드(예약 영업장 코드)]])</f>
        <v>GOTAADR25</v>
      </c>
      <c r="I2467" s="34">
        <f>RIGHT(표4[[#This Row],[년월(XXXX-XX 형식)]],2)*1</f>
        <v>7</v>
      </c>
    </row>
    <row r="2468" spans="1:9" x14ac:dyDescent="0.3">
      <c r="A2468">
        <v>7</v>
      </c>
      <c r="B2468" t="s">
        <v>190</v>
      </c>
      <c r="C2468" t="s">
        <v>192</v>
      </c>
      <c r="D2468" t="s">
        <v>195</v>
      </c>
      <c r="E2468" t="s">
        <v>75</v>
      </c>
      <c r="F2468" s="57" t="s">
        <v>117</v>
      </c>
      <c r="G2468" s="34">
        <f>VLOOKUP(표4[[#This Row],[구분]],ota_rns[#All],표4[[#This Row],[구분1]]+5,FALSE)</f>
        <v>415</v>
      </c>
      <c r="H2468" s="58" t="str">
        <f>CONCATENATE(표4[[#This Row],[세그먼트 (OTA , GOTA, IB'[IB'])]],표4[[#This Row],[목표구분 (REV, RNS, ADR)]],표4[[#This Row],[영업장코드(예약 영업장 코드)]])</f>
        <v>GOTAADR27</v>
      </c>
      <c r="I2468" s="34">
        <f>RIGHT(표4[[#This Row],[년월(XXXX-XX 형식)]],2)*1</f>
        <v>7</v>
      </c>
    </row>
    <row r="2469" spans="1:9" x14ac:dyDescent="0.3">
      <c r="A2469">
        <v>7</v>
      </c>
      <c r="B2469" t="s">
        <v>190</v>
      </c>
      <c r="C2469" t="s">
        <v>192</v>
      </c>
      <c r="D2469" t="s">
        <v>195</v>
      </c>
      <c r="E2469" t="s">
        <v>75</v>
      </c>
      <c r="F2469" s="57" t="s">
        <v>122</v>
      </c>
      <c r="G2469" s="34">
        <f>VLOOKUP(표4[[#This Row],[구분]],ota_rns[#All],표4[[#This Row],[구분1]]+5,FALSE)</f>
        <v>390</v>
      </c>
      <c r="H2469" s="58" t="str">
        <f>CONCATENATE(표4[[#This Row],[세그먼트 (OTA , GOTA, IB'[IB'])]],표4[[#This Row],[목표구분 (REV, RNS, ADR)]],표4[[#This Row],[영업장코드(예약 영업장 코드)]])</f>
        <v>GOTAADR46</v>
      </c>
      <c r="I2469" s="34">
        <f>RIGHT(표4[[#This Row],[년월(XXXX-XX 형식)]],2)*1</f>
        <v>7</v>
      </c>
    </row>
    <row r="2470" spans="1:9" x14ac:dyDescent="0.3">
      <c r="A2470">
        <v>7</v>
      </c>
      <c r="B2470" t="s">
        <v>190</v>
      </c>
      <c r="C2470" t="s">
        <v>192</v>
      </c>
      <c r="D2470" t="s">
        <v>195</v>
      </c>
      <c r="E2470" t="s">
        <v>92</v>
      </c>
      <c r="F2470" s="57" t="s">
        <v>92</v>
      </c>
      <c r="G2470" s="34">
        <f>VLOOKUP(표4[[#This Row],[구분]],ota_rns[#All],표4[[#This Row],[구분1]]+5,FALSE)</f>
        <v>214.4</v>
      </c>
      <c r="H2470" s="58" t="str">
        <f>CONCATENATE(표4[[#This Row],[세그먼트 (OTA , GOTA, IB'[IB'])]],표4[[#This Row],[목표구분 (REV, RNS, ADR)]],표4[[#This Row],[영업장코드(예약 영업장 코드)]])</f>
        <v>GOTAADR10</v>
      </c>
      <c r="I2470" s="34">
        <f>RIGHT(표4[[#This Row],[년월(XXXX-XX 형식)]],2)*1</f>
        <v>7</v>
      </c>
    </row>
    <row r="2471" spans="1:9" x14ac:dyDescent="0.3">
      <c r="A2471">
        <v>7</v>
      </c>
      <c r="B2471" t="s">
        <v>190</v>
      </c>
      <c r="C2471" t="s">
        <v>192</v>
      </c>
      <c r="D2471" t="s">
        <v>195</v>
      </c>
      <c r="E2471" t="s">
        <v>110</v>
      </c>
      <c r="F2471" s="57" t="s">
        <v>131</v>
      </c>
      <c r="G2471" s="34">
        <f>VLOOKUP(표4[[#This Row],[구분]],ota_rns[#All],표4[[#This Row],[구분1]]+5,FALSE)</f>
        <v>238</v>
      </c>
      <c r="H2471" s="58" t="str">
        <f>CONCATENATE(표4[[#This Row],[세그먼트 (OTA , GOTA, IB'[IB'])]],표4[[#This Row],[목표구분 (REV, RNS, ADR)]],표4[[#This Row],[영업장코드(예약 영업장 코드)]])</f>
        <v>GOTAADR61</v>
      </c>
      <c r="I2471" s="34">
        <f>RIGHT(표4[[#This Row],[년월(XXXX-XX 형식)]],2)*1</f>
        <v>7</v>
      </c>
    </row>
    <row r="2472" spans="1:9" x14ac:dyDescent="0.3">
      <c r="A2472">
        <v>7</v>
      </c>
      <c r="B2472" t="s">
        <v>190</v>
      </c>
      <c r="C2472" t="s">
        <v>192</v>
      </c>
      <c r="D2472" t="s">
        <v>195</v>
      </c>
      <c r="E2472" t="s">
        <v>180</v>
      </c>
      <c r="F2472" s="57" t="s">
        <v>180</v>
      </c>
      <c r="G2472" s="34">
        <f>VLOOKUP(표4[[#This Row],[구분]],ota_rns[#All],표4[[#This Row],[구분1]]+5,FALSE)</f>
        <v>289.48777435322859</v>
      </c>
      <c r="H2472" s="58" t="str">
        <f>CONCATENATE(표4[[#This Row],[세그먼트 (OTA , GOTA, IB'[IB'])]],표4[[#This Row],[목표구분 (REV, RNS, ADR)]],표4[[#This Row],[영업장코드(예약 영업장 코드)]])</f>
        <v>GOTAADR05</v>
      </c>
      <c r="I2472" s="34">
        <f>RIGHT(표4[[#This Row],[년월(XXXX-XX 형식)]],2)*1</f>
        <v>7</v>
      </c>
    </row>
    <row r="2473" spans="1:9" x14ac:dyDescent="0.3">
      <c r="A2473">
        <v>7</v>
      </c>
      <c r="B2473" t="s">
        <v>190</v>
      </c>
      <c r="C2473" t="s">
        <v>192</v>
      </c>
      <c r="D2473" t="s">
        <v>195</v>
      </c>
      <c r="E2473" t="s">
        <v>181</v>
      </c>
      <c r="F2473" s="57" t="s">
        <v>137</v>
      </c>
      <c r="G2473" s="34">
        <f>VLOOKUP(표4[[#This Row],[구분]],ota_rns[#All],표4[[#This Row],[구분1]]+5,FALSE)</f>
        <v>186</v>
      </c>
      <c r="H2473" s="58" t="str">
        <f>CONCATENATE(표4[[#This Row],[세그먼트 (OTA , GOTA, IB'[IB'])]],표4[[#This Row],[목표구분 (REV, RNS, ADR)]],표4[[#This Row],[영업장코드(예약 영업장 코드)]])</f>
        <v>GOTAADR66</v>
      </c>
      <c r="I2473" s="34">
        <f>RIGHT(표4[[#This Row],[년월(XXXX-XX 형식)]],2)*1</f>
        <v>7</v>
      </c>
    </row>
    <row r="2474" spans="1:9" x14ac:dyDescent="0.3">
      <c r="A2474">
        <v>7</v>
      </c>
      <c r="B2474" t="s">
        <v>190</v>
      </c>
      <c r="C2474" t="s">
        <v>192</v>
      </c>
      <c r="D2474" t="s">
        <v>195</v>
      </c>
      <c r="E2474" t="s">
        <v>84</v>
      </c>
      <c r="F2474" s="57" t="s">
        <v>84</v>
      </c>
      <c r="G2474" s="34">
        <f>VLOOKUP(표4[[#This Row],[구분]],ota_rns[#All],표4[[#This Row],[구분1]]+5,FALSE)</f>
        <v>182.3</v>
      </c>
      <c r="H2474" s="58" t="str">
        <f>CONCATENATE(표4[[#This Row],[세그먼트 (OTA , GOTA, IB'[IB'])]],표4[[#This Row],[목표구분 (REV, RNS, ADR)]],표4[[#This Row],[영업장코드(예약 영업장 코드)]])</f>
        <v>GOTAADR06</v>
      </c>
      <c r="I2474" s="34">
        <f>RIGHT(표4[[#This Row],[년월(XXXX-XX 형식)]],2)*1</f>
        <v>7</v>
      </c>
    </row>
    <row r="2475" spans="1:9" x14ac:dyDescent="0.3">
      <c r="A2475">
        <v>7</v>
      </c>
      <c r="B2475" t="s">
        <v>190</v>
      </c>
      <c r="C2475" t="s">
        <v>192</v>
      </c>
      <c r="D2475" t="s">
        <v>195</v>
      </c>
      <c r="E2475" t="s">
        <v>143</v>
      </c>
      <c r="F2475" s="57" t="s">
        <v>143</v>
      </c>
      <c r="G2475" s="34">
        <f>VLOOKUP(표4[[#This Row],[구분]],ota_rns[#All],표4[[#This Row],[구분1]]+5,FALSE)</f>
        <v>197.85714285714286</v>
      </c>
      <c r="H2475" s="58" t="str">
        <f>CONCATENATE(표4[[#This Row],[세그먼트 (OTA , GOTA, IB'[IB'])]],표4[[#This Row],[목표구분 (REV, RNS, ADR)]],표4[[#This Row],[영업장코드(예약 영업장 코드)]])</f>
        <v>GOTAADR73</v>
      </c>
      <c r="I2475" s="34">
        <f>RIGHT(표4[[#This Row],[년월(XXXX-XX 형식)]],2)*1</f>
        <v>7</v>
      </c>
    </row>
    <row r="2476" spans="1:9" x14ac:dyDescent="0.3">
      <c r="A2476">
        <v>7</v>
      </c>
      <c r="B2476" t="s">
        <v>190</v>
      </c>
      <c r="C2476" t="s">
        <v>192</v>
      </c>
      <c r="D2476" t="s">
        <v>195</v>
      </c>
      <c r="E2476" t="s">
        <v>99</v>
      </c>
      <c r="F2476" s="57" t="s">
        <v>99</v>
      </c>
      <c r="G2476" s="34">
        <f>VLOOKUP(표4[[#This Row],[구분]],ota_rns[#All],표4[[#This Row],[구분1]]+5,FALSE)</f>
        <v>187</v>
      </c>
      <c r="H2476" s="58" t="str">
        <f>CONCATENATE(표4[[#This Row],[세그먼트 (OTA , GOTA, IB'[IB'])]],표4[[#This Row],[목표구분 (REV, RNS, ADR)]],표4[[#This Row],[영업장코드(예약 영업장 코드)]])</f>
        <v>GOTAADR16</v>
      </c>
      <c r="I2476" s="34">
        <f>RIGHT(표4[[#This Row],[년월(XXXX-XX 형식)]],2)*1</f>
        <v>7</v>
      </c>
    </row>
    <row r="2477" spans="1:9" x14ac:dyDescent="0.3">
      <c r="A2477">
        <v>7</v>
      </c>
      <c r="B2477" t="s">
        <v>190</v>
      </c>
      <c r="C2477" t="s">
        <v>192</v>
      </c>
      <c r="D2477" t="s">
        <v>195</v>
      </c>
      <c r="E2477" t="s">
        <v>103</v>
      </c>
      <c r="F2477" s="57" t="s">
        <v>110</v>
      </c>
      <c r="G2477" s="34">
        <f>VLOOKUP(표4[[#This Row],[구분]],ota_rns[#All],표4[[#This Row],[구분1]]+5,FALSE)</f>
        <v>248</v>
      </c>
      <c r="H2477" s="58" t="str">
        <f>CONCATENATE(표4[[#This Row],[세그먼트 (OTA , GOTA, IB'[IB'])]],표4[[#This Row],[목표구분 (REV, RNS, ADR)]],표4[[#This Row],[영업장코드(예약 영업장 코드)]])</f>
        <v>GOTAADR24</v>
      </c>
      <c r="I2477" s="34">
        <f>RIGHT(표4[[#This Row],[년월(XXXX-XX 형식)]],2)*1</f>
        <v>7</v>
      </c>
    </row>
    <row r="2478" spans="1:9" x14ac:dyDescent="0.3">
      <c r="A2478">
        <v>7</v>
      </c>
      <c r="B2478" t="s">
        <v>190</v>
      </c>
      <c r="C2478" t="s">
        <v>192</v>
      </c>
      <c r="D2478" t="s">
        <v>195</v>
      </c>
      <c r="E2478" t="s">
        <v>101</v>
      </c>
      <c r="F2478" s="57" t="s">
        <v>107</v>
      </c>
      <c r="G2478" s="34">
        <f>VLOOKUP(표4[[#This Row],[구분]],ota_rns[#All],표4[[#This Row],[구분1]]+5,FALSE)</f>
        <v>323</v>
      </c>
      <c r="H2478" s="58" t="str">
        <f>CONCATENATE(표4[[#This Row],[세그먼트 (OTA , GOTA, IB'[IB'])]],표4[[#This Row],[목표구분 (REV, RNS, ADR)]],표4[[#This Row],[영업장코드(예약 영업장 코드)]])</f>
        <v>GOTAADR22</v>
      </c>
      <c r="I2478" s="34">
        <f>RIGHT(표4[[#This Row],[년월(XXXX-XX 형식)]],2)*1</f>
        <v>7</v>
      </c>
    </row>
    <row r="2479" spans="1:9" x14ac:dyDescent="0.3">
      <c r="A2479">
        <v>7</v>
      </c>
      <c r="B2479" t="s">
        <v>190</v>
      </c>
      <c r="C2479" t="s">
        <v>192</v>
      </c>
      <c r="D2479" t="s">
        <v>195</v>
      </c>
      <c r="E2479" t="s">
        <v>182</v>
      </c>
      <c r="F2479" s="57" t="s">
        <v>147</v>
      </c>
      <c r="G2479" s="34">
        <f>VLOOKUP(표4[[#This Row],[구분]],ota_rns[#All],표4[[#This Row],[구분1]]+5,FALSE)</f>
        <v>224</v>
      </c>
      <c r="H2479" s="58" t="str">
        <f>CONCATENATE(표4[[#This Row],[세그먼트 (OTA , GOTA, IB'[IB'])]],표4[[#This Row],[목표구분 (REV, RNS, ADR)]],표4[[#This Row],[영업장코드(예약 영업장 코드)]])</f>
        <v>GOTAADR77</v>
      </c>
      <c r="I2479" s="34">
        <f>RIGHT(표4[[#This Row],[년월(XXXX-XX 형식)]],2)*1</f>
        <v>7</v>
      </c>
    </row>
    <row r="2480" spans="1:9" x14ac:dyDescent="0.3">
      <c r="A2480">
        <v>7</v>
      </c>
      <c r="B2480" t="s">
        <v>190</v>
      </c>
      <c r="C2480" t="s">
        <v>192</v>
      </c>
      <c r="D2480" t="s">
        <v>195</v>
      </c>
      <c r="E2480" t="s">
        <v>183</v>
      </c>
      <c r="F2480" s="57" t="s">
        <v>157</v>
      </c>
      <c r="G2480" s="34">
        <f>VLOOKUP(표4[[#This Row],[구분]],ota_rns[#All],표4[[#This Row],[구분1]]+5,FALSE)</f>
        <v>244.71739130434781</v>
      </c>
      <c r="H2480" s="58" t="str">
        <f>CONCATENATE(표4[[#This Row],[세그먼트 (OTA , GOTA, IB'[IB'])]],표4[[#This Row],[목표구분 (REV, RNS, ADR)]],표4[[#This Row],[영업장코드(예약 영업장 코드)]])</f>
        <v>GOTAADR87</v>
      </c>
      <c r="I2480" s="34">
        <f>RIGHT(표4[[#This Row],[년월(XXXX-XX 형식)]],2)*1</f>
        <v>7</v>
      </c>
    </row>
    <row r="2481" spans="1:9" x14ac:dyDescent="0.3">
      <c r="A2481">
        <v>7</v>
      </c>
      <c r="B2481" t="s">
        <v>190</v>
      </c>
      <c r="C2481" t="s">
        <v>192</v>
      </c>
      <c r="D2481" t="s">
        <v>195</v>
      </c>
      <c r="E2481" t="s">
        <v>96</v>
      </c>
      <c r="F2481" s="57" t="s">
        <v>96</v>
      </c>
      <c r="G2481" s="34">
        <f>VLOOKUP(표4[[#This Row],[구분]],ota_rns[#All],표4[[#This Row],[구분1]]+5,FALSE)</f>
        <v>197</v>
      </c>
      <c r="H2481" s="58" t="str">
        <f>CONCATENATE(표4[[#This Row],[세그먼트 (OTA , GOTA, IB'[IB'])]],표4[[#This Row],[목표구분 (REV, RNS, ADR)]],표4[[#This Row],[영업장코드(예약 영업장 코드)]])</f>
        <v>GOTAADR15</v>
      </c>
      <c r="I2481" s="34">
        <f>RIGHT(표4[[#This Row],[년월(XXXX-XX 형식)]],2)*1</f>
        <v>7</v>
      </c>
    </row>
    <row r="2482" spans="1:9" x14ac:dyDescent="0.3">
      <c r="A2482">
        <v>7</v>
      </c>
      <c r="B2482" t="s">
        <v>190</v>
      </c>
      <c r="C2482" t="s">
        <v>192</v>
      </c>
      <c r="D2482" t="s">
        <v>195</v>
      </c>
      <c r="E2482" t="s">
        <v>105</v>
      </c>
      <c r="F2482" s="57" t="s">
        <v>119</v>
      </c>
      <c r="G2482" s="34">
        <f>VLOOKUP(표4[[#This Row],[구분]],ota_rns[#All],표4[[#This Row],[구분1]]+5,FALSE)</f>
        <v>183.21199999999999</v>
      </c>
      <c r="H2482" s="58" t="str">
        <f>CONCATENATE(표4[[#This Row],[세그먼트 (OTA , GOTA, IB'[IB'])]],표4[[#This Row],[목표구분 (REV, RNS, ADR)]],표4[[#This Row],[영업장코드(예약 영업장 코드)]])</f>
        <v>GOTAADR29</v>
      </c>
      <c r="I2482" s="34">
        <f>RIGHT(표4[[#This Row],[년월(XXXX-XX 형식)]],2)*1</f>
        <v>7</v>
      </c>
    </row>
    <row r="2483" spans="1:9" x14ac:dyDescent="0.3">
      <c r="A2483">
        <v>7</v>
      </c>
      <c r="B2483" t="s">
        <v>190</v>
      </c>
      <c r="C2483" t="s">
        <v>192</v>
      </c>
      <c r="D2483" t="s">
        <v>195</v>
      </c>
      <c r="E2483" t="s">
        <v>184</v>
      </c>
      <c r="F2483" s="57" t="s">
        <v>152</v>
      </c>
      <c r="G2483" s="34">
        <f>VLOOKUP(표4[[#This Row],[구분]],ota_rns[#All],표4[[#This Row],[구분1]]+5,FALSE)</f>
        <v>396.26923076923077</v>
      </c>
      <c r="H2483" s="58" t="str">
        <f>CONCATENATE(표4[[#This Row],[세그먼트 (OTA , GOTA, IB'[IB'])]],표4[[#This Row],[목표구분 (REV, RNS, ADR)]],표4[[#This Row],[영업장코드(예약 영업장 코드)]])</f>
        <v>GOTAADR85</v>
      </c>
      <c r="I2483" s="34">
        <f>RIGHT(표4[[#This Row],[년월(XXXX-XX 형식)]],2)*1</f>
        <v>7</v>
      </c>
    </row>
    <row r="2484" spans="1:9" x14ac:dyDescent="0.3">
      <c r="A2484">
        <v>7</v>
      </c>
      <c r="B2484" t="s">
        <v>190</v>
      </c>
      <c r="C2484" t="s">
        <v>192</v>
      </c>
      <c r="D2484" t="s">
        <v>195</v>
      </c>
      <c r="E2484" t="s">
        <v>185</v>
      </c>
      <c r="F2484" s="57" t="s">
        <v>128</v>
      </c>
      <c r="G2484" s="34">
        <f>VLOOKUP(표4[[#This Row],[구분]],ota_rns[#All],표4[[#This Row],[구분1]]+5,FALSE)</f>
        <v>126</v>
      </c>
      <c r="H2484" s="58" t="str">
        <f>CONCATENATE(표4[[#This Row],[세그먼트 (OTA , GOTA, IB'[IB'])]],표4[[#This Row],[목표구분 (REV, RNS, ADR)]],표4[[#This Row],[영업장코드(예약 영업장 코드)]])</f>
        <v>GOTAADR58</v>
      </c>
      <c r="I2484" s="34">
        <f>RIGHT(표4[[#This Row],[년월(XXXX-XX 형식)]],2)*1</f>
        <v>7</v>
      </c>
    </row>
    <row r="2485" spans="1:9" x14ac:dyDescent="0.3">
      <c r="A2485">
        <v>7</v>
      </c>
      <c r="B2485" t="s">
        <v>190</v>
      </c>
      <c r="C2485" t="s">
        <v>192</v>
      </c>
      <c r="D2485" t="s">
        <v>195</v>
      </c>
      <c r="E2485" t="s">
        <v>178</v>
      </c>
      <c r="F2485" s="57" t="s">
        <v>178</v>
      </c>
      <c r="G2485" s="34">
        <f>VLOOKUP(표4[[#This Row],[구분]],ota_rns[#All],표4[[#This Row],[구분1]]+5,FALSE)</f>
        <v>343</v>
      </c>
      <c r="H2485" s="58" t="str">
        <f>CONCATENATE(표4[[#This Row],[세그먼트 (OTA , GOTA, IB'[IB'])]],표4[[#This Row],[목표구분 (REV, RNS, ADR)]],표4[[#This Row],[영업장코드(예약 영업장 코드)]])</f>
        <v>GOTAADR94</v>
      </c>
      <c r="I2485" s="34">
        <f>RIGHT(표4[[#This Row],[년월(XXXX-XX 형식)]],2)*1</f>
        <v>7</v>
      </c>
    </row>
    <row r="2486" spans="1:9" x14ac:dyDescent="0.3">
      <c r="A2486">
        <v>7</v>
      </c>
      <c r="B2486" t="s">
        <v>190</v>
      </c>
      <c r="C2486" t="s">
        <v>193</v>
      </c>
      <c r="D2486" t="s">
        <v>195</v>
      </c>
      <c r="E2486" t="s">
        <v>78</v>
      </c>
      <c r="F2486" s="57" t="s">
        <v>78</v>
      </c>
      <c r="G2486" s="34">
        <f>VLOOKUP(표4[[#This Row],[구분]],ota_rns[#All],표4[[#This Row],[구분1]]+5,FALSE)</f>
        <v>599.15631807875798</v>
      </c>
      <c r="H2486" s="58" t="str">
        <f>CONCATENATE(표4[[#This Row],[세그먼트 (OTA , GOTA, IB'[IB'])]],표4[[#This Row],[목표구분 (REV, RNS, ADR)]],표4[[#This Row],[영업장코드(예약 영업장 코드)]])</f>
        <v>GOTAREV02</v>
      </c>
      <c r="I2486" s="34">
        <f>RIGHT(표4[[#This Row],[년월(XXXX-XX 형식)]],2)*1</f>
        <v>7</v>
      </c>
    </row>
    <row r="2487" spans="1:9" x14ac:dyDescent="0.3">
      <c r="A2487">
        <v>7</v>
      </c>
      <c r="B2487" t="s">
        <v>190</v>
      </c>
      <c r="C2487" t="s">
        <v>193</v>
      </c>
      <c r="D2487" t="s">
        <v>195</v>
      </c>
      <c r="E2487" t="s">
        <v>78</v>
      </c>
      <c r="F2487" s="57" t="s">
        <v>86</v>
      </c>
      <c r="G2487" s="34">
        <f>VLOOKUP(표4[[#This Row],[구분]],ota_rns[#All],표4[[#This Row],[구분1]]+5,FALSE)</f>
        <v>242.34199680138633</v>
      </c>
      <c r="H2487" s="58" t="str">
        <f>CONCATENATE(표4[[#This Row],[세그먼트 (OTA , GOTA, IB'[IB'])]],표4[[#This Row],[목표구분 (REV, RNS, ADR)]],표4[[#This Row],[영업장코드(예약 영업장 코드)]])</f>
        <v>GOTAREV07</v>
      </c>
      <c r="I2487" s="34">
        <f>RIGHT(표4[[#This Row],[년월(XXXX-XX 형식)]],2)*1</f>
        <v>7</v>
      </c>
    </row>
    <row r="2488" spans="1:9" x14ac:dyDescent="0.3">
      <c r="A2488">
        <v>7</v>
      </c>
      <c r="B2488" t="s">
        <v>190</v>
      </c>
      <c r="C2488" t="s">
        <v>193</v>
      </c>
      <c r="D2488" t="s">
        <v>195</v>
      </c>
      <c r="E2488" t="s">
        <v>78</v>
      </c>
      <c r="F2488" s="57" t="s">
        <v>105</v>
      </c>
      <c r="G2488" s="34">
        <f>VLOOKUP(표4[[#This Row],[구분]],ota_rns[#All],표4[[#This Row],[구분1]]+5,FALSE)</f>
        <v>510.25286000000006</v>
      </c>
      <c r="H2488" s="58" t="str">
        <f>CONCATENATE(표4[[#This Row],[세그먼트 (OTA , GOTA, IB'[IB'])]],표4[[#This Row],[목표구분 (REV, RNS, ADR)]],표4[[#This Row],[영업장코드(예약 영업장 코드)]])</f>
        <v>GOTAREV19</v>
      </c>
      <c r="I2488" s="34">
        <f>RIGHT(표4[[#This Row],[년월(XXXX-XX 형식)]],2)*1</f>
        <v>7</v>
      </c>
    </row>
    <row r="2489" spans="1:9" x14ac:dyDescent="0.3">
      <c r="A2489">
        <v>7</v>
      </c>
      <c r="B2489" t="s">
        <v>190</v>
      </c>
      <c r="C2489" t="s">
        <v>193</v>
      </c>
      <c r="D2489" t="s">
        <v>195</v>
      </c>
      <c r="E2489" t="s">
        <v>78</v>
      </c>
      <c r="F2489" s="57" t="s">
        <v>124</v>
      </c>
      <c r="G2489" s="34">
        <f>VLOOKUP(표4[[#This Row],[구분]],ota_rns[#All],표4[[#This Row],[구분1]]+5,FALSE)</f>
        <v>234.6</v>
      </c>
      <c r="H2489" s="58" t="str">
        <f>CONCATENATE(표4[[#This Row],[세그먼트 (OTA , GOTA, IB'[IB'])]],표4[[#This Row],[목표구분 (REV, RNS, ADR)]],표4[[#This Row],[영업장코드(예약 영업장 코드)]])</f>
        <v>GOTAREV50</v>
      </c>
      <c r="I2489" s="34">
        <f>RIGHT(표4[[#This Row],[년월(XXXX-XX 형식)]],2)*1</f>
        <v>7</v>
      </c>
    </row>
    <row r="2490" spans="1:9" x14ac:dyDescent="0.3">
      <c r="A2490">
        <v>7</v>
      </c>
      <c r="B2490" t="s">
        <v>190</v>
      </c>
      <c r="C2490" t="s">
        <v>193</v>
      </c>
      <c r="D2490" t="s">
        <v>195</v>
      </c>
      <c r="E2490" t="s">
        <v>78</v>
      </c>
      <c r="F2490" s="57" t="s">
        <v>88</v>
      </c>
      <c r="G2490" s="34">
        <f>VLOOKUP(표4[[#This Row],[구분]],ota_rns[#All],표4[[#This Row],[구분1]]+5,FALSE)</f>
        <v>323.89999999999998</v>
      </c>
      <c r="H2490" s="58" t="str">
        <f>CONCATENATE(표4[[#This Row],[세그먼트 (OTA , GOTA, IB'[IB'])]],표4[[#This Row],[목표구분 (REV, RNS, ADR)]],표4[[#This Row],[영업장코드(예약 영업장 코드)]])</f>
        <v>GOTAREV08</v>
      </c>
      <c r="I2490" s="34">
        <f>RIGHT(표4[[#This Row],[년월(XXXX-XX 형식)]],2)*1</f>
        <v>7</v>
      </c>
    </row>
    <row r="2491" spans="1:9" x14ac:dyDescent="0.3">
      <c r="A2491">
        <v>7</v>
      </c>
      <c r="B2491" t="s">
        <v>190</v>
      </c>
      <c r="C2491" t="s">
        <v>193</v>
      </c>
      <c r="D2491" t="s">
        <v>195</v>
      </c>
      <c r="E2491" t="s">
        <v>81</v>
      </c>
      <c r="F2491" s="57" t="s">
        <v>81</v>
      </c>
      <c r="G2491" s="34">
        <f>VLOOKUP(표4[[#This Row],[구분]],ota_rns[#All],표4[[#This Row],[구분1]]+5,FALSE)</f>
        <v>62.836455739413651</v>
      </c>
      <c r="H2491" s="58" t="str">
        <f>CONCATENATE(표4[[#This Row],[세그먼트 (OTA , GOTA, IB'[IB'])]],표4[[#This Row],[목표구분 (REV, RNS, ADR)]],표4[[#This Row],[영업장코드(예약 영업장 코드)]])</f>
        <v>GOTAREV03</v>
      </c>
      <c r="I2491" s="34">
        <f>RIGHT(표4[[#This Row],[년월(XXXX-XX 형식)]],2)*1</f>
        <v>7</v>
      </c>
    </row>
    <row r="2492" spans="1:9" x14ac:dyDescent="0.3">
      <c r="A2492">
        <v>7</v>
      </c>
      <c r="B2492" t="s">
        <v>190</v>
      </c>
      <c r="C2492" t="s">
        <v>193</v>
      </c>
      <c r="D2492" t="s">
        <v>195</v>
      </c>
      <c r="E2492" t="s">
        <v>75</v>
      </c>
      <c r="F2492" s="57" t="s">
        <v>75</v>
      </c>
      <c r="G2492" s="34">
        <f>VLOOKUP(표4[[#This Row],[구분]],ota_rns[#All],표4[[#This Row],[구분1]]+5,FALSE)</f>
        <v>357.2</v>
      </c>
      <c r="H2492" s="58" t="str">
        <f>CONCATENATE(표4[[#This Row],[세그먼트 (OTA , GOTA, IB'[IB'])]],표4[[#This Row],[목표구분 (REV, RNS, ADR)]],표4[[#This Row],[영업장코드(예약 영업장 코드)]])</f>
        <v>GOTAREV01</v>
      </c>
      <c r="I2492" s="34">
        <f>RIGHT(표4[[#This Row],[년월(XXXX-XX 형식)]],2)*1</f>
        <v>7</v>
      </c>
    </row>
    <row r="2493" spans="1:9" x14ac:dyDescent="0.3">
      <c r="A2493">
        <v>7</v>
      </c>
      <c r="B2493" t="s">
        <v>190</v>
      </c>
      <c r="C2493" t="s">
        <v>193</v>
      </c>
      <c r="D2493" t="s">
        <v>195</v>
      </c>
      <c r="E2493" t="s">
        <v>75</v>
      </c>
      <c r="F2493" s="57" t="s">
        <v>141</v>
      </c>
      <c r="G2493" s="34">
        <f>VLOOKUP(표4[[#This Row],[구분]],ota_rns[#All],표4[[#This Row],[구분1]]+5,FALSE)</f>
        <v>955.6</v>
      </c>
      <c r="H2493" s="58" t="str">
        <f>CONCATENATE(표4[[#This Row],[세그먼트 (OTA , GOTA, IB'[IB'])]],표4[[#This Row],[목표구분 (REV, RNS, ADR)]],표4[[#This Row],[영업장코드(예약 영업장 코드)]])</f>
        <v>GOTAREV70</v>
      </c>
      <c r="I2493" s="34">
        <f>RIGHT(표4[[#This Row],[년월(XXXX-XX 형식)]],2)*1</f>
        <v>7</v>
      </c>
    </row>
    <row r="2494" spans="1:9" x14ac:dyDescent="0.3">
      <c r="A2494">
        <v>7</v>
      </c>
      <c r="B2494" t="s">
        <v>190</v>
      </c>
      <c r="C2494" t="s">
        <v>193</v>
      </c>
      <c r="D2494" t="s">
        <v>195</v>
      </c>
      <c r="E2494" t="s">
        <v>75</v>
      </c>
      <c r="F2494" s="57" t="s">
        <v>113</v>
      </c>
      <c r="G2494" s="34">
        <f>VLOOKUP(표4[[#This Row],[구분]],ota_rns[#All],표4[[#This Row],[구분1]]+5,FALSE)</f>
        <v>156.1</v>
      </c>
      <c r="H2494" s="58" t="str">
        <f>CONCATENATE(표4[[#This Row],[세그먼트 (OTA , GOTA, IB'[IB'])]],표4[[#This Row],[목표구분 (REV, RNS, ADR)]],표4[[#This Row],[영업장코드(예약 영업장 코드)]])</f>
        <v>GOTAREV25</v>
      </c>
      <c r="I2494" s="34">
        <f>RIGHT(표4[[#This Row],[년월(XXXX-XX 형식)]],2)*1</f>
        <v>7</v>
      </c>
    </row>
    <row r="2495" spans="1:9" x14ac:dyDescent="0.3">
      <c r="A2495">
        <v>7</v>
      </c>
      <c r="B2495" t="s">
        <v>190</v>
      </c>
      <c r="C2495" t="s">
        <v>193</v>
      </c>
      <c r="D2495" t="s">
        <v>195</v>
      </c>
      <c r="E2495" t="s">
        <v>75</v>
      </c>
      <c r="F2495" s="57" t="s">
        <v>117</v>
      </c>
      <c r="G2495" s="34">
        <f>VLOOKUP(표4[[#This Row],[구분]],ota_rns[#All],표4[[#This Row],[구분1]]+5,FALSE)</f>
        <v>415</v>
      </c>
      <c r="H2495" s="58" t="str">
        <f>CONCATENATE(표4[[#This Row],[세그먼트 (OTA , GOTA, IB'[IB'])]],표4[[#This Row],[목표구분 (REV, RNS, ADR)]],표4[[#This Row],[영업장코드(예약 영업장 코드)]])</f>
        <v>GOTAREV27</v>
      </c>
      <c r="I2495" s="34">
        <f>RIGHT(표4[[#This Row],[년월(XXXX-XX 형식)]],2)*1</f>
        <v>7</v>
      </c>
    </row>
    <row r="2496" spans="1:9" x14ac:dyDescent="0.3">
      <c r="A2496">
        <v>7</v>
      </c>
      <c r="B2496" t="s">
        <v>190</v>
      </c>
      <c r="C2496" t="s">
        <v>193</v>
      </c>
      <c r="D2496" t="s">
        <v>195</v>
      </c>
      <c r="E2496" t="s">
        <v>75</v>
      </c>
      <c r="F2496" s="57" t="s">
        <v>122</v>
      </c>
      <c r="G2496" s="34">
        <f>VLOOKUP(표4[[#This Row],[구분]],ota_rns[#All],표4[[#This Row],[구분1]]+5,FALSE)</f>
        <v>27.3</v>
      </c>
      <c r="H2496" s="58" t="str">
        <f>CONCATENATE(표4[[#This Row],[세그먼트 (OTA , GOTA, IB'[IB'])]],표4[[#This Row],[목표구분 (REV, RNS, ADR)]],표4[[#This Row],[영업장코드(예약 영업장 코드)]])</f>
        <v>GOTAREV46</v>
      </c>
      <c r="I2496" s="34">
        <f>RIGHT(표4[[#This Row],[년월(XXXX-XX 형식)]],2)*1</f>
        <v>7</v>
      </c>
    </row>
    <row r="2497" spans="1:9" x14ac:dyDescent="0.3">
      <c r="A2497">
        <v>7</v>
      </c>
      <c r="B2497" t="s">
        <v>190</v>
      </c>
      <c r="C2497" t="s">
        <v>193</v>
      </c>
      <c r="D2497" t="s">
        <v>195</v>
      </c>
      <c r="E2497" t="s">
        <v>92</v>
      </c>
      <c r="F2497" s="57" t="s">
        <v>92</v>
      </c>
      <c r="G2497" s="34">
        <f>VLOOKUP(표4[[#This Row],[구분]],ota_rns[#All],표4[[#This Row],[구분1]]+5,FALSE)</f>
        <v>289.44</v>
      </c>
      <c r="H2497" s="58" t="str">
        <f>CONCATENATE(표4[[#This Row],[세그먼트 (OTA , GOTA, IB'[IB'])]],표4[[#This Row],[목표구분 (REV, RNS, ADR)]],표4[[#This Row],[영업장코드(예약 영업장 코드)]])</f>
        <v>GOTAREV10</v>
      </c>
      <c r="I2497" s="34">
        <f>RIGHT(표4[[#This Row],[년월(XXXX-XX 형식)]],2)*1</f>
        <v>7</v>
      </c>
    </row>
    <row r="2498" spans="1:9" x14ac:dyDescent="0.3">
      <c r="A2498">
        <v>7</v>
      </c>
      <c r="B2498" t="s">
        <v>190</v>
      </c>
      <c r="C2498" t="s">
        <v>193</v>
      </c>
      <c r="D2498" t="s">
        <v>195</v>
      </c>
      <c r="E2498" t="s">
        <v>110</v>
      </c>
      <c r="F2498" s="57" t="s">
        <v>131</v>
      </c>
      <c r="G2498" s="34">
        <f>VLOOKUP(표4[[#This Row],[구분]],ota_rns[#All],표4[[#This Row],[구분1]]+5,FALSE)</f>
        <v>690.2</v>
      </c>
      <c r="H2498" s="58" t="str">
        <f>CONCATENATE(표4[[#This Row],[세그먼트 (OTA , GOTA, IB'[IB'])]],표4[[#This Row],[목표구분 (REV, RNS, ADR)]],표4[[#This Row],[영업장코드(예약 영업장 코드)]])</f>
        <v>GOTAREV61</v>
      </c>
      <c r="I2498" s="34">
        <f>RIGHT(표4[[#This Row],[년월(XXXX-XX 형식)]],2)*1</f>
        <v>7</v>
      </c>
    </row>
    <row r="2499" spans="1:9" x14ac:dyDescent="0.3">
      <c r="A2499">
        <v>7</v>
      </c>
      <c r="B2499" t="s">
        <v>190</v>
      </c>
      <c r="C2499" t="s">
        <v>193</v>
      </c>
      <c r="D2499" t="s">
        <v>195</v>
      </c>
      <c r="E2499" t="s">
        <v>180</v>
      </c>
      <c r="F2499" s="57" t="s">
        <v>180</v>
      </c>
      <c r="G2499" s="34">
        <f>VLOOKUP(표4[[#This Row],[구분]],ota_rns[#All],표4[[#This Row],[구분1]]+5,FALSE)</f>
        <v>325.67374614738219</v>
      </c>
      <c r="H2499" s="58" t="str">
        <f>CONCATENATE(표4[[#This Row],[세그먼트 (OTA , GOTA, IB'[IB'])]],표4[[#This Row],[목표구분 (REV, RNS, ADR)]],표4[[#This Row],[영업장코드(예약 영업장 코드)]])</f>
        <v>GOTAREV05</v>
      </c>
      <c r="I2499" s="34">
        <f>RIGHT(표4[[#This Row],[년월(XXXX-XX 형식)]],2)*1</f>
        <v>7</v>
      </c>
    </row>
    <row r="2500" spans="1:9" x14ac:dyDescent="0.3">
      <c r="A2500">
        <v>7</v>
      </c>
      <c r="B2500" t="s">
        <v>190</v>
      </c>
      <c r="C2500" t="s">
        <v>193</v>
      </c>
      <c r="D2500" t="s">
        <v>195</v>
      </c>
      <c r="E2500" t="s">
        <v>181</v>
      </c>
      <c r="F2500" s="57" t="s">
        <v>137</v>
      </c>
      <c r="G2500" s="34">
        <f>VLOOKUP(표4[[#This Row],[구분]],ota_rns[#All],표4[[#This Row],[구분1]]+5,FALSE)</f>
        <v>111.6</v>
      </c>
      <c r="H2500" s="58" t="str">
        <f>CONCATENATE(표4[[#This Row],[세그먼트 (OTA , GOTA, IB'[IB'])]],표4[[#This Row],[목표구분 (REV, RNS, ADR)]],표4[[#This Row],[영업장코드(예약 영업장 코드)]])</f>
        <v>GOTAREV66</v>
      </c>
      <c r="I2500" s="34">
        <f>RIGHT(표4[[#This Row],[년월(XXXX-XX 형식)]],2)*1</f>
        <v>7</v>
      </c>
    </row>
    <row r="2501" spans="1:9" x14ac:dyDescent="0.3">
      <c r="A2501">
        <v>7</v>
      </c>
      <c r="B2501" t="s">
        <v>190</v>
      </c>
      <c r="C2501" t="s">
        <v>193</v>
      </c>
      <c r="D2501" t="s">
        <v>195</v>
      </c>
      <c r="E2501" t="s">
        <v>84</v>
      </c>
      <c r="F2501" s="57" t="s">
        <v>84</v>
      </c>
      <c r="G2501" s="34">
        <f>VLOOKUP(표4[[#This Row],[구분]],ota_rns[#All],표4[[#This Row],[구분1]]+5,FALSE)</f>
        <v>401.06</v>
      </c>
      <c r="H2501" s="58" t="str">
        <f>CONCATENATE(표4[[#This Row],[세그먼트 (OTA , GOTA, IB'[IB'])]],표4[[#This Row],[목표구분 (REV, RNS, ADR)]],표4[[#This Row],[영업장코드(예약 영업장 코드)]])</f>
        <v>GOTAREV06</v>
      </c>
      <c r="I2501" s="34">
        <f>RIGHT(표4[[#This Row],[년월(XXXX-XX 형식)]],2)*1</f>
        <v>7</v>
      </c>
    </row>
    <row r="2502" spans="1:9" x14ac:dyDescent="0.3">
      <c r="A2502">
        <v>7</v>
      </c>
      <c r="B2502" t="s">
        <v>190</v>
      </c>
      <c r="C2502" t="s">
        <v>193</v>
      </c>
      <c r="D2502" t="s">
        <v>195</v>
      </c>
      <c r="E2502" t="s">
        <v>143</v>
      </c>
      <c r="F2502" s="57" t="s">
        <v>143</v>
      </c>
      <c r="G2502" s="34">
        <f>VLOOKUP(표4[[#This Row],[구분]],ota_rns[#All],표4[[#This Row],[구분1]]+5,FALSE)</f>
        <v>277</v>
      </c>
      <c r="H2502" s="58" t="str">
        <f>CONCATENATE(표4[[#This Row],[세그먼트 (OTA , GOTA, IB'[IB'])]],표4[[#This Row],[목표구분 (REV, RNS, ADR)]],표4[[#This Row],[영업장코드(예약 영업장 코드)]])</f>
        <v>GOTAREV73</v>
      </c>
      <c r="I2502" s="34">
        <f>RIGHT(표4[[#This Row],[년월(XXXX-XX 형식)]],2)*1</f>
        <v>7</v>
      </c>
    </row>
    <row r="2503" spans="1:9" x14ac:dyDescent="0.3">
      <c r="A2503">
        <v>7</v>
      </c>
      <c r="B2503" t="s">
        <v>190</v>
      </c>
      <c r="C2503" t="s">
        <v>193</v>
      </c>
      <c r="D2503" t="s">
        <v>195</v>
      </c>
      <c r="E2503" t="s">
        <v>99</v>
      </c>
      <c r="F2503" s="57" t="s">
        <v>99</v>
      </c>
      <c r="G2503" s="34">
        <f>VLOOKUP(표4[[#This Row],[구분]],ota_rns[#All],표4[[#This Row],[구분1]]+5,FALSE)</f>
        <v>299.2</v>
      </c>
      <c r="H2503" s="58" t="str">
        <f>CONCATENATE(표4[[#This Row],[세그먼트 (OTA , GOTA, IB'[IB'])]],표4[[#This Row],[목표구분 (REV, RNS, ADR)]],표4[[#This Row],[영업장코드(예약 영업장 코드)]])</f>
        <v>GOTAREV16</v>
      </c>
      <c r="I2503" s="34">
        <f>RIGHT(표4[[#This Row],[년월(XXXX-XX 형식)]],2)*1</f>
        <v>7</v>
      </c>
    </row>
    <row r="2504" spans="1:9" x14ac:dyDescent="0.3">
      <c r="A2504">
        <v>7</v>
      </c>
      <c r="B2504" t="s">
        <v>190</v>
      </c>
      <c r="C2504" t="s">
        <v>193</v>
      </c>
      <c r="D2504" t="s">
        <v>195</v>
      </c>
      <c r="E2504" t="s">
        <v>103</v>
      </c>
      <c r="F2504" s="57" t="s">
        <v>110</v>
      </c>
      <c r="G2504" s="34">
        <f>VLOOKUP(표4[[#This Row],[구분]],ota_rns[#All],표4[[#This Row],[구분1]]+5,FALSE)</f>
        <v>372</v>
      </c>
      <c r="H2504" s="58" t="str">
        <f>CONCATENATE(표4[[#This Row],[세그먼트 (OTA , GOTA, IB'[IB'])]],표4[[#This Row],[목표구분 (REV, RNS, ADR)]],표4[[#This Row],[영업장코드(예약 영업장 코드)]])</f>
        <v>GOTAREV24</v>
      </c>
      <c r="I2504" s="34">
        <f>RIGHT(표4[[#This Row],[년월(XXXX-XX 형식)]],2)*1</f>
        <v>7</v>
      </c>
    </row>
    <row r="2505" spans="1:9" x14ac:dyDescent="0.3">
      <c r="A2505">
        <v>7</v>
      </c>
      <c r="B2505" t="s">
        <v>190</v>
      </c>
      <c r="C2505" t="s">
        <v>193</v>
      </c>
      <c r="D2505" t="s">
        <v>195</v>
      </c>
      <c r="E2505" t="s">
        <v>101</v>
      </c>
      <c r="F2505" s="57" t="s">
        <v>107</v>
      </c>
      <c r="G2505" s="34">
        <f>VLOOKUP(표4[[#This Row],[구분]],ota_rns[#All],표4[[#This Row],[구분1]]+5,FALSE)</f>
        <v>258.39999999999998</v>
      </c>
      <c r="H2505" s="58" t="str">
        <f>CONCATENATE(표4[[#This Row],[세그먼트 (OTA , GOTA, IB'[IB'])]],표4[[#This Row],[목표구분 (REV, RNS, ADR)]],표4[[#This Row],[영업장코드(예약 영업장 코드)]])</f>
        <v>GOTAREV22</v>
      </c>
      <c r="I2505" s="34">
        <f>RIGHT(표4[[#This Row],[년월(XXXX-XX 형식)]],2)*1</f>
        <v>7</v>
      </c>
    </row>
    <row r="2506" spans="1:9" x14ac:dyDescent="0.3">
      <c r="A2506">
        <v>7</v>
      </c>
      <c r="B2506" t="s">
        <v>190</v>
      </c>
      <c r="C2506" t="s">
        <v>193</v>
      </c>
      <c r="D2506" t="s">
        <v>195</v>
      </c>
      <c r="E2506" t="s">
        <v>182</v>
      </c>
      <c r="F2506" s="57" t="s">
        <v>147</v>
      </c>
      <c r="G2506" s="34">
        <f>VLOOKUP(표4[[#This Row],[구분]],ota_rns[#All],표4[[#This Row],[구분1]]+5,FALSE)</f>
        <v>627.20000000000005</v>
      </c>
      <c r="H2506" s="58" t="str">
        <f>CONCATENATE(표4[[#This Row],[세그먼트 (OTA , GOTA, IB'[IB'])]],표4[[#This Row],[목표구분 (REV, RNS, ADR)]],표4[[#This Row],[영업장코드(예약 영업장 코드)]])</f>
        <v>GOTAREV77</v>
      </c>
      <c r="I2506" s="34">
        <f>RIGHT(표4[[#This Row],[년월(XXXX-XX 형식)]],2)*1</f>
        <v>7</v>
      </c>
    </row>
    <row r="2507" spans="1:9" x14ac:dyDescent="0.3">
      <c r="A2507">
        <v>7</v>
      </c>
      <c r="B2507" t="s">
        <v>190</v>
      </c>
      <c r="C2507" t="s">
        <v>193</v>
      </c>
      <c r="D2507" t="s">
        <v>195</v>
      </c>
      <c r="E2507" t="s">
        <v>183</v>
      </c>
      <c r="F2507" s="57" t="s">
        <v>157</v>
      </c>
      <c r="G2507" s="34">
        <f>VLOOKUP(표4[[#This Row],[구분]],ota_rns[#All],표4[[#This Row],[구분1]]+5,FALSE)</f>
        <v>168.85499999999999</v>
      </c>
      <c r="H2507" s="58" t="str">
        <f>CONCATENATE(표4[[#This Row],[세그먼트 (OTA , GOTA, IB'[IB'])]],표4[[#This Row],[목표구분 (REV, RNS, ADR)]],표4[[#This Row],[영업장코드(예약 영업장 코드)]])</f>
        <v>GOTAREV87</v>
      </c>
      <c r="I2507" s="34">
        <f>RIGHT(표4[[#This Row],[년월(XXXX-XX 형식)]],2)*1</f>
        <v>7</v>
      </c>
    </row>
    <row r="2508" spans="1:9" x14ac:dyDescent="0.3">
      <c r="A2508">
        <v>7</v>
      </c>
      <c r="B2508" t="s">
        <v>190</v>
      </c>
      <c r="C2508" t="s">
        <v>193</v>
      </c>
      <c r="D2508" t="s">
        <v>195</v>
      </c>
      <c r="E2508" t="s">
        <v>96</v>
      </c>
      <c r="F2508" s="57" t="s">
        <v>96</v>
      </c>
      <c r="G2508" s="34">
        <f>VLOOKUP(표4[[#This Row],[구분]],ota_rns[#All],표4[[#This Row],[구분1]]+5,FALSE)</f>
        <v>433.4</v>
      </c>
      <c r="H2508" s="58" t="str">
        <f>CONCATENATE(표4[[#This Row],[세그먼트 (OTA , GOTA, IB'[IB'])]],표4[[#This Row],[목표구분 (REV, RNS, ADR)]],표4[[#This Row],[영업장코드(예약 영업장 코드)]])</f>
        <v>GOTAREV15</v>
      </c>
      <c r="I2508" s="34">
        <f>RIGHT(표4[[#This Row],[년월(XXXX-XX 형식)]],2)*1</f>
        <v>7</v>
      </c>
    </row>
    <row r="2509" spans="1:9" x14ac:dyDescent="0.3">
      <c r="A2509">
        <v>7</v>
      </c>
      <c r="B2509" t="s">
        <v>190</v>
      </c>
      <c r="C2509" t="s">
        <v>193</v>
      </c>
      <c r="D2509" t="s">
        <v>195</v>
      </c>
      <c r="E2509" t="s">
        <v>105</v>
      </c>
      <c r="F2509" s="57" t="s">
        <v>119</v>
      </c>
      <c r="G2509" s="34">
        <f>VLOOKUP(표4[[#This Row],[구분]],ota_rns[#All],표4[[#This Row],[구분1]]+5,FALSE)</f>
        <v>494.67239999999998</v>
      </c>
      <c r="H2509" s="58" t="str">
        <f>CONCATENATE(표4[[#This Row],[세그먼트 (OTA , GOTA, IB'[IB'])]],표4[[#This Row],[목표구분 (REV, RNS, ADR)]],표4[[#This Row],[영업장코드(예약 영업장 코드)]])</f>
        <v>GOTAREV29</v>
      </c>
      <c r="I2509" s="34">
        <f>RIGHT(표4[[#This Row],[년월(XXXX-XX 형식)]],2)*1</f>
        <v>7</v>
      </c>
    </row>
    <row r="2510" spans="1:9" x14ac:dyDescent="0.3">
      <c r="A2510">
        <v>7</v>
      </c>
      <c r="B2510" t="s">
        <v>190</v>
      </c>
      <c r="C2510" t="s">
        <v>193</v>
      </c>
      <c r="D2510" t="s">
        <v>195</v>
      </c>
      <c r="E2510" t="s">
        <v>184</v>
      </c>
      <c r="F2510" s="57" t="s">
        <v>152</v>
      </c>
      <c r="G2510" s="34">
        <f>VLOOKUP(표4[[#This Row],[구분]],ota_rns[#All],표4[[#This Row],[구분1]]+5,FALSE)</f>
        <v>412.12</v>
      </c>
      <c r="H2510" s="58" t="str">
        <f>CONCATENATE(표4[[#This Row],[세그먼트 (OTA , GOTA, IB'[IB'])]],표4[[#This Row],[목표구분 (REV, RNS, ADR)]],표4[[#This Row],[영업장코드(예약 영업장 코드)]])</f>
        <v>GOTAREV85</v>
      </c>
      <c r="I2510" s="34">
        <f>RIGHT(표4[[#This Row],[년월(XXXX-XX 형식)]],2)*1</f>
        <v>7</v>
      </c>
    </row>
    <row r="2511" spans="1:9" x14ac:dyDescent="0.3">
      <c r="A2511">
        <v>7</v>
      </c>
      <c r="B2511" t="s">
        <v>190</v>
      </c>
      <c r="C2511" t="s">
        <v>193</v>
      </c>
      <c r="D2511" t="s">
        <v>195</v>
      </c>
      <c r="E2511" t="s">
        <v>185</v>
      </c>
      <c r="F2511" s="57" t="s">
        <v>128</v>
      </c>
      <c r="G2511" s="34">
        <f>VLOOKUP(표4[[#This Row],[구분]],ota_rns[#All],표4[[#This Row],[구분1]]+5,FALSE)</f>
        <v>151.19999999999999</v>
      </c>
      <c r="H2511" s="58" t="str">
        <f>CONCATENATE(표4[[#This Row],[세그먼트 (OTA , GOTA, IB'[IB'])]],표4[[#This Row],[목표구분 (REV, RNS, ADR)]],표4[[#This Row],[영업장코드(예약 영업장 코드)]])</f>
        <v>GOTAREV58</v>
      </c>
      <c r="I2511" s="34">
        <f>RIGHT(표4[[#This Row],[년월(XXXX-XX 형식)]],2)*1</f>
        <v>7</v>
      </c>
    </row>
    <row r="2512" spans="1:9" x14ac:dyDescent="0.3">
      <c r="A2512">
        <v>7</v>
      </c>
      <c r="B2512" t="s">
        <v>190</v>
      </c>
      <c r="C2512" t="s">
        <v>193</v>
      </c>
      <c r="D2512" t="s">
        <v>195</v>
      </c>
      <c r="E2512" t="s">
        <v>178</v>
      </c>
      <c r="F2512" s="57" t="s">
        <v>178</v>
      </c>
      <c r="G2512" s="34">
        <f>VLOOKUP(표4[[#This Row],[구분]],ota_rns[#All],표4[[#This Row],[구분1]]+5,FALSE)</f>
        <v>181.79</v>
      </c>
      <c r="H2512" s="58" t="str">
        <f>CONCATENATE(표4[[#This Row],[세그먼트 (OTA , GOTA, IB'[IB'])]],표4[[#This Row],[목표구분 (REV, RNS, ADR)]],표4[[#This Row],[영업장코드(예약 영업장 코드)]])</f>
        <v>GOTAREV94</v>
      </c>
      <c r="I2512" s="34">
        <f>RIGHT(표4[[#This Row],[년월(XXXX-XX 형식)]],2)*1</f>
        <v>7</v>
      </c>
    </row>
    <row r="2513" spans="1:9" x14ac:dyDescent="0.3">
      <c r="A2513">
        <v>8</v>
      </c>
      <c r="B2513" t="s">
        <v>190</v>
      </c>
      <c r="C2513" t="s">
        <v>191</v>
      </c>
      <c r="D2513" t="s">
        <v>195</v>
      </c>
      <c r="E2513" t="s">
        <v>78</v>
      </c>
      <c r="F2513" s="57" t="s">
        <v>78</v>
      </c>
      <c r="G2513" s="34">
        <f>VLOOKUP(표4[[#This Row],[구분]],ota_rns[#All],표4[[#This Row],[구분1]]+5,FALSE)</f>
        <v>2800</v>
      </c>
      <c r="H2513" s="58" t="str">
        <f>CONCATENATE(표4[[#This Row],[세그먼트 (OTA , GOTA, IB'[IB'])]],표4[[#This Row],[목표구분 (REV, RNS, ADR)]],표4[[#This Row],[영업장코드(예약 영업장 코드)]])</f>
        <v>GOTARNS02</v>
      </c>
      <c r="I2513" s="34">
        <f>RIGHT(표4[[#This Row],[년월(XXXX-XX 형식)]],2)*1</f>
        <v>8</v>
      </c>
    </row>
    <row r="2514" spans="1:9" x14ac:dyDescent="0.3">
      <c r="A2514">
        <v>8</v>
      </c>
      <c r="B2514" t="s">
        <v>190</v>
      </c>
      <c r="C2514" t="s">
        <v>191</v>
      </c>
      <c r="D2514" t="s">
        <v>195</v>
      </c>
      <c r="E2514" t="s">
        <v>78</v>
      </c>
      <c r="F2514" s="57" t="s">
        <v>86</v>
      </c>
      <c r="G2514" s="34">
        <f>VLOOKUP(표4[[#This Row],[구분]],ota_rns[#All],표4[[#This Row],[구분1]]+5,FALSE)</f>
        <v>1010</v>
      </c>
      <c r="H2514" s="58" t="str">
        <f>CONCATENATE(표4[[#This Row],[세그먼트 (OTA , GOTA, IB'[IB'])]],표4[[#This Row],[목표구분 (REV, RNS, ADR)]],표4[[#This Row],[영업장코드(예약 영업장 코드)]])</f>
        <v>GOTARNS07</v>
      </c>
      <c r="I2514" s="34">
        <f>RIGHT(표4[[#This Row],[년월(XXXX-XX 형식)]],2)*1</f>
        <v>8</v>
      </c>
    </row>
    <row r="2515" spans="1:9" x14ac:dyDescent="0.3">
      <c r="A2515">
        <v>8</v>
      </c>
      <c r="B2515" t="s">
        <v>190</v>
      </c>
      <c r="C2515" t="s">
        <v>191</v>
      </c>
      <c r="D2515" t="s">
        <v>195</v>
      </c>
      <c r="E2515" t="s">
        <v>78</v>
      </c>
      <c r="F2515" s="57" t="s">
        <v>105</v>
      </c>
      <c r="G2515" s="34">
        <f>VLOOKUP(표4[[#This Row],[구분]],ota_rns[#All],표4[[#This Row],[구분1]]+5,FALSE)</f>
        <v>1600</v>
      </c>
      <c r="H2515" s="58" t="str">
        <f>CONCATENATE(표4[[#This Row],[세그먼트 (OTA , GOTA, IB'[IB'])]],표4[[#This Row],[목표구분 (REV, RNS, ADR)]],표4[[#This Row],[영업장코드(예약 영업장 코드)]])</f>
        <v>GOTARNS19</v>
      </c>
      <c r="I2515" s="34">
        <f>RIGHT(표4[[#This Row],[년월(XXXX-XX 형식)]],2)*1</f>
        <v>8</v>
      </c>
    </row>
    <row r="2516" spans="1:9" x14ac:dyDescent="0.3">
      <c r="A2516">
        <v>8</v>
      </c>
      <c r="B2516" t="s">
        <v>190</v>
      </c>
      <c r="C2516" t="s">
        <v>191</v>
      </c>
      <c r="D2516" t="s">
        <v>195</v>
      </c>
      <c r="E2516" t="s">
        <v>78</v>
      </c>
      <c r="F2516" s="57" t="s">
        <v>124</v>
      </c>
      <c r="G2516" s="34">
        <f>VLOOKUP(표4[[#This Row],[구분]],ota_rns[#All],표4[[#This Row],[구분1]]+5,FALSE)</f>
        <v>700</v>
      </c>
      <c r="H2516" s="58" t="str">
        <f>CONCATENATE(표4[[#This Row],[세그먼트 (OTA , GOTA, IB'[IB'])]],표4[[#This Row],[목표구분 (REV, RNS, ADR)]],표4[[#This Row],[영업장코드(예약 영업장 코드)]])</f>
        <v>GOTARNS50</v>
      </c>
      <c r="I2516" s="34">
        <f>RIGHT(표4[[#This Row],[년월(XXXX-XX 형식)]],2)*1</f>
        <v>8</v>
      </c>
    </row>
    <row r="2517" spans="1:9" x14ac:dyDescent="0.3">
      <c r="A2517">
        <v>8</v>
      </c>
      <c r="B2517" t="s">
        <v>190</v>
      </c>
      <c r="C2517" t="s">
        <v>191</v>
      </c>
      <c r="D2517" t="s">
        <v>195</v>
      </c>
      <c r="E2517" t="s">
        <v>78</v>
      </c>
      <c r="F2517" s="57" t="s">
        <v>88</v>
      </c>
      <c r="G2517" s="34">
        <f>VLOOKUP(표4[[#This Row],[구분]],ota_rns[#All],표4[[#This Row],[구분1]]+5,FALSE)</f>
        <v>950</v>
      </c>
      <c r="H2517" s="58" t="str">
        <f>CONCATENATE(표4[[#This Row],[세그먼트 (OTA , GOTA, IB'[IB'])]],표4[[#This Row],[목표구분 (REV, RNS, ADR)]],표4[[#This Row],[영업장코드(예약 영업장 코드)]])</f>
        <v>GOTARNS08</v>
      </c>
      <c r="I2517" s="34">
        <f>RIGHT(표4[[#This Row],[년월(XXXX-XX 형식)]],2)*1</f>
        <v>8</v>
      </c>
    </row>
    <row r="2518" spans="1:9" x14ac:dyDescent="0.3">
      <c r="A2518">
        <v>8</v>
      </c>
      <c r="B2518" t="s">
        <v>190</v>
      </c>
      <c r="C2518" t="s">
        <v>191</v>
      </c>
      <c r="D2518" t="s">
        <v>195</v>
      </c>
      <c r="E2518" t="s">
        <v>81</v>
      </c>
      <c r="F2518" s="57" t="s">
        <v>81</v>
      </c>
      <c r="G2518" s="34">
        <f>VLOOKUP(표4[[#This Row],[구분]],ota_rns[#All],표4[[#This Row],[구분1]]+5,FALSE)</f>
        <v>315</v>
      </c>
      <c r="H2518" s="58" t="str">
        <f>CONCATENATE(표4[[#This Row],[세그먼트 (OTA , GOTA, IB'[IB'])]],표4[[#This Row],[목표구분 (REV, RNS, ADR)]],표4[[#This Row],[영업장코드(예약 영업장 코드)]])</f>
        <v>GOTARNS03</v>
      </c>
      <c r="I2518" s="34">
        <f>RIGHT(표4[[#This Row],[년월(XXXX-XX 형식)]],2)*1</f>
        <v>8</v>
      </c>
    </row>
    <row r="2519" spans="1:9" x14ac:dyDescent="0.3">
      <c r="A2519">
        <v>8</v>
      </c>
      <c r="B2519" t="s">
        <v>190</v>
      </c>
      <c r="C2519" t="s">
        <v>191</v>
      </c>
      <c r="D2519" t="s">
        <v>195</v>
      </c>
      <c r="E2519" t="s">
        <v>75</v>
      </c>
      <c r="F2519" s="57" t="s">
        <v>75</v>
      </c>
      <c r="G2519" s="34">
        <f>VLOOKUP(표4[[#This Row],[구분]],ota_rns[#All],표4[[#This Row],[구분1]]+5,FALSE)</f>
        <v>2450</v>
      </c>
      <c r="H2519" s="58" t="str">
        <f>CONCATENATE(표4[[#This Row],[세그먼트 (OTA , GOTA, IB'[IB'])]],표4[[#This Row],[목표구분 (REV, RNS, ADR)]],표4[[#This Row],[영업장코드(예약 영업장 코드)]])</f>
        <v>GOTARNS01</v>
      </c>
      <c r="I2519" s="34">
        <f>RIGHT(표4[[#This Row],[년월(XXXX-XX 형식)]],2)*1</f>
        <v>8</v>
      </c>
    </row>
    <row r="2520" spans="1:9" x14ac:dyDescent="0.3">
      <c r="A2520">
        <v>8</v>
      </c>
      <c r="B2520" t="s">
        <v>190</v>
      </c>
      <c r="C2520" t="s">
        <v>191</v>
      </c>
      <c r="D2520" t="s">
        <v>195</v>
      </c>
      <c r="E2520" t="s">
        <v>75</v>
      </c>
      <c r="F2520" s="57" t="s">
        <v>141</v>
      </c>
      <c r="G2520" s="34">
        <f>VLOOKUP(표4[[#This Row],[구분]],ota_rns[#All],표4[[#This Row],[구분1]]+5,FALSE)</f>
        <v>3700</v>
      </c>
      <c r="H2520" s="58" t="str">
        <f>CONCATENATE(표4[[#This Row],[세그먼트 (OTA , GOTA, IB'[IB'])]],표4[[#This Row],[목표구분 (REV, RNS, ADR)]],표4[[#This Row],[영업장코드(예약 영업장 코드)]])</f>
        <v>GOTARNS70</v>
      </c>
      <c r="I2520" s="34">
        <f>RIGHT(표4[[#This Row],[년월(XXXX-XX 형식)]],2)*1</f>
        <v>8</v>
      </c>
    </row>
    <row r="2521" spans="1:9" x14ac:dyDescent="0.3">
      <c r="A2521">
        <v>8</v>
      </c>
      <c r="B2521" t="s">
        <v>190</v>
      </c>
      <c r="C2521" t="s">
        <v>191</v>
      </c>
      <c r="D2521" t="s">
        <v>195</v>
      </c>
      <c r="E2521" t="s">
        <v>75</v>
      </c>
      <c r="F2521" s="57" t="s">
        <v>113</v>
      </c>
      <c r="G2521" s="34">
        <f>VLOOKUP(표4[[#This Row],[구분]],ota_rns[#All],표4[[#This Row],[구분1]]+5,FALSE)</f>
        <v>600</v>
      </c>
      <c r="H2521" s="58" t="str">
        <f>CONCATENATE(표4[[#This Row],[세그먼트 (OTA , GOTA, IB'[IB'])]],표4[[#This Row],[목표구분 (REV, RNS, ADR)]],표4[[#This Row],[영업장코드(예약 영업장 코드)]])</f>
        <v>GOTARNS25</v>
      </c>
      <c r="I2521" s="34">
        <f>RIGHT(표4[[#This Row],[년월(XXXX-XX 형식)]],2)*1</f>
        <v>8</v>
      </c>
    </row>
    <row r="2522" spans="1:9" x14ac:dyDescent="0.3">
      <c r="A2522">
        <v>8</v>
      </c>
      <c r="B2522" t="s">
        <v>190</v>
      </c>
      <c r="C2522" t="s">
        <v>191</v>
      </c>
      <c r="D2522" t="s">
        <v>195</v>
      </c>
      <c r="E2522" t="s">
        <v>75</v>
      </c>
      <c r="F2522" s="57" t="s">
        <v>117</v>
      </c>
      <c r="G2522" s="34">
        <f>VLOOKUP(표4[[#This Row],[구분]],ota_rns[#All],표4[[#This Row],[구분1]]+5,FALSE)</f>
        <v>600</v>
      </c>
      <c r="H2522" s="58" t="str">
        <f>CONCATENATE(표4[[#This Row],[세그먼트 (OTA , GOTA, IB'[IB'])]],표4[[#This Row],[목표구분 (REV, RNS, ADR)]],표4[[#This Row],[영업장코드(예약 영업장 코드)]])</f>
        <v>GOTARNS27</v>
      </c>
      <c r="I2522" s="34">
        <f>RIGHT(표4[[#This Row],[년월(XXXX-XX 형식)]],2)*1</f>
        <v>8</v>
      </c>
    </row>
    <row r="2523" spans="1:9" x14ac:dyDescent="0.3">
      <c r="A2523">
        <v>8</v>
      </c>
      <c r="B2523" t="s">
        <v>190</v>
      </c>
      <c r="C2523" t="s">
        <v>191</v>
      </c>
      <c r="D2523" t="s">
        <v>195</v>
      </c>
      <c r="E2523" t="s">
        <v>75</v>
      </c>
      <c r="F2523" s="57" t="s">
        <v>122</v>
      </c>
      <c r="G2523" s="34">
        <f>VLOOKUP(표4[[#This Row],[구분]],ota_rns[#All],표4[[#This Row],[구분1]]+5,FALSE)</f>
        <v>50</v>
      </c>
      <c r="H2523" s="58" t="str">
        <f>CONCATENATE(표4[[#This Row],[세그먼트 (OTA , GOTA, IB'[IB'])]],표4[[#This Row],[목표구분 (REV, RNS, ADR)]],표4[[#This Row],[영업장코드(예약 영업장 코드)]])</f>
        <v>GOTARNS46</v>
      </c>
      <c r="I2523" s="34">
        <f>RIGHT(표4[[#This Row],[년월(XXXX-XX 형식)]],2)*1</f>
        <v>8</v>
      </c>
    </row>
    <row r="2524" spans="1:9" x14ac:dyDescent="0.3">
      <c r="A2524">
        <v>8</v>
      </c>
      <c r="B2524" t="s">
        <v>190</v>
      </c>
      <c r="C2524" t="s">
        <v>191</v>
      </c>
      <c r="D2524" t="s">
        <v>195</v>
      </c>
      <c r="E2524" t="s">
        <v>92</v>
      </c>
      <c r="F2524" s="57" t="s">
        <v>92</v>
      </c>
      <c r="G2524" s="34">
        <f>VLOOKUP(표4[[#This Row],[구분]],ota_rns[#All],표4[[#This Row],[구분1]]+5,FALSE)</f>
        <v>1200</v>
      </c>
      <c r="H2524" s="58" t="str">
        <f>CONCATENATE(표4[[#This Row],[세그먼트 (OTA , GOTA, IB'[IB'])]],표4[[#This Row],[목표구분 (REV, RNS, ADR)]],표4[[#This Row],[영업장코드(예약 영업장 코드)]])</f>
        <v>GOTARNS10</v>
      </c>
      <c r="I2524" s="34">
        <f>RIGHT(표4[[#This Row],[년월(XXXX-XX 형식)]],2)*1</f>
        <v>8</v>
      </c>
    </row>
    <row r="2525" spans="1:9" x14ac:dyDescent="0.3">
      <c r="A2525">
        <v>8</v>
      </c>
      <c r="B2525" t="s">
        <v>190</v>
      </c>
      <c r="C2525" t="s">
        <v>191</v>
      </c>
      <c r="D2525" t="s">
        <v>195</v>
      </c>
      <c r="E2525" t="s">
        <v>110</v>
      </c>
      <c r="F2525" s="57" t="s">
        <v>131</v>
      </c>
      <c r="G2525" s="34">
        <f>VLOOKUP(표4[[#This Row],[구분]],ota_rns[#All],표4[[#This Row],[구분1]]+5,FALSE)</f>
        <v>1400</v>
      </c>
      <c r="H2525" s="58" t="str">
        <f>CONCATENATE(표4[[#This Row],[세그먼트 (OTA , GOTA, IB'[IB'])]],표4[[#This Row],[목표구분 (REV, RNS, ADR)]],표4[[#This Row],[영업장코드(예약 영업장 코드)]])</f>
        <v>GOTARNS61</v>
      </c>
      <c r="I2525" s="34">
        <f>RIGHT(표4[[#This Row],[년월(XXXX-XX 형식)]],2)*1</f>
        <v>8</v>
      </c>
    </row>
    <row r="2526" spans="1:9" x14ac:dyDescent="0.3">
      <c r="A2526">
        <v>8</v>
      </c>
      <c r="B2526" t="s">
        <v>190</v>
      </c>
      <c r="C2526" t="s">
        <v>191</v>
      </c>
      <c r="D2526" t="s">
        <v>195</v>
      </c>
      <c r="E2526" t="s">
        <v>180</v>
      </c>
      <c r="F2526" s="57" t="s">
        <v>180</v>
      </c>
      <c r="G2526" s="34">
        <f>VLOOKUP(표4[[#This Row],[구분]],ota_rns[#All],표4[[#This Row],[구분1]]+5,FALSE)</f>
        <v>1165</v>
      </c>
      <c r="H2526" s="58" t="str">
        <f>CONCATENATE(표4[[#This Row],[세그먼트 (OTA , GOTA, IB'[IB'])]],표4[[#This Row],[목표구분 (REV, RNS, ADR)]],표4[[#This Row],[영업장코드(예약 영업장 코드)]])</f>
        <v>GOTARNS05</v>
      </c>
      <c r="I2526" s="34">
        <f>RIGHT(표4[[#This Row],[년월(XXXX-XX 형식)]],2)*1</f>
        <v>8</v>
      </c>
    </row>
    <row r="2527" spans="1:9" x14ac:dyDescent="0.3">
      <c r="A2527">
        <v>8</v>
      </c>
      <c r="B2527" t="s">
        <v>190</v>
      </c>
      <c r="C2527" t="s">
        <v>191</v>
      </c>
      <c r="D2527" t="s">
        <v>195</v>
      </c>
      <c r="E2527" t="s">
        <v>181</v>
      </c>
      <c r="F2527" s="57" t="s">
        <v>137</v>
      </c>
      <c r="G2527" s="34">
        <f>VLOOKUP(표4[[#This Row],[구분]],ota_rns[#All],표4[[#This Row],[구분1]]+5,FALSE)</f>
        <v>730</v>
      </c>
      <c r="H2527" s="58" t="str">
        <f>CONCATENATE(표4[[#This Row],[세그먼트 (OTA , GOTA, IB'[IB'])]],표4[[#This Row],[목표구분 (REV, RNS, ADR)]],표4[[#This Row],[영업장코드(예약 영업장 코드)]])</f>
        <v>GOTARNS66</v>
      </c>
      <c r="I2527" s="34">
        <f>RIGHT(표4[[#This Row],[년월(XXXX-XX 형식)]],2)*1</f>
        <v>8</v>
      </c>
    </row>
    <row r="2528" spans="1:9" x14ac:dyDescent="0.3">
      <c r="A2528">
        <v>8</v>
      </c>
      <c r="B2528" t="s">
        <v>190</v>
      </c>
      <c r="C2528" t="s">
        <v>191</v>
      </c>
      <c r="D2528" t="s">
        <v>195</v>
      </c>
      <c r="E2528" t="s">
        <v>84</v>
      </c>
      <c r="F2528" s="57" t="s">
        <v>84</v>
      </c>
      <c r="G2528" s="34">
        <f>VLOOKUP(표4[[#This Row],[구분]],ota_rns[#All],표4[[#This Row],[구분1]]+5,FALSE)</f>
        <v>3000</v>
      </c>
      <c r="H2528" s="58" t="str">
        <f>CONCATENATE(표4[[#This Row],[세그먼트 (OTA , GOTA, IB'[IB'])]],표4[[#This Row],[목표구분 (REV, RNS, ADR)]],표4[[#This Row],[영업장코드(예약 영업장 코드)]])</f>
        <v>GOTARNS06</v>
      </c>
      <c r="I2528" s="34">
        <f>RIGHT(표4[[#This Row],[년월(XXXX-XX 형식)]],2)*1</f>
        <v>8</v>
      </c>
    </row>
    <row r="2529" spans="1:9" x14ac:dyDescent="0.3">
      <c r="A2529">
        <v>8</v>
      </c>
      <c r="B2529" t="s">
        <v>190</v>
      </c>
      <c r="C2529" t="s">
        <v>191</v>
      </c>
      <c r="D2529" t="s">
        <v>195</v>
      </c>
      <c r="E2529" t="s">
        <v>143</v>
      </c>
      <c r="F2529" s="57" t="s">
        <v>143</v>
      </c>
      <c r="G2529" s="34">
        <f>VLOOKUP(표4[[#This Row],[구분]],ota_rns[#All],표4[[#This Row],[구분1]]+5,FALSE)</f>
        <v>1500</v>
      </c>
      <c r="H2529" s="58" t="str">
        <f>CONCATENATE(표4[[#This Row],[세그먼트 (OTA , GOTA, IB'[IB'])]],표4[[#This Row],[목표구분 (REV, RNS, ADR)]],표4[[#This Row],[영업장코드(예약 영업장 코드)]])</f>
        <v>GOTARNS73</v>
      </c>
      <c r="I2529" s="34">
        <f>RIGHT(표4[[#This Row],[년월(XXXX-XX 형식)]],2)*1</f>
        <v>8</v>
      </c>
    </row>
    <row r="2530" spans="1:9" x14ac:dyDescent="0.3">
      <c r="A2530">
        <v>8</v>
      </c>
      <c r="B2530" t="s">
        <v>190</v>
      </c>
      <c r="C2530" t="s">
        <v>191</v>
      </c>
      <c r="D2530" t="s">
        <v>195</v>
      </c>
      <c r="E2530" t="s">
        <v>99</v>
      </c>
      <c r="F2530" s="57" t="s">
        <v>99</v>
      </c>
      <c r="G2530" s="34">
        <f>VLOOKUP(표4[[#This Row],[구분]],ota_rns[#All],표4[[#This Row],[구분1]]+5,FALSE)</f>
        <v>1450</v>
      </c>
      <c r="H2530" s="58" t="str">
        <f>CONCATENATE(표4[[#This Row],[세그먼트 (OTA , GOTA, IB'[IB'])]],표4[[#This Row],[목표구분 (REV, RNS, ADR)]],표4[[#This Row],[영업장코드(예약 영업장 코드)]])</f>
        <v>GOTARNS16</v>
      </c>
      <c r="I2530" s="34">
        <f>RIGHT(표4[[#This Row],[년월(XXXX-XX 형식)]],2)*1</f>
        <v>8</v>
      </c>
    </row>
    <row r="2531" spans="1:9" x14ac:dyDescent="0.3">
      <c r="A2531">
        <v>8</v>
      </c>
      <c r="B2531" t="s">
        <v>190</v>
      </c>
      <c r="C2531" t="s">
        <v>191</v>
      </c>
      <c r="D2531" t="s">
        <v>195</v>
      </c>
      <c r="E2531" t="s">
        <v>103</v>
      </c>
      <c r="F2531" s="57" t="s">
        <v>110</v>
      </c>
      <c r="G2531" s="34">
        <f>VLOOKUP(표4[[#This Row],[구분]],ota_rns[#All],표4[[#This Row],[구분1]]+5,FALSE)</f>
        <v>1750</v>
      </c>
      <c r="H2531" s="58" t="str">
        <f>CONCATENATE(표4[[#This Row],[세그먼트 (OTA , GOTA, IB'[IB'])]],표4[[#This Row],[목표구분 (REV, RNS, ADR)]],표4[[#This Row],[영업장코드(예약 영업장 코드)]])</f>
        <v>GOTARNS24</v>
      </c>
      <c r="I2531" s="34">
        <f>RIGHT(표4[[#This Row],[년월(XXXX-XX 형식)]],2)*1</f>
        <v>8</v>
      </c>
    </row>
    <row r="2532" spans="1:9" x14ac:dyDescent="0.3">
      <c r="A2532">
        <v>8</v>
      </c>
      <c r="B2532" t="s">
        <v>190</v>
      </c>
      <c r="C2532" t="s">
        <v>191</v>
      </c>
      <c r="D2532" t="s">
        <v>195</v>
      </c>
      <c r="E2532" t="s">
        <v>101</v>
      </c>
      <c r="F2532" s="57" t="s">
        <v>107</v>
      </c>
      <c r="G2532" s="34">
        <f>VLOOKUP(표4[[#This Row],[구분]],ota_rns[#All],표4[[#This Row],[구분1]]+5,FALSE)</f>
        <v>1000</v>
      </c>
      <c r="H2532" s="58" t="str">
        <f>CONCATENATE(표4[[#This Row],[세그먼트 (OTA , GOTA, IB'[IB'])]],표4[[#This Row],[목표구분 (REV, RNS, ADR)]],표4[[#This Row],[영업장코드(예약 영업장 코드)]])</f>
        <v>GOTARNS22</v>
      </c>
      <c r="I2532" s="34">
        <f>RIGHT(표4[[#This Row],[년월(XXXX-XX 형식)]],2)*1</f>
        <v>8</v>
      </c>
    </row>
    <row r="2533" spans="1:9" x14ac:dyDescent="0.3">
      <c r="A2533">
        <v>8</v>
      </c>
      <c r="B2533" t="s">
        <v>190</v>
      </c>
      <c r="C2533" t="s">
        <v>191</v>
      </c>
      <c r="D2533" t="s">
        <v>195</v>
      </c>
      <c r="E2533" t="s">
        <v>182</v>
      </c>
      <c r="F2533" s="57" t="s">
        <v>147</v>
      </c>
      <c r="G2533" s="34">
        <f>VLOOKUP(표4[[#This Row],[구분]],ota_rns[#All],표4[[#This Row],[구분1]]+5,FALSE)</f>
        <v>2600</v>
      </c>
      <c r="H2533" s="58" t="str">
        <f>CONCATENATE(표4[[#This Row],[세그먼트 (OTA , GOTA, IB'[IB'])]],표4[[#This Row],[목표구분 (REV, RNS, ADR)]],표4[[#This Row],[영업장코드(예약 영업장 코드)]])</f>
        <v>GOTARNS77</v>
      </c>
      <c r="I2533" s="34">
        <f>RIGHT(표4[[#This Row],[년월(XXXX-XX 형식)]],2)*1</f>
        <v>8</v>
      </c>
    </row>
    <row r="2534" spans="1:9" x14ac:dyDescent="0.3">
      <c r="A2534">
        <v>8</v>
      </c>
      <c r="B2534" t="s">
        <v>190</v>
      </c>
      <c r="C2534" t="s">
        <v>191</v>
      </c>
      <c r="D2534" t="s">
        <v>195</v>
      </c>
      <c r="E2534" t="s">
        <v>183</v>
      </c>
      <c r="F2534" s="57" t="s">
        <v>157</v>
      </c>
      <c r="G2534" s="34">
        <f>VLOOKUP(표4[[#This Row],[구분]],ota_rns[#All],표4[[#This Row],[구분1]]+5,FALSE)</f>
        <v>680</v>
      </c>
      <c r="H2534" s="58" t="str">
        <f>CONCATENATE(표4[[#This Row],[세그먼트 (OTA , GOTA, IB'[IB'])]],표4[[#This Row],[목표구분 (REV, RNS, ADR)]],표4[[#This Row],[영업장코드(예약 영업장 코드)]])</f>
        <v>GOTARNS87</v>
      </c>
      <c r="I2534" s="34">
        <f>RIGHT(표4[[#This Row],[년월(XXXX-XX 형식)]],2)*1</f>
        <v>8</v>
      </c>
    </row>
    <row r="2535" spans="1:9" x14ac:dyDescent="0.3">
      <c r="A2535">
        <v>8</v>
      </c>
      <c r="B2535" t="s">
        <v>190</v>
      </c>
      <c r="C2535" t="s">
        <v>191</v>
      </c>
      <c r="D2535" t="s">
        <v>195</v>
      </c>
      <c r="E2535" t="s">
        <v>96</v>
      </c>
      <c r="F2535" s="57" t="s">
        <v>96</v>
      </c>
      <c r="G2535" s="34">
        <f>VLOOKUP(표4[[#This Row],[구분]],ota_rns[#All],표4[[#This Row],[구분1]]+5,FALSE)</f>
        <v>2300</v>
      </c>
      <c r="H2535" s="58" t="str">
        <f>CONCATENATE(표4[[#This Row],[세그먼트 (OTA , GOTA, IB'[IB'])]],표4[[#This Row],[목표구분 (REV, RNS, ADR)]],표4[[#This Row],[영업장코드(예약 영업장 코드)]])</f>
        <v>GOTARNS15</v>
      </c>
      <c r="I2535" s="34">
        <f>RIGHT(표4[[#This Row],[년월(XXXX-XX 형식)]],2)*1</f>
        <v>8</v>
      </c>
    </row>
    <row r="2536" spans="1:9" x14ac:dyDescent="0.3">
      <c r="A2536">
        <v>8</v>
      </c>
      <c r="B2536" t="s">
        <v>190</v>
      </c>
      <c r="C2536" t="s">
        <v>191</v>
      </c>
      <c r="D2536" t="s">
        <v>195</v>
      </c>
      <c r="E2536" t="s">
        <v>105</v>
      </c>
      <c r="F2536" s="57" t="s">
        <v>119</v>
      </c>
      <c r="G2536" s="34">
        <f>VLOOKUP(표4[[#This Row],[구분]],ota_rns[#All],표4[[#This Row],[구분1]]+5,FALSE)</f>
        <v>2500</v>
      </c>
      <c r="H2536" s="58" t="str">
        <f>CONCATENATE(표4[[#This Row],[세그먼트 (OTA , GOTA, IB'[IB'])]],표4[[#This Row],[목표구분 (REV, RNS, ADR)]],표4[[#This Row],[영업장코드(예약 영업장 코드)]])</f>
        <v>GOTARNS29</v>
      </c>
      <c r="I2536" s="34">
        <f>RIGHT(표4[[#This Row],[년월(XXXX-XX 형식)]],2)*1</f>
        <v>8</v>
      </c>
    </row>
    <row r="2537" spans="1:9" x14ac:dyDescent="0.3">
      <c r="A2537">
        <v>8</v>
      </c>
      <c r="B2537" t="s">
        <v>190</v>
      </c>
      <c r="C2537" t="s">
        <v>191</v>
      </c>
      <c r="D2537" t="s">
        <v>195</v>
      </c>
      <c r="E2537" t="s">
        <v>184</v>
      </c>
      <c r="F2537" s="57" t="s">
        <v>152</v>
      </c>
      <c r="G2537" s="34">
        <f>VLOOKUP(표4[[#This Row],[구분]],ota_rns[#All],표4[[#This Row],[구분1]]+5,FALSE)</f>
        <v>980</v>
      </c>
      <c r="H2537" s="58" t="str">
        <f>CONCATENATE(표4[[#This Row],[세그먼트 (OTA , GOTA, IB'[IB'])]],표4[[#This Row],[목표구분 (REV, RNS, ADR)]],표4[[#This Row],[영업장코드(예약 영업장 코드)]])</f>
        <v>GOTARNS85</v>
      </c>
      <c r="I2537" s="34">
        <f>RIGHT(표4[[#This Row],[년월(XXXX-XX 형식)]],2)*1</f>
        <v>8</v>
      </c>
    </row>
    <row r="2538" spans="1:9" x14ac:dyDescent="0.3">
      <c r="A2538">
        <v>8</v>
      </c>
      <c r="B2538" t="s">
        <v>190</v>
      </c>
      <c r="C2538" t="s">
        <v>191</v>
      </c>
      <c r="D2538" t="s">
        <v>195</v>
      </c>
      <c r="E2538" t="s">
        <v>185</v>
      </c>
      <c r="F2538" s="57" t="s">
        <v>128</v>
      </c>
      <c r="G2538" s="34">
        <f>VLOOKUP(표4[[#This Row],[구분]],ota_rns[#All],표4[[#This Row],[구분1]]+5,FALSE)</f>
        <v>1500</v>
      </c>
      <c r="H2538" s="58" t="str">
        <f>CONCATENATE(표4[[#This Row],[세그먼트 (OTA , GOTA, IB'[IB'])]],표4[[#This Row],[목표구분 (REV, RNS, ADR)]],표4[[#This Row],[영업장코드(예약 영업장 코드)]])</f>
        <v>GOTARNS58</v>
      </c>
      <c r="I2538" s="34">
        <f>RIGHT(표4[[#This Row],[년월(XXXX-XX 형식)]],2)*1</f>
        <v>8</v>
      </c>
    </row>
    <row r="2539" spans="1:9" x14ac:dyDescent="0.3">
      <c r="A2539">
        <v>8</v>
      </c>
      <c r="B2539" t="s">
        <v>190</v>
      </c>
      <c r="C2539" t="s">
        <v>191</v>
      </c>
      <c r="D2539" t="s">
        <v>195</v>
      </c>
      <c r="E2539" t="s">
        <v>178</v>
      </c>
      <c r="F2539" s="57" t="s">
        <v>178</v>
      </c>
      <c r="G2539" s="34">
        <f>VLOOKUP(표4[[#This Row],[구분]],ota_rns[#All],표4[[#This Row],[구분1]]+5,FALSE)</f>
        <v>550</v>
      </c>
      <c r="H2539" s="58" t="str">
        <f>CONCATENATE(표4[[#This Row],[세그먼트 (OTA , GOTA, IB'[IB'])]],표4[[#This Row],[목표구분 (REV, RNS, ADR)]],표4[[#This Row],[영업장코드(예약 영업장 코드)]])</f>
        <v>GOTARNS94</v>
      </c>
      <c r="I2539" s="34">
        <f>RIGHT(표4[[#This Row],[년월(XXXX-XX 형식)]],2)*1</f>
        <v>8</v>
      </c>
    </row>
    <row r="2540" spans="1:9" x14ac:dyDescent="0.3">
      <c r="A2540">
        <v>8</v>
      </c>
      <c r="B2540" t="s">
        <v>190</v>
      </c>
      <c r="C2540" t="s">
        <v>192</v>
      </c>
      <c r="D2540" t="s">
        <v>195</v>
      </c>
      <c r="E2540" t="s">
        <v>78</v>
      </c>
      <c r="F2540" s="57" t="s">
        <v>78</v>
      </c>
      <c r="G2540" s="34">
        <f>VLOOKUP(표4[[#This Row],[구분]],ota_rns[#All],표4[[#This Row],[구분1]]+5,FALSE)</f>
        <v>205</v>
      </c>
      <c r="H2540" s="58" t="str">
        <f>CONCATENATE(표4[[#This Row],[세그먼트 (OTA , GOTA, IB'[IB'])]],표4[[#This Row],[목표구분 (REV, RNS, ADR)]],표4[[#This Row],[영업장코드(예약 영업장 코드)]])</f>
        <v>GOTAADR02</v>
      </c>
      <c r="I2540" s="34">
        <f>RIGHT(표4[[#This Row],[년월(XXXX-XX 형식)]],2)*1</f>
        <v>8</v>
      </c>
    </row>
    <row r="2541" spans="1:9" x14ac:dyDescent="0.3">
      <c r="A2541">
        <v>8</v>
      </c>
      <c r="B2541" t="s">
        <v>190</v>
      </c>
      <c r="C2541" t="s">
        <v>192</v>
      </c>
      <c r="D2541" t="s">
        <v>195</v>
      </c>
      <c r="E2541" t="s">
        <v>78</v>
      </c>
      <c r="F2541" s="57" t="s">
        <v>86</v>
      </c>
      <c r="G2541" s="34">
        <f>VLOOKUP(표4[[#This Row],[구분]],ota_rns[#All],표4[[#This Row],[구분1]]+5,FALSE)</f>
        <v>300.142101710171</v>
      </c>
      <c r="H2541" s="58" t="str">
        <f>CONCATENATE(표4[[#This Row],[세그먼트 (OTA , GOTA, IB'[IB'])]],표4[[#This Row],[목표구분 (REV, RNS, ADR)]],표4[[#This Row],[영업장코드(예약 영업장 코드)]])</f>
        <v>GOTAADR07</v>
      </c>
      <c r="I2541" s="34">
        <f>RIGHT(표4[[#This Row],[년월(XXXX-XX 형식)]],2)*1</f>
        <v>8</v>
      </c>
    </row>
    <row r="2542" spans="1:9" x14ac:dyDescent="0.3">
      <c r="A2542">
        <v>8</v>
      </c>
      <c r="B2542" t="s">
        <v>190</v>
      </c>
      <c r="C2542" t="s">
        <v>192</v>
      </c>
      <c r="D2542" t="s">
        <v>195</v>
      </c>
      <c r="E2542" t="s">
        <v>78</v>
      </c>
      <c r="F2542" s="57" t="s">
        <v>105</v>
      </c>
      <c r="G2542" s="34">
        <f>VLOOKUP(표4[[#This Row],[구분]],ota_rns[#All],표4[[#This Row],[구분1]]+5,FALSE)</f>
        <v>344</v>
      </c>
      <c r="H2542" s="58" t="str">
        <f>CONCATENATE(표4[[#This Row],[세그먼트 (OTA , GOTA, IB'[IB'])]],표4[[#This Row],[목표구분 (REV, RNS, ADR)]],표4[[#This Row],[영업장코드(예약 영업장 코드)]])</f>
        <v>GOTAADR19</v>
      </c>
      <c r="I2542" s="34">
        <f>RIGHT(표4[[#This Row],[년월(XXXX-XX 형식)]],2)*1</f>
        <v>8</v>
      </c>
    </row>
    <row r="2543" spans="1:9" x14ac:dyDescent="0.3">
      <c r="A2543">
        <v>8</v>
      </c>
      <c r="B2543" t="s">
        <v>190</v>
      </c>
      <c r="C2543" t="s">
        <v>192</v>
      </c>
      <c r="D2543" t="s">
        <v>195</v>
      </c>
      <c r="E2543" t="s">
        <v>78</v>
      </c>
      <c r="F2543" s="57" t="s">
        <v>124</v>
      </c>
      <c r="G2543" s="34">
        <f>VLOOKUP(표4[[#This Row],[구분]],ota_rns[#All],표4[[#This Row],[구분1]]+5,FALSE)</f>
        <v>380</v>
      </c>
      <c r="H2543" s="58" t="str">
        <f>CONCATENATE(표4[[#This Row],[세그먼트 (OTA , GOTA, IB'[IB'])]],표4[[#This Row],[목표구분 (REV, RNS, ADR)]],표4[[#This Row],[영업장코드(예약 영업장 코드)]])</f>
        <v>GOTAADR50</v>
      </c>
      <c r="I2543" s="34">
        <f>RIGHT(표4[[#This Row],[년월(XXXX-XX 형식)]],2)*1</f>
        <v>8</v>
      </c>
    </row>
    <row r="2544" spans="1:9" x14ac:dyDescent="0.3">
      <c r="A2544">
        <v>8</v>
      </c>
      <c r="B2544" t="s">
        <v>190</v>
      </c>
      <c r="C2544" t="s">
        <v>192</v>
      </c>
      <c r="D2544" t="s">
        <v>195</v>
      </c>
      <c r="E2544" t="s">
        <v>78</v>
      </c>
      <c r="F2544" s="57" t="s">
        <v>88</v>
      </c>
      <c r="G2544" s="34">
        <f>VLOOKUP(표4[[#This Row],[구분]],ota_rns[#All],표4[[#This Row],[구분1]]+5,FALSE)</f>
        <v>400</v>
      </c>
      <c r="H2544" s="58" t="str">
        <f>CONCATENATE(표4[[#This Row],[세그먼트 (OTA , GOTA, IB'[IB'])]],표4[[#This Row],[목표구분 (REV, RNS, ADR)]],표4[[#This Row],[영업장코드(예약 영업장 코드)]])</f>
        <v>GOTAADR08</v>
      </c>
      <c r="I2544" s="34">
        <f>RIGHT(표4[[#This Row],[년월(XXXX-XX 형식)]],2)*1</f>
        <v>8</v>
      </c>
    </row>
    <row r="2545" spans="1:9" x14ac:dyDescent="0.3">
      <c r="A2545">
        <v>8</v>
      </c>
      <c r="B2545" t="s">
        <v>190</v>
      </c>
      <c r="C2545" t="s">
        <v>192</v>
      </c>
      <c r="D2545" t="s">
        <v>195</v>
      </c>
      <c r="E2545" t="s">
        <v>81</v>
      </c>
      <c r="F2545" s="57" t="s">
        <v>81</v>
      </c>
      <c r="G2545" s="34">
        <f>VLOOKUP(표4[[#This Row],[구분]],ota_rns[#All],표4[[#This Row],[구분1]]+5,FALSE)</f>
        <v>175.42</v>
      </c>
      <c r="H2545" s="58" t="str">
        <f>CONCATENATE(표4[[#This Row],[세그먼트 (OTA , GOTA, IB'[IB'])]],표4[[#This Row],[목표구분 (REV, RNS, ADR)]],표4[[#This Row],[영업장코드(예약 영업장 코드)]])</f>
        <v>GOTAADR03</v>
      </c>
      <c r="I2545" s="34">
        <f>RIGHT(표4[[#This Row],[년월(XXXX-XX 형식)]],2)*1</f>
        <v>8</v>
      </c>
    </row>
    <row r="2546" spans="1:9" x14ac:dyDescent="0.3">
      <c r="A2546">
        <v>8</v>
      </c>
      <c r="B2546" t="s">
        <v>190</v>
      </c>
      <c r="C2546" t="s">
        <v>192</v>
      </c>
      <c r="D2546" t="s">
        <v>195</v>
      </c>
      <c r="E2546" t="s">
        <v>75</v>
      </c>
      <c r="F2546" s="57" t="s">
        <v>75</v>
      </c>
      <c r="G2546" s="34">
        <f>VLOOKUP(표4[[#This Row],[구분]],ota_rns[#All],표4[[#This Row],[구분1]]+5,FALSE)</f>
        <v>196</v>
      </c>
      <c r="H2546" s="58" t="str">
        <f>CONCATENATE(표4[[#This Row],[세그먼트 (OTA , GOTA, IB'[IB'])]],표4[[#This Row],[목표구분 (REV, RNS, ADR)]],표4[[#This Row],[영업장코드(예약 영업장 코드)]])</f>
        <v>GOTAADR01</v>
      </c>
      <c r="I2546" s="34">
        <f>RIGHT(표4[[#This Row],[년월(XXXX-XX 형식)]],2)*1</f>
        <v>8</v>
      </c>
    </row>
    <row r="2547" spans="1:9" x14ac:dyDescent="0.3">
      <c r="A2547">
        <v>8</v>
      </c>
      <c r="B2547" t="s">
        <v>190</v>
      </c>
      <c r="C2547" t="s">
        <v>192</v>
      </c>
      <c r="D2547" t="s">
        <v>195</v>
      </c>
      <c r="E2547" t="s">
        <v>75</v>
      </c>
      <c r="F2547" s="57" t="s">
        <v>141</v>
      </c>
      <c r="G2547" s="34">
        <f>VLOOKUP(표4[[#This Row],[구분]],ota_rns[#All],표4[[#This Row],[구분1]]+5,FALSE)</f>
        <v>250</v>
      </c>
      <c r="H2547" s="58" t="str">
        <f>CONCATENATE(표4[[#This Row],[세그먼트 (OTA , GOTA, IB'[IB'])]],표4[[#This Row],[목표구분 (REV, RNS, ADR)]],표4[[#This Row],[영업장코드(예약 영업장 코드)]])</f>
        <v>GOTAADR70</v>
      </c>
      <c r="I2547" s="34">
        <f>RIGHT(표4[[#This Row],[년월(XXXX-XX 형식)]],2)*1</f>
        <v>8</v>
      </c>
    </row>
    <row r="2548" spans="1:9" x14ac:dyDescent="0.3">
      <c r="A2548">
        <v>8</v>
      </c>
      <c r="B2548" t="s">
        <v>190</v>
      </c>
      <c r="C2548" t="s">
        <v>192</v>
      </c>
      <c r="D2548" t="s">
        <v>195</v>
      </c>
      <c r="E2548" t="s">
        <v>75</v>
      </c>
      <c r="F2548" s="57" t="s">
        <v>113</v>
      </c>
      <c r="G2548" s="34">
        <f>VLOOKUP(표4[[#This Row],[구분]],ota_rns[#All],표4[[#This Row],[구분1]]+5,FALSE)</f>
        <v>248</v>
      </c>
      <c r="H2548" s="58" t="str">
        <f>CONCATENATE(표4[[#This Row],[세그먼트 (OTA , GOTA, IB'[IB'])]],표4[[#This Row],[목표구분 (REV, RNS, ADR)]],표4[[#This Row],[영업장코드(예약 영업장 코드)]])</f>
        <v>GOTAADR25</v>
      </c>
      <c r="I2548" s="34">
        <f>RIGHT(표4[[#This Row],[년월(XXXX-XX 형식)]],2)*1</f>
        <v>8</v>
      </c>
    </row>
    <row r="2549" spans="1:9" x14ac:dyDescent="0.3">
      <c r="A2549">
        <v>8</v>
      </c>
      <c r="B2549" t="s">
        <v>190</v>
      </c>
      <c r="C2549" t="s">
        <v>192</v>
      </c>
      <c r="D2549" t="s">
        <v>195</v>
      </c>
      <c r="E2549" t="s">
        <v>75</v>
      </c>
      <c r="F2549" s="57" t="s">
        <v>117</v>
      </c>
      <c r="G2549" s="34">
        <f>VLOOKUP(표4[[#This Row],[구분]],ota_rns[#All],표4[[#This Row],[구분1]]+5,FALSE)</f>
        <v>465</v>
      </c>
      <c r="H2549" s="58" t="str">
        <f>CONCATENATE(표4[[#This Row],[세그먼트 (OTA , GOTA, IB'[IB'])]],표4[[#This Row],[목표구분 (REV, RNS, ADR)]],표4[[#This Row],[영업장코드(예약 영업장 코드)]])</f>
        <v>GOTAADR27</v>
      </c>
      <c r="I2549" s="34">
        <f>RIGHT(표4[[#This Row],[년월(XXXX-XX 형식)]],2)*1</f>
        <v>8</v>
      </c>
    </row>
    <row r="2550" spans="1:9" x14ac:dyDescent="0.3">
      <c r="A2550">
        <v>8</v>
      </c>
      <c r="B2550" t="s">
        <v>190</v>
      </c>
      <c r="C2550" t="s">
        <v>192</v>
      </c>
      <c r="D2550" t="s">
        <v>195</v>
      </c>
      <c r="E2550" t="s">
        <v>75</v>
      </c>
      <c r="F2550" s="57" t="s">
        <v>122</v>
      </c>
      <c r="G2550" s="34">
        <f>VLOOKUP(표4[[#This Row],[구분]],ota_rns[#All],표4[[#This Row],[구분1]]+5,FALSE)</f>
        <v>340</v>
      </c>
      <c r="H2550" s="58" t="str">
        <f>CONCATENATE(표4[[#This Row],[세그먼트 (OTA , GOTA, IB'[IB'])]],표4[[#This Row],[목표구분 (REV, RNS, ADR)]],표4[[#This Row],[영업장코드(예약 영업장 코드)]])</f>
        <v>GOTAADR46</v>
      </c>
      <c r="I2550" s="34">
        <f>RIGHT(표4[[#This Row],[년월(XXXX-XX 형식)]],2)*1</f>
        <v>8</v>
      </c>
    </row>
    <row r="2551" spans="1:9" x14ac:dyDescent="0.3">
      <c r="A2551">
        <v>8</v>
      </c>
      <c r="B2551" t="s">
        <v>190</v>
      </c>
      <c r="C2551" t="s">
        <v>192</v>
      </c>
      <c r="D2551" t="s">
        <v>195</v>
      </c>
      <c r="E2551" t="s">
        <v>92</v>
      </c>
      <c r="F2551" s="57" t="s">
        <v>92</v>
      </c>
      <c r="G2551" s="34">
        <f>VLOOKUP(표4[[#This Row],[구분]],ota_rns[#All],표4[[#This Row],[구분1]]+5,FALSE)</f>
        <v>225.3</v>
      </c>
      <c r="H2551" s="58" t="str">
        <f>CONCATENATE(표4[[#This Row],[세그먼트 (OTA , GOTA, IB'[IB'])]],표4[[#This Row],[목표구분 (REV, RNS, ADR)]],표4[[#This Row],[영업장코드(예약 영업장 코드)]])</f>
        <v>GOTAADR10</v>
      </c>
      <c r="I2551" s="34">
        <f>RIGHT(표4[[#This Row],[년월(XXXX-XX 형식)]],2)*1</f>
        <v>8</v>
      </c>
    </row>
    <row r="2552" spans="1:9" x14ac:dyDescent="0.3">
      <c r="A2552">
        <v>8</v>
      </c>
      <c r="B2552" t="s">
        <v>190</v>
      </c>
      <c r="C2552" t="s">
        <v>192</v>
      </c>
      <c r="D2552" t="s">
        <v>195</v>
      </c>
      <c r="E2552" t="s">
        <v>110</v>
      </c>
      <c r="F2552" s="57" t="s">
        <v>131</v>
      </c>
      <c r="G2552" s="34">
        <f>VLOOKUP(표4[[#This Row],[구분]],ota_rns[#All],표4[[#This Row],[구분1]]+5,FALSE)</f>
        <v>280</v>
      </c>
      <c r="H2552" s="58" t="str">
        <f>CONCATENATE(표4[[#This Row],[세그먼트 (OTA , GOTA, IB'[IB'])]],표4[[#This Row],[목표구분 (REV, RNS, ADR)]],표4[[#This Row],[영업장코드(예약 영업장 코드)]])</f>
        <v>GOTAADR61</v>
      </c>
      <c r="I2552" s="34">
        <f>RIGHT(표4[[#This Row],[년월(XXXX-XX 형식)]],2)*1</f>
        <v>8</v>
      </c>
    </row>
    <row r="2553" spans="1:9" x14ac:dyDescent="0.3">
      <c r="A2553">
        <v>8</v>
      </c>
      <c r="B2553" t="s">
        <v>190</v>
      </c>
      <c r="C2553" t="s">
        <v>192</v>
      </c>
      <c r="D2553" t="s">
        <v>195</v>
      </c>
      <c r="E2553" t="s">
        <v>180</v>
      </c>
      <c r="F2553" s="57" t="s">
        <v>180</v>
      </c>
      <c r="G2553" s="34">
        <f>VLOOKUP(표4[[#This Row],[구분]],ota_rns[#All],표4[[#This Row],[구분1]]+5,FALSE)</f>
        <v>301.79105814842535</v>
      </c>
      <c r="H2553" s="58" t="str">
        <f>CONCATENATE(표4[[#This Row],[세그먼트 (OTA , GOTA, IB'[IB'])]],표4[[#This Row],[목표구분 (REV, RNS, ADR)]],표4[[#This Row],[영업장코드(예약 영업장 코드)]])</f>
        <v>GOTAADR05</v>
      </c>
      <c r="I2553" s="34">
        <f>RIGHT(표4[[#This Row],[년월(XXXX-XX 형식)]],2)*1</f>
        <v>8</v>
      </c>
    </row>
    <row r="2554" spans="1:9" x14ac:dyDescent="0.3">
      <c r="A2554">
        <v>8</v>
      </c>
      <c r="B2554" t="s">
        <v>190</v>
      </c>
      <c r="C2554" t="s">
        <v>192</v>
      </c>
      <c r="D2554" t="s">
        <v>195</v>
      </c>
      <c r="E2554" t="s">
        <v>181</v>
      </c>
      <c r="F2554" s="57" t="s">
        <v>137</v>
      </c>
      <c r="G2554" s="34">
        <f>VLOOKUP(표4[[#This Row],[구분]],ota_rns[#All],표4[[#This Row],[구분1]]+5,FALSE)</f>
        <v>198</v>
      </c>
      <c r="H2554" s="58" t="str">
        <f>CONCATENATE(표4[[#This Row],[세그먼트 (OTA , GOTA, IB'[IB'])]],표4[[#This Row],[목표구분 (REV, RNS, ADR)]],표4[[#This Row],[영업장코드(예약 영업장 코드)]])</f>
        <v>GOTAADR66</v>
      </c>
      <c r="I2554" s="34">
        <f>RIGHT(표4[[#This Row],[년월(XXXX-XX 형식)]],2)*1</f>
        <v>8</v>
      </c>
    </row>
    <row r="2555" spans="1:9" x14ac:dyDescent="0.3">
      <c r="A2555">
        <v>8</v>
      </c>
      <c r="B2555" t="s">
        <v>190</v>
      </c>
      <c r="C2555" t="s">
        <v>192</v>
      </c>
      <c r="D2555" t="s">
        <v>195</v>
      </c>
      <c r="E2555" t="s">
        <v>84</v>
      </c>
      <c r="F2555" s="57" t="s">
        <v>84</v>
      </c>
      <c r="G2555" s="34">
        <f>VLOOKUP(표4[[#This Row],[구분]],ota_rns[#All],표4[[#This Row],[구분1]]+5,FALSE)</f>
        <v>189.37</v>
      </c>
      <c r="H2555" s="58" t="str">
        <f>CONCATENATE(표4[[#This Row],[세그먼트 (OTA , GOTA, IB'[IB'])]],표4[[#This Row],[목표구분 (REV, RNS, ADR)]],표4[[#This Row],[영업장코드(예약 영업장 코드)]])</f>
        <v>GOTAADR06</v>
      </c>
      <c r="I2555" s="34">
        <f>RIGHT(표4[[#This Row],[년월(XXXX-XX 형식)]],2)*1</f>
        <v>8</v>
      </c>
    </row>
    <row r="2556" spans="1:9" x14ac:dyDescent="0.3">
      <c r="A2556">
        <v>8</v>
      </c>
      <c r="B2556" t="s">
        <v>190</v>
      </c>
      <c r="C2556" t="s">
        <v>192</v>
      </c>
      <c r="D2556" t="s">
        <v>195</v>
      </c>
      <c r="E2556" t="s">
        <v>143</v>
      </c>
      <c r="F2556" s="57" t="s">
        <v>143</v>
      </c>
      <c r="G2556" s="34">
        <f>VLOOKUP(표4[[#This Row],[구분]],ota_rns[#All],표4[[#This Row],[구분1]]+5,FALSE)</f>
        <v>204</v>
      </c>
      <c r="H2556" s="58" t="str">
        <f>CONCATENATE(표4[[#This Row],[세그먼트 (OTA , GOTA, IB'[IB'])]],표4[[#This Row],[목표구분 (REV, RNS, ADR)]],표4[[#This Row],[영업장코드(예약 영업장 코드)]])</f>
        <v>GOTAADR73</v>
      </c>
      <c r="I2556" s="34">
        <f>RIGHT(표4[[#This Row],[년월(XXXX-XX 형식)]],2)*1</f>
        <v>8</v>
      </c>
    </row>
    <row r="2557" spans="1:9" x14ac:dyDescent="0.3">
      <c r="A2557">
        <v>8</v>
      </c>
      <c r="B2557" t="s">
        <v>190</v>
      </c>
      <c r="C2557" t="s">
        <v>192</v>
      </c>
      <c r="D2557" t="s">
        <v>195</v>
      </c>
      <c r="E2557" t="s">
        <v>99</v>
      </c>
      <c r="F2557" s="57" t="s">
        <v>99</v>
      </c>
      <c r="G2557" s="34">
        <f>VLOOKUP(표4[[#This Row],[구분]],ota_rns[#All],표4[[#This Row],[구분1]]+5,FALSE)</f>
        <v>207</v>
      </c>
      <c r="H2557" s="58" t="str">
        <f>CONCATENATE(표4[[#This Row],[세그먼트 (OTA , GOTA, IB'[IB'])]],표4[[#This Row],[목표구분 (REV, RNS, ADR)]],표4[[#This Row],[영업장코드(예약 영업장 코드)]])</f>
        <v>GOTAADR16</v>
      </c>
      <c r="I2557" s="34">
        <f>RIGHT(표4[[#This Row],[년월(XXXX-XX 형식)]],2)*1</f>
        <v>8</v>
      </c>
    </row>
    <row r="2558" spans="1:9" x14ac:dyDescent="0.3">
      <c r="A2558">
        <v>8</v>
      </c>
      <c r="B2558" t="s">
        <v>190</v>
      </c>
      <c r="C2558" t="s">
        <v>192</v>
      </c>
      <c r="D2558" t="s">
        <v>195</v>
      </c>
      <c r="E2558" t="s">
        <v>103</v>
      </c>
      <c r="F2558" s="57" t="s">
        <v>110</v>
      </c>
      <c r="G2558" s="34">
        <f>VLOOKUP(표4[[#This Row],[구분]],ota_rns[#All],표4[[#This Row],[구분1]]+5,FALSE)</f>
        <v>279</v>
      </c>
      <c r="H2558" s="58" t="str">
        <f>CONCATENATE(표4[[#This Row],[세그먼트 (OTA , GOTA, IB'[IB'])]],표4[[#This Row],[목표구분 (REV, RNS, ADR)]],표4[[#This Row],[영업장코드(예약 영업장 코드)]])</f>
        <v>GOTAADR24</v>
      </c>
      <c r="I2558" s="34">
        <f>RIGHT(표4[[#This Row],[년월(XXXX-XX 형식)]],2)*1</f>
        <v>8</v>
      </c>
    </row>
    <row r="2559" spans="1:9" x14ac:dyDescent="0.3">
      <c r="A2559">
        <v>8</v>
      </c>
      <c r="B2559" t="s">
        <v>190</v>
      </c>
      <c r="C2559" t="s">
        <v>192</v>
      </c>
      <c r="D2559" t="s">
        <v>195</v>
      </c>
      <c r="E2559" t="s">
        <v>101</v>
      </c>
      <c r="F2559" s="57" t="s">
        <v>107</v>
      </c>
      <c r="G2559" s="34">
        <f>VLOOKUP(표4[[#This Row],[구분]],ota_rns[#All],표4[[#This Row],[구분1]]+5,FALSE)</f>
        <v>333</v>
      </c>
      <c r="H2559" s="58" t="str">
        <f>CONCATENATE(표4[[#This Row],[세그먼트 (OTA , GOTA, IB'[IB'])]],표4[[#This Row],[목표구분 (REV, RNS, ADR)]],표4[[#This Row],[영업장코드(예약 영업장 코드)]])</f>
        <v>GOTAADR22</v>
      </c>
      <c r="I2559" s="34">
        <f>RIGHT(표4[[#This Row],[년월(XXXX-XX 형식)]],2)*1</f>
        <v>8</v>
      </c>
    </row>
    <row r="2560" spans="1:9" x14ac:dyDescent="0.3">
      <c r="A2560">
        <v>8</v>
      </c>
      <c r="B2560" t="s">
        <v>190</v>
      </c>
      <c r="C2560" t="s">
        <v>192</v>
      </c>
      <c r="D2560" t="s">
        <v>195</v>
      </c>
      <c r="E2560" t="s">
        <v>182</v>
      </c>
      <c r="F2560" s="57" t="s">
        <v>147</v>
      </c>
      <c r="G2560" s="34">
        <f>VLOOKUP(표4[[#This Row],[구분]],ota_rns[#All],표4[[#This Row],[구분1]]+5,FALSE)</f>
        <v>261.5</v>
      </c>
      <c r="H2560" s="58" t="str">
        <f>CONCATENATE(표4[[#This Row],[세그먼트 (OTA , GOTA, IB'[IB'])]],표4[[#This Row],[목표구분 (REV, RNS, ADR)]],표4[[#This Row],[영업장코드(예약 영업장 코드)]])</f>
        <v>GOTAADR77</v>
      </c>
      <c r="I2560" s="34">
        <f>RIGHT(표4[[#This Row],[년월(XXXX-XX 형식)]],2)*1</f>
        <v>8</v>
      </c>
    </row>
    <row r="2561" spans="1:9" x14ac:dyDescent="0.3">
      <c r="A2561">
        <v>8</v>
      </c>
      <c r="B2561" t="s">
        <v>190</v>
      </c>
      <c r="C2561" t="s">
        <v>192</v>
      </c>
      <c r="D2561" t="s">
        <v>195</v>
      </c>
      <c r="E2561" t="s">
        <v>183</v>
      </c>
      <c r="F2561" s="57" t="s">
        <v>157</v>
      </c>
      <c r="G2561" s="34">
        <f>VLOOKUP(표4[[#This Row],[구분]],ota_rns[#All],표4[[#This Row],[구분1]]+5,FALSE)</f>
        <v>283.75</v>
      </c>
      <c r="H2561" s="58" t="str">
        <f>CONCATENATE(표4[[#This Row],[세그먼트 (OTA , GOTA, IB'[IB'])]],표4[[#This Row],[목표구분 (REV, RNS, ADR)]],표4[[#This Row],[영업장코드(예약 영업장 코드)]])</f>
        <v>GOTAADR87</v>
      </c>
      <c r="I2561" s="34">
        <f>RIGHT(표4[[#This Row],[년월(XXXX-XX 형식)]],2)*1</f>
        <v>8</v>
      </c>
    </row>
    <row r="2562" spans="1:9" x14ac:dyDescent="0.3">
      <c r="A2562">
        <v>8</v>
      </c>
      <c r="B2562" t="s">
        <v>190</v>
      </c>
      <c r="C2562" t="s">
        <v>192</v>
      </c>
      <c r="D2562" t="s">
        <v>195</v>
      </c>
      <c r="E2562" t="s">
        <v>96</v>
      </c>
      <c r="F2562" s="57" t="s">
        <v>96</v>
      </c>
      <c r="G2562" s="34">
        <f>VLOOKUP(표4[[#This Row],[구분]],ota_rns[#All],표4[[#This Row],[구분1]]+5,FALSE)</f>
        <v>210</v>
      </c>
      <c r="H2562" s="58" t="str">
        <f>CONCATENATE(표4[[#This Row],[세그먼트 (OTA , GOTA, IB'[IB'])]],표4[[#This Row],[목표구분 (REV, RNS, ADR)]],표4[[#This Row],[영업장코드(예약 영업장 코드)]])</f>
        <v>GOTAADR15</v>
      </c>
      <c r="I2562" s="34">
        <f>RIGHT(표4[[#This Row],[년월(XXXX-XX 형식)]],2)*1</f>
        <v>8</v>
      </c>
    </row>
    <row r="2563" spans="1:9" x14ac:dyDescent="0.3">
      <c r="A2563">
        <v>8</v>
      </c>
      <c r="B2563" t="s">
        <v>190</v>
      </c>
      <c r="C2563" t="s">
        <v>192</v>
      </c>
      <c r="D2563" t="s">
        <v>195</v>
      </c>
      <c r="E2563" t="s">
        <v>105</v>
      </c>
      <c r="F2563" s="57" t="s">
        <v>119</v>
      </c>
      <c r="G2563" s="34">
        <f>VLOOKUP(표4[[#This Row],[구분]],ota_rns[#All],표4[[#This Row],[구분1]]+5,FALSE)</f>
        <v>188.5</v>
      </c>
      <c r="H2563" s="58" t="str">
        <f>CONCATENATE(표4[[#This Row],[세그먼트 (OTA , GOTA, IB'[IB'])]],표4[[#This Row],[목표구분 (REV, RNS, ADR)]],표4[[#This Row],[영업장코드(예약 영업장 코드)]])</f>
        <v>GOTAADR29</v>
      </c>
      <c r="I2563" s="34">
        <f>RIGHT(표4[[#This Row],[년월(XXXX-XX 형식)]],2)*1</f>
        <v>8</v>
      </c>
    </row>
    <row r="2564" spans="1:9" x14ac:dyDescent="0.3">
      <c r="A2564">
        <v>8</v>
      </c>
      <c r="B2564" t="s">
        <v>190</v>
      </c>
      <c r="C2564" t="s">
        <v>192</v>
      </c>
      <c r="D2564" t="s">
        <v>195</v>
      </c>
      <c r="E2564" t="s">
        <v>184</v>
      </c>
      <c r="F2564" s="57" t="s">
        <v>152</v>
      </c>
      <c r="G2564" s="34">
        <f>VLOOKUP(표4[[#This Row],[구분]],ota_rns[#All],표4[[#This Row],[구분1]]+5,FALSE)</f>
        <v>421.20408163265307</v>
      </c>
      <c r="H2564" s="58" t="str">
        <f>CONCATENATE(표4[[#This Row],[세그먼트 (OTA , GOTA, IB'[IB'])]],표4[[#This Row],[목표구분 (REV, RNS, ADR)]],표4[[#This Row],[영업장코드(예약 영업장 코드)]])</f>
        <v>GOTAADR85</v>
      </c>
      <c r="I2564" s="34">
        <f>RIGHT(표4[[#This Row],[년월(XXXX-XX 형식)]],2)*1</f>
        <v>8</v>
      </c>
    </row>
    <row r="2565" spans="1:9" x14ac:dyDescent="0.3">
      <c r="A2565">
        <v>8</v>
      </c>
      <c r="B2565" t="s">
        <v>190</v>
      </c>
      <c r="C2565" t="s">
        <v>192</v>
      </c>
      <c r="D2565" t="s">
        <v>195</v>
      </c>
      <c r="E2565" t="s">
        <v>185</v>
      </c>
      <c r="F2565" s="57" t="s">
        <v>128</v>
      </c>
      <c r="G2565" s="34">
        <f>VLOOKUP(표4[[#This Row],[구분]],ota_rns[#All],표4[[#This Row],[구분1]]+5,FALSE)</f>
        <v>133</v>
      </c>
      <c r="H2565" s="58" t="str">
        <f>CONCATENATE(표4[[#This Row],[세그먼트 (OTA , GOTA, IB'[IB'])]],표4[[#This Row],[목표구분 (REV, RNS, ADR)]],표4[[#This Row],[영업장코드(예약 영업장 코드)]])</f>
        <v>GOTAADR58</v>
      </c>
      <c r="I2565" s="34">
        <f>RIGHT(표4[[#This Row],[년월(XXXX-XX 형식)]],2)*1</f>
        <v>8</v>
      </c>
    </row>
    <row r="2566" spans="1:9" x14ac:dyDescent="0.3">
      <c r="A2566">
        <v>8</v>
      </c>
      <c r="B2566" t="s">
        <v>190</v>
      </c>
      <c r="C2566" t="s">
        <v>192</v>
      </c>
      <c r="D2566" t="s">
        <v>195</v>
      </c>
      <c r="E2566" t="s">
        <v>178</v>
      </c>
      <c r="F2566" s="57" t="s">
        <v>178</v>
      </c>
      <c r="G2566" s="34">
        <f>VLOOKUP(표4[[#This Row],[구분]],ota_rns[#All],표4[[#This Row],[구분1]]+5,FALSE)</f>
        <v>381</v>
      </c>
      <c r="H2566" s="58" t="str">
        <f>CONCATENATE(표4[[#This Row],[세그먼트 (OTA , GOTA, IB'[IB'])]],표4[[#This Row],[목표구분 (REV, RNS, ADR)]],표4[[#This Row],[영업장코드(예약 영업장 코드)]])</f>
        <v>GOTAADR94</v>
      </c>
      <c r="I2566" s="34">
        <f>RIGHT(표4[[#This Row],[년월(XXXX-XX 형식)]],2)*1</f>
        <v>8</v>
      </c>
    </row>
    <row r="2567" spans="1:9" x14ac:dyDescent="0.3">
      <c r="A2567">
        <v>8</v>
      </c>
      <c r="B2567" t="s">
        <v>190</v>
      </c>
      <c r="C2567" t="s">
        <v>193</v>
      </c>
      <c r="D2567" t="s">
        <v>195</v>
      </c>
      <c r="E2567" t="s">
        <v>78</v>
      </c>
      <c r="F2567" s="57" t="s">
        <v>78</v>
      </c>
      <c r="G2567" s="34">
        <f>VLOOKUP(표4[[#This Row],[구분]],ota_rns[#All],표4[[#This Row],[구분1]]+5,FALSE)</f>
        <v>574</v>
      </c>
      <c r="H2567" s="58" t="str">
        <f>CONCATENATE(표4[[#This Row],[세그먼트 (OTA , GOTA, IB'[IB'])]],표4[[#This Row],[목표구분 (REV, RNS, ADR)]],표4[[#This Row],[영업장코드(예약 영업장 코드)]])</f>
        <v>GOTAREV02</v>
      </c>
      <c r="I2567" s="34">
        <f>RIGHT(표4[[#This Row],[년월(XXXX-XX 형식)]],2)*1</f>
        <v>8</v>
      </c>
    </row>
    <row r="2568" spans="1:9" x14ac:dyDescent="0.3">
      <c r="A2568">
        <v>8</v>
      </c>
      <c r="B2568" t="s">
        <v>190</v>
      </c>
      <c r="C2568" t="s">
        <v>193</v>
      </c>
      <c r="D2568" t="s">
        <v>195</v>
      </c>
      <c r="E2568" t="s">
        <v>78</v>
      </c>
      <c r="F2568" s="57" t="s">
        <v>86</v>
      </c>
      <c r="G2568" s="34">
        <f>VLOOKUP(표4[[#This Row],[구분]],ota_rns[#All],표4[[#This Row],[구분1]]+5,FALSE)</f>
        <v>303.14352272727268</v>
      </c>
      <c r="H2568" s="58" t="str">
        <f>CONCATENATE(표4[[#This Row],[세그먼트 (OTA , GOTA, IB'[IB'])]],표4[[#This Row],[목표구분 (REV, RNS, ADR)]],표4[[#This Row],[영업장코드(예약 영업장 코드)]])</f>
        <v>GOTAREV07</v>
      </c>
      <c r="I2568" s="34">
        <f>RIGHT(표4[[#This Row],[년월(XXXX-XX 형식)]],2)*1</f>
        <v>8</v>
      </c>
    </row>
    <row r="2569" spans="1:9" x14ac:dyDescent="0.3">
      <c r="A2569">
        <v>8</v>
      </c>
      <c r="B2569" t="s">
        <v>190</v>
      </c>
      <c r="C2569" t="s">
        <v>193</v>
      </c>
      <c r="D2569" t="s">
        <v>195</v>
      </c>
      <c r="E2569" t="s">
        <v>78</v>
      </c>
      <c r="F2569" s="57" t="s">
        <v>105</v>
      </c>
      <c r="G2569" s="34">
        <f>VLOOKUP(표4[[#This Row],[구분]],ota_rns[#All],표4[[#This Row],[구분1]]+5,FALSE)</f>
        <v>550.4</v>
      </c>
      <c r="H2569" s="58" t="str">
        <f>CONCATENATE(표4[[#This Row],[세그먼트 (OTA , GOTA, IB'[IB'])]],표4[[#This Row],[목표구분 (REV, RNS, ADR)]],표4[[#This Row],[영업장코드(예약 영업장 코드)]])</f>
        <v>GOTAREV19</v>
      </c>
      <c r="I2569" s="34">
        <f>RIGHT(표4[[#This Row],[년월(XXXX-XX 형식)]],2)*1</f>
        <v>8</v>
      </c>
    </row>
    <row r="2570" spans="1:9" x14ac:dyDescent="0.3">
      <c r="A2570">
        <v>8</v>
      </c>
      <c r="B2570" t="s">
        <v>190</v>
      </c>
      <c r="C2570" t="s">
        <v>193</v>
      </c>
      <c r="D2570" t="s">
        <v>195</v>
      </c>
      <c r="E2570" t="s">
        <v>78</v>
      </c>
      <c r="F2570" s="57" t="s">
        <v>124</v>
      </c>
      <c r="G2570" s="34">
        <f>VLOOKUP(표4[[#This Row],[구분]],ota_rns[#All],표4[[#This Row],[구분1]]+5,FALSE)</f>
        <v>266</v>
      </c>
      <c r="H2570" s="58" t="str">
        <f>CONCATENATE(표4[[#This Row],[세그먼트 (OTA , GOTA, IB'[IB'])]],표4[[#This Row],[목표구분 (REV, RNS, ADR)]],표4[[#This Row],[영업장코드(예약 영업장 코드)]])</f>
        <v>GOTAREV50</v>
      </c>
      <c r="I2570" s="34">
        <f>RIGHT(표4[[#This Row],[년월(XXXX-XX 형식)]],2)*1</f>
        <v>8</v>
      </c>
    </row>
    <row r="2571" spans="1:9" x14ac:dyDescent="0.3">
      <c r="A2571">
        <v>8</v>
      </c>
      <c r="B2571" t="s">
        <v>190</v>
      </c>
      <c r="C2571" t="s">
        <v>193</v>
      </c>
      <c r="D2571" t="s">
        <v>195</v>
      </c>
      <c r="E2571" t="s">
        <v>78</v>
      </c>
      <c r="F2571" s="57" t="s">
        <v>88</v>
      </c>
      <c r="G2571" s="34">
        <f>VLOOKUP(표4[[#This Row],[구분]],ota_rns[#All],표4[[#This Row],[구분1]]+5,FALSE)</f>
        <v>380</v>
      </c>
      <c r="H2571" s="58" t="str">
        <f>CONCATENATE(표4[[#This Row],[세그먼트 (OTA , GOTA, IB'[IB'])]],표4[[#This Row],[목표구분 (REV, RNS, ADR)]],표4[[#This Row],[영업장코드(예약 영업장 코드)]])</f>
        <v>GOTAREV08</v>
      </c>
      <c r="I2571" s="34">
        <f>RIGHT(표4[[#This Row],[년월(XXXX-XX 형식)]],2)*1</f>
        <v>8</v>
      </c>
    </row>
    <row r="2572" spans="1:9" x14ac:dyDescent="0.3">
      <c r="A2572">
        <v>8</v>
      </c>
      <c r="B2572" t="s">
        <v>190</v>
      </c>
      <c r="C2572" t="s">
        <v>193</v>
      </c>
      <c r="D2572" t="s">
        <v>195</v>
      </c>
      <c r="E2572" t="s">
        <v>81</v>
      </c>
      <c r="F2572" s="57" t="s">
        <v>81</v>
      </c>
      <c r="G2572" s="34">
        <f>VLOOKUP(표4[[#This Row],[구분]],ota_rns[#All],표4[[#This Row],[구분1]]+5,FALSE)</f>
        <v>55.257299999999994</v>
      </c>
      <c r="H2572" s="58" t="str">
        <f>CONCATENATE(표4[[#This Row],[세그먼트 (OTA , GOTA, IB'[IB'])]],표4[[#This Row],[목표구분 (REV, RNS, ADR)]],표4[[#This Row],[영업장코드(예약 영업장 코드)]])</f>
        <v>GOTAREV03</v>
      </c>
      <c r="I2572" s="34">
        <f>RIGHT(표4[[#This Row],[년월(XXXX-XX 형식)]],2)*1</f>
        <v>8</v>
      </c>
    </row>
    <row r="2573" spans="1:9" x14ac:dyDescent="0.3">
      <c r="A2573">
        <v>8</v>
      </c>
      <c r="B2573" t="s">
        <v>190</v>
      </c>
      <c r="C2573" t="s">
        <v>193</v>
      </c>
      <c r="D2573" t="s">
        <v>195</v>
      </c>
      <c r="E2573" t="s">
        <v>75</v>
      </c>
      <c r="F2573" s="57" t="s">
        <v>75</v>
      </c>
      <c r="G2573" s="34">
        <f>VLOOKUP(표4[[#This Row],[구분]],ota_rns[#All],표4[[#This Row],[구분1]]+5,FALSE)</f>
        <v>480.2</v>
      </c>
      <c r="H2573" s="58" t="str">
        <f>CONCATENATE(표4[[#This Row],[세그먼트 (OTA , GOTA, IB'[IB'])]],표4[[#This Row],[목표구분 (REV, RNS, ADR)]],표4[[#This Row],[영업장코드(예약 영업장 코드)]])</f>
        <v>GOTAREV01</v>
      </c>
      <c r="I2573" s="34">
        <f>RIGHT(표4[[#This Row],[년월(XXXX-XX 형식)]],2)*1</f>
        <v>8</v>
      </c>
    </row>
    <row r="2574" spans="1:9" x14ac:dyDescent="0.3">
      <c r="A2574">
        <v>8</v>
      </c>
      <c r="B2574" t="s">
        <v>190</v>
      </c>
      <c r="C2574" t="s">
        <v>193</v>
      </c>
      <c r="D2574" t="s">
        <v>195</v>
      </c>
      <c r="E2574" t="s">
        <v>75</v>
      </c>
      <c r="F2574" s="57" t="s">
        <v>141</v>
      </c>
      <c r="G2574" s="34">
        <f>VLOOKUP(표4[[#This Row],[구분]],ota_rns[#All],표4[[#This Row],[구분1]]+5,FALSE)</f>
        <v>925</v>
      </c>
      <c r="H2574" s="58" t="str">
        <f>CONCATENATE(표4[[#This Row],[세그먼트 (OTA , GOTA, IB'[IB'])]],표4[[#This Row],[목표구분 (REV, RNS, ADR)]],표4[[#This Row],[영업장코드(예약 영업장 코드)]])</f>
        <v>GOTAREV70</v>
      </c>
      <c r="I2574" s="34">
        <f>RIGHT(표4[[#This Row],[년월(XXXX-XX 형식)]],2)*1</f>
        <v>8</v>
      </c>
    </row>
    <row r="2575" spans="1:9" x14ac:dyDescent="0.3">
      <c r="A2575">
        <v>8</v>
      </c>
      <c r="B2575" t="s">
        <v>190</v>
      </c>
      <c r="C2575" t="s">
        <v>193</v>
      </c>
      <c r="D2575" t="s">
        <v>195</v>
      </c>
      <c r="E2575" t="s">
        <v>75</v>
      </c>
      <c r="F2575" s="57" t="s">
        <v>113</v>
      </c>
      <c r="G2575" s="34">
        <f>VLOOKUP(표4[[#This Row],[구분]],ota_rns[#All],표4[[#This Row],[구분1]]+5,FALSE)</f>
        <v>148.80000000000001</v>
      </c>
      <c r="H2575" s="58" t="str">
        <f>CONCATENATE(표4[[#This Row],[세그먼트 (OTA , GOTA, IB'[IB'])]],표4[[#This Row],[목표구분 (REV, RNS, ADR)]],표4[[#This Row],[영업장코드(예약 영업장 코드)]])</f>
        <v>GOTAREV25</v>
      </c>
      <c r="I2575" s="34">
        <f>RIGHT(표4[[#This Row],[년월(XXXX-XX 형식)]],2)*1</f>
        <v>8</v>
      </c>
    </row>
    <row r="2576" spans="1:9" x14ac:dyDescent="0.3">
      <c r="A2576">
        <v>8</v>
      </c>
      <c r="B2576" t="s">
        <v>190</v>
      </c>
      <c r="C2576" t="s">
        <v>193</v>
      </c>
      <c r="D2576" t="s">
        <v>195</v>
      </c>
      <c r="E2576" t="s">
        <v>75</v>
      </c>
      <c r="F2576" s="57" t="s">
        <v>117</v>
      </c>
      <c r="G2576" s="34">
        <f>VLOOKUP(표4[[#This Row],[구분]],ota_rns[#All],표4[[#This Row],[구분1]]+5,FALSE)</f>
        <v>279</v>
      </c>
      <c r="H2576" s="58" t="str">
        <f>CONCATENATE(표4[[#This Row],[세그먼트 (OTA , GOTA, IB'[IB'])]],표4[[#This Row],[목표구분 (REV, RNS, ADR)]],표4[[#This Row],[영업장코드(예약 영업장 코드)]])</f>
        <v>GOTAREV27</v>
      </c>
      <c r="I2576" s="34">
        <f>RIGHT(표4[[#This Row],[년월(XXXX-XX 형식)]],2)*1</f>
        <v>8</v>
      </c>
    </row>
    <row r="2577" spans="1:9" x14ac:dyDescent="0.3">
      <c r="A2577">
        <v>8</v>
      </c>
      <c r="B2577" t="s">
        <v>190</v>
      </c>
      <c r="C2577" t="s">
        <v>193</v>
      </c>
      <c r="D2577" t="s">
        <v>195</v>
      </c>
      <c r="E2577" t="s">
        <v>75</v>
      </c>
      <c r="F2577" s="57" t="s">
        <v>122</v>
      </c>
      <c r="G2577" s="34">
        <f>VLOOKUP(표4[[#This Row],[구분]],ota_rns[#All],표4[[#This Row],[구분1]]+5,FALSE)</f>
        <v>17</v>
      </c>
      <c r="H2577" s="58" t="str">
        <f>CONCATENATE(표4[[#This Row],[세그먼트 (OTA , GOTA, IB'[IB'])]],표4[[#This Row],[목표구분 (REV, RNS, ADR)]],표4[[#This Row],[영업장코드(예약 영업장 코드)]])</f>
        <v>GOTAREV46</v>
      </c>
      <c r="I2577" s="34">
        <f>RIGHT(표4[[#This Row],[년월(XXXX-XX 형식)]],2)*1</f>
        <v>8</v>
      </c>
    </row>
    <row r="2578" spans="1:9" x14ac:dyDescent="0.3">
      <c r="A2578">
        <v>8</v>
      </c>
      <c r="B2578" t="s">
        <v>190</v>
      </c>
      <c r="C2578" t="s">
        <v>193</v>
      </c>
      <c r="D2578" t="s">
        <v>195</v>
      </c>
      <c r="E2578" t="s">
        <v>92</v>
      </c>
      <c r="F2578" s="57" t="s">
        <v>92</v>
      </c>
      <c r="G2578" s="34">
        <f>VLOOKUP(표4[[#This Row],[구분]],ota_rns[#All],표4[[#This Row],[구분1]]+5,FALSE)</f>
        <v>270.36</v>
      </c>
      <c r="H2578" s="58" t="str">
        <f>CONCATENATE(표4[[#This Row],[세그먼트 (OTA , GOTA, IB'[IB'])]],표4[[#This Row],[목표구분 (REV, RNS, ADR)]],표4[[#This Row],[영업장코드(예약 영업장 코드)]])</f>
        <v>GOTAREV10</v>
      </c>
      <c r="I2578" s="34">
        <f>RIGHT(표4[[#This Row],[년월(XXXX-XX 형식)]],2)*1</f>
        <v>8</v>
      </c>
    </row>
    <row r="2579" spans="1:9" x14ac:dyDescent="0.3">
      <c r="A2579">
        <v>8</v>
      </c>
      <c r="B2579" t="s">
        <v>190</v>
      </c>
      <c r="C2579" t="s">
        <v>193</v>
      </c>
      <c r="D2579" t="s">
        <v>195</v>
      </c>
      <c r="E2579" t="s">
        <v>110</v>
      </c>
      <c r="F2579" s="57" t="s">
        <v>131</v>
      </c>
      <c r="G2579" s="34">
        <f>VLOOKUP(표4[[#This Row],[구분]],ota_rns[#All],표4[[#This Row],[구분1]]+5,FALSE)</f>
        <v>392</v>
      </c>
      <c r="H2579" s="58" t="str">
        <f>CONCATENATE(표4[[#This Row],[세그먼트 (OTA , GOTA, IB'[IB'])]],표4[[#This Row],[목표구분 (REV, RNS, ADR)]],표4[[#This Row],[영업장코드(예약 영업장 코드)]])</f>
        <v>GOTAREV61</v>
      </c>
      <c r="I2579" s="34">
        <f>RIGHT(표4[[#This Row],[년월(XXXX-XX 형식)]],2)*1</f>
        <v>8</v>
      </c>
    </row>
    <row r="2580" spans="1:9" x14ac:dyDescent="0.3">
      <c r="A2580">
        <v>8</v>
      </c>
      <c r="B2580" t="s">
        <v>190</v>
      </c>
      <c r="C2580" t="s">
        <v>193</v>
      </c>
      <c r="D2580" t="s">
        <v>195</v>
      </c>
      <c r="E2580" t="s">
        <v>180</v>
      </c>
      <c r="F2580" s="57" t="s">
        <v>180</v>
      </c>
      <c r="G2580" s="34">
        <f>VLOOKUP(표4[[#This Row],[구분]],ota_rns[#All],표4[[#This Row],[구분1]]+5,FALSE)</f>
        <v>351.58658274291554</v>
      </c>
      <c r="H2580" s="58" t="str">
        <f>CONCATENATE(표4[[#This Row],[세그먼트 (OTA , GOTA, IB'[IB'])]],표4[[#This Row],[목표구분 (REV, RNS, ADR)]],표4[[#This Row],[영업장코드(예약 영업장 코드)]])</f>
        <v>GOTAREV05</v>
      </c>
      <c r="I2580" s="34">
        <f>RIGHT(표4[[#This Row],[년월(XXXX-XX 형식)]],2)*1</f>
        <v>8</v>
      </c>
    </row>
    <row r="2581" spans="1:9" x14ac:dyDescent="0.3">
      <c r="A2581">
        <v>8</v>
      </c>
      <c r="B2581" t="s">
        <v>190</v>
      </c>
      <c r="C2581" t="s">
        <v>193</v>
      </c>
      <c r="D2581" t="s">
        <v>195</v>
      </c>
      <c r="E2581" t="s">
        <v>181</v>
      </c>
      <c r="F2581" s="57" t="s">
        <v>137</v>
      </c>
      <c r="G2581" s="34">
        <f>VLOOKUP(표4[[#This Row],[구분]],ota_rns[#All],표4[[#This Row],[구분1]]+5,FALSE)</f>
        <v>144.54</v>
      </c>
      <c r="H2581" s="58" t="str">
        <f>CONCATENATE(표4[[#This Row],[세그먼트 (OTA , GOTA, IB'[IB'])]],표4[[#This Row],[목표구분 (REV, RNS, ADR)]],표4[[#This Row],[영업장코드(예약 영업장 코드)]])</f>
        <v>GOTAREV66</v>
      </c>
      <c r="I2581" s="34">
        <f>RIGHT(표4[[#This Row],[년월(XXXX-XX 형식)]],2)*1</f>
        <v>8</v>
      </c>
    </row>
    <row r="2582" spans="1:9" x14ac:dyDescent="0.3">
      <c r="A2582">
        <v>8</v>
      </c>
      <c r="B2582" t="s">
        <v>190</v>
      </c>
      <c r="C2582" t="s">
        <v>193</v>
      </c>
      <c r="D2582" t="s">
        <v>195</v>
      </c>
      <c r="E2582" t="s">
        <v>84</v>
      </c>
      <c r="F2582" s="57" t="s">
        <v>84</v>
      </c>
      <c r="G2582" s="34">
        <f>VLOOKUP(표4[[#This Row],[구분]],ota_rns[#All],표4[[#This Row],[구분1]]+5,FALSE)</f>
        <v>568.11</v>
      </c>
      <c r="H2582" s="58" t="str">
        <f>CONCATENATE(표4[[#This Row],[세그먼트 (OTA , GOTA, IB'[IB'])]],표4[[#This Row],[목표구분 (REV, RNS, ADR)]],표4[[#This Row],[영업장코드(예약 영업장 코드)]])</f>
        <v>GOTAREV06</v>
      </c>
      <c r="I2582" s="34">
        <f>RIGHT(표4[[#This Row],[년월(XXXX-XX 형식)]],2)*1</f>
        <v>8</v>
      </c>
    </row>
    <row r="2583" spans="1:9" x14ac:dyDescent="0.3">
      <c r="A2583">
        <v>8</v>
      </c>
      <c r="B2583" t="s">
        <v>190</v>
      </c>
      <c r="C2583" t="s">
        <v>193</v>
      </c>
      <c r="D2583" t="s">
        <v>195</v>
      </c>
      <c r="E2583" t="s">
        <v>143</v>
      </c>
      <c r="F2583" s="57" t="s">
        <v>143</v>
      </c>
      <c r="G2583" s="34">
        <f>VLOOKUP(표4[[#This Row],[구분]],ota_rns[#All],표4[[#This Row],[구분1]]+5,FALSE)</f>
        <v>306</v>
      </c>
      <c r="H2583" s="58" t="str">
        <f>CONCATENATE(표4[[#This Row],[세그먼트 (OTA , GOTA, IB'[IB'])]],표4[[#This Row],[목표구분 (REV, RNS, ADR)]],표4[[#This Row],[영업장코드(예약 영업장 코드)]])</f>
        <v>GOTAREV73</v>
      </c>
      <c r="I2583" s="34">
        <f>RIGHT(표4[[#This Row],[년월(XXXX-XX 형식)]],2)*1</f>
        <v>8</v>
      </c>
    </row>
    <row r="2584" spans="1:9" x14ac:dyDescent="0.3">
      <c r="A2584">
        <v>8</v>
      </c>
      <c r="B2584" t="s">
        <v>190</v>
      </c>
      <c r="C2584" t="s">
        <v>193</v>
      </c>
      <c r="D2584" t="s">
        <v>195</v>
      </c>
      <c r="E2584" t="s">
        <v>99</v>
      </c>
      <c r="F2584" s="57" t="s">
        <v>99</v>
      </c>
      <c r="G2584" s="34">
        <f>VLOOKUP(표4[[#This Row],[구분]],ota_rns[#All],표4[[#This Row],[구분1]]+5,FALSE)</f>
        <v>300.14999999999998</v>
      </c>
      <c r="H2584" s="58" t="str">
        <f>CONCATENATE(표4[[#This Row],[세그먼트 (OTA , GOTA, IB'[IB'])]],표4[[#This Row],[목표구분 (REV, RNS, ADR)]],표4[[#This Row],[영업장코드(예약 영업장 코드)]])</f>
        <v>GOTAREV16</v>
      </c>
      <c r="I2584" s="34">
        <f>RIGHT(표4[[#This Row],[년월(XXXX-XX 형식)]],2)*1</f>
        <v>8</v>
      </c>
    </row>
    <row r="2585" spans="1:9" x14ac:dyDescent="0.3">
      <c r="A2585">
        <v>8</v>
      </c>
      <c r="B2585" t="s">
        <v>190</v>
      </c>
      <c r="C2585" t="s">
        <v>193</v>
      </c>
      <c r="D2585" t="s">
        <v>195</v>
      </c>
      <c r="E2585" t="s">
        <v>103</v>
      </c>
      <c r="F2585" s="57" t="s">
        <v>110</v>
      </c>
      <c r="G2585" s="34">
        <f>VLOOKUP(표4[[#This Row],[구분]],ota_rns[#All],표4[[#This Row],[구분1]]+5,FALSE)</f>
        <v>488.25</v>
      </c>
      <c r="H2585" s="58" t="str">
        <f>CONCATENATE(표4[[#This Row],[세그먼트 (OTA , GOTA, IB'[IB'])]],표4[[#This Row],[목표구분 (REV, RNS, ADR)]],표4[[#This Row],[영업장코드(예약 영업장 코드)]])</f>
        <v>GOTAREV24</v>
      </c>
      <c r="I2585" s="34">
        <f>RIGHT(표4[[#This Row],[년월(XXXX-XX 형식)]],2)*1</f>
        <v>8</v>
      </c>
    </row>
    <row r="2586" spans="1:9" x14ac:dyDescent="0.3">
      <c r="A2586">
        <v>8</v>
      </c>
      <c r="B2586" t="s">
        <v>190</v>
      </c>
      <c r="C2586" t="s">
        <v>193</v>
      </c>
      <c r="D2586" t="s">
        <v>195</v>
      </c>
      <c r="E2586" t="s">
        <v>101</v>
      </c>
      <c r="F2586" s="57" t="s">
        <v>107</v>
      </c>
      <c r="G2586" s="34">
        <f>VLOOKUP(표4[[#This Row],[구분]],ota_rns[#All],표4[[#This Row],[구분1]]+5,FALSE)</f>
        <v>333</v>
      </c>
      <c r="H2586" s="58" t="str">
        <f>CONCATENATE(표4[[#This Row],[세그먼트 (OTA , GOTA, IB'[IB'])]],표4[[#This Row],[목표구분 (REV, RNS, ADR)]],표4[[#This Row],[영업장코드(예약 영업장 코드)]])</f>
        <v>GOTAREV22</v>
      </c>
      <c r="I2586" s="34">
        <f>RIGHT(표4[[#This Row],[년월(XXXX-XX 형식)]],2)*1</f>
        <v>8</v>
      </c>
    </row>
    <row r="2587" spans="1:9" x14ac:dyDescent="0.3">
      <c r="A2587">
        <v>8</v>
      </c>
      <c r="B2587" t="s">
        <v>190</v>
      </c>
      <c r="C2587" t="s">
        <v>193</v>
      </c>
      <c r="D2587" t="s">
        <v>195</v>
      </c>
      <c r="E2587" t="s">
        <v>182</v>
      </c>
      <c r="F2587" s="57" t="s">
        <v>147</v>
      </c>
      <c r="G2587" s="34">
        <f>VLOOKUP(표4[[#This Row],[구분]],ota_rns[#All],표4[[#This Row],[구분1]]+5,FALSE)</f>
        <v>679.9</v>
      </c>
      <c r="H2587" s="58" t="str">
        <f>CONCATENATE(표4[[#This Row],[세그먼트 (OTA , GOTA, IB'[IB'])]],표4[[#This Row],[목표구분 (REV, RNS, ADR)]],표4[[#This Row],[영업장코드(예약 영업장 코드)]])</f>
        <v>GOTAREV77</v>
      </c>
      <c r="I2587" s="34">
        <f>RIGHT(표4[[#This Row],[년월(XXXX-XX 형식)]],2)*1</f>
        <v>8</v>
      </c>
    </row>
    <row r="2588" spans="1:9" x14ac:dyDescent="0.3">
      <c r="A2588">
        <v>8</v>
      </c>
      <c r="B2588" t="s">
        <v>190</v>
      </c>
      <c r="C2588" t="s">
        <v>193</v>
      </c>
      <c r="D2588" t="s">
        <v>195</v>
      </c>
      <c r="E2588" t="s">
        <v>183</v>
      </c>
      <c r="F2588" s="57" t="s">
        <v>157</v>
      </c>
      <c r="G2588" s="34">
        <f>VLOOKUP(표4[[#This Row],[구분]],ota_rns[#All],표4[[#This Row],[구분1]]+5,FALSE)</f>
        <v>192.95</v>
      </c>
      <c r="H2588" s="58" t="str">
        <f>CONCATENATE(표4[[#This Row],[세그먼트 (OTA , GOTA, IB'[IB'])]],표4[[#This Row],[목표구분 (REV, RNS, ADR)]],표4[[#This Row],[영업장코드(예약 영업장 코드)]])</f>
        <v>GOTAREV87</v>
      </c>
      <c r="I2588" s="34">
        <f>RIGHT(표4[[#This Row],[년월(XXXX-XX 형식)]],2)*1</f>
        <v>8</v>
      </c>
    </row>
    <row r="2589" spans="1:9" x14ac:dyDescent="0.3">
      <c r="A2589">
        <v>8</v>
      </c>
      <c r="B2589" t="s">
        <v>190</v>
      </c>
      <c r="C2589" t="s">
        <v>193</v>
      </c>
      <c r="D2589" t="s">
        <v>195</v>
      </c>
      <c r="E2589" t="s">
        <v>96</v>
      </c>
      <c r="F2589" s="57" t="s">
        <v>96</v>
      </c>
      <c r="G2589" s="34">
        <f>VLOOKUP(표4[[#This Row],[구분]],ota_rns[#All],표4[[#This Row],[구분1]]+5,FALSE)</f>
        <v>483</v>
      </c>
      <c r="H2589" s="58" t="str">
        <f>CONCATENATE(표4[[#This Row],[세그먼트 (OTA , GOTA, IB'[IB'])]],표4[[#This Row],[목표구분 (REV, RNS, ADR)]],표4[[#This Row],[영업장코드(예약 영업장 코드)]])</f>
        <v>GOTAREV15</v>
      </c>
      <c r="I2589" s="34">
        <f>RIGHT(표4[[#This Row],[년월(XXXX-XX 형식)]],2)*1</f>
        <v>8</v>
      </c>
    </row>
    <row r="2590" spans="1:9" x14ac:dyDescent="0.3">
      <c r="A2590">
        <v>8</v>
      </c>
      <c r="B2590" t="s">
        <v>190</v>
      </c>
      <c r="C2590" t="s">
        <v>193</v>
      </c>
      <c r="D2590" t="s">
        <v>195</v>
      </c>
      <c r="E2590" t="s">
        <v>105</v>
      </c>
      <c r="F2590" s="57" t="s">
        <v>119</v>
      </c>
      <c r="G2590" s="34">
        <f>VLOOKUP(표4[[#This Row],[구분]],ota_rns[#All],표4[[#This Row],[구분1]]+5,FALSE)</f>
        <v>471.25</v>
      </c>
      <c r="H2590" s="58" t="str">
        <f>CONCATENATE(표4[[#This Row],[세그먼트 (OTA , GOTA, IB'[IB'])]],표4[[#This Row],[목표구분 (REV, RNS, ADR)]],표4[[#This Row],[영업장코드(예약 영업장 코드)]])</f>
        <v>GOTAREV29</v>
      </c>
      <c r="I2590" s="34">
        <f>RIGHT(표4[[#This Row],[년월(XXXX-XX 형식)]],2)*1</f>
        <v>8</v>
      </c>
    </row>
    <row r="2591" spans="1:9" x14ac:dyDescent="0.3">
      <c r="A2591">
        <v>8</v>
      </c>
      <c r="B2591" t="s">
        <v>190</v>
      </c>
      <c r="C2591" t="s">
        <v>193</v>
      </c>
      <c r="D2591" t="s">
        <v>195</v>
      </c>
      <c r="E2591" t="s">
        <v>184</v>
      </c>
      <c r="F2591" s="57" t="s">
        <v>152</v>
      </c>
      <c r="G2591" s="34">
        <f>VLOOKUP(표4[[#This Row],[구분]],ota_rns[#All],표4[[#This Row],[구분1]]+5,FALSE)</f>
        <v>412.78</v>
      </c>
      <c r="H2591" s="58" t="str">
        <f>CONCATENATE(표4[[#This Row],[세그먼트 (OTA , GOTA, IB'[IB'])]],표4[[#This Row],[목표구분 (REV, RNS, ADR)]],표4[[#This Row],[영업장코드(예약 영업장 코드)]])</f>
        <v>GOTAREV85</v>
      </c>
      <c r="I2591" s="34">
        <f>RIGHT(표4[[#This Row],[년월(XXXX-XX 형식)]],2)*1</f>
        <v>8</v>
      </c>
    </row>
    <row r="2592" spans="1:9" x14ac:dyDescent="0.3">
      <c r="A2592">
        <v>8</v>
      </c>
      <c r="B2592" t="s">
        <v>190</v>
      </c>
      <c r="C2592" t="s">
        <v>193</v>
      </c>
      <c r="D2592" t="s">
        <v>195</v>
      </c>
      <c r="E2592" t="s">
        <v>185</v>
      </c>
      <c r="F2592" s="57" t="s">
        <v>128</v>
      </c>
      <c r="G2592" s="34">
        <f>VLOOKUP(표4[[#This Row],[구분]],ota_rns[#All],표4[[#This Row],[구분1]]+5,FALSE)</f>
        <v>199.5</v>
      </c>
      <c r="H2592" s="58" t="str">
        <f>CONCATENATE(표4[[#This Row],[세그먼트 (OTA , GOTA, IB'[IB'])]],표4[[#This Row],[목표구분 (REV, RNS, ADR)]],표4[[#This Row],[영업장코드(예약 영업장 코드)]])</f>
        <v>GOTAREV58</v>
      </c>
      <c r="I2592" s="34">
        <f>RIGHT(표4[[#This Row],[년월(XXXX-XX 형식)]],2)*1</f>
        <v>8</v>
      </c>
    </row>
    <row r="2593" spans="1:9" x14ac:dyDescent="0.3">
      <c r="A2593">
        <v>8</v>
      </c>
      <c r="B2593" t="s">
        <v>190</v>
      </c>
      <c r="C2593" t="s">
        <v>193</v>
      </c>
      <c r="D2593" t="s">
        <v>195</v>
      </c>
      <c r="E2593" t="s">
        <v>178</v>
      </c>
      <c r="F2593" s="57" t="s">
        <v>178</v>
      </c>
      <c r="G2593" s="34">
        <f>VLOOKUP(표4[[#This Row],[구분]],ota_rns[#All],표4[[#This Row],[구분1]]+5,FALSE)</f>
        <v>209.55</v>
      </c>
      <c r="H2593" s="58" t="str">
        <f>CONCATENATE(표4[[#This Row],[세그먼트 (OTA , GOTA, IB'[IB'])]],표4[[#This Row],[목표구분 (REV, RNS, ADR)]],표4[[#This Row],[영업장코드(예약 영업장 코드)]])</f>
        <v>GOTAREV94</v>
      </c>
      <c r="I2593" s="34">
        <f>RIGHT(표4[[#This Row],[년월(XXXX-XX 형식)]],2)*1</f>
        <v>8</v>
      </c>
    </row>
    <row r="2594" spans="1:9" x14ac:dyDescent="0.3">
      <c r="A2594">
        <v>9</v>
      </c>
      <c r="B2594" t="s">
        <v>190</v>
      </c>
      <c r="C2594" t="s">
        <v>191</v>
      </c>
      <c r="D2594" t="s">
        <v>195</v>
      </c>
      <c r="E2594" t="s">
        <v>78</v>
      </c>
      <c r="F2594" s="57" t="s">
        <v>78</v>
      </c>
      <c r="G2594" s="34">
        <f>VLOOKUP(표4[[#This Row],[구분]],ota_rns[#All],표4[[#This Row],[구분1]]+5,FALSE)</f>
        <v>1500</v>
      </c>
      <c r="H2594" s="58" t="str">
        <f>CONCATENATE(표4[[#This Row],[세그먼트 (OTA , GOTA, IB'[IB'])]],표4[[#This Row],[목표구분 (REV, RNS, ADR)]],표4[[#This Row],[영업장코드(예약 영업장 코드)]])</f>
        <v>GOTARNS02</v>
      </c>
      <c r="I2594" s="34">
        <f>RIGHT(표4[[#This Row],[년월(XXXX-XX 형식)]],2)*1</f>
        <v>9</v>
      </c>
    </row>
    <row r="2595" spans="1:9" x14ac:dyDescent="0.3">
      <c r="A2595">
        <v>9</v>
      </c>
      <c r="B2595" t="s">
        <v>190</v>
      </c>
      <c r="C2595" t="s">
        <v>191</v>
      </c>
      <c r="D2595" t="s">
        <v>195</v>
      </c>
      <c r="E2595" t="s">
        <v>78</v>
      </c>
      <c r="F2595" s="57" t="s">
        <v>86</v>
      </c>
      <c r="G2595" s="34">
        <f>VLOOKUP(표4[[#This Row],[구분]],ota_rns[#All],표4[[#This Row],[구분1]]+5,FALSE)</f>
        <v>710</v>
      </c>
      <c r="H2595" s="58" t="str">
        <f>CONCATENATE(표4[[#This Row],[세그먼트 (OTA , GOTA, IB'[IB'])]],표4[[#This Row],[목표구분 (REV, RNS, ADR)]],표4[[#This Row],[영업장코드(예약 영업장 코드)]])</f>
        <v>GOTARNS07</v>
      </c>
      <c r="I2595" s="34">
        <f>RIGHT(표4[[#This Row],[년월(XXXX-XX 형식)]],2)*1</f>
        <v>9</v>
      </c>
    </row>
    <row r="2596" spans="1:9" x14ac:dyDescent="0.3">
      <c r="A2596">
        <v>9</v>
      </c>
      <c r="B2596" t="s">
        <v>190</v>
      </c>
      <c r="C2596" t="s">
        <v>191</v>
      </c>
      <c r="D2596" t="s">
        <v>195</v>
      </c>
      <c r="E2596" t="s">
        <v>78</v>
      </c>
      <c r="F2596" s="57" t="s">
        <v>105</v>
      </c>
      <c r="G2596" s="34">
        <f>VLOOKUP(표4[[#This Row],[구분]],ota_rns[#All],표4[[#This Row],[구분1]]+5,FALSE)</f>
        <v>700</v>
      </c>
      <c r="H2596" s="58" t="str">
        <f>CONCATENATE(표4[[#This Row],[세그먼트 (OTA , GOTA, IB'[IB'])]],표4[[#This Row],[목표구분 (REV, RNS, ADR)]],표4[[#This Row],[영업장코드(예약 영업장 코드)]])</f>
        <v>GOTARNS19</v>
      </c>
      <c r="I2596" s="34">
        <f>RIGHT(표4[[#This Row],[년월(XXXX-XX 형식)]],2)*1</f>
        <v>9</v>
      </c>
    </row>
    <row r="2597" spans="1:9" x14ac:dyDescent="0.3">
      <c r="A2597">
        <v>9</v>
      </c>
      <c r="B2597" t="s">
        <v>190</v>
      </c>
      <c r="C2597" t="s">
        <v>191</v>
      </c>
      <c r="D2597" t="s">
        <v>195</v>
      </c>
      <c r="E2597" t="s">
        <v>78</v>
      </c>
      <c r="F2597" s="57" t="s">
        <v>124</v>
      </c>
      <c r="G2597" s="34">
        <f>VLOOKUP(표4[[#This Row],[구분]],ota_rns[#All],표4[[#This Row],[구분1]]+5,FALSE)</f>
        <v>420</v>
      </c>
      <c r="H2597" s="58" t="str">
        <f>CONCATENATE(표4[[#This Row],[세그먼트 (OTA , GOTA, IB'[IB'])]],표4[[#This Row],[목표구분 (REV, RNS, ADR)]],표4[[#This Row],[영업장코드(예약 영업장 코드)]])</f>
        <v>GOTARNS50</v>
      </c>
      <c r="I2597" s="34">
        <f>RIGHT(표4[[#This Row],[년월(XXXX-XX 형식)]],2)*1</f>
        <v>9</v>
      </c>
    </row>
    <row r="2598" spans="1:9" x14ac:dyDescent="0.3">
      <c r="A2598">
        <v>9</v>
      </c>
      <c r="B2598" t="s">
        <v>190</v>
      </c>
      <c r="C2598" t="s">
        <v>191</v>
      </c>
      <c r="D2598" t="s">
        <v>195</v>
      </c>
      <c r="E2598" t="s">
        <v>78</v>
      </c>
      <c r="F2598" s="57" t="s">
        <v>88</v>
      </c>
      <c r="G2598" s="34">
        <f>VLOOKUP(표4[[#This Row],[구분]],ota_rns[#All],표4[[#This Row],[구분1]]+5,FALSE)</f>
        <v>400</v>
      </c>
      <c r="H2598" s="58" t="str">
        <f>CONCATENATE(표4[[#This Row],[세그먼트 (OTA , GOTA, IB'[IB'])]],표4[[#This Row],[목표구분 (REV, RNS, ADR)]],표4[[#This Row],[영업장코드(예약 영업장 코드)]])</f>
        <v>GOTARNS08</v>
      </c>
      <c r="I2598" s="34">
        <f>RIGHT(표4[[#This Row],[년월(XXXX-XX 형식)]],2)*1</f>
        <v>9</v>
      </c>
    </row>
    <row r="2599" spans="1:9" x14ac:dyDescent="0.3">
      <c r="A2599">
        <v>9</v>
      </c>
      <c r="B2599" t="s">
        <v>190</v>
      </c>
      <c r="C2599" t="s">
        <v>191</v>
      </c>
      <c r="D2599" t="s">
        <v>195</v>
      </c>
      <c r="E2599" t="s">
        <v>81</v>
      </c>
      <c r="F2599" s="57" t="s">
        <v>81</v>
      </c>
      <c r="G2599" s="34">
        <f>VLOOKUP(표4[[#This Row],[구분]],ota_rns[#All],표4[[#This Row],[구분1]]+5,FALSE)</f>
        <v>300</v>
      </c>
      <c r="H2599" s="58" t="str">
        <f>CONCATENATE(표4[[#This Row],[세그먼트 (OTA , GOTA, IB'[IB'])]],표4[[#This Row],[목표구분 (REV, RNS, ADR)]],표4[[#This Row],[영업장코드(예약 영업장 코드)]])</f>
        <v>GOTARNS03</v>
      </c>
      <c r="I2599" s="34">
        <f>RIGHT(표4[[#This Row],[년월(XXXX-XX 형식)]],2)*1</f>
        <v>9</v>
      </c>
    </row>
    <row r="2600" spans="1:9" x14ac:dyDescent="0.3">
      <c r="A2600">
        <v>9</v>
      </c>
      <c r="B2600" t="s">
        <v>190</v>
      </c>
      <c r="C2600" t="s">
        <v>191</v>
      </c>
      <c r="D2600" t="s">
        <v>195</v>
      </c>
      <c r="E2600" t="s">
        <v>75</v>
      </c>
      <c r="F2600" s="57" t="s">
        <v>75</v>
      </c>
      <c r="G2600" s="34">
        <f>VLOOKUP(표4[[#This Row],[구분]],ota_rns[#All],표4[[#This Row],[구분1]]+5,FALSE)</f>
        <v>1300</v>
      </c>
      <c r="H2600" s="58" t="str">
        <f>CONCATENATE(표4[[#This Row],[세그먼트 (OTA , GOTA, IB'[IB'])]],표4[[#This Row],[목표구분 (REV, RNS, ADR)]],표4[[#This Row],[영업장코드(예약 영업장 코드)]])</f>
        <v>GOTARNS01</v>
      </c>
      <c r="I2600" s="34">
        <f>RIGHT(표4[[#This Row],[년월(XXXX-XX 형식)]],2)*1</f>
        <v>9</v>
      </c>
    </row>
    <row r="2601" spans="1:9" x14ac:dyDescent="0.3">
      <c r="A2601">
        <v>9</v>
      </c>
      <c r="B2601" t="s">
        <v>190</v>
      </c>
      <c r="C2601" t="s">
        <v>191</v>
      </c>
      <c r="D2601" t="s">
        <v>195</v>
      </c>
      <c r="E2601" t="s">
        <v>75</v>
      </c>
      <c r="F2601" s="57" t="s">
        <v>141</v>
      </c>
      <c r="G2601" s="34">
        <f>VLOOKUP(표4[[#This Row],[구분]],ota_rns[#All],표4[[#This Row],[구분1]]+5,FALSE)</f>
        <v>2900</v>
      </c>
      <c r="H2601" s="58" t="str">
        <f>CONCATENATE(표4[[#This Row],[세그먼트 (OTA , GOTA, IB'[IB'])]],표4[[#This Row],[목표구분 (REV, RNS, ADR)]],표4[[#This Row],[영업장코드(예약 영업장 코드)]])</f>
        <v>GOTARNS70</v>
      </c>
      <c r="I2601" s="34">
        <f>RIGHT(표4[[#This Row],[년월(XXXX-XX 형식)]],2)*1</f>
        <v>9</v>
      </c>
    </row>
    <row r="2602" spans="1:9" x14ac:dyDescent="0.3">
      <c r="A2602">
        <v>9</v>
      </c>
      <c r="B2602" t="s">
        <v>190</v>
      </c>
      <c r="C2602" t="s">
        <v>191</v>
      </c>
      <c r="D2602" t="s">
        <v>195</v>
      </c>
      <c r="E2602" t="s">
        <v>75</v>
      </c>
      <c r="F2602" s="57" t="s">
        <v>113</v>
      </c>
      <c r="G2602" s="34">
        <f>VLOOKUP(표4[[#This Row],[구분]],ota_rns[#All],표4[[#This Row],[구분1]]+5,FALSE)</f>
        <v>700</v>
      </c>
      <c r="H2602" s="58" t="str">
        <f>CONCATENATE(표4[[#This Row],[세그먼트 (OTA , GOTA, IB'[IB'])]],표4[[#This Row],[목표구분 (REV, RNS, ADR)]],표4[[#This Row],[영업장코드(예약 영업장 코드)]])</f>
        <v>GOTARNS25</v>
      </c>
      <c r="I2602" s="34">
        <f>RIGHT(표4[[#This Row],[년월(XXXX-XX 형식)]],2)*1</f>
        <v>9</v>
      </c>
    </row>
    <row r="2603" spans="1:9" x14ac:dyDescent="0.3">
      <c r="A2603">
        <v>9</v>
      </c>
      <c r="B2603" t="s">
        <v>190</v>
      </c>
      <c r="C2603" t="s">
        <v>191</v>
      </c>
      <c r="D2603" t="s">
        <v>195</v>
      </c>
      <c r="E2603" t="s">
        <v>75</v>
      </c>
      <c r="F2603" s="57" t="s">
        <v>117</v>
      </c>
      <c r="G2603" s="34">
        <f>VLOOKUP(표4[[#This Row],[구분]],ota_rns[#All],표4[[#This Row],[구분1]]+5,FALSE)</f>
        <v>780</v>
      </c>
      <c r="H2603" s="58" t="str">
        <f>CONCATENATE(표4[[#This Row],[세그먼트 (OTA , GOTA, IB'[IB'])]],표4[[#This Row],[목표구분 (REV, RNS, ADR)]],표4[[#This Row],[영업장코드(예약 영업장 코드)]])</f>
        <v>GOTARNS27</v>
      </c>
      <c r="I2603" s="34">
        <f>RIGHT(표4[[#This Row],[년월(XXXX-XX 형식)]],2)*1</f>
        <v>9</v>
      </c>
    </row>
    <row r="2604" spans="1:9" x14ac:dyDescent="0.3">
      <c r="A2604">
        <v>9</v>
      </c>
      <c r="B2604" t="s">
        <v>190</v>
      </c>
      <c r="C2604" t="s">
        <v>191</v>
      </c>
      <c r="D2604" t="s">
        <v>195</v>
      </c>
      <c r="E2604" t="s">
        <v>75</v>
      </c>
      <c r="F2604" s="57" t="s">
        <v>122</v>
      </c>
      <c r="G2604" s="34">
        <f>VLOOKUP(표4[[#This Row],[구분]],ota_rns[#All],표4[[#This Row],[구분1]]+5,FALSE)</f>
        <v>120</v>
      </c>
      <c r="H2604" s="58" t="str">
        <f>CONCATENATE(표4[[#This Row],[세그먼트 (OTA , GOTA, IB'[IB'])]],표4[[#This Row],[목표구분 (REV, RNS, ADR)]],표4[[#This Row],[영업장코드(예약 영업장 코드)]])</f>
        <v>GOTARNS46</v>
      </c>
      <c r="I2604" s="34">
        <f>RIGHT(표4[[#This Row],[년월(XXXX-XX 형식)]],2)*1</f>
        <v>9</v>
      </c>
    </row>
    <row r="2605" spans="1:9" x14ac:dyDescent="0.3">
      <c r="A2605">
        <v>9</v>
      </c>
      <c r="B2605" t="s">
        <v>190</v>
      </c>
      <c r="C2605" t="s">
        <v>191</v>
      </c>
      <c r="D2605" t="s">
        <v>195</v>
      </c>
      <c r="E2605" t="s">
        <v>92</v>
      </c>
      <c r="F2605" s="57" t="s">
        <v>92</v>
      </c>
      <c r="G2605" s="34">
        <f>VLOOKUP(표4[[#This Row],[구분]],ota_rns[#All],표4[[#This Row],[구분1]]+5,FALSE)</f>
        <v>1550</v>
      </c>
      <c r="H2605" s="58" t="str">
        <f>CONCATENATE(표4[[#This Row],[세그먼트 (OTA , GOTA, IB'[IB'])]],표4[[#This Row],[목표구분 (REV, RNS, ADR)]],표4[[#This Row],[영업장코드(예약 영업장 코드)]])</f>
        <v>GOTARNS10</v>
      </c>
      <c r="I2605" s="34">
        <f>RIGHT(표4[[#This Row],[년월(XXXX-XX 형식)]],2)*1</f>
        <v>9</v>
      </c>
    </row>
    <row r="2606" spans="1:9" x14ac:dyDescent="0.3">
      <c r="A2606">
        <v>9</v>
      </c>
      <c r="B2606" t="s">
        <v>190</v>
      </c>
      <c r="C2606" t="s">
        <v>191</v>
      </c>
      <c r="D2606" t="s">
        <v>195</v>
      </c>
      <c r="E2606" t="s">
        <v>110</v>
      </c>
      <c r="F2606" s="57" t="s">
        <v>131</v>
      </c>
      <c r="G2606" s="34">
        <f>VLOOKUP(표4[[#This Row],[구분]],ota_rns[#All],표4[[#This Row],[구분1]]+5,FALSE)</f>
        <v>2400</v>
      </c>
      <c r="H2606" s="58" t="str">
        <f>CONCATENATE(표4[[#This Row],[세그먼트 (OTA , GOTA, IB'[IB'])]],표4[[#This Row],[목표구분 (REV, RNS, ADR)]],표4[[#This Row],[영업장코드(예약 영업장 코드)]])</f>
        <v>GOTARNS61</v>
      </c>
      <c r="I2606" s="34">
        <f>RIGHT(표4[[#This Row],[년월(XXXX-XX 형식)]],2)*1</f>
        <v>9</v>
      </c>
    </row>
    <row r="2607" spans="1:9" x14ac:dyDescent="0.3">
      <c r="A2607">
        <v>9</v>
      </c>
      <c r="B2607" t="s">
        <v>190</v>
      </c>
      <c r="C2607" t="s">
        <v>191</v>
      </c>
      <c r="D2607" t="s">
        <v>195</v>
      </c>
      <c r="E2607" t="s">
        <v>180</v>
      </c>
      <c r="F2607" s="57" t="s">
        <v>180</v>
      </c>
      <c r="G2607" s="34">
        <f>VLOOKUP(표4[[#This Row],[구분]],ota_rns[#All],표4[[#This Row],[구분1]]+5,FALSE)</f>
        <v>970</v>
      </c>
      <c r="H2607" s="58" t="str">
        <f>CONCATENATE(표4[[#This Row],[세그먼트 (OTA , GOTA, IB'[IB'])]],표4[[#This Row],[목표구분 (REV, RNS, ADR)]],표4[[#This Row],[영업장코드(예약 영업장 코드)]])</f>
        <v>GOTARNS05</v>
      </c>
      <c r="I2607" s="34">
        <f>RIGHT(표4[[#This Row],[년월(XXXX-XX 형식)]],2)*1</f>
        <v>9</v>
      </c>
    </row>
    <row r="2608" spans="1:9" x14ac:dyDescent="0.3">
      <c r="A2608">
        <v>9</v>
      </c>
      <c r="B2608" t="s">
        <v>190</v>
      </c>
      <c r="C2608" t="s">
        <v>191</v>
      </c>
      <c r="D2608" t="s">
        <v>195</v>
      </c>
      <c r="E2608" t="s">
        <v>181</v>
      </c>
      <c r="F2608" s="57" t="s">
        <v>137</v>
      </c>
      <c r="G2608" s="34">
        <f>VLOOKUP(표4[[#This Row],[구분]],ota_rns[#All],표4[[#This Row],[구분1]]+5,FALSE)</f>
        <v>600</v>
      </c>
      <c r="H2608" s="58" t="str">
        <f>CONCATENATE(표4[[#This Row],[세그먼트 (OTA , GOTA, IB'[IB'])]],표4[[#This Row],[목표구분 (REV, RNS, ADR)]],표4[[#This Row],[영업장코드(예약 영업장 코드)]])</f>
        <v>GOTARNS66</v>
      </c>
      <c r="I2608" s="34">
        <f>RIGHT(표4[[#This Row],[년월(XXXX-XX 형식)]],2)*1</f>
        <v>9</v>
      </c>
    </row>
    <row r="2609" spans="1:9" x14ac:dyDescent="0.3">
      <c r="A2609">
        <v>9</v>
      </c>
      <c r="B2609" t="s">
        <v>190</v>
      </c>
      <c r="C2609" t="s">
        <v>191</v>
      </c>
      <c r="D2609" t="s">
        <v>195</v>
      </c>
      <c r="E2609" t="s">
        <v>84</v>
      </c>
      <c r="F2609" s="57" t="s">
        <v>84</v>
      </c>
      <c r="G2609" s="34">
        <f>VLOOKUP(표4[[#This Row],[구분]],ota_rns[#All],표4[[#This Row],[구분1]]+5,FALSE)</f>
        <v>2050</v>
      </c>
      <c r="H2609" s="58" t="str">
        <f>CONCATENATE(표4[[#This Row],[세그먼트 (OTA , GOTA, IB'[IB'])]],표4[[#This Row],[목표구분 (REV, RNS, ADR)]],표4[[#This Row],[영업장코드(예약 영업장 코드)]])</f>
        <v>GOTARNS06</v>
      </c>
      <c r="I2609" s="34">
        <f>RIGHT(표4[[#This Row],[년월(XXXX-XX 형식)]],2)*1</f>
        <v>9</v>
      </c>
    </row>
    <row r="2610" spans="1:9" x14ac:dyDescent="0.3">
      <c r="A2610">
        <v>9</v>
      </c>
      <c r="B2610" t="s">
        <v>190</v>
      </c>
      <c r="C2610" t="s">
        <v>191</v>
      </c>
      <c r="D2610" t="s">
        <v>195</v>
      </c>
      <c r="E2610" t="s">
        <v>143</v>
      </c>
      <c r="F2610" s="57" t="s">
        <v>143</v>
      </c>
      <c r="G2610" s="34">
        <f>VLOOKUP(표4[[#This Row],[구분]],ota_rns[#All],표4[[#This Row],[구분1]]+5,FALSE)</f>
        <v>950</v>
      </c>
      <c r="H2610" s="58" t="str">
        <f>CONCATENATE(표4[[#This Row],[세그먼트 (OTA , GOTA, IB'[IB'])]],표4[[#This Row],[목표구분 (REV, RNS, ADR)]],표4[[#This Row],[영업장코드(예약 영업장 코드)]])</f>
        <v>GOTARNS73</v>
      </c>
      <c r="I2610" s="34">
        <f>RIGHT(표4[[#This Row],[년월(XXXX-XX 형식)]],2)*1</f>
        <v>9</v>
      </c>
    </row>
    <row r="2611" spans="1:9" x14ac:dyDescent="0.3">
      <c r="A2611">
        <v>9</v>
      </c>
      <c r="B2611" t="s">
        <v>190</v>
      </c>
      <c r="C2611" t="s">
        <v>191</v>
      </c>
      <c r="D2611" t="s">
        <v>195</v>
      </c>
      <c r="E2611" t="s">
        <v>99</v>
      </c>
      <c r="F2611" s="57" t="s">
        <v>99</v>
      </c>
      <c r="G2611" s="34">
        <f>VLOOKUP(표4[[#This Row],[구분]],ota_rns[#All],표4[[#This Row],[구분1]]+5,FALSE)</f>
        <v>1000</v>
      </c>
      <c r="H2611" s="58" t="str">
        <f>CONCATENATE(표4[[#This Row],[세그먼트 (OTA , GOTA, IB'[IB'])]],표4[[#This Row],[목표구분 (REV, RNS, ADR)]],표4[[#This Row],[영업장코드(예약 영업장 코드)]])</f>
        <v>GOTARNS16</v>
      </c>
      <c r="I2611" s="34">
        <f>RIGHT(표4[[#This Row],[년월(XXXX-XX 형식)]],2)*1</f>
        <v>9</v>
      </c>
    </row>
    <row r="2612" spans="1:9" x14ac:dyDescent="0.3">
      <c r="A2612">
        <v>9</v>
      </c>
      <c r="B2612" t="s">
        <v>190</v>
      </c>
      <c r="C2612" t="s">
        <v>191</v>
      </c>
      <c r="D2612" t="s">
        <v>195</v>
      </c>
      <c r="E2612" t="s">
        <v>103</v>
      </c>
      <c r="F2612" s="57" t="s">
        <v>110</v>
      </c>
      <c r="G2612" s="34">
        <f>VLOOKUP(표4[[#This Row],[구분]],ota_rns[#All],표4[[#This Row],[구분1]]+5,FALSE)</f>
        <v>1020</v>
      </c>
      <c r="H2612" s="58" t="str">
        <f>CONCATENATE(표4[[#This Row],[세그먼트 (OTA , GOTA, IB'[IB'])]],표4[[#This Row],[목표구분 (REV, RNS, ADR)]],표4[[#This Row],[영업장코드(예약 영업장 코드)]])</f>
        <v>GOTARNS24</v>
      </c>
      <c r="I2612" s="34">
        <f>RIGHT(표4[[#This Row],[년월(XXXX-XX 형식)]],2)*1</f>
        <v>9</v>
      </c>
    </row>
    <row r="2613" spans="1:9" x14ac:dyDescent="0.3">
      <c r="A2613">
        <v>9</v>
      </c>
      <c r="B2613" t="s">
        <v>190</v>
      </c>
      <c r="C2613" t="s">
        <v>191</v>
      </c>
      <c r="D2613" t="s">
        <v>195</v>
      </c>
      <c r="E2613" t="s">
        <v>101</v>
      </c>
      <c r="F2613" s="57" t="s">
        <v>107</v>
      </c>
      <c r="G2613" s="34">
        <f>VLOOKUP(표4[[#This Row],[구분]],ota_rns[#All],표4[[#This Row],[구분1]]+5,FALSE)</f>
        <v>700</v>
      </c>
      <c r="H2613" s="58" t="str">
        <f>CONCATENATE(표4[[#This Row],[세그먼트 (OTA , GOTA, IB'[IB'])]],표4[[#This Row],[목표구분 (REV, RNS, ADR)]],표4[[#This Row],[영업장코드(예약 영업장 코드)]])</f>
        <v>GOTARNS22</v>
      </c>
      <c r="I2613" s="34">
        <f>RIGHT(표4[[#This Row],[년월(XXXX-XX 형식)]],2)*1</f>
        <v>9</v>
      </c>
    </row>
    <row r="2614" spans="1:9" x14ac:dyDescent="0.3">
      <c r="A2614">
        <v>9</v>
      </c>
      <c r="B2614" t="s">
        <v>190</v>
      </c>
      <c r="C2614" t="s">
        <v>191</v>
      </c>
      <c r="D2614" t="s">
        <v>195</v>
      </c>
      <c r="E2614" t="s">
        <v>182</v>
      </c>
      <c r="F2614" s="57" t="s">
        <v>147</v>
      </c>
      <c r="G2614" s="34">
        <f>VLOOKUP(표4[[#This Row],[구분]],ota_rns[#All],표4[[#This Row],[구분1]]+5,FALSE)</f>
        <v>1500</v>
      </c>
      <c r="H2614" s="58" t="str">
        <f>CONCATENATE(표4[[#This Row],[세그먼트 (OTA , GOTA, IB'[IB'])]],표4[[#This Row],[목표구분 (REV, RNS, ADR)]],표4[[#This Row],[영업장코드(예약 영업장 코드)]])</f>
        <v>GOTARNS77</v>
      </c>
      <c r="I2614" s="34">
        <f>RIGHT(표4[[#This Row],[년월(XXXX-XX 형식)]],2)*1</f>
        <v>9</v>
      </c>
    </row>
    <row r="2615" spans="1:9" x14ac:dyDescent="0.3">
      <c r="A2615">
        <v>9</v>
      </c>
      <c r="B2615" t="s">
        <v>190</v>
      </c>
      <c r="C2615" t="s">
        <v>191</v>
      </c>
      <c r="D2615" t="s">
        <v>195</v>
      </c>
      <c r="E2615" t="s">
        <v>183</v>
      </c>
      <c r="F2615" s="57" t="s">
        <v>157</v>
      </c>
      <c r="G2615" s="34">
        <f>VLOOKUP(표4[[#This Row],[구분]],ota_rns[#All],표4[[#This Row],[구분1]]+5,FALSE)</f>
        <v>710</v>
      </c>
      <c r="H2615" s="58" t="str">
        <f>CONCATENATE(표4[[#This Row],[세그먼트 (OTA , GOTA, IB'[IB'])]],표4[[#This Row],[목표구분 (REV, RNS, ADR)]],표4[[#This Row],[영업장코드(예약 영업장 코드)]])</f>
        <v>GOTARNS87</v>
      </c>
      <c r="I2615" s="34">
        <f>RIGHT(표4[[#This Row],[년월(XXXX-XX 형식)]],2)*1</f>
        <v>9</v>
      </c>
    </row>
    <row r="2616" spans="1:9" x14ac:dyDescent="0.3">
      <c r="A2616">
        <v>9</v>
      </c>
      <c r="B2616" t="s">
        <v>190</v>
      </c>
      <c r="C2616" t="s">
        <v>191</v>
      </c>
      <c r="D2616" t="s">
        <v>195</v>
      </c>
      <c r="E2616" t="s">
        <v>96</v>
      </c>
      <c r="F2616" s="57" t="s">
        <v>96</v>
      </c>
      <c r="G2616" s="34">
        <f>VLOOKUP(표4[[#This Row],[구분]],ota_rns[#All],표4[[#This Row],[구분1]]+5,FALSE)</f>
        <v>1550</v>
      </c>
      <c r="H2616" s="58" t="str">
        <f>CONCATENATE(표4[[#This Row],[세그먼트 (OTA , GOTA, IB'[IB'])]],표4[[#This Row],[목표구분 (REV, RNS, ADR)]],표4[[#This Row],[영업장코드(예약 영업장 코드)]])</f>
        <v>GOTARNS15</v>
      </c>
      <c r="I2616" s="34">
        <f>RIGHT(표4[[#This Row],[년월(XXXX-XX 형식)]],2)*1</f>
        <v>9</v>
      </c>
    </row>
    <row r="2617" spans="1:9" x14ac:dyDescent="0.3">
      <c r="A2617">
        <v>9</v>
      </c>
      <c r="B2617" t="s">
        <v>190</v>
      </c>
      <c r="C2617" t="s">
        <v>191</v>
      </c>
      <c r="D2617" t="s">
        <v>195</v>
      </c>
      <c r="E2617" t="s">
        <v>105</v>
      </c>
      <c r="F2617" s="57" t="s">
        <v>119</v>
      </c>
      <c r="G2617" s="34">
        <f>VLOOKUP(표4[[#This Row],[구분]],ota_rns[#All],표4[[#This Row],[구분1]]+5,FALSE)</f>
        <v>2800</v>
      </c>
      <c r="H2617" s="58" t="str">
        <f>CONCATENATE(표4[[#This Row],[세그먼트 (OTA , GOTA, IB'[IB'])]],표4[[#This Row],[목표구분 (REV, RNS, ADR)]],표4[[#This Row],[영업장코드(예약 영업장 코드)]])</f>
        <v>GOTARNS29</v>
      </c>
      <c r="I2617" s="34">
        <f>RIGHT(표4[[#This Row],[년월(XXXX-XX 형식)]],2)*1</f>
        <v>9</v>
      </c>
    </row>
    <row r="2618" spans="1:9" x14ac:dyDescent="0.3">
      <c r="A2618">
        <v>9</v>
      </c>
      <c r="B2618" t="s">
        <v>190</v>
      </c>
      <c r="C2618" t="s">
        <v>191</v>
      </c>
      <c r="D2618" t="s">
        <v>195</v>
      </c>
      <c r="E2618" t="s">
        <v>184</v>
      </c>
      <c r="F2618" s="57" t="s">
        <v>152</v>
      </c>
      <c r="G2618" s="34">
        <f>VLOOKUP(표4[[#This Row],[구분]],ota_rns[#All],표4[[#This Row],[구분1]]+5,FALSE)</f>
        <v>970</v>
      </c>
      <c r="H2618" s="58" t="str">
        <f>CONCATENATE(표4[[#This Row],[세그먼트 (OTA , GOTA, IB'[IB'])]],표4[[#This Row],[목표구분 (REV, RNS, ADR)]],표4[[#This Row],[영업장코드(예약 영업장 코드)]])</f>
        <v>GOTARNS85</v>
      </c>
      <c r="I2618" s="34">
        <f>RIGHT(표4[[#This Row],[년월(XXXX-XX 형식)]],2)*1</f>
        <v>9</v>
      </c>
    </row>
    <row r="2619" spans="1:9" x14ac:dyDescent="0.3">
      <c r="A2619">
        <v>9</v>
      </c>
      <c r="B2619" t="s">
        <v>190</v>
      </c>
      <c r="C2619" t="s">
        <v>191</v>
      </c>
      <c r="D2619" t="s">
        <v>195</v>
      </c>
      <c r="E2619" t="s">
        <v>185</v>
      </c>
      <c r="F2619" s="57" t="s">
        <v>128</v>
      </c>
      <c r="G2619" s="34">
        <f>VLOOKUP(표4[[#This Row],[구분]],ota_rns[#All],표4[[#This Row],[구분1]]+5,FALSE)</f>
        <v>1100</v>
      </c>
      <c r="H2619" s="58" t="str">
        <f>CONCATENATE(표4[[#This Row],[세그먼트 (OTA , GOTA, IB'[IB'])]],표4[[#This Row],[목표구분 (REV, RNS, ADR)]],표4[[#This Row],[영업장코드(예약 영업장 코드)]])</f>
        <v>GOTARNS58</v>
      </c>
      <c r="I2619" s="34">
        <f>RIGHT(표4[[#This Row],[년월(XXXX-XX 형식)]],2)*1</f>
        <v>9</v>
      </c>
    </row>
    <row r="2620" spans="1:9" x14ac:dyDescent="0.3">
      <c r="A2620">
        <v>9</v>
      </c>
      <c r="B2620" t="s">
        <v>190</v>
      </c>
      <c r="C2620" t="s">
        <v>191</v>
      </c>
      <c r="D2620" t="s">
        <v>195</v>
      </c>
      <c r="E2620" t="s">
        <v>178</v>
      </c>
      <c r="F2620" s="57" t="s">
        <v>178</v>
      </c>
      <c r="G2620" s="34">
        <f>VLOOKUP(표4[[#This Row],[구분]],ota_rns[#All],표4[[#This Row],[구분1]]+5,FALSE)</f>
        <v>355</v>
      </c>
      <c r="H2620" s="58" t="str">
        <f>CONCATENATE(표4[[#This Row],[세그먼트 (OTA , GOTA, IB'[IB'])]],표4[[#This Row],[목표구분 (REV, RNS, ADR)]],표4[[#This Row],[영업장코드(예약 영업장 코드)]])</f>
        <v>GOTARNS94</v>
      </c>
      <c r="I2620" s="34">
        <f>RIGHT(표4[[#This Row],[년월(XXXX-XX 형식)]],2)*1</f>
        <v>9</v>
      </c>
    </row>
    <row r="2621" spans="1:9" x14ac:dyDescent="0.3">
      <c r="A2621">
        <v>9</v>
      </c>
      <c r="B2621" t="s">
        <v>190</v>
      </c>
      <c r="C2621" t="s">
        <v>192</v>
      </c>
      <c r="D2621" t="s">
        <v>195</v>
      </c>
      <c r="E2621" t="s">
        <v>78</v>
      </c>
      <c r="F2621" s="57" t="s">
        <v>78</v>
      </c>
      <c r="G2621" s="34">
        <f>VLOOKUP(표4[[#This Row],[구분]],ota_rns[#All],표4[[#This Row],[구분1]]+5,FALSE)</f>
        <v>157</v>
      </c>
      <c r="H2621" s="58" t="str">
        <f>CONCATENATE(표4[[#This Row],[세그먼트 (OTA , GOTA, IB'[IB'])]],표4[[#This Row],[목표구분 (REV, RNS, ADR)]],표4[[#This Row],[영업장코드(예약 영업장 코드)]])</f>
        <v>GOTAADR02</v>
      </c>
      <c r="I2621" s="34">
        <f>RIGHT(표4[[#This Row],[년월(XXXX-XX 형식)]],2)*1</f>
        <v>9</v>
      </c>
    </row>
    <row r="2622" spans="1:9" x14ac:dyDescent="0.3">
      <c r="A2622">
        <v>9</v>
      </c>
      <c r="B2622" t="s">
        <v>190</v>
      </c>
      <c r="C2622" t="s">
        <v>192</v>
      </c>
      <c r="D2622" t="s">
        <v>195</v>
      </c>
      <c r="E2622" t="s">
        <v>78</v>
      </c>
      <c r="F2622" s="57" t="s">
        <v>86</v>
      </c>
      <c r="G2622" s="34">
        <f>VLOOKUP(표4[[#This Row],[구분]],ota_rns[#All],표4[[#This Row],[구분1]]+5,FALSE)</f>
        <v>262.81690140845069</v>
      </c>
      <c r="H2622" s="58" t="str">
        <f>CONCATENATE(표4[[#This Row],[세그먼트 (OTA , GOTA, IB'[IB'])]],표4[[#This Row],[목표구분 (REV, RNS, ADR)]],표4[[#This Row],[영업장코드(예약 영업장 코드)]])</f>
        <v>GOTAADR07</v>
      </c>
      <c r="I2622" s="34">
        <f>RIGHT(표4[[#This Row],[년월(XXXX-XX 형식)]],2)*1</f>
        <v>9</v>
      </c>
    </row>
    <row r="2623" spans="1:9" x14ac:dyDescent="0.3">
      <c r="A2623">
        <v>9</v>
      </c>
      <c r="B2623" t="s">
        <v>190</v>
      </c>
      <c r="C2623" t="s">
        <v>192</v>
      </c>
      <c r="D2623" t="s">
        <v>195</v>
      </c>
      <c r="E2623" t="s">
        <v>78</v>
      </c>
      <c r="F2623" s="57" t="s">
        <v>105</v>
      </c>
      <c r="G2623" s="34">
        <f>VLOOKUP(표4[[#This Row],[구분]],ota_rns[#All],표4[[#This Row],[구분1]]+5,FALSE)</f>
        <v>284</v>
      </c>
      <c r="H2623" s="58" t="str">
        <f>CONCATENATE(표4[[#This Row],[세그먼트 (OTA , GOTA, IB'[IB'])]],표4[[#This Row],[목표구분 (REV, RNS, ADR)]],표4[[#This Row],[영업장코드(예약 영업장 코드)]])</f>
        <v>GOTAADR19</v>
      </c>
      <c r="I2623" s="34">
        <f>RIGHT(표4[[#This Row],[년월(XXXX-XX 형식)]],2)*1</f>
        <v>9</v>
      </c>
    </row>
    <row r="2624" spans="1:9" x14ac:dyDescent="0.3">
      <c r="A2624">
        <v>9</v>
      </c>
      <c r="B2624" t="s">
        <v>190</v>
      </c>
      <c r="C2624" t="s">
        <v>192</v>
      </c>
      <c r="D2624" t="s">
        <v>195</v>
      </c>
      <c r="E2624" t="s">
        <v>78</v>
      </c>
      <c r="F2624" s="57" t="s">
        <v>124</v>
      </c>
      <c r="G2624" s="34">
        <f>VLOOKUP(표4[[#This Row],[구분]],ota_rns[#All],표4[[#This Row],[구분1]]+5,FALSE)</f>
        <v>336</v>
      </c>
      <c r="H2624" s="58" t="str">
        <f>CONCATENATE(표4[[#This Row],[세그먼트 (OTA , GOTA, IB'[IB'])]],표4[[#This Row],[목표구분 (REV, RNS, ADR)]],표4[[#This Row],[영업장코드(예약 영업장 코드)]])</f>
        <v>GOTAADR50</v>
      </c>
      <c r="I2624" s="34">
        <f>RIGHT(표4[[#This Row],[년월(XXXX-XX 형식)]],2)*1</f>
        <v>9</v>
      </c>
    </row>
    <row r="2625" spans="1:9" x14ac:dyDescent="0.3">
      <c r="A2625">
        <v>9</v>
      </c>
      <c r="B2625" t="s">
        <v>190</v>
      </c>
      <c r="C2625" t="s">
        <v>192</v>
      </c>
      <c r="D2625" t="s">
        <v>195</v>
      </c>
      <c r="E2625" t="s">
        <v>78</v>
      </c>
      <c r="F2625" s="57" t="s">
        <v>88</v>
      </c>
      <c r="G2625" s="34">
        <f>VLOOKUP(표4[[#This Row],[구분]],ota_rns[#All],표4[[#This Row],[구분1]]+5,FALSE)</f>
        <v>350</v>
      </c>
      <c r="H2625" s="58" t="str">
        <f>CONCATENATE(표4[[#This Row],[세그먼트 (OTA , GOTA, IB'[IB'])]],표4[[#This Row],[목표구분 (REV, RNS, ADR)]],표4[[#This Row],[영업장코드(예약 영업장 코드)]])</f>
        <v>GOTAADR08</v>
      </c>
      <c r="I2625" s="34">
        <f>RIGHT(표4[[#This Row],[년월(XXXX-XX 형식)]],2)*1</f>
        <v>9</v>
      </c>
    </row>
    <row r="2626" spans="1:9" x14ac:dyDescent="0.3">
      <c r="A2626">
        <v>9</v>
      </c>
      <c r="B2626" t="s">
        <v>190</v>
      </c>
      <c r="C2626" t="s">
        <v>192</v>
      </c>
      <c r="D2626" t="s">
        <v>195</v>
      </c>
      <c r="E2626" t="s">
        <v>81</v>
      </c>
      <c r="F2626" s="57" t="s">
        <v>81</v>
      </c>
      <c r="G2626" s="34">
        <f>VLOOKUP(표4[[#This Row],[구분]],ota_rns[#All],표4[[#This Row],[구분1]]+5,FALSE)</f>
        <v>165.1</v>
      </c>
      <c r="H2626" s="58" t="str">
        <f>CONCATENATE(표4[[#This Row],[세그먼트 (OTA , GOTA, IB'[IB'])]],표4[[#This Row],[목표구분 (REV, RNS, ADR)]],표4[[#This Row],[영업장코드(예약 영업장 코드)]])</f>
        <v>GOTAADR03</v>
      </c>
      <c r="I2626" s="34">
        <f>RIGHT(표4[[#This Row],[년월(XXXX-XX 형식)]],2)*1</f>
        <v>9</v>
      </c>
    </row>
    <row r="2627" spans="1:9" x14ac:dyDescent="0.3">
      <c r="A2627">
        <v>9</v>
      </c>
      <c r="B2627" t="s">
        <v>190</v>
      </c>
      <c r="C2627" t="s">
        <v>192</v>
      </c>
      <c r="D2627" t="s">
        <v>195</v>
      </c>
      <c r="E2627" t="s">
        <v>75</v>
      </c>
      <c r="F2627" s="57" t="s">
        <v>75</v>
      </c>
      <c r="G2627" s="34">
        <f>VLOOKUP(표4[[#This Row],[구분]],ota_rns[#All],표4[[#This Row],[구분1]]+5,FALSE)</f>
        <v>175</v>
      </c>
      <c r="H2627" s="58" t="str">
        <f>CONCATENATE(표4[[#This Row],[세그먼트 (OTA , GOTA, IB'[IB'])]],표4[[#This Row],[목표구분 (REV, RNS, ADR)]],표4[[#This Row],[영업장코드(예약 영업장 코드)]])</f>
        <v>GOTAADR01</v>
      </c>
      <c r="I2627" s="34">
        <f>RIGHT(표4[[#This Row],[년월(XXXX-XX 형식)]],2)*1</f>
        <v>9</v>
      </c>
    </row>
    <row r="2628" spans="1:9" x14ac:dyDescent="0.3">
      <c r="A2628">
        <v>9</v>
      </c>
      <c r="B2628" t="s">
        <v>190</v>
      </c>
      <c r="C2628" t="s">
        <v>192</v>
      </c>
      <c r="D2628" t="s">
        <v>195</v>
      </c>
      <c r="E2628" t="s">
        <v>75</v>
      </c>
      <c r="F2628" s="57" t="s">
        <v>141</v>
      </c>
      <c r="G2628" s="34">
        <f>VLOOKUP(표4[[#This Row],[구분]],ota_rns[#All],표4[[#This Row],[구분1]]+5,FALSE)</f>
        <v>224.91724137931035</v>
      </c>
      <c r="H2628" s="58" t="str">
        <f>CONCATENATE(표4[[#This Row],[세그먼트 (OTA , GOTA, IB'[IB'])]],표4[[#This Row],[목표구분 (REV, RNS, ADR)]],표4[[#This Row],[영업장코드(예약 영업장 코드)]])</f>
        <v>GOTAADR70</v>
      </c>
      <c r="I2628" s="34">
        <f>RIGHT(표4[[#This Row],[년월(XXXX-XX 형식)]],2)*1</f>
        <v>9</v>
      </c>
    </row>
    <row r="2629" spans="1:9" x14ac:dyDescent="0.3">
      <c r="A2629">
        <v>9</v>
      </c>
      <c r="B2629" t="s">
        <v>190</v>
      </c>
      <c r="C2629" t="s">
        <v>192</v>
      </c>
      <c r="D2629" t="s">
        <v>195</v>
      </c>
      <c r="E2629" t="s">
        <v>75</v>
      </c>
      <c r="F2629" s="57" t="s">
        <v>113</v>
      </c>
      <c r="G2629" s="34">
        <f>VLOOKUP(표4[[#This Row],[구분]],ota_rns[#All],표4[[#This Row],[구분1]]+5,FALSE)</f>
        <v>182</v>
      </c>
      <c r="H2629" s="58" t="str">
        <f>CONCATENATE(표4[[#This Row],[세그먼트 (OTA , GOTA, IB'[IB'])]],표4[[#This Row],[목표구분 (REV, RNS, ADR)]],표4[[#This Row],[영업장코드(예약 영업장 코드)]])</f>
        <v>GOTAADR25</v>
      </c>
      <c r="I2629" s="34">
        <f>RIGHT(표4[[#This Row],[년월(XXXX-XX 형식)]],2)*1</f>
        <v>9</v>
      </c>
    </row>
    <row r="2630" spans="1:9" x14ac:dyDescent="0.3">
      <c r="A2630">
        <v>9</v>
      </c>
      <c r="B2630" t="s">
        <v>190</v>
      </c>
      <c r="C2630" t="s">
        <v>192</v>
      </c>
      <c r="D2630" t="s">
        <v>195</v>
      </c>
      <c r="E2630" t="s">
        <v>75</v>
      </c>
      <c r="F2630" s="57" t="s">
        <v>117</v>
      </c>
      <c r="G2630" s="34">
        <f>VLOOKUP(표4[[#This Row],[구분]],ota_rns[#All],표4[[#This Row],[구분1]]+5,FALSE)</f>
        <v>331.99999999999994</v>
      </c>
      <c r="H2630" s="58" t="str">
        <f>CONCATENATE(표4[[#This Row],[세그먼트 (OTA , GOTA, IB'[IB'])]],표4[[#This Row],[목표구분 (REV, RNS, ADR)]],표4[[#This Row],[영업장코드(예약 영업장 코드)]])</f>
        <v>GOTAADR27</v>
      </c>
      <c r="I2630" s="34">
        <f>RIGHT(표4[[#This Row],[년월(XXXX-XX 형식)]],2)*1</f>
        <v>9</v>
      </c>
    </row>
    <row r="2631" spans="1:9" x14ac:dyDescent="0.3">
      <c r="A2631">
        <v>9</v>
      </c>
      <c r="B2631" t="s">
        <v>190</v>
      </c>
      <c r="C2631" t="s">
        <v>192</v>
      </c>
      <c r="D2631" t="s">
        <v>195</v>
      </c>
      <c r="E2631" t="s">
        <v>75</v>
      </c>
      <c r="F2631" s="57" t="s">
        <v>122</v>
      </c>
      <c r="G2631" s="34">
        <f>VLOOKUP(표4[[#This Row],[구분]],ota_rns[#All],표4[[#This Row],[구분1]]+5,FALSE)</f>
        <v>320</v>
      </c>
      <c r="H2631" s="58" t="str">
        <f>CONCATENATE(표4[[#This Row],[세그먼트 (OTA , GOTA, IB'[IB'])]],표4[[#This Row],[목표구분 (REV, RNS, ADR)]],표4[[#This Row],[영업장코드(예약 영업장 코드)]])</f>
        <v>GOTAADR46</v>
      </c>
      <c r="I2631" s="34">
        <f>RIGHT(표4[[#This Row],[년월(XXXX-XX 형식)]],2)*1</f>
        <v>9</v>
      </c>
    </row>
    <row r="2632" spans="1:9" x14ac:dyDescent="0.3">
      <c r="A2632">
        <v>9</v>
      </c>
      <c r="B2632" t="s">
        <v>190</v>
      </c>
      <c r="C2632" t="s">
        <v>192</v>
      </c>
      <c r="D2632" t="s">
        <v>195</v>
      </c>
      <c r="E2632" t="s">
        <v>92</v>
      </c>
      <c r="F2632" s="57" t="s">
        <v>92</v>
      </c>
      <c r="G2632" s="34">
        <f>VLOOKUP(표4[[#This Row],[구분]],ota_rns[#All],표4[[#This Row],[구분1]]+5,FALSE)</f>
        <v>182</v>
      </c>
      <c r="H2632" s="58" t="str">
        <f>CONCATENATE(표4[[#This Row],[세그먼트 (OTA , GOTA, IB'[IB'])]],표4[[#This Row],[목표구분 (REV, RNS, ADR)]],표4[[#This Row],[영업장코드(예약 영업장 코드)]])</f>
        <v>GOTAADR10</v>
      </c>
      <c r="I2632" s="34">
        <f>RIGHT(표4[[#This Row],[년월(XXXX-XX 형식)]],2)*1</f>
        <v>9</v>
      </c>
    </row>
    <row r="2633" spans="1:9" x14ac:dyDescent="0.3">
      <c r="A2633">
        <v>9</v>
      </c>
      <c r="B2633" t="s">
        <v>190</v>
      </c>
      <c r="C2633" t="s">
        <v>192</v>
      </c>
      <c r="D2633" t="s">
        <v>195</v>
      </c>
      <c r="E2633" t="s">
        <v>110</v>
      </c>
      <c r="F2633" s="57" t="s">
        <v>131</v>
      </c>
      <c r="G2633" s="34">
        <f>VLOOKUP(표4[[#This Row],[구분]],ota_rns[#All],표4[[#This Row],[구분1]]+5,FALSE)</f>
        <v>215</v>
      </c>
      <c r="H2633" s="58" t="str">
        <f>CONCATENATE(표4[[#This Row],[세그먼트 (OTA , GOTA, IB'[IB'])]],표4[[#This Row],[목표구분 (REV, RNS, ADR)]],표4[[#This Row],[영업장코드(예약 영업장 코드)]])</f>
        <v>GOTAADR61</v>
      </c>
      <c r="I2633" s="34">
        <f>RIGHT(표4[[#This Row],[년월(XXXX-XX 형식)]],2)*1</f>
        <v>9</v>
      </c>
    </row>
    <row r="2634" spans="1:9" x14ac:dyDescent="0.3">
      <c r="A2634">
        <v>9</v>
      </c>
      <c r="B2634" t="s">
        <v>190</v>
      </c>
      <c r="C2634" t="s">
        <v>192</v>
      </c>
      <c r="D2634" t="s">
        <v>195</v>
      </c>
      <c r="E2634" t="s">
        <v>180</v>
      </c>
      <c r="F2634" s="57" t="s">
        <v>180</v>
      </c>
      <c r="G2634" s="34">
        <f>VLOOKUP(표4[[#This Row],[구분]],ota_rns[#All],표4[[#This Row],[구분1]]+5,FALSE)</f>
        <v>266.82038800561605</v>
      </c>
      <c r="H2634" s="58" t="str">
        <f>CONCATENATE(표4[[#This Row],[세그먼트 (OTA , GOTA, IB'[IB'])]],표4[[#This Row],[목표구분 (REV, RNS, ADR)]],표4[[#This Row],[영업장코드(예약 영업장 코드)]])</f>
        <v>GOTAADR05</v>
      </c>
      <c r="I2634" s="34">
        <f>RIGHT(표4[[#This Row],[년월(XXXX-XX 형식)]],2)*1</f>
        <v>9</v>
      </c>
    </row>
    <row r="2635" spans="1:9" x14ac:dyDescent="0.3">
      <c r="A2635">
        <v>9</v>
      </c>
      <c r="B2635" t="s">
        <v>190</v>
      </c>
      <c r="C2635" t="s">
        <v>192</v>
      </c>
      <c r="D2635" t="s">
        <v>195</v>
      </c>
      <c r="E2635" t="s">
        <v>181</v>
      </c>
      <c r="F2635" s="57" t="s">
        <v>137</v>
      </c>
      <c r="G2635" s="34">
        <f>VLOOKUP(표4[[#This Row],[구분]],ota_rns[#All],표4[[#This Row],[구분1]]+5,FALSE)</f>
        <v>154.4</v>
      </c>
      <c r="H2635" s="58" t="str">
        <f>CONCATENATE(표4[[#This Row],[세그먼트 (OTA , GOTA, IB'[IB'])]],표4[[#This Row],[목표구분 (REV, RNS, ADR)]],표4[[#This Row],[영업장코드(예약 영업장 코드)]])</f>
        <v>GOTAADR66</v>
      </c>
      <c r="I2635" s="34">
        <f>RIGHT(표4[[#This Row],[년월(XXXX-XX 형식)]],2)*1</f>
        <v>9</v>
      </c>
    </row>
    <row r="2636" spans="1:9" x14ac:dyDescent="0.3">
      <c r="A2636">
        <v>9</v>
      </c>
      <c r="B2636" t="s">
        <v>190</v>
      </c>
      <c r="C2636" t="s">
        <v>192</v>
      </c>
      <c r="D2636" t="s">
        <v>195</v>
      </c>
      <c r="E2636" t="s">
        <v>84</v>
      </c>
      <c r="F2636" s="57" t="s">
        <v>84</v>
      </c>
      <c r="G2636" s="34">
        <f>VLOOKUP(표4[[#This Row],[구분]],ota_rns[#All],표4[[#This Row],[구분1]]+5,FALSE)</f>
        <v>172.2</v>
      </c>
      <c r="H2636" s="58" t="str">
        <f>CONCATENATE(표4[[#This Row],[세그먼트 (OTA , GOTA, IB'[IB'])]],표4[[#This Row],[목표구분 (REV, RNS, ADR)]],표4[[#This Row],[영업장코드(예약 영업장 코드)]])</f>
        <v>GOTAADR06</v>
      </c>
      <c r="I2636" s="34">
        <f>RIGHT(표4[[#This Row],[년월(XXXX-XX 형식)]],2)*1</f>
        <v>9</v>
      </c>
    </row>
    <row r="2637" spans="1:9" x14ac:dyDescent="0.3">
      <c r="A2637">
        <v>9</v>
      </c>
      <c r="B2637" t="s">
        <v>190</v>
      </c>
      <c r="C2637" t="s">
        <v>192</v>
      </c>
      <c r="D2637" t="s">
        <v>195</v>
      </c>
      <c r="E2637" t="s">
        <v>143</v>
      </c>
      <c r="F2637" s="57" t="s">
        <v>143</v>
      </c>
      <c r="G2637" s="34">
        <f>VLOOKUP(표4[[#This Row],[구분]],ota_rns[#All],표4[[#This Row],[구분1]]+5,FALSE)</f>
        <v>187.15789473684211</v>
      </c>
      <c r="H2637" s="58" t="str">
        <f>CONCATENATE(표4[[#This Row],[세그먼트 (OTA , GOTA, IB'[IB'])]],표4[[#This Row],[목표구분 (REV, RNS, ADR)]],표4[[#This Row],[영업장코드(예약 영업장 코드)]])</f>
        <v>GOTAADR73</v>
      </c>
      <c r="I2637" s="34">
        <f>RIGHT(표4[[#This Row],[년월(XXXX-XX 형식)]],2)*1</f>
        <v>9</v>
      </c>
    </row>
    <row r="2638" spans="1:9" x14ac:dyDescent="0.3">
      <c r="A2638">
        <v>9</v>
      </c>
      <c r="B2638" t="s">
        <v>190</v>
      </c>
      <c r="C2638" t="s">
        <v>192</v>
      </c>
      <c r="D2638" t="s">
        <v>195</v>
      </c>
      <c r="E2638" t="s">
        <v>99</v>
      </c>
      <c r="F2638" s="57" t="s">
        <v>99</v>
      </c>
      <c r="G2638" s="34">
        <f>VLOOKUP(표4[[#This Row],[구분]],ota_rns[#All],표4[[#This Row],[구분1]]+5,FALSE)</f>
        <v>168</v>
      </c>
      <c r="H2638" s="58" t="str">
        <f>CONCATENATE(표4[[#This Row],[세그먼트 (OTA , GOTA, IB'[IB'])]],표4[[#This Row],[목표구분 (REV, RNS, ADR)]],표4[[#This Row],[영업장코드(예약 영업장 코드)]])</f>
        <v>GOTAADR16</v>
      </c>
      <c r="I2638" s="34">
        <f>RIGHT(표4[[#This Row],[년월(XXXX-XX 형식)]],2)*1</f>
        <v>9</v>
      </c>
    </row>
    <row r="2639" spans="1:9" x14ac:dyDescent="0.3">
      <c r="A2639">
        <v>9</v>
      </c>
      <c r="B2639" t="s">
        <v>190</v>
      </c>
      <c r="C2639" t="s">
        <v>192</v>
      </c>
      <c r="D2639" t="s">
        <v>195</v>
      </c>
      <c r="E2639" t="s">
        <v>103</v>
      </c>
      <c r="F2639" s="57" t="s">
        <v>110</v>
      </c>
      <c r="G2639" s="34">
        <f>VLOOKUP(표4[[#This Row],[구분]],ota_rns[#All],표4[[#This Row],[구분1]]+5,FALSE)</f>
        <v>234</v>
      </c>
      <c r="H2639" s="58" t="str">
        <f>CONCATENATE(표4[[#This Row],[세그먼트 (OTA , GOTA, IB'[IB'])]],표4[[#This Row],[목표구분 (REV, RNS, ADR)]],표4[[#This Row],[영업장코드(예약 영업장 코드)]])</f>
        <v>GOTAADR24</v>
      </c>
      <c r="I2639" s="34">
        <f>RIGHT(표4[[#This Row],[년월(XXXX-XX 형식)]],2)*1</f>
        <v>9</v>
      </c>
    </row>
    <row r="2640" spans="1:9" x14ac:dyDescent="0.3">
      <c r="A2640">
        <v>9</v>
      </c>
      <c r="B2640" t="s">
        <v>190</v>
      </c>
      <c r="C2640" t="s">
        <v>192</v>
      </c>
      <c r="D2640" t="s">
        <v>195</v>
      </c>
      <c r="E2640" t="s">
        <v>101</v>
      </c>
      <c r="F2640" s="57" t="s">
        <v>107</v>
      </c>
      <c r="G2640" s="34">
        <f>VLOOKUP(표4[[#This Row],[구분]],ota_rns[#All],표4[[#This Row],[구분1]]+5,FALSE)</f>
        <v>256</v>
      </c>
      <c r="H2640" s="58" t="str">
        <f>CONCATENATE(표4[[#This Row],[세그먼트 (OTA , GOTA, IB'[IB'])]],표4[[#This Row],[목표구분 (REV, RNS, ADR)]],표4[[#This Row],[영업장코드(예약 영업장 코드)]])</f>
        <v>GOTAADR22</v>
      </c>
      <c r="I2640" s="34">
        <f>RIGHT(표4[[#This Row],[년월(XXXX-XX 형식)]],2)*1</f>
        <v>9</v>
      </c>
    </row>
    <row r="2641" spans="1:9" x14ac:dyDescent="0.3">
      <c r="A2641">
        <v>9</v>
      </c>
      <c r="B2641" t="s">
        <v>190</v>
      </c>
      <c r="C2641" t="s">
        <v>192</v>
      </c>
      <c r="D2641" t="s">
        <v>195</v>
      </c>
      <c r="E2641" t="s">
        <v>182</v>
      </c>
      <c r="F2641" s="57" t="s">
        <v>147</v>
      </c>
      <c r="G2641" s="34">
        <f>VLOOKUP(표4[[#This Row],[구분]],ota_rns[#All],표4[[#This Row],[구분1]]+5,FALSE)</f>
        <v>199</v>
      </c>
      <c r="H2641" s="58" t="str">
        <f>CONCATENATE(표4[[#This Row],[세그먼트 (OTA , GOTA, IB'[IB'])]],표4[[#This Row],[목표구분 (REV, RNS, ADR)]],표4[[#This Row],[영업장코드(예약 영업장 코드)]])</f>
        <v>GOTAADR77</v>
      </c>
      <c r="I2641" s="34">
        <f>RIGHT(표4[[#This Row],[년월(XXXX-XX 형식)]],2)*1</f>
        <v>9</v>
      </c>
    </row>
    <row r="2642" spans="1:9" x14ac:dyDescent="0.3">
      <c r="A2642">
        <v>9</v>
      </c>
      <c r="B2642" t="s">
        <v>190</v>
      </c>
      <c r="C2642" t="s">
        <v>192</v>
      </c>
      <c r="D2642" t="s">
        <v>195</v>
      </c>
      <c r="E2642" t="s">
        <v>183</v>
      </c>
      <c r="F2642" s="57" t="s">
        <v>157</v>
      </c>
      <c r="G2642" s="34">
        <f>VLOOKUP(표4[[#This Row],[구분]],ota_rns[#All],표4[[#This Row],[구분1]]+5,FALSE)</f>
        <v>245.25352112676057</v>
      </c>
      <c r="H2642" s="58" t="str">
        <f>CONCATENATE(표4[[#This Row],[세그먼트 (OTA , GOTA, IB'[IB'])]],표4[[#This Row],[목표구분 (REV, RNS, ADR)]],표4[[#This Row],[영업장코드(예약 영업장 코드)]])</f>
        <v>GOTAADR87</v>
      </c>
      <c r="I2642" s="34">
        <f>RIGHT(표4[[#This Row],[년월(XXXX-XX 형식)]],2)*1</f>
        <v>9</v>
      </c>
    </row>
    <row r="2643" spans="1:9" x14ac:dyDescent="0.3">
      <c r="A2643">
        <v>9</v>
      </c>
      <c r="B2643" t="s">
        <v>190</v>
      </c>
      <c r="C2643" t="s">
        <v>192</v>
      </c>
      <c r="D2643" t="s">
        <v>195</v>
      </c>
      <c r="E2643" t="s">
        <v>96</v>
      </c>
      <c r="F2643" s="57" t="s">
        <v>96</v>
      </c>
      <c r="G2643" s="34">
        <f>VLOOKUP(표4[[#This Row],[구분]],ota_rns[#All],표4[[#This Row],[구분1]]+5,FALSE)</f>
        <v>177</v>
      </c>
      <c r="H2643" s="58" t="str">
        <f>CONCATENATE(표4[[#This Row],[세그먼트 (OTA , GOTA, IB'[IB'])]],표4[[#This Row],[목표구분 (REV, RNS, ADR)]],표4[[#This Row],[영업장코드(예약 영업장 코드)]])</f>
        <v>GOTAADR15</v>
      </c>
      <c r="I2643" s="34">
        <f>RIGHT(표4[[#This Row],[년월(XXXX-XX 형식)]],2)*1</f>
        <v>9</v>
      </c>
    </row>
    <row r="2644" spans="1:9" x14ac:dyDescent="0.3">
      <c r="A2644">
        <v>9</v>
      </c>
      <c r="B2644" t="s">
        <v>190</v>
      </c>
      <c r="C2644" t="s">
        <v>192</v>
      </c>
      <c r="D2644" t="s">
        <v>195</v>
      </c>
      <c r="E2644" t="s">
        <v>105</v>
      </c>
      <c r="F2644" s="57" t="s">
        <v>119</v>
      </c>
      <c r="G2644" s="34">
        <f>VLOOKUP(표4[[#This Row],[구분]],ota_rns[#All],표4[[#This Row],[구분1]]+5,FALSE)</f>
        <v>184</v>
      </c>
      <c r="H2644" s="58" t="str">
        <f>CONCATENATE(표4[[#This Row],[세그먼트 (OTA , GOTA, IB'[IB'])]],표4[[#This Row],[목표구분 (REV, RNS, ADR)]],표4[[#This Row],[영업장코드(예약 영업장 코드)]])</f>
        <v>GOTAADR29</v>
      </c>
      <c r="I2644" s="34">
        <f>RIGHT(표4[[#This Row],[년월(XXXX-XX 형식)]],2)*1</f>
        <v>9</v>
      </c>
    </row>
    <row r="2645" spans="1:9" x14ac:dyDescent="0.3">
      <c r="A2645">
        <v>9</v>
      </c>
      <c r="B2645" t="s">
        <v>190</v>
      </c>
      <c r="C2645" t="s">
        <v>192</v>
      </c>
      <c r="D2645" t="s">
        <v>195</v>
      </c>
      <c r="E2645" t="s">
        <v>184</v>
      </c>
      <c r="F2645" s="57" t="s">
        <v>152</v>
      </c>
      <c r="G2645" s="34">
        <f>VLOOKUP(표4[[#This Row],[구분]],ota_rns[#All],표4[[#This Row],[구분1]]+5,FALSE)</f>
        <v>360.63917525773195</v>
      </c>
      <c r="H2645" s="58" t="str">
        <f>CONCATENATE(표4[[#This Row],[세그먼트 (OTA , GOTA, IB'[IB'])]],표4[[#This Row],[목표구분 (REV, RNS, ADR)]],표4[[#This Row],[영업장코드(예약 영업장 코드)]])</f>
        <v>GOTAADR85</v>
      </c>
      <c r="I2645" s="34">
        <f>RIGHT(표4[[#This Row],[년월(XXXX-XX 형식)]],2)*1</f>
        <v>9</v>
      </c>
    </row>
    <row r="2646" spans="1:9" x14ac:dyDescent="0.3">
      <c r="A2646">
        <v>9</v>
      </c>
      <c r="B2646" t="s">
        <v>190</v>
      </c>
      <c r="C2646" t="s">
        <v>192</v>
      </c>
      <c r="D2646" t="s">
        <v>195</v>
      </c>
      <c r="E2646" t="s">
        <v>185</v>
      </c>
      <c r="F2646" s="57" t="s">
        <v>128</v>
      </c>
      <c r="G2646" s="34">
        <f>VLOOKUP(표4[[#This Row],[구분]],ota_rns[#All],표4[[#This Row],[구분1]]+5,FALSE)</f>
        <v>93</v>
      </c>
      <c r="H2646" s="58" t="str">
        <f>CONCATENATE(표4[[#This Row],[세그먼트 (OTA , GOTA, IB'[IB'])]],표4[[#This Row],[목표구분 (REV, RNS, ADR)]],표4[[#This Row],[영업장코드(예약 영업장 코드)]])</f>
        <v>GOTAADR58</v>
      </c>
      <c r="I2646" s="34">
        <f>RIGHT(표4[[#This Row],[년월(XXXX-XX 형식)]],2)*1</f>
        <v>9</v>
      </c>
    </row>
    <row r="2647" spans="1:9" x14ac:dyDescent="0.3">
      <c r="A2647">
        <v>9</v>
      </c>
      <c r="B2647" t="s">
        <v>190</v>
      </c>
      <c r="C2647" t="s">
        <v>192</v>
      </c>
      <c r="D2647" t="s">
        <v>195</v>
      </c>
      <c r="E2647" t="s">
        <v>178</v>
      </c>
      <c r="F2647" s="57" t="s">
        <v>178</v>
      </c>
      <c r="G2647" s="34">
        <f>VLOOKUP(표4[[#This Row],[구분]],ota_rns[#All],표4[[#This Row],[구분1]]+5,FALSE)</f>
        <v>272</v>
      </c>
      <c r="H2647" s="58" t="str">
        <f>CONCATENATE(표4[[#This Row],[세그먼트 (OTA , GOTA, IB'[IB'])]],표4[[#This Row],[목표구분 (REV, RNS, ADR)]],표4[[#This Row],[영업장코드(예약 영업장 코드)]])</f>
        <v>GOTAADR94</v>
      </c>
      <c r="I2647" s="34">
        <f>RIGHT(표4[[#This Row],[년월(XXXX-XX 형식)]],2)*1</f>
        <v>9</v>
      </c>
    </row>
    <row r="2648" spans="1:9" x14ac:dyDescent="0.3">
      <c r="A2648">
        <v>9</v>
      </c>
      <c r="B2648" t="s">
        <v>190</v>
      </c>
      <c r="C2648" t="s">
        <v>193</v>
      </c>
      <c r="D2648" t="s">
        <v>195</v>
      </c>
      <c r="E2648" t="s">
        <v>78</v>
      </c>
      <c r="F2648" s="57" t="s">
        <v>78</v>
      </c>
      <c r="G2648" s="34">
        <f>VLOOKUP(표4[[#This Row],[구분]],ota_rns[#All],표4[[#This Row],[구분1]]+5,FALSE)</f>
        <v>235.5</v>
      </c>
      <c r="H2648" s="58" t="str">
        <f>CONCATENATE(표4[[#This Row],[세그먼트 (OTA , GOTA, IB'[IB'])]],표4[[#This Row],[목표구분 (REV, RNS, ADR)]],표4[[#This Row],[영업장코드(예약 영업장 코드)]])</f>
        <v>GOTAREV02</v>
      </c>
      <c r="I2648" s="34">
        <f>RIGHT(표4[[#This Row],[년월(XXXX-XX 형식)]],2)*1</f>
        <v>9</v>
      </c>
    </row>
    <row r="2649" spans="1:9" x14ac:dyDescent="0.3">
      <c r="A2649">
        <v>9</v>
      </c>
      <c r="B2649" t="s">
        <v>190</v>
      </c>
      <c r="C2649" t="s">
        <v>193</v>
      </c>
      <c r="D2649" t="s">
        <v>195</v>
      </c>
      <c r="E2649" t="s">
        <v>78</v>
      </c>
      <c r="F2649" s="57" t="s">
        <v>86</v>
      </c>
      <c r="G2649" s="34">
        <f>VLOOKUP(표4[[#This Row],[구분]],ota_rns[#All],표4[[#This Row],[구분1]]+5,FALSE)</f>
        <v>186.6</v>
      </c>
      <c r="H2649" s="58" t="str">
        <f>CONCATENATE(표4[[#This Row],[세그먼트 (OTA , GOTA, IB'[IB'])]],표4[[#This Row],[목표구분 (REV, RNS, ADR)]],표4[[#This Row],[영업장코드(예약 영업장 코드)]])</f>
        <v>GOTAREV07</v>
      </c>
      <c r="I2649" s="34">
        <f>RIGHT(표4[[#This Row],[년월(XXXX-XX 형식)]],2)*1</f>
        <v>9</v>
      </c>
    </row>
    <row r="2650" spans="1:9" x14ac:dyDescent="0.3">
      <c r="A2650">
        <v>9</v>
      </c>
      <c r="B2650" t="s">
        <v>190</v>
      </c>
      <c r="C2650" t="s">
        <v>193</v>
      </c>
      <c r="D2650" t="s">
        <v>195</v>
      </c>
      <c r="E2650" t="s">
        <v>78</v>
      </c>
      <c r="F2650" s="57" t="s">
        <v>105</v>
      </c>
      <c r="G2650" s="34">
        <f>VLOOKUP(표4[[#This Row],[구분]],ota_rns[#All],표4[[#This Row],[구분1]]+5,FALSE)</f>
        <v>198.8</v>
      </c>
      <c r="H2650" s="58" t="str">
        <f>CONCATENATE(표4[[#This Row],[세그먼트 (OTA , GOTA, IB'[IB'])]],표4[[#This Row],[목표구분 (REV, RNS, ADR)]],표4[[#This Row],[영업장코드(예약 영업장 코드)]])</f>
        <v>GOTAREV19</v>
      </c>
      <c r="I2650" s="34">
        <f>RIGHT(표4[[#This Row],[년월(XXXX-XX 형식)]],2)*1</f>
        <v>9</v>
      </c>
    </row>
    <row r="2651" spans="1:9" x14ac:dyDescent="0.3">
      <c r="A2651">
        <v>9</v>
      </c>
      <c r="B2651" t="s">
        <v>190</v>
      </c>
      <c r="C2651" t="s">
        <v>193</v>
      </c>
      <c r="D2651" t="s">
        <v>195</v>
      </c>
      <c r="E2651" t="s">
        <v>78</v>
      </c>
      <c r="F2651" s="57" t="s">
        <v>124</v>
      </c>
      <c r="G2651" s="34">
        <f>VLOOKUP(표4[[#This Row],[구분]],ota_rns[#All],표4[[#This Row],[구분1]]+5,FALSE)</f>
        <v>141.12</v>
      </c>
      <c r="H2651" s="58" t="str">
        <f>CONCATENATE(표4[[#This Row],[세그먼트 (OTA , GOTA, IB'[IB'])]],표4[[#This Row],[목표구분 (REV, RNS, ADR)]],표4[[#This Row],[영업장코드(예약 영업장 코드)]])</f>
        <v>GOTAREV50</v>
      </c>
      <c r="I2651" s="34">
        <f>RIGHT(표4[[#This Row],[년월(XXXX-XX 형식)]],2)*1</f>
        <v>9</v>
      </c>
    </row>
    <row r="2652" spans="1:9" x14ac:dyDescent="0.3">
      <c r="A2652">
        <v>9</v>
      </c>
      <c r="B2652" t="s">
        <v>190</v>
      </c>
      <c r="C2652" t="s">
        <v>193</v>
      </c>
      <c r="D2652" t="s">
        <v>195</v>
      </c>
      <c r="E2652" t="s">
        <v>78</v>
      </c>
      <c r="F2652" s="57" t="s">
        <v>88</v>
      </c>
      <c r="G2652" s="34">
        <f>VLOOKUP(표4[[#This Row],[구분]],ota_rns[#All],표4[[#This Row],[구분1]]+5,FALSE)</f>
        <v>140</v>
      </c>
      <c r="H2652" s="58" t="str">
        <f>CONCATENATE(표4[[#This Row],[세그먼트 (OTA , GOTA, IB'[IB'])]],표4[[#This Row],[목표구분 (REV, RNS, ADR)]],표4[[#This Row],[영업장코드(예약 영업장 코드)]])</f>
        <v>GOTAREV08</v>
      </c>
      <c r="I2652" s="34">
        <f>RIGHT(표4[[#This Row],[년월(XXXX-XX 형식)]],2)*1</f>
        <v>9</v>
      </c>
    </row>
    <row r="2653" spans="1:9" x14ac:dyDescent="0.3">
      <c r="A2653">
        <v>9</v>
      </c>
      <c r="B2653" t="s">
        <v>190</v>
      </c>
      <c r="C2653" t="s">
        <v>193</v>
      </c>
      <c r="D2653" t="s">
        <v>195</v>
      </c>
      <c r="E2653" t="s">
        <v>81</v>
      </c>
      <c r="F2653" s="57" t="s">
        <v>81</v>
      </c>
      <c r="G2653" s="34">
        <f>VLOOKUP(표4[[#This Row],[구분]],ota_rns[#All],표4[[#This Row],[구분1]]+5,FALSE)</f>
        <v>49.53</v>
      </c>
      <c r="H2653" s="58" t="str">
        <f>CONCATENATE(표4[[#This Row],[세그먼트 (OTA , GOTA, IB'[IB'])]],표4[[#This Row],[목표구분 (REV, RNS, ADR)]],표4[[#This Row],[영업장코드(예약 영업장 코드)]])</f>
        <v>GOTAREV03</v>
      </c>
      <c r="I2653" s="34">
        <f>RIGHT(표4[[#This Row],[년월(XXXX-XX 형식)]],2)*1</f>
        <v>9</v>
      </c>
    </row>
    <row r="2654" spans="1:9" x14ac:dyDescent="0.3">
      <c r="A2654">
        <v>9</v>
      </c>
      <c r="B2654" t="s">
        <v>190</v>
      </c>
      <c r="C2654" t="s">
        <v>193</v>
      </c>
      <c r="D2654" t="s">
        <v>195</v>
      </c>
      <c r="E2654" t="s">
        <v>75</v>
      </c>
      <c r="F2654" s="57" t="s">
        <v>75</v>
      </c>
      <c r="G2654" s="34">
        <f>VLOOKUP(표4[[#This Row],[구분]],ota_rns[#All],표4[[#This Row],[구분1]]+5,FALSE)</f>
        <v>227.5</v>
      </c>
      <c r="H2654" s="58" t="str">
        <f>CONCATENATE(표4[[#This Row],[세그먼트 (OTA , GOTA, IB'[IB'])]],표4[[#This Row],[목표구분 (REV, RNS, ADR)]],표4[[#This Row],[영업장코드(예약 영업장 코드)]])</f>
        <v>GOTAREV01</v>
      </c>
      <c r="I2654" s="34">
        <f>RIGHT(표4[[#This Row],[년월(XXXX-XX 형식)]],2)*1</f>
        <v>9</v>
      </c>
    </row>
    <row r="2655" spans="1:9" x14ac:dyDescent="0.3">
      <c r="A2655">
        <v>9</v>
      </c>
      <c r="B2655" t="s">
        <v>190</v>
      </c>
      <c r="C2655" t="s">
        <v>193</v>
      </c>
      <c r="D2655" t="s">
        <v>195</v>
      </c>
      <c r="E2655" t="s">
        <v>75</v>
      </c>
      <c r="F2655" s="57" t="s">
        <v>141</v>
      </c>
      <c r="G2655" s="34">
        <f>VLOOKUP(표4[[#This Row],[구분]],ota_rns[#All],표4[[#This Row],[구분1]]+5,FALSE)</f>
        <v>652.26</v>
      </c>
      <c r="H2655" s="58" t="str">
        <f>CONCATENATE(표4[[#This Row],[세그먼트 (OTA , GOTA, IB'[IB'])]],표4[[#This Row],[목표구분 (REV, RNS, ADR)]],표4[[#This Row],[영업장코드(예약 영업장 코드)]])</f>
        <v>GOTAREV70</v>
      </c>
      <c r="I2655" s="34">
        <f>RIGHT(표4[[#This Row],[년월(XXXX-XX 형식)]],2)*1</f>
        <v>9</v>
      </c>
    </row>
    <row r="2656" spans="1:9" x14ac:dyDescent="0.3">
      <c r="A2656">
        <v>9</v>
      </c>
      <c r="B2656" t="s">
        <v>190</v>
      </c>
      <c r="C2656" t="s">
        <v>193</v>
      </c>
      <c r="D2656" t="s">
        <v>195</v>
      </c>
      <c r="E2656" t="s">
        <v>75</v>
      </c>
      <c r="F2656" s="57" t="s">
        <v>113</v>
      </c>
      <c r="G2656" s="34">
        <f>VLOOKUP(표4[[#This Row],[구분]],ota_rns[#All],표4[[#This Row],[구분1]]+5,FALSE)</f>
        <v>127.4</v>
      </c>
      <c r="H2656" s="58" t="str">
        <f>CONCATENATE(표4[[#This Row],[세그먼트 (OTA , GOTA, IB'[IB'])]],표4[[#This Row],[목표구분 (REV, RNS, ADR)]],표4[[#This Row],[영업장코드(예약 영업장 코드)]])</f>
        <v>GOTAREV25</v>
      </c>
      <c r="I2656" s="34">
        <f>RIGHT(표4[[#This Row],[년월(XXXX-XX 형식)]],2)*1</f>
        <v>9</v>
      </c>
    </row>
    <row r="2657" spans="1:9" x14ac:dyDescent="0.3">
      <c r="A2657">
        <v>9</v>
      </c>
      <c r="B2657" t="s">
        <v>190</v>
      </c>
      <c r="C2657" t="s">
        <v>193</v>
      </c>
      <c r="D2657" t="s">
        <v>195</v>
      </c>
      <c r="E2657" t="s">
        <v>75</v>
      </c>
      <c r="F2657" s="57" t="s">
        <v>117</v>
      </c>
      <c r="G2657" s="34">
        <f>VLOOKUP(표4[[#This Row],[구분]],ota_rns[#All],표4[[#This Row],[구분1]]+5,FALSE)</f>
        <v>258.95999999999998</v>
      </c>
      <c r="H2657" s="58" t="str">
        <f>CONCATENATE(표4[[#This Row],[세그먼트 (OTA , GOTA, IB'[IB'])]],표4[[#This Row],[목표구분 (REV, RNS, ADR)]],표4[[#This Row],[영업장코드(예약 영업장 코드)]])</f>
        <v>GOTAREV27</v>
      </c>
      <c r="I2657" s="34">
        <f>RIGHT(표4[[#This Row],[년월(XXXX-XX 형식)]],2)*1</f>
        <v>9</v>
      </c>
    </row>
    <row r="2658" spans="1:9" x14ac:dyDescent="0.3">
      <c r="A2658">
        <v>9</v>
      </c>
      <c r="B2658" t="s">
        <v>190</v>
      </c>
      <c r="C2658" t="s">
        <v>193</v>
      </c>
      <c r="D2658" t="s">
        <v>195</v>
      </c>
      <c r="E2658" t="s">
        <v>75</v>
      </c>
      <c r="F2658" s="57" t="s">
        <v>122</v>
      </c>
      <c r="G2658" s="34">
        <f>VLOOKUP(표4[[#This Row],[구분]],ota_rns[#All],표4[[#This Row],[구분1]]+5,FALSE)</f>
        <v>38.4</v>
      </c>
      <c r="H2658" s="58" t="str">
        <f>CONCATENATE(표4[[#This Row],[세그먼트 (OTA , GOTA, IB'[IB'])]],표4[[#This Row],[목표구분 (REV, RNS, ADR)]],표4[[#This Row],[영업장코드(예약 영업장 코드)]])</f>
        <v>GOTAREV46</v>
      </c>
      <c r="I2658" s="34">
        <f>RIGHT(표4[[#This Row],[년월(XXXX-XX 형식)]],2)*1</f>
        <v>9</v>
      </c>
    </row>
    <row r="2659" spans="1:9" x14ac:dyDescent="0.3">
      <c r="A2659">
        <v>9</v>
      </c>
      <c r="B2659" t="s">
        <v>190</v>
      </c>
      <c r="C2659" t="s">
        <v>193</v>
      </c>
      <c r="D2659" t="s">
        <v>195</v>
      </c>
      <c r="E2659" t="s">
        <v>92</v>
      </c>
      <c r="F2659" s="57" t="s">
        <v>92</v>
      </c>
      <c r="G2659" s="34">
        <f>VLOOKUP(표4[[#This Row],[구분]],ota_rns[#All],표4[[#This Row],[구분1]]+5,FALSE)</f>
        <v>282.10000000000002</v>
      </c>
      <c r="H2659" s="58" t="str">
        <f>CONCATENATE(표4[[#This Row],[세그먼트 (OTA , GOTA, IB'[IB'])]],표4[[#This Row],[목표구분 (REV, RNS, ADR)]],표4[[#This Row],[영업장코드(예약 영업장 코드)]])</f>
        <v>GOTAREV10</v>
      </c>
      <c r="I2659" s="34">
        <f>RIGHT(표4[[#This Row],[년월(XXXX-XX 형식)]],2)*1</f>
        <v>9</v>
      </c>
    </row>
    <row r="2660" spans="1:9" x14ac:dyDescent="0.3">
      <c r="A2660">
        <v>9</v>
      </c>
      <c r="B2660" t="s">
        <v>190</v>
      </c>
      <c r="C2660" t="s">
        <v>193</v>
      </c>
      <c r="D2660" t="s">
        <v>195</v>
      </c>
      <c r="E2660" t="s">
        <v>110</v>
      </c>
      <c r="F2660" s="57" t="s">
        <v>131</v>
      </c>
      <c r="G2660" s="34">
        <f>VLOOKUP(표4[[#This Row],[구분]],ota_rns[#All],표4[[#This Row],[구분1]]+5,FALSE)</f>
        <v>516</v>
      </c>
      <c r="H2660" s="58" t="str">
        <f>CONCATENATE(표4[[#This Row],[세그먼트 (OTA , GOTA, IB'[IB'])]],표4[[#This Row],[목표구분 (REV, RNS, ADR)]],표4[[#This Row],[영업장코드(예약 영업장 코드)]])</f>
        <v>GOTAREV61</v>
      </c>
      <c r="I2660" s="34">
        <f>RIGHT(표4[[#This Row],[년월(XXXX-XX 형식)]],2)*1</f>
        <v>9</v>
      </c>
    </row>
    <row r="2661" spans="1:9" x14ac:dyDescent="0.3">
      <c r="A2661">
        <v>9</v>
      </c>
      <c r="B2661" t="s">
        <v>190</v>
      </c>
      <c r="C2661" t="s">
        <v>193</v>
      </c>
      <c r="D2661" t="s">
        <v>195</v>
      </c>
      <c r="E2661" t="s">
        <v>180</v>
      </c>
      <c r="F2661" s="57" t="s">
        <v>180</v>
      </c>
      <c r="G2661" s="34">
        <f>VLOOKUP(표4[[#This Row],[구분]],ota_rns[#All],표4[[#This Row],[구분1]]+5,FALSE)</f>
        <v>258.81577636544756</v>
      </c>
      <c r="H2661" s="58" t="str">
        <f>CONCATENATE(표4[[#This Row],[세그먼트 (OTA , GOTA, IB'[IB'])]],표4[[#This Row],[목표구분 (REV, RNS, ADR)]],표4[[#This Row],[영업장코드(예약 영업장 코드)]])</f>
        <v>GOTAREV05</v>
      </c>
      <c r="I2661" s="34">
        <f>RIGHT(표4[[#This Row],[년월(XXXX-XX 형식)]],2)*1</f>
        <v>9</v>
      </c>
    </row>
    <row r="2662" spans="1:9" x14ac:dyDescent="0.3">
      <c r="A2662">
        <v>9</v>
      </c>
      <c r="B2662" t="s">
        <v>190</v>
      </c>
      <c r="C2662" t="s">
        <v>193</v>
      </c>
      <c r="D2662" t="s">
        <v>195</v>
      </c>
      <c r="E2662" t="s">
        <v>181</v>
      </c>
      <c r="F2662" s="57" t="s">
        <v>137</v>
      </c>
      <c r="G2662" s="34">
        <f>VLOOKUP(표4[[#This Row],[구분]],ota_rns[#All],표4[[#This Row],[구분1]]+5,FALSE)</f>
        <v>92.64</v>
      </c>
      <c r="H2662" s="58" t="str">
        <f>CONCATENATE(표4[[#This Row],[세그먼트 (OTA , GOTA, IB'[IB'])]],표4[[#This Row],[목표구분 (REV, RNS, ADR)]],표4[[#This Row],[영업장코드(예약 영업장 코드)]])</f>
        <v>GOTAREV66</v>
      </c>
      <c r="I2662" s="34">
        <f>RIGHT(표4[[#This Row],[년월(XXXX-XX 형식)]],2)*1</f>
        <v>9</v>
      </c>
    </row>
    <row r="2663" spans="1:9" x14ac:dyDescent="0.3">
      <c r="A2663">
        <v>9</v>
      </c>
      <c r="B2663" t="s">
        <v>190</v>
      </c>
      <c r="C2663" t="s">
        <v>193</v>
      </c>
      <c r="D2663" t="s">
        <v>195</v>
      </c>
      <c r="E2663" t="s">
        <v>84</v>
      </c>
      <c r="F2663" s="57" t="s">
        <v>84</v>
      </c>
      <c r="G2663" s="34">
        <f>VLOOKUP(표4[[#This Row],[구분]],ota_rns[#All],표4[[#This Row],[구분1]]+5,FALSE)</f>
        <v>353.01</v>
      </c>
      <c r="H2663" s="58" t="str">
        <f>CONCATENATE(표4[[#This Row],[세그먼트 (OTA , GOTA, IB'[IB'])]],표4[[#This Row],[목표구분 (REV, RNS, ADR)]],표4[[#This Row],[영업장코드(예약 영업장 코드)]])</f>
        <v>GOTAREV06</v>
      </c>
      <c r="I2663" s="34">
        <f>RIGHT(표4[[#This Row],[년월(XXXX-XX 형식)]],2)*1</f>
        <v>9</v>
      </c>
    </row>
    <row r="2664" spans="1:9" x14ac:dyDescent="0.3">
      <c r="A2664">
        <v>9</v>
      </c>
      <c r="B2664" t="s">
        <v>190</v>
      </c>
      <c r="C2664" t="s">
        <v>193</v>
      </c>
      <c r="D2664" t="s">
        <v>195</v>
      </c>
      <c r="E2664" t="s">
        <v>143</v>
      </c>
      <c r="F2664" s="57" t="s">
        <v>143</v>
      </c>
      <c r="G2664" s="34">
        <f>VLOOKUP(표4[[#This Row],[구분]],ota_rns[#All],표4[[#This Row],[구분1]]+5,FALSE)</f>
        <v>177.8</v>
      </c>
      <c r="H2664" s="58" t="str">
        <f>CONCATENATE(표4[[#This Row],[세그먼트 (OTA , GOTA, IB'[IB'])]],표4[[#This Row],[목표구분 (REV, RNS, ADR)]],표4[[#This Row],[영업장코드(예약 영업장 코드)]])</f>
        <v>GOTAREV73</v>
      </c>
      <c r="I2664" s="34">
        <f>RIGHT(표4[[#This Row],[년월(XXXX-XX 형식)]],2)*1</f>
        <v>9</v>
      </c>
    </row>
    <row r="2665" spans="1:9" x14ac:dyDescent="0.3">
      <c r="A2665">
        <v>9</v>
      </c>
      <c r="B2665" t="s">
        <v>190</v>
      </c>
      <c r="C2665" t="s">
        <v>193</v>
      </c>
      <c r="D2665" t="s">
        <v>195</v>
      </c>
      <c r="E2665" t="s">
        <v>99</v>
      </c>
      <c r="F2665" s="57" t="s">
        <v>99</v>
      </c>
      <c r="G2665" s="34">
        <f>VLOOKUP(표4[[#This Row],[구분]],ota_rns[#All],표4[[#This Row],[구분1]]+5,FALSE)</f>
        <v>168</v>
      </c>
      <c r="H2665" s="58" t="str">
        <f>CONCATENATE(표4[[#This Row],[세그먼트 (OTA , GOTA, IB'[IB'])]],표4[[#This Row],[목표구분 (REV, RNS, ADR)]],표4[[#This Row],[영업장코드(예약 영업장 코드)]])</f>
        <v>GOTAREV16</v>
      </c>
      <c r="I2665" s="34">
        <f>RIGHT(표4[[#This Row],[년월(XXXX-XX 형식)]],2)*1</f>
        <v>9</v>
      </c>
    </row>
    <row r="2666" spans="1:9" x14ac:dyDescent="0.3">
      <c r="A2666">
        <v>9</v>
      </c>
      <c r="B2666" t="s">
        <v>190</v>
      </c>
      <c r="C2666" t="s">
        <v>193</v>
      </c>
      <c r="D2666" t="s">
        <v>195</v>
      </c>
      <c r="E2666" t="s">
        <v>103</v>
      </c>
      <c r="F2666" s="57" t="s">
        <v>110</v>
      </c>
      <c r="G2666" s="34">
        <f>VLOOKUP(표4[[#This Row],[구분]],ota_rns[#All],표4[[#This Row],[구분1]]+5,FALSE)</f>
        <v>238.68</v>
      </c>
      <c r="H2666" s="58" t="str">
        <f>CONCATENATE(표4[[#This Row],[세그먼트 (OTA , GOTA, IB'[IB'])]],표4[[#This Row],[목표구분 (REV, RNS, ADR)]],표4[[#This Row],[영업장코드(예약 영업장 코드)]])</f>
        <v>GOTAREV24</v>
      </c>
      <c r="I2666" s="34">
        <f>RIGHT(표4[[#This Row],[년월(XXXX-XX 형식)]],2)*1</f>
        <v>9</v>
      </c>
    </row>
    <row r="2667" spans="1:9" x14ac:dyDescent="0.3">
      <c r="A2667">
        <v>9</v>
      </c>
      <c r="B2667" t="s">
        <v>190</v>
      </c>
      <c r="C2667" t="s">
        <v>193</v>
      </c>
      <c r="D2667" t="s">
        <v>195</v>
      </c>
      <c r="E2667" t="s">
        <v>101</v>
      </c>
      <c r="F2667" s="57" t="s">
        <v>107</v>
      </c>
      <c r="G2667" s="34">
        <f>VLOOKUP(표4[[#This Row],[구분]],ota_rns[#All],표4[[#This Row],[구분1]]+5,FALSE)</f>
        <v>179.2</v>
      </c>
      <c r="H2667" s="58" t="str">
        <f>CONCATENATE(표4[[#This Row],[세그먼트 (OTA , GOTA, IB'[IB'])]],표4[[#This Row],[목표구분 (REV, RNS, ADR)]],표4[[#This Row],[영업장코드(예약 영업장 코드)]])</f>
        <v>GOTAREV22</v>
      </c>
      <c r="I2667" s="34">
        <f>RIGHT(표4[[#This Row],[년월(XXXX-XX 형식)]],2)*1</f>
        <v>9</v>
      </c>
    </row>
    <row r="2668" spans="1:9" x14ac:dyDescent="0.3">
      <c r="A2668">
        <v>9</v>
      </c>
      <c r="B2668" t="s">
        <v>190</v>
      </c>
      <c r="C2668" t="s">
        <v>193</v>
      </c>
      <c r="D2668" t="s">
        <v>195</v>
      </c>
      <c r="E2668" t="s">
        <v>182</v>
      </c>
      <c r="F2668" s="57" t="s">
        <v>147</v>
      </c>
      <c r="G2668" s="34">
        <f>VLOOKUP(표4[[#This Row],[구분]],ota_rns[#All],표4[[#This Row],[구분1]]+5,FALSE)</f>
        <v>298.5</v>
      </c>
      <c r="H2668" s="58" t="str">
        <f>CONCATENATE(표4[[#This Row],[세그먼트 (OTA , GOTA, IB'[IB'])]],표4[[#This Row],[목표구분 (REV, RNS, ADR)]],표4[[#This Row],[영업장코드(예약 영업장 코드)]])</f>
        <v>GOTAREV77</v>
      </c>
      <c r="I2668" s="34">
        <f>RIGHT(표4[[#This Row],[년월(XXXX-XX 형식)]],2)*1</f>
        <v>9</v>
      </c>
    </row>
    <row r="2669" spans="1:9" x14ac:dyDescent="0.3">
      <c r="A2669">
        <v>9</v>
      </c>
      <c r="B2669" t="s">
        <v>190</v>
      </c>
      <c r="C2669" t="s">
        <v>193</v>
      </c>
      <c r="D2669" t="s">
        <v>195</v>
      </c>
      <c r="E2669" t="s">
        <v>183</v>
      </c>
      <c r="F2669" s="57" t="s">
        <v>157</v>
      </c>
      <c r="G2669" s="34">
        <f>VLOOKUP(표4[[#This Row],[구분]],ota_rns[#All],표4[[#This Row],[구분1]]+5,FALSE)</f>
        <v>174.13</v>
      </c>
      <c r="H2669" s="58" t="str">
        <f>CONCATENATE(표4[[#This Row],[세그먼트 (OTA , GOTA, IB'[IB'])]],표4[[#This Row],[목표구분 (REV, RNS, ADR)]],표4[[#This Row],[영업장코드(예약 영업장 코드)]])</f>
        <v>GOTAREV87</v>
      </c>
      <c r="I2669" s="34">
        <f>RIGHT(표4[[#This Row],[년월(XXXX-XX 형식)]],2)*1</f>
        <v>9</v>
      </c>
    </row>
    <row r="2670" spans="1:9" x14ac:dyDescent="0.3">
      <c r="A2670">
        <v>9</v>
      </c>
      <c r="B2670" t="s">
        <v>190</v>
      </c>
      <c r="C2670" t="s">
        <v>193</v>
      </c>
      <c r="D2670" t="s">
        <v>195</v>
      </c>
      <c r="E2670" t="s">
        <v>96</v>
      </c>
      <c r="F2670" s="57" t="s">
        <v>96</v>
      </c>
      <c r="G2670" s="34">
        <f>VLOOKUP(표4[[#This Row],[구분]],ota_rns[#All],표4[[#This Row],[구분1]]+5,FALSE)</f>
        <v>274.35000000000002</v>
      </c>
      <c r="H2670" s="58" t="str">
        <f>CONCATENATE(표4[[#This Row],[세그먼트 (OTA , GOTA, IB'[IB'])]],표4[[#This Row],[목표구분 (REV, RNS, ADR)]],표4[[#This Row],[영업장코드(예약 영업장 코드)]])</f>
        <v>GOTAREV15</v>
      </c>
      <c r="I2670" s="34">
        <f>RIGHT(표4[[#This Row],[년월(XXXX-XX 형식)]],2)*1</f>
        <v>9</v>
      </c>
    </row>
    <row r="2671" spans="1:9" x14ac:dyDescent="0.3">
      <c r="A2671">
        <v>9</v>
      </c>
      <c r="B2671" t="s">
        <v>190</v>
      </c>
      <c r="C2671" t="s">
        <v>193</v>
      </c>
      <c r="D2671" t="s">
        <v>195</v>
      </c>
      <c r="E2671" t="s">
        <v>105</v>
      </c>
      <c r="F2671" s="57" t="s">
        <v>119</v>
      </c>
      <c r="G2671" s="34">
        <f>VLOOKUP(표4[[#This Row],[구분]],ota_rns[#All],표4[[#This Row],[구분1]]+5,FALSE)</f>
        <v>515.20000000000005</v>
      </c>
      <c r="H2671" s="58" t="str">
        <f>CONCATENATE(표4[[#This Row],[세그먼트 (OTA , GOTA, IB'[IB'])]],표4[[#This Row],[목표구분 (REV, RNS, ADR)]],표4[[#This Row],[영업장코드(예약 영업장 코드)]])</f>
        <v>GOTAREV29</v>
      </c>
      <c r="I2671" s="34">
        <f>RIGHT(표4[[#This Row],[년월(XXXX-XX 형식)]],2)*1</f>
        <v>9</v>
      </c>
    </row>
    <row r="2672" spans="1:9" x14ac:dyDescent="0.3">
      <c r="A2672">
        <v>9</v>
      </c>
      <c r="B2672" t="s">
        <v>190</v>
      </c>
      <c r="C2672" t="s">
        <v>193</v>
      </c>
      <c r="D2672" t="s">
        <v>195</v>
      </c>
      <c r="E2672" t="s">
        <v>184</v>
      </c>
      <c r="F2672" s="57" t="s">
        <v>152</v>
      </c>
      <c r="G2672" s="34">
        <f>VLOOKUP(표4[[#This Row],[구분]],ota_rns[#All],표4[[#This Row],[구분1]]+5,FALSE)</f>
        <v>349.82</v>
      </c>
      <c r="H2672" s="58" t="str">
        <f>CONCATENATE(표4[[#This Row],[세그먼트 (OTA , GOTA, IB'[IB'])]],표4[[#This Row],[목표구분 (REV, RNS, ADR)]],표4[[#This Row],[영업장코드(예약 영업장 코드)]])</f>
        <v>GOTAREV85</v>
      </c>
      <c r="I2672" s="34">
        <f>RIGHT(표4[[#This Row],[년월(XXXX-XX 형식)]],2)*1</f>
        <v>9</v>
      </c>
    </row>
    <row r="2673" spans="1:9" x14ac:dyDescent="0.3">
      <c r="A2673">
        <v>9</v>
      </c>
      <c r="B2673" t="s">
        <v>190</v>
      </c>
      <c r="C2673" t="s">
        <v>193</v>
      </c>
      <c r="D2673" t="s">
        <v>195</v>
      </c>
      <c r="E2673" t="s">
        <v>185</v>
      </c>
      <c r="F2673" s="57" t="s">
        <v>128</v>
      </c>
      <c r="G2673" s="34">
        <f>VLOOKUP(표4[[#This Row],[구분]],ota_rns[#All],표4[[#This Row],[구분1]]+5,FALSE)</f>
        <v>102.3</v>
      </c>
      <c r="H2673" s="58" t="str">
        <f>CONCATENATE(표4[[#This Row],[세그먼트 (OTA , GOTA, IB'[IB'])]],표4[[#This Row],[목표구분 (REV, RNS, ADR)]],표4[[#This Row],[영업장코드(예약 영업장 코드)]])</f>
        <v>GOTAREV58</v>
      </c>
      <c r="I2673" s="34">
        <f>RIGHT(표4[[#This Row],[년월(XXXX-XX 형식)]],2)*1</f>
        <v>9</v>
      </c>
    </row>
    <row r="2674" spans="1:9" x14ac:dyDescent="0.3">
      <c r="A2674">
        <v>9</v>
      </c>
      <c r="B2674" t="s">
        <v>190</v>
      </c>
      <c r="C2674" t="s">
        <v>193</v>
      </c>
      <c r="D2674" t="s">
        <v>195</v>
      </c>
      <c r="E2674" t="s">
        <v>178</v>
      </c>
      <c r="F2674" s="57" t="s">
        <v>178</v>
      </c>
      <c r="G2674" s="34">
        <f>VLOOKUP(표4[[#This Row],[구분]],ota_rns[#All],표4[[#This Row],[구분1]]+5,FALSE)</f>
        <v>96.56</v>
      </c>
      <c r="H2674" s="58" t="str">
        <f>CONCATENATE(표4[[#This Row],[세그먼트 (OTA , GOTA, IB'[IB'])]],표4[[#This Row],[목표구분 (REV, RNS, ADR)]],표4[[#This Row],[영업장코드(예약 영업장 코드)]])</f>
        <v>GOTAREV94</v>
      </c>
      <c r="I2674" s="34">
        <f>RIGHT(표4[[#This Row],[년월(XXXX-XX 형식)]],2)*1</f>
        <v>9</v>
      </c>
    </row>
    <row r="2675" spans="1:9" x14ac:dyDescent="0.3">
      <c r="A2675">
        <v>10</v>
      </c>
      <c r="B2675" t="s">
        <v>190</v>
      </c>
      <c r="C2675" t="s">
        <v>191</v>
      </c>
      <c r="D2675" t="s">
        <v>195</v>
      </c>
      <c r="E2675" t="s">
        <v>78</v>
      </c>
      <c r="F2675" s="57" t="s">
        <v>78</v>
      </c>
      <c r="G2675" s="34">
        <f>VLOOKUP(표4[[#This Row],[구분]],ota_rns[#All],표4[[#This Row],[구분1]]+5,FALSE)</f>
        <v>1800</v>
      </c>
      <c r="H2675" s="58" t="str">
        <f>CONCATENATE(표4[[#This Row],[세그먼트 (OTA , GOTA, IB'[IB'])]],표4[[#This Row],[목표구분 (REV, RNS, ADR)]],표4[[#This Row],[영업장코드(예약 영업장 코드)]])</f>
        <v>GOTARNS02</v>
      </c>
      <c r="I2675" s="34">
        <f>RIGHT(표4[[#This Row],[년월(XXXX-XX 형식)]],2)*1</f>
        <v>10</v>
      </c>
    </row>
    <row r="2676" spans="1:9" x14ac:dyDescent="0.3">
      <c r="A2676">
        <v>10</v>
      </c>
      <c r="B2676" t="s">
        <v>190</v>
      </c>
      <c r="C2676" t="s">
        <v>191</v>
      </c>
      <c r="D2676" t="s">
        <v>195</v>
      </c>
      <c r="E2676" t="s">
        <v>78</v>
      </c>
      <c r="F2676" s="57" t="s">
        <v>86</v>
      </c>
      <c r="G2676" s="34">
        <f>VLOOKUP(표4[[#This Row],[구분]],ota_rns[#All],표4[[#This Row],[구분1]]+5,FALSE)</f>
        <v>640</v>
      </c>
      <c r="H2676" s="58" t="str">
        <f>CONCATENATE(표4[[#This Row],[세그먼트 (OTA , GOTA, IB'[IB'])]],표4[[#This Row],[목표구분 (REV, RNS, ADR)]],표4[[#This Row],[영업장코드(예약 영업장 코드)]])</f>
        <v>GOTARNS07</v>
      </c>
      <c r="I2676" s="34">
        <f>RIGHT(표4[[#This Row],[년월(XXXX-XX 형식)]],2)*1</f>
        <v>10</v>
      </c>
    </row>
    <row r="2677" spans="1:9" x14ac:dyDescent="0.3">
      <c r="A2677">
        <v>10</v>
      </c>
      <c r="B2677" t="s">
        <v>190</v>
      </c>
      <c r="C2677" t="s">
        <v>191</v>
      </c>
      <c r="D2677" t="s">
        <v>195</v>
      </c>
      <c r="E2677" t="s">
        <v>78</v>
      </c>
      <c r="F2677" s="57" t="s">
        <v>105</v>
      </c>
      <c r="G2677" s="34">
        <f>VLOOKUP(표4[[#This Row],[구분]],ota_rns[#All],표4[[#This Row],[구분1]]+5,FALSE)</f>
        <v>900</v>
      </c>
      <c r="H2677" s="58" t="str">
        <f>CONCATENATE(표4[[#This Row],[세그먼트 (OTA , GOTA, IB'[IB'])]],표4[[#This Row],[목표구분 (REV, RNS, ADR)]],표4[[#This Row],[영업장코드(예약 영업장 코드)]])</f>
        <v>GOTARNS19</v>
      </c>
      <c r="I2677" s="34">
        <f>RIGHT(표4[[#This Row],[년월(XXXX-XX 형식)]],2)*1</f>
        <v>10</v>
      </c>
    </row>
    <row r="2678" spans="1:9" x14ac:dyDescent="0.3">
      <c r="A2678">
        <v>10</v>
      </c>
      <c r="B2678" t="s">
        <v>190</v>
      </c>
      <c r="C2678" t="s">
        <v>191</v>
      </c>
      <c r="D2678" t="s">
        <v>195</v>
      </c>
      <c r="E2678" t="s">
        <v>78</v>
      </c>
      <c r="F2678" s="57" t="s">
        <v>124</v>
      </c>
      <c r="G2678" s="34">
        <f>VLOOKUP(표4[[#This Row],[구분]],ota_rns[#All],표4[[#This Row],[구분1]]+5,FALSE)</f>
        <v>400</v>
      </c>
      <c r="H2678" s="58" t="str">
        <f>CONCATENATE(표4[[#This Row],[세그먼트 (OTA , GOTA, IB'[IB'])]],표4[[#This Row],[목표구분 (REV, RNS, ADR)]],표4[[#This Row],[영업장코드(예약 영업장 코드)]])</f>
        <v>GOTARNS50</v>
      </c>
      <c r="I2678" s="34">
        <f>RIGHT(표4[[#This Row],[년월(XXXX-XX 형식)]],2)*1</f>
        <v>10</v>
      </c>
    </row>
    <row r="2679" spans="1:9" x14ac:dyDescent="0.3">
      <c r="A2679">
        <v>10</v>
      </c>
      <c r="B2679" t="s">
        <v>190</v>
      </c>
      <c r="C2679" t="s">
        <v>191</v>
      </c>
      <c r="D2679" t="s">
        <v>195</v>
      </c>
      <c r="E2679" t="s">
        <v>78</v>
      </c>
      <c r="F2679" s="57" t="s">
        <v>88</v>
      </c>
      <c r="G2679" s="34">
        <f>VLOOKUP(표4[[#This Row],[구분]],ota_rns[#All],표4[[#This Row],[구분1]]+5,FALSE)</f>
        <v>550</v>
      </c>
      <c r="H2679" s="58" t="str">
        <f>CONCATENATE(표4[[#This Row],[세그먼트 (OTA , GOTA, IB'[IB'])]],표4[[#This Row],[목표구분 (REV, RNS, ADR)]],표4[[#This Row],[영업장코드(예약 영업장 코드)]])</f>
        <v>GOTARNS08</v>
      </c>
      <c r="I2679" s="34">
        <f>RIGHT(표4[[#This Row],[년월(XXXX-XX 형식)]],2)*1</f>
        <v>10</v>
      </c>
    </row>
    <row r="2680" spans="1:9" x14ac:dyDescent="0.3">
      <c r="A2680">
        <v>10</v>
      </c>
      <c r="B2680" t="s">
        <v>190</v>
      </c>
      <c r="C2680" t="s">
        <v>191</v>
      </c>
      <c r="D2680" t="s">
        <v>195</v>
      </c>
      <c r="E2680" t="s">
        <v>81</v>
      </c>
      <c r="F2680" s="57" t="s">
        <v>81</v>
      </c>
      <c r="G2680" s="34">
        <f>VLOOKUP(표4[[#This Row],[구분]],ota_rns[#All],표4[[#This Row],[구분1]]+5,FALSE)</f>
        <v>355</v>
      </c>
      <c r="H2680" s="58" t="str">
        <f>CONCATENATE(표4[[#This Row],[세그먼트 (OTA , GOTA, IB'[IB'])]],표4[[#This Row],[목표구분 (REV, RNS, ADR)]],표4[[#This Row],[영업장코드(예약 영업장 코드)]])</f>
        <v>GOTARNS03</v>
      </c>
      <c r="I2680" s="34">
        <f>RIGHT(표4[[#This Row],[년월(XXXX-XX 형식)]],2)*1</f>
        <v>10</v>
      </c>
    </row>
    <row r="2681" spans="1:9" x14ac:dyDescent="0.3">
      <c r="A2681">
        <v>10</v>
      </c>
      <c r="B2681" t="s">
        <v>190</v>
      </c>
      <c r="C2681" t="s">
        <v>191</v>
      </c>
      <c r="D2681" t="s">
        <v>195</v>
      </c>
      <c r="E2681" t="s">
        <v>75</v>
      </c>
      <c r="F2681" s="57" t="s">
        <v>75</v>
      </c>
      <c r="G2681" s="34">
        <f>VLOOKUP(표4[[#This Row],[구분]],ota_rns[#All],표4[[#This Row],[구분1]]+5,FALSE)</f>
        <v>1000</v>
      </c>
      <c r="H2681" s="58" t="str">
        <f>CONCATENATE(표4[[#This Row],[세그먼트 (OTA , GOTA, IB'[IB'])]],표4[[#This Row],[목표구분 (REV, RNS, ADR)]],표4[[#This Row],[영업장코드(예약 영업장 코드)]])</f>
        <v>GOTARNS01</v>
      </c>
      <c r="I2681" s="34">
        <f>RIGHT(표4[[#This Row],[년월(XXXX-XX 형식)]],2)*1</f>
        <v>10</v>
      </c>
    </row>
    <row r="2682" spans="1:9" x14ac:dyDescent="0.3">
      <c r="A2682">
        <v>10</v>
      </c>
      <c r="B2682" t="s">
        <v>190</v>
      </c>
      <c r="C2682" t="s">
        <v>191</v>
      </c>
      <c r="D2682" t="s">
        <v>195</v>
      </c>
      <c r="E2682" t="s">
        <v>75</v>
      </c>
      <c r="F2682" s="57" t="s">
        <v>141</v>
      </c>
      <c r="G2682" s="34">
        <f>VLOOKUP(표4[[#This Row],[구분]],ota_rns[#All],표4[[#This Row],[구분1]]+5,FALSE)</f>
        <v>2580</v>
      </c>
      <c r="H2682" s="58" t="str">
        <f>CONCATENATE(표4[[#This Row],[세그먼트 (OTA , GOTA, IB'[IB'])]],표4[[#This Row],[목표구분 (REV, RNS, ADR)]],표4[[#This Row],[영업장코드(예약 영업장 코드)]])</f>
        <v>GOTARNS70</v>
      </c>
      <c r="I2682" s="34">
        <f>RIGHT(표4[[#This Row],[년월(XXXX-XX 형식)]],2)*1</f>
        <v>10</v>
      </c>
    </row>
    <row r="2683" spans="1:9" x14ac:dyDescent="0.3">
      <c r="A2683">
        <v>10</v>
      </c>
      <c r="B2683" t="s">
        <v>190</v>
      </c>
      <c r="C2683" t="s">
        <v>191</v>
      </c>
      <c r="D2683" t="s">
        <v>195</v>
      </c>
      <c r="E2683" t="s">
        <v>75</v>
      </c>
      <c r="F2683" s="57" t="s">
        <v>113</v>
      </c>
      <c r="G2683" s="34">
        <f>VLOOKUP(표4[[#This Row],[구분]],ota_rns[#All],표4[[#This Row],[구분1]]+5,FALSE)</f>
        <v>500</v>
      </c>
      <c r="H2683" s="58" t="str">
        <f>CONCATENATE(표4[[#This Row],[세그먼트 (OTA , GOTA, IB'[IB'])]],표4[[#This Row],[목표구분 (REV, RNS, ADR)]],표4[[#This Row],[영업장코드(예약 영업장 코드)]])</f>
        <v>GOTARNS25</v>
      </c>
      <c r="I2683" s="34">
        <f>RIGHT(표4[[#This Row],[년월(XXXX-XX 형식)]],2)*1</f>
        <v>10</v>
      </c>
    </row>
    <row r="2684" spans="1:9" x14ac:dyDescent="0.3">
      <c r="A2684">
        <v>10</v>
      </c>
      <c r="B2684" t="s">
        <v>190</v>
      </c>
      <c r="C2684" t="s">
        <v>191</v>
      </c>
      <c r="D2684" t="s">
        <v>195</v>
      </c>
      <c r="E2684" t="s">
        <v>75</v>
      </c>
      <c r="F2684" s="57" t="s">
        <v>117</v>
      </c>
      <c r="G2684" s="34">
        <f>VLOOKUP(표4[[#This Row],[구분]],ota_rns[#All],표4[[#This Row],[구분1]]+5,FALSE)</f>
        <v>1000</v>
      </c>
      <c r="H2684" s="58" t="str">
        <f>CONCATENATE(표4[[#This Row],[세그먼트 (OTA , GOTA, IB'[IB'])]],표4[[#This Row],[목표구분 (REV, RNS, ADR)]],표4[[#This Row],[영업장코드(예약 영업장 코드)]])</f>
        <v>GOTARNS27</v>
      </c>
      <c r="I2684" s="34">
        <f>RIGHT(표4[[#This Row],[년월(XXXX-XX 형식)]],2)*1</f>
        <v>10</v>
      </c>
    </row>
    <row r="2685" spans="1:9" x14ac:dyDescent="0.3">
      <c r="A2685">
        <v>10</v>
      </c>
      <c r="B2685" t="s">
        <v>190</v>
      </c>
      <c r="C2685" t="s">
        <v>191</v>
      </c>
      <c r="D2685" t="s">
        <v>195</v>
      </c>
      <c r="E2685" t="s">
        <v>75</v>
      </c>
      <c r="F2685" s="57" t="s">
        <v>122</v>
      </c>
      <c r="G2685" s="34">
        <f>VLOOKUP(표4[[#This Row],[구분]],ota_rns[#All],표4[[#This Row],[구분1]]+5,FALSE)</f>
        <v>80</v>
      </c>
      <c r="H2685" s="58" t="str">
        <f>CONCATENATE(표4[[#This Row],[세그먼트 (OTA , GOTA, IB'[IB'])]],표4[[#This Row],[목표구분 (REV, RNS, ADR)]],표4[[#This Row],[영업장코드(예약 영업장 코드)]])</f>
        <v>GOTARNS46</v>
      </c>
      <c r="I2685" s="34">
        <f>RIGHT(표4[[#This Row],[년월(XXXX-XX 형식)]],2)*1</f>
        <v>10</v>
      </c>
    </row>
    <row r="2686" spans="1:9" x14ac:dyDescent="0.3">
      <c r="A2686">
        <v>10</v>
      </c>
      <c r="B2686" t="s">
        <v>190</v>
      </c>
      <c r="C2686" t="s">
        <v>191</v>
      </c>
      <c r="D2686" t="s">
        <v>195</v>
      </c>
      <c r="E2686" t="s">
        <v>92</v>
      </c>
      <c r="F2686" s="57" t="s">
        <v>92</v>
      </c>
      <c r="G2686" s="34">
        <f>VLOOKUP(표4[[#This Row],[구분]],ota_rns[#All],표4[[#This Row],[구분1]]+5,FALSE)</f>
        <v>1050</v>
      </c>
      <c r="H2686" s="58" t="str">
        <f>CONCATENATE(표4[[#This Row],[세그먼트 (OTA , GOTA, IB'[IB'])]],표4[[#This Row],[목표구분 (REV, RNS, ADR)]],표4[[#This Row],[영업장코드(예약 영업장 코드)]])</f>
        <v>GOTARNS10</v>
      </c>
      <c r="I2686" s="34">
        <f>RIGHT(표4[[#This Row],[년월(XXXX-XX 형식)]],2)*1</f>
        <v>10</v>
      </c>
    </row>
    <row r="2687" spans="1:9" x14ac:dyDescent="0.3">
      <c r="A2687">
        <v>10</v>
      </c>
      <c r="B2687" t="s">
        <v>190</v>
      </c>
      <c r="C2687" t="s">
        <v>191</v>
      </c>
      <c r="D2687" t="s">
        <v>195</v>
      </c>
      <c r="E2687" t="s">
        <v>110</v>
      </c>
      <c r="F2687" s="57" t="s">
        <v>131</v>
      </c>
      <c r="G2687" s="34">
        <f>VLOOKUP(표4[[#This Row],[구분]],ota_rns[#All],표4[[#This Row],[구분1]]+5,FALSE)</f>
        <v>1600</v>
      </c>
      <c r="H2687" s="58" t="str">
        <f>CONCATENATE(표4[[#This Row],[세그먼트 (OTA , GOTA, IB'[IB'])]],표4[[#This Row],[목표구분 (REV, RNS, ADR)]],표4[[#This Row],[영업장코드(예약 영업장 코드)]])</f>
        <v>GOTARNS61</v>
      </c>
      <c r="I2687" s="34">
        <f>RIGHT(표4[[#This Row],[년월(XXXX-XX 형식)]],2)*1</f>
        <v>10</v>
      </c>
    </row>
    <row r="2688" spans="1:9" x14ac:dyDescent="0.3">
      <c r="A2688">
        <v>10</v>
      </c>
      <c r="B2688" t="s">
        <v>190</v>
      </c>
      <c r="C2688" t="s">
        <v>191</v>
      </c>
      <c r="D2688" t="s">
        <v>195</v>
      </c>
      <c r="E2688" t="s">
        <v>180</v>
      </c>
      <c r="F2688" s="57" t="s">
        <v>180</v>
      </c>
      <c r="G2688" s="34">
        <f>VLOOKUP(표4[[#This Row],[구분]],ota_rns[#All],표4[[#This Row],[구분1]]+5,FALSE)</f>
        <v>940</v>
      </c>
      <c r="H2688" s="58" t="str">
        <f>CONCATENATE(표4[[#This Row],[세그먼트 (OTA , GOTA, IB'[IB'])]],표4[[#This Row],[목표구분 (REV, RNS, ADR)]],표4[[#This Row],[영업장코드(예약 영업장 코드)]])</f>
        <v>GOTARNS05</v>
      </c>
      <c r="I2688" s="34">
        <f>RIGHT(표4[[#This Row],[년월(XXXX-XX 형식)]],2)*1</f>
        <v>10</v>
      </c>
    </row>
    <row r="2689" spans="1:9" x14ac:dyDescent="0.3">
      <c r="A2689">
        <v>10</v>
      </c>
      <c r="B2689" t="s">
        <v>190</v>
      </c>
      <c r="C2689" t="s">
        <v>191</v>
      </c>
      <c r="D2689" t="s">
        <v>195</v>
      </c>
      <c r="E2689" t="s">
        <v>181</v>
      </c>
      <c r="F2689" s="57" t="s">
        <v>137</v>
      </c>
      <c r="G2689" s="34">
        <f>VLOOKUP(표4[[#This Row],[구분]],ota_rns[#All],표4[[#This Row],[구분1]]+5,FALSE)</f>
        <v>900</v>
      </c>
      <c r="H2689" s="58" t="str">
        <f>CONCATENATE(표4[[#This Row],[세그먼트 (OTA , GOTA, IB'[IB'])]],표4[[#This Row],[목표구분 (REV, RNS, ADR)]],표4[[#This Row],[영업장코드(예약 영업장 코드)]])</f>
        <v>GOTARNS66</v>
      </c>
      <c r="I2689" s="34">
        <f>RIGHT(표4[[#This Row],[년월(XXXX-XX 형식)]],2)*1</f>
        <v>10</v>
      </c>
    </row>
    <row r="2690" spans="1:9" x14ac:dyDescent="0.3">
      <c r="A2690">
        <v>10</v>
      </c>
      <c r="B2690" t="s">
        <v>190</v>
      </c>
      <c r="C2690" t="s">
        <v>191</v>
      </c>
      <c r="D2690" t="s">
        <v>195</v>
      </c>
      <c r="E2690" t="s">
        <v>84</v>
      </c>
      <c r="F2690" s="57" t="s">
        <v>84</v>
      </c>
      <c r="G2690" s="34">
        <f>VLOOKUP(표4[[#This Row],[구분]],ota_rns[#All],표4[[#This Row],[구분1]]+5,FALSE)</f>
        <v>2200</v>
      </c>
      <c r="H2690" s="58" t="str">
        <f>CONCATENATE(표4[[#This Row],[세그먼트 (OTA , GOTA, IB'[IB'])]],표4[[#This Row],[목표구분 (REV, RNS, ADR)]],표4[[#This Row],[영업장코드(예약 영업장 코드)]])</f>
        <v>GOTARNS06</v>
      </c>
      <c r="I2690" s="34">
        <f>RIGHT(표4[[#This Row],[년월(XXXX-XX 형식)]],2)*1</f>
        <v>10</v>
      </c>
    </row>
    <row r="2691" spans="1:9" x14ac:dyDescent="0.3">
      <c r="A2691">
        <v>10</v>
      </c>
      <c r="B2691" t="s">
        <v>190</v>
      </c>
      <c r="C2691" t="s">
        <v>191</v>
      </c>
      <c r="D2691" t="s">
        <v>195</v>
      </c>
      <c r="E2691" t="s">
        <v>143</v>
      </c>
      <c r="F2691" s="57" t="s">
        <v>143</v>
      </c>
      <c r="G2691" s="34">
        <f>VLOOKUP(표4[[#This Row],[구분]],ota_rns[#All],표4[[#This Row],[구분1]]+5,FALSE)</f>
        <v>1100</v>
      </c>
      <c r="H2691" s="58" t="str">
        <f>CONCATENATE(표4[[#This Row],[세그먼트 (OTA , GOTA, IB'[IB'])]],표4[[#This Row],[목표구분 (REV, RNS, ADR)]],표4[[#This Row],[영업장코드(예약 영업장 코드)]])</f>
        <v>GOTARNS73</v>
      </c>
      <c r="I2691" s="34">
        <f>RIGHT(표4[[#This Row],[년월(XXXX-XX 형식)]],2)*1</f>
        <v>10</v>
      </c>
    </row>
    <row r="2692" spans="1:9" x14ac:dyDescent="0.3">
      <c r="A2692">
        <v>10</v>
      </c>
      <c r="B2692" t="s">
        <v>190</v>
      </c>
      <c r="C2692" t="s">
        <v>191</v>
      </c>
      <c r="D2692" t="s">
        <v>195</v>
      </c>
      <c r="E2692" t="s">
        <v>99</v>
      </c>
      <c r="F2692" s="57" t="s">
        <v>99</v>
      </c>
      <c r="G2692" s="34">
        <f>VLOOKUP(표4[[#This Row],[구분]],ota_rns[#All],표4[[#This Row],[구분1]]+5,FALSE)</f>
        <v>950</v>
      </c>
      <c r="H2692" s="58" t="str">
        <f>CONCATENATE(표4[[#This Row],[세그먼트 (OTA , GOTA, IB'[IB'])]],표4[[#This Row],[목표구분 (REV, RNS, ADR)]],표4[[#This Row],[영업장코드(예약 영업장 코드)]])</f>
        <v>GOTARNS16</v>
      </c>
      <c r="I2692" s="34">
        <f>RIGHT(표4[[#This Row],[년월(XXXX-XX 형식)]],2)*1</f>
        <v>10</v>
      </c>
    </row>
    <row r="2693" spans="1:9" x14ac:dyDescent="0.3">
      <c r="A2693">
        <v>10</v>
      </c>
      <c r="B2693" t="s">
        <v>190</v>
      </c>
      <c r="C2693" t="s">
        <v>191</v>
      </c>
      <c r="D2693" t="s">
        <v>195</v>
      </c>
      <c r="E2693" t="s">
        <v>103</v>
      </c>
      <c r="F2693" s="57" t="s">
        <v>110</v>
      </c>
      <c r="G2693" s="34">
        <f>VLOOKUP(표4[[#This Row],[구분]],ota_rns[#All],표4[[#This Row],[구분1]]+5,FALSE)</f>
        <v>1330</v>
      </c>
      <c r="H2693" s="58" t="str">
        <f>CONCATENATE(표4[[#This Row],[세그먼트 (OTA , GOTA, IB'[IB'])]],표4[[#This Row],[목표구분 (REV, RNS, ADR)]],표4[[#This Row],[영업장코드(예약 영업장 코드)]])</f>
        <v>GOTARNS24</v>
      </c>
      <c r="I2693" s="34">
        <f>RIGHT(표4[[#This Row],[년월(XXXX-XX 형식)]],2)*1</f>
        <v>10</v>
      </c>
    </row>
    <row r="2694" spans="1:9" x14ac:dyDescent="0.3">
      <c r="A2694">
        <v>10</v>
      </c>
      <c r="B2694" t="s">
        <v>190</v>
      </c>
      <c r="C2694" t="s">
        <v>191</v>
      </c>
      <c r="D2694" t="s">
        <v>195</v>
      </c>
      <c r="E2694" t="s">
        <v>101</v>
      </c>
      <c r="F2694" s="57" t="s">
        <v>107</v>
      </c>
      <c r="G2694" s="34">
        <f>VLOOKUP(표4[[#This Row],[구분]],ota_rns[#All],표4[[#This Row],[구분1]]+5,FALSE)</f>
        <v>900</v>
      </c>
      <c r="H2694" s="58" t="str">
        <f>CONCATENATE(표4[[#This Row],[세그먼트 (OTA , GOTA, IB'[IB'])]],표4[[#This Row],[목표구분 (REV, RNS, ADR)]],표4[[#This Row],[영업장코드(예약 영업장 코드)]])</f>
        <v>GOTARNS22</v>
      </c>
      <c r="I2694" s="34">
        <f>RIGHT(표4[[#This Row],[년월(XXXX-XX 형식)]],2)*1</f>
        <v>10</v>
      </c>
    </row>
    <row r="2695" spans="1:9" x14ac:dyDescent="0.3">
      <c r="A2695">
        <v>10</v>
      </c>
      <c r="B2695" t="s">
        <v>190</v>
      </c>
      <c r="C2695" t="s">
        <v>191</v>
      </c>
      <c r="D2695" t="s">
        <v>195</v>
      </c>
      <c r="E2695" t="s">
        <v>182</v>
      </c>
      <c r="F2695" s="57" t="s">
        <v>147</v>
      </c>
      <c r="G2695" s="34">
        <f>VLOOKUP(표4[[#This Row],[구분]],ota_rns[#All],표4[[#This Row],[구분1]]+5,FALSE)</f>
        <v>1500</v>
      </c>
      <c r="H2695" s="58" t="str">
        <f>CONCATENATE(표4[[#This Row],[세그먼트 (OTA , GOTA, IB'[IB'])]],표4[[#This Row],[목표구분 (REV, RNS, ADR)]],표4[[#This Row],[영업장코드(예약 영업장 코드)]])</f>
        <v>GOTARNS77</v>
      </c>
      <c r="I2695" s="34">
        <f>RIGHT(표4[[#This Row],[년월(XXXX-XX 형식)]],2)*1</f>
        <v>10</v>
      </c>
    </row>
    <row r="2696" spans="1:9" x14ac:dyDescent="0.3">
      <c r="A2696">
        <v>10</v>
      </c>
      <c r="B2696" t="s">
        <v>190</v>
      </c>
      <c r="C2696" t="s">
        <v>191</v>
      </c>
      <c r="D2696" t="s">
        <v>195</v>
      </c>
      <c r="E2696" t="s">
        <v>183</v>
      </c>
      <c r="F2696" s="57" t="s">
        <v>157</v>
      </c>
      <c r="G2696" s="34">
        <f>VLOOKUP(표4[[#This Row],[구분]],ota_rns[#All],표4[[#This Row],[구분1]]+5,FALSE)</f>
        <v>870</v>
      </c>
      <c r="H2696" s="58" t="str">
        <f>CONCATENATE(표4[[#This Row],[세그먼트 (OTA , GOTA, IB'[IB'])]],표4[[#This Row],[목표구분 (REV, RNS, ADR)]],표4[[#This Row],[영업장코드(예약 영업장 코드)]])</f>
        <v>GOTARNS87</v>
      </c>
      <c r="I2696" s="34">
        <f>RIGHT(표4[[#This Row],[년월(XXXX-XX 형식)]],2)*1</f>
        <v>10</v>
      </c>
    </row>
    <row r="2697" spans="1:9" x14ac:dyDescent="0.3">
      <c r="A2697">
        <v>10</v>
      </c>
      <c r="B2697" t="s">
        <v>190</v>
      </c>
      <c r="C2697" t="s">
        <v>191</v>
      </c>
      <c r="D2697" t="s">
        <v>195</v>
      </c>
      <c r="E2697" t="s">
        <v>96</v>
      </c>
      <c r="F2697" s="57" t="s">
        <v>96</v>
      </c>
      <c r="G2697" s="34">
        <f>VLOOKUP(표4[[#This Row],[구분]],ota_rns[#All],표4[[#This Row],[구분1]]+5,FALSE)</f>
        <v>1500</v>
      </c>
      <c r="H2697" s="58" t="str">
        <f>CONCATENATE(표4[[#This Row],[세그먼트 (OTA , GOTA, IB'[IB'])]],표4[[#This Row],[목표구분 (REV, RNS, ADR)]],표4[[#This Row],[영업장코드(예약 영업장 코드)]])</f>
        <v>GOTARNS15</v>
      </c>
      <c r="I2697" s="34">
        <f>RIGHT(표4[[#This Row],[년월(XXXX-XX 형식)]],2)*1</f>
        <v>10</v>
      </c>
    </row>
    <row r="2698" spans="1:9" x14ac:dyDescent="0.3">
      <c r="A2698">
        <v>10</v>
      </c>
      <c r="B2698" t="s">
        <v>190</v>
      </c>
      <c r="C2698" t="s">
        <v>191</v>
      </c>
      <c r="D2698" t="s">
        <v>195</v>
      </c>
      <c r="E2698" t="s">
        <v>105</v>
      </c>
      <c r="F2698" s="57" t="s">
        <v>119</v>
      </c>
      <c r="G2698" s="34">
        <f>VLOOKUP(표4[[#This Row],[구분]],ota_rns[#All],표4[[#This Row],[구분1]]+5,FALSE)</f>
        <v>2600</v>
      </c>
      <c r="H2698" s="58" t="str">
        <f>CONCATENATE(표4[[#This Row],[세그먼트 (OTA , GOTA, IB'[IB'])]],표4[[#This Row],[목표구분 (REV, RNS, ADR)]],표4[[#This Row],[영업장코드(예약 영업장 코드)]])</f>
        <v>GOTARNS29</v>
      </c>
      <c r="I2698" s="34">
        <f>RIGHT(표4[[#This Row],[년월(XXXX-XX 형식)]],2)*1</f>
        <v>10</v>
      </c>
    </row>
    <row r="2699" spans="1:9" x14ac:dyDescent="0.3">
      <c r="A2699">
        <v>10</v>
      </c>
      <c r="B2699" t="s">
        <v>190</v>
      </c>
      <c r="C2699" t="s">
        <v>191</v>
      </c>
      <c r="D2699" t="s">
        <v>195</v>
      </c>
      <c r="E2699" t="s">
        <v>184</v>
      </c>
      <c r="F2699" s="57" t="s">
        <v>152</v>
      </c>
      <c r="G2699" s="34">
        <f>VLOOKUP(표4[[#This Row],[구분]],ota_rns[#All],표4[[#This Row],[구분1]]+5,FALSE)</f>
        <v>900</v>
      </c>
      <c r="H2699" s="58" t="str">
        <f>CONCATENATE(표4[[#This Row],[세그먼트 (OTA , GOTA, IB'[IB'])]],표4[[#This Row],[목표구분 (REV, RNS, ADR)]],표4[[#This Row],[영업장코드(예약 영업장 코드)]])</f>
        <v>GOTARNS85</v>
      </c>
      <c r="I2699" s="34">
        <f>RIGHT(표4[[#This Row],[년월(XXXX-XX 형식)]],2)*1</f>
        <v>10</v>
      </c>
    </row>
    <row r="2700" spans="1:9" x14ac:dyDescent="0.3">
      <c r="A2700">
        <v>10</v>
      </c>
      <c r="B2700" t="s">
        <v>190</v>
      </c>
      <c r="C2700" t="s">
        <v>191</v>
      </c>
      <c r="D2700" t="s">
        <v>195</v>
      </c>
      <c r="E2700" t="s">
        <v>185</v>
      </c>
      <c r="F2700" s="57" t="s">
        <v>128</v>
      </c>
      <c r="G2700" s="34">
        <f>VLOOKUP(표4[[#This Row],[구분]],ota_rns[#All],표4[[#This Row],[구분1]]+5,FALSE)</f>
        <v>1000</v>
      </c>
      <c r="H2700" s="58" t="str">
        <f>CONCATENATE(표4[[#This Row],[세그먼트 (OTA , GOTA, IB'[IB'])]],표4[[#This Row],[목표구분 (REV, RNS, ADR)]],표4[[#This Row],[영업장코드(예약 영업장 코드)]])</f>
        <v>GOTARNS58</v>
      </c>
      <c r="I2700" s="34">
        <f>RIGHT(표4[[#This Row],[년월(XXXX-XX 형식)]],2)*1</f>
        <v>10</v>
      </c>
    </row>
    <row r="2701" spans="1:9" x14ac:dyDescent="0.3">
      <c r="A2701">
        <v>10</v>
      </c>
      <c r="B2701" t="s">
        <v>190</v>
      </c>
      <c r="C2701" t="s">
        <v>191</v>
      </c>
      <c r="D2701" t="s">
        <v>195</v>
      </c>
      <c r="E2701" t="s">
        <v>178</v>
      </c>
      <c r="F2701" s="57" t="s">
        <v>178</v>
      </c>
      <c r="G2701" s="34">
        <f>VLOOKUP(표4[[#This Row],[구분]],ota_rns[#All],표4[[#This Row],[구분1]]+5,FALSE)</f>
        <v>365</v>
      </c>
      <c r="H2701" s="58" t="str">
        <f>CONCATENATE(표4[[#This Row],[세그먼트 (OTA , GOTA, IB'[IB'])]],표4[[#This Row],[목표구분 (REV, RNS, ADR)]],표4[[#This Row],[영업장코드(예약 영업장 코드)]])</f>
        <v>GOTARNS94</v>
      </c>
      <c r="I2701" s="34">
        <f>RIGHT(표4[[#This Row],[년월(XXXX-XX 형식)]],2)*1</f>
        <v>10</v>
      </c>
    </row>
    <row r="2702" spans="1:9" x14ac:dyDescent="0.3">
      <c r="A2702">
        <v>10</v>
      </c>
      <c r="B2702" t="s">
        <v>190</v>
      </c>
      <c r="C2702" t="s">
        <v>192</v>
      </c>
      <c r="D2702" t="s">
        <v>195</v>
      </c>
      <c r="E2702" t="s">
        <v>78</v>
      </c>
      <c r="F2702" s="57" t="s">
        <v>78</v>
      </c>
      <c r="G2702" s="34">
        <f>VLOOKUP(표4[[#This Row],[구분]],ota_rns[#All],표4[[#This Row],[구분1]]+5,FALSE)</f>
        <v>203</v>
      </c>
      <c r="H2702" s="58" t="str">
        <f>CONCATENATE(표4[[#This Row],[세그먼트 (OTA , GOTA, IB'[IB'])]],표4[[#This Row],[목표구분 (REV, RNS, ADR)]],표4[[#This Row],[영업장코드(예약 영업장 코드)]])</f>
        <v>GOTAADR02</v>
      </c>
      <c r="I2702" s="34">
        <f>RIGHT(표4[[#This Row],[년월(XXXX-XX 형식)]],2)*1</f>
        <v>10</v>
      </c>
    </row>
    <row r="2703" spans="1:9" x14ac:dyDescent="0.3">
      <c r="A2703">
        <v>10</v>
      </c>
      <c r="B2703" t="s">
        <v>190</v>
      </c>
      <c r="C2703" t="s">
        <v>192</v>
      </c>
      <c r="D2703" t="s">
        <v>195</v>
      </c>
      <c r="E2703" t="s">
        <v>78</v>
      </c>
      <c r="F2703" s="57" t="s">
        <v>86</v>
      </c>
      <c r="G2703" s="34">
        <f>VLOOKUP(표4[[#This Row],[구분]],ota_rns[#All],표4[[#This Row],[구분1]]+5,FALSE)</f>
        <v>338.125</v>
      </c>
      <c r="H2703" s="58" t="str">
        <f>CONCATENATE(표4[[#This Row],[세그먼트 (OTA , GOTA, IB'[IB'])]],표4[[#This Row],[목표구분 (REV, RNS, ADR)]],표4[[#This Row],[영업장코드(예약 영업장 코드)]])</f>
        <v>GOTAADR07</v>
      </c>
      <c r="I2703" s="34">
        <f>RIGHT(표4[[#This Row],[년월(XXXX-XX 형식)]],2)*1</f>
        <v>10</v>
      </c>
    </row>
    <row r="2704" spans="1:9" x14ac:dyDescent="0.3">
      <c r="A2704">
        <v>10</v>
      </c>
      <c r="B2704" t="s">
        <v>190</v>
      </c>
      <c r="C2704" t="s">
        <v>192</v>
      </c>
      <c r="D2704" t="s">
        <v>195</v>
      </c>
      <c r="E2704" t="s">
        <v>78</v>
      </c>
      <c r="F2704" s="57" t="s">
        <v>105</v>
      </c>
      <c r="G2704" s="34">
        <f>VLOOKUP(표4[[#This Row],[구분]],ota_rns[#All],표4[[#This Row],[구분1]]+5,FALSE)</f>
        <v>361</v>
      </c>
      <c r="H2704" s="58" t="str">
        <f>CONCATENATE(표4[[#This Row],[세그먼트 (OTA , GOTA, IB'[IB'])]],표4[[#This Row],[목표구분 (REV, RNS, ADR)]],표4[[#This Row],[영업장코드(예약 영업장 코드)]])</f>
        <v>GOTAADR19</v>
      </c>
      <c r="I2704" s="34">
        <f>RIGHT(표4[[#This Row],[년월(XXXX-XX 형식)]],2)*1</f>
        <v>10</v>
      </c>
    </row>
    <row r="2705" spans="1:9" x14ac:dyDescent="0.3">
      <c r="A2705">
        <v>10</v>
      </c>
      <c r="B2705" t="s">
        <v>190</v>
      </c>
      <c r="C2705" t="s">
        <v>192</v>
      </c>
      <c r="D2705" t="s">
        <v>195</v>
      </c>
      <c r="E2705" t="s">
        <v>78</v>
      </c>
      <c r="F2705" s="57" t="s">
        <v>124</v>
      </c>
      <c r="G2705" s="34">
        <f>VLOOKUP(표4[[#This Row],[구분]],ota_rns[#All],표4[[#This Row],[구분1]]+5,FALSE)</f>
        <v>345</v>
      </c>
      <c r="H2705" s="58" t="str">
        <f>CONCATENATE(표4[[#This Row],[세그먼트 (OTA , GOTA, IB'[IB'])]],표4[[#This Row],[목표구분 (REV, RNS, ADR)]],표4[[#This Row],[영업장코드(예약 영업장 코드)]])</f>
        <v>GOTAADR50</v>
      </c>
      <c r="I2705" s="34">
        <f>RIGHT(표4[[#This Row],[년월(XXXX-XX 형식)]],2)*1</f>
        <v>10</v>
      </c>
    </row>
    <row r="2706" spans="1:9" x14ac:dyDescent="0.3">
      <c r="A2706">
        <v>10</v>
      </c>
      <c r="B2706" t="s">
        <v>190</v>
      </c>
      <c r="C2706" t="s">
        <v>192</v>
      </c>
      <c r="D2706" t="s">
        <v>195</v>
      </c>
      <c r="E2706" t="s">
        <v>78</v>
      </c>
      <c r="F2706" s="57" t="s">
        <v>88</v>
      </c>
      <c r="G2706" s="34">
        <f>VLOOKUP(표4[[#This Row],[구분]],ota_rns[#All],표4[[#This Row],[구분1]]+5,FALSE)</f>
        <v>345</v>
      </c>
      <c r="H2706" s="58" t="str">
        <f>CONCATENATE(표4[[#This Row],[세그먼트 (OTA , GOTA, IB'[IB'])]],표4[[#This Row],[목표구분 (REV, RNS, ADR)]],표4[[#This Row],[영업장코드(예약 영업장 코드)]])</f>
        <v>GOTAADR08</v>
      </c>
      <c r="I2706" s="34">
        <f>RIGHT(표4[[#This Row],[년월(XXXX-XX 형식)]],2)*1</f>
        <v>10</v>
      </c>
    </row>
    <row r="2707" spans="1:9" x14ac:dyDescent="0.3">
      <c r="A2707">
        <v>10</v>
      </c>
      <c r="B2707" t="s">
        <v>190</v>
      </c>
      <c r="C2707" t="s">
        <v>192</v>
      </c>
      <c r="D2707" t="s">
        <v>195</v>
      </c>
      <c r="E2707" t="s">
        <v>81</v>
      </c>
      <c r="F2707" s="57" t="s">
        <v>81</v>
      </c>
      <c r="G2707" s="34">
        <f>VLOOKUP(표4[[#This Row],[구분]],ota_rns[#All],표4[[#This Row],[구분1]]+5,FALSE)</f>
        <v>162.15</v>
      </c>
      <c r="H2707" s="58" t="str">
        <f>CONCATENATE(표4[[#This Row],[세그먼트 (OTA , GOTA, IB'[IB'])]],표4[[#This Row],[목표구분 (REV, RNS, ADR)]],표4[[#This Row],[영업장코드(예약 영업장 코드)]])</f>
        <v>GOTAADR03</v>
      </c>
      <c r="I2707" s="34">
        <f>RIGHT(표4[[#This Row],[년월(XXXX-XX 형식)]],2)*1</f>
        <v>10</v>
      </c>
    </row>
    <row r="2708" spans="1:9" x14ac:dyDescent="0.3">
      <c r="A2708">
        <v>10</v>
      </c>
      <c r="B2708" t="s">
        <v>190</v>
      </c>
      <c r="C2708" t="s">
        <v>192</v>
      </c>
      <c r="D2708" t="s">
        <v>195</v>
      </c>
      <c r="E2708" t="s">
        <v>75</v>
      </c>
      <c r="F2708" s="57" t="s">
        <v>75</v>
      </c>
      <c r="G2708" s="34">
        <f>VLOOKUP(표4[[#This Row],[구분]],ota_rns[#All],표4[[#This Row],[구분1]]+5,FALSE)</f>
        <v>167</v>
      </c>
      <c r="H2708" s="58" t="str">
        <f>CONCATENATE(표4[[#This Row],[세그먼트 (OTA , GOTA, IB'[IB'])]],표4[[#This Row],[목표구분 (REV, RNS, ADR)]],표4[[#This Row],[영업장코드(예약 영업장 코드)]])</f>
        <v>GOTAADR01</v>
      </c>
      <c r="I2708" s="34">
        <f>RIGHT(표4[[#This Row],[년월(XXXX-XX 형식)]],2)*1</f>
        <v>10</v>
      </c>
    </row>
    <row r="2709" spans="1:9" x14ac:dyDescent="0.3">
      <c r="A2709">
        <v>10</v>
      </c>
      <c r="B2709" t="s">
        <v>190</v>
      </c>
      <c r="C2709" t="s">
        <v>192</v>
      </c>
      <c r="D2709" t="s">
        <v>195</v>
      </c>
      <c r="E2709" t="s">
        <v>75</v>
      </c>
      <c r="F2709" s="57" t="s">
        <v>141</v>
      </c>
      <c r="G2709" s="34">
        <f>VLOOKUP(표4[[#This Row],[구분]],ota_rns[#All],표4[[#This Row],[구분1]]+5,FALSE)</f>
        <v>232.59689922480621</v>
      </c>
      <c r="H2709" s="58" t="str">
        <f>CONCATENATE(표4[[#This Row],[세그먼트 (OTA , GOTA, IB'[IB'])]],표4[[#This Row],[목표구분 (REV, RNS, ADR)]],표4[[#This Row],[영업장코드(예약 영업장 코드)]])</f>
        <v>GOTAADR70</v>
      </c>
      <c r="I2709" s="34">
        <f>RIGHT(표4[[#This Row],[년월(XXXX-XX 형식)]],2)*1</f>
        <v>10</v>
      </c>
    </row>
    <row r="2710" spans="1:9" x14ac:dyDescent="0.3">
      <c r="A2710">
        <v>10</v>
      </c>
      <c r="B2710" t="s">
        <v>190</v>
      </c>
      <c r="C2710" t="s">
        <v>192</v>
      </c>
      <c r="D2710" t="s">
        <v>195</v>
      </c>
      <c r="E2710" t="s">
        <v>75</v>
      </c>
      <c r="F2710" s="57" t="s">
        <v>113</v>
      </c>
      <c r="G2710" s="34">
        <f>VLOOKUP(표4[[#This Row],[구분]],ota_rns[#All],표4[[#This Row],[구분1]]+5,FALSE)</f>
        <v>195</v>
      </c>
      <c r="H2710" s="58" t="str">
        <f>CONCATENATE(표4[[#This Row],[세그먼트 (OTA , GOTA, IB'[IB'])]],표4[[#This Row],[목표구분 (REV, RNS, ADR)]],표4[[#This Row],[영업장코드(예약 영업장 코드)]])</f>
        <v>GOTAADR25</v>
      </c>
      <c r="I2710" s="34">
        <f>RIGHT(표4[[#This Row],[년월(XXXX-XX 형식)]],2)*1</f>
        <v>10</v>
      </c>
    </row>
    <row r="2711" spans="1:9" x14ac:dyDescent="0.3">
      <c r="A2711">
        <v>10</v>
      </c>
      <c r="B2711" t="s">
        <v>190</v>
      </c>
      <c r="C2711" t="s">
        <v>192</v>
      </c>
      <c r="D2711" t="s">
        <v>195</v>
      </c>
      <c r="E2711" t="s">
        <v>75</v>
      </c>
      <c r="F2711" s="57" t="s">
        <v>117</v>
      </c>
      <c r="G2711" s="34">
        <f>VLOOKUP(표4[[#This Row],[구분]],ota_rns[#All],표4[[#This Row],[구분1]]+5,FALSE)</f>
        <v>310</v>
      </c>
      <c r="H2711" s="58" t="str">
        <f>CONCATENATE(표4[[#This Row],[세그먼트 (OTA , GOTA, IB'[IB'])]],표4[[#This Row],[목표구분 (REV, RNS, ADR)]],표4[[#This Row],[영업장코드(예약 영업장 코드)]])</f>
        <v>GOTAADR27</v>
      </c>
      <c r="I2711" s="34">
        <f>RIGHT(표4[[#This Row],[년월(XXXX-XX 형식)]],2)*1</f>
        <v>10</v>
      </c>
    </row>
    <row r="2712" spans="1:9" x14ac:dyDescent="0.3">
      <c r="A2712">
        <v>10</v>
      </c>
      <c r="B2712" t="s">
        <v>190</v>
      </c>
      <c r="C2712" t="s">
        <v>192</v>
      </c>
      <c r="D2712" t="s">
        <v>195</v>
      </c>
      <c r="E2712" t="s">
        <v>75</v>
      </c>
      <c r="F2712" s="57" t="s">
        <v>122</v>
      </c>
      <c r="G2712" s="34">
        <f>VLOOKUP(표4[[#This Row],[구분]],ota_rns[#All],표4[[#This Row],[구분1]]+5,FALSE)</f>
        <v>320</v>
      </c>
      <c r="H2712" s="58" t="str">
        <f>CONCATENATE(표4[[#This Row],[세그먼트 (OTA , GOTA, IB'[IB'])]],표4[[#This Row],[목표구분 (REV, RNS, ADR)]],표4[[#This Row],[영업장코드(예약 영업장 코드)]])</f>
        <v>GOTAADR46</v>
      </c>
      <c r="I2712" s="34">
        <f>RIGHT(표4[[#This Row],[년월(XXXX-XX 형식)]],2)*1</f>
        <v>10</v>
      </c>
    </row>
    <row r="2713" spans="1:9" x14ac:dyDescent="0.3">
      <c r="A2713">
        <v>10</v>
      </c>
      <c r="B2713" t="s">
        <v>190</v>
      </c>
      <c r="C2713" t="s">
        <v>192</v>
      </c>
      <c r="D2713" t="s">
        <v>195</v>
      </c>
      <c r="E2713" t="s">
        <v>92</v>
      </c>
      <c r="F2713" s="57" t="s">
        <v>92</v>
      </c>
      <c r="G2713" s="34">
        <f>VLOOKUP(표4[[#This Row],[구분]],ota_rns[#All],표4[[#This Row],[구분1]]+5,FALSE)</f>
        <v>185</v>
      </c>
      <c r="H2713" s="58" t="str">
        <f>CONCATENATE(표4[[#This Row],[세그먼트 (OTA , GOTA, IB'[IB'])]],표4[[#This Row],[목표구분 (REV, RNS, ADR)]],표4[[#This Row],[영업장코드(예약 영업장 코드)]])</f>
        <v>GOTAADR10</v>
      </c>
      <c r="I2713" s="34">
        <f>RIGHT(표4[[#This Row],[년월(XXXX-XX 형식)]],2)*1</f>
        <v>10</v>
      </c>
    </row>
    <row r="2714" spans="1:9" x14ac:dyDescent="0.3">
      <c r="A2714">
        <v>10</v>
      </c>
      <c r="B2714" t="s">
        <v>190</v>
      </c>
      <c r="C2714" t="s">
        <v>192</v>
      </c>
      <c r="D2714" t="s">
        <v>195</v>
      </c>
      <c r="E2714" t="s">
        <v>110</v>
      </c>
      <c r="F2714" s="57" t="s">
        <v>131</v>
      </c>
      <c r="G2714" s="34">
        <f>VLOOKUP(표4[[#This Row],[구분]],ota_rns[#All],표4[[#This Row],[구분1]]+5,FALSE)</f>
        <v>206.982</v>
      </c>
      <c r="H2714" s="58" t="str">
        <f>CONCATENATE(표4[[#This Row],[세그먼트 (OTA , GOTA, IB'[IB'])]],표4[[#This Row],[목표구분 (REV, RNS, ADR)]],표4[[#This Row],[영업장코드(예약 영업장 코드)]])</f>
        <v>GOTAADR61</v>
      </c>
      <c r="I2714" s="34">
        <f>RIGHT(표4[[#This Row],[년월(XXXX-XX 형식)]],2)*1</f>
        <v>10</v>
      </c>
    </row>
    <row r="2715" spans="1:9" x14ac:dyDescent="0.3">
      <c r="A2715">
        <v>10</v>
      </c>
      <c r="B2715" t="s">
        <v>190</v>
      </c>
      <c r="C2715" t="s">
        <v>192</v>
      </c>
      <c r="D2715" t="s">
        <v>195</v>
      </c>
      <c r="E2715" t="s">
        <v>180</v>
      </c>
      <c r="F2715" s="57" t="s">
        <v>180</v>
      </c>
      <c r="G2715" s="34">
        <f>VLOOKUP(표4[[#This Row],[구분]],ota_rns[#All],표4[[#This Row],[구분1]]+5,FALSE)</f>
        <v>266.41341311407632</v>
      </c>
      <c r="H2715" s="58" t="str">
        <f>CONCATENATE(표4[[#This Row],[세그먼트 (OTA , GOTA, IB'[IB'])]],표4[[#This Row],[목표구분 (REV, RNS, ADR)]],표4[[#This Row],[영업장코드(예약 영업장 코드)]])</f>
        <v>GOTAADR05</v>
      </c>
      <c r="I2715" s="34">
        <f>RIGHT(표4[[#This Row],[년월(XXXX-XX 형식)]],2)*1</f>
        <v>10</v>
      </c>
    </row>
    <row r="2716" spans="1:9" x14ac:dyDescent="0.3">
      <c r="A2716">
        <v>10</v>
      </c>
      <c r="B2716" t="s">
        <v>190</v>
      </c>
      <c r="C2716" t="s">
        <v>192</v>
      </c>
      <c r="D2716" t="s">
        <v>195</v>
      </c>
      <c r="E2716" t="s">
        <v>181</v>
      </c>
      <c r="F2716" s="57" t="s">
        <v>137</v>
      </c>
      <c r="G2716" s="34">
        <f>VLOOKUP(표4[[#This Row],[구분]],ota_rns[#All],표4[[#This Row],[구분1]]+5,FALSE)</f>
        <v>181</v>
      </c>
      <c r="H2716" s="58" t="str">
        <f>CONCATENATE(표4[[#This Row],[세그먼트 (OTA , GOTA, IB'[IB'])]],표4[[#This Row],[목표구분 (REV, RNS, ADR)]],표4[[#This Row],[영업장코드(예약 영업장 코드)]])</f>
        <v>GOTAADR66</v>
      </c>
      <c r="I2716" s="34">
        <f>RIGHT(표4[[#This Row],[년월(XXXX-XX 형식)]],2)*1</f>
        <v>10</v>
      </c>
    </row>
    <row r="2717" spans="1:9" x14ac:dyDescent="0.3">
      <c r="A2717">
        <v>10</v>
      </c>
      <c r="B2717" t="s">
        <v>190</v>
      </c>
      <c r="C2717" t="s">
        <v>192</v>
      </c>
      <c r="D2717" t="s">
        <v>195</v>
      </c>
      <c r="E2717" t="s">
        <v>84</v>
      </c>
      <c r="F2717" s="57" t="s">
        <v>84</v>
      </c>
      <c r="G2717" s="34">
        <f>VLOOKUP(표4[[#This Row],[구분]],ota_rns[#All],표4[[#This Row],[구분1]]+5,FALSE)</f>
        <v>159.9</v>
      </c>
      <c r="H2717" s="58" t="str">
        <f>CONCATENATE(표4[[#This Row],[세그먼트 (OTA , GOTA, IB'[IB'])]],표4[[#This Row],[목표구분 (REV, RNS, ADR)]],표4[[#This Row],[영업장코드(예약 영업장 코드)]])</f>
        <v>GOTAADR06</v>
      </c>
      <c r="I2717" s="34">
        <f>RIGHT(표4[[#This Row],[년월(XXXX-XX 형식)]],2)*1</f>
        <v>10</v>
      </c>
    </row>
    <row r="2718" spans="1:9" x14ac:dyDescent="0.3">
      <c r="A2718">
        <v>10</v>
      </c>
      <c r="B2718" t="s">
        <v>190</v>
      </c>
      <c r="C2718" t="s">
        <v>192</v>
      </c>
      <c r="D2718" t="s">
        <v>195</v>
      </c>
      <c r="E2718" t="s">
        <v>143</v>
      </c>
      <c r="F2718" s="57" t="s">
        <v>143</v>
      </c>
      <c r="G2718" s="34">
        <f>VLOOKUP(표4[[#This Row],[구분]],ota_rns[#All],표4[[#This Row],[구분1]]+5,FALSE)</f>
        <v>173.72727272727272</v>
      </c>
      <c r="H2718" s="58" t="str">
        <f>CONCATENATE(표4[[#This Row],[세그먼트 (OTA , GOTA, IB'[IB'])]],표4[[#This Row],[목표구분 (REV, RNS, ADR)]],표4[[#This Row],[영업장코드(예약 영업장 코드)]])</f>
        <v>GOTAADR73</v>
      </c>
      <c r="I2718" s="34">
        <f>RIGHT(표4[[#This Row],[년월(XXXX-XX 형식)]],2)*1</f>
        <v>10</v>
      </c>
    </row>
    <row r="2719" spans="1:9" x14ac:dyDescent="0.3">
      <c r="A2719">
        <v>10</v>
      </c>
      <c r="B2719" t="s">
        <v>190</v>
      </c>
      <c r="C2719" t="s">
        <v>192</v>
      </c>
      <c r="D2719" t="s">
        <v>195</v>
      </c>
      <c r="E2719" t="s">
        <v>99</v>
      </c>
      <c r="F2719" s="57" t="s">
        <v>99</v>
      </c>
      <c r="G2719" s="34">
        <f>VLOOKUP(표4[[#This Row],[구분]],ota_rns[#All],표4[[#This Row],[구분1]]+5,FALSE)</f>
        <v>166</v>
      </c>
      <c r="H2719" s="58" t="str">
        <f>CONCATENATE(표4[[#This Row],[세그먼트 (OTA , GOTA, IB'[IB'])]],표4[[#This Row],[목표구분 (REV, RNS, ADR)]],표4[[#This Row],[영업장코드(예약 영업장 코드)]])</f>
        <v>GOTAADR16</v>
      </c>
      <c r="I2719" s="34">
        <f>RIGHT(표4[[#This Row],[년월(XXXX-XX 형식)]],2)*1</f>
        <v>10</v>
      </c>
    </row>
    <row r="2720" spans="1:9" x14ac:dyDescent="0.3">
      <c r="A2720">
        <v>10</v>
      </c>
      <c r="B2720" t="s">
        <v>190</v>
      </c>
      <c r="C2720" t="s">
        <v>192</v>
      </c>
      <c r="D2720" t="s">
        <v>195</v>
      </c>
      <c r="E2720" t="s">
        <v>103</v>
      </c>
      <c r="F2720" s="57" t="s">
        <v>110</v>
      </c>
      <c r="G2720" s="34">
        <f>VLOOKUP(표4[[#This Row],[구분]],ota_rns[#All],표4[[#This Row],[구분1]]+5,FALSE)</f>
        <v>218</v>
      </c>
      <c r="H2720" s="58" t="str">
        <f>CONCATENATE(표4[[#This Row],[세그먼트 (OTA , GOTA, IB'[IB'])]],표4[[#This Row],[목표구분 (REV, RNS, ADR)]],표4[[#This Row],[영업장코드(예약 영업장 코드)]])</f>
        <v>GOTAADR24</v>
      </c>
      <c r="I2720" s="34">
        <f>RIGHT(표4[[#This Row],[년월(XXXX-XX 형식)]],2)*1</f>
        <v>10</v>
      </c>
    </row>
    <row r="2721" spans="1:9" x14ac:dyDescent="0.3">
      <c r="A2721">
        <v>10</v>
      </c>
      <c r="B2721" t="s">
        <v>190</v>
      </c>
      <c r="C2721" t="s">
        <v>192</v>
      </c>
      <c r="D2721" t="s">
        <v>195</v>
      </c>
      <c r="E2721" t="s">
        <v>101</v>
      </c>
      <c r="F2721" s="57" t="s">
        <v>107</v>
      </c>
      <c r="G2721" s="34">
        <f>VLOOKUP(표4[[#This Row],[구분]],ota_rns[#All],표4[[#This Row],[구분1]]+5,FALSE)</f>
        <v>262</v>
      </c>
      <c r="H2721" s="58" t="str">
        <f>CONCATENATE(표4[[#This Row],[세그먼트 (OTA , GOTA, IB'[IB'])]],표4[[#This Row],[목표구분 (REV, RNS, ADR)]],표4[[#This Row],[영업장코드(예약 영업장 코드)]])</f>
        <v>GOTAADR22</v>
      </c>
      <c r="I2721" s="34">
        <f>RIGHT(표4[[#This Row],[년월(XXXX-XX 형식)]],2)*1</f>
        <v>10</v>
      </c>
    </row>
    <row r="2722" spans="1:9" x14ac:dyDescent="0.3">
      <c r="A2722">
        <v>10</v>
      </c>
      <c r="B2722" t="s">
        <v>190</v>
      </c>
      <c r="C2722" t="s">
        <v>192</v>
      </c>
      <c r="D2722" t="s">
        <v>195</v>
      </c>
      <c r="E2722" t="s">
        <v>182</v>
      </c>
      <c r="F2722" s="57" t="s">
        <v>147</v>
      </c>
      <c r="G2722" s="34">
        <f>VLOOKUP(표4[[#This Row],[구분]],ota_rns[#All],표4[[#This Row],[구분1]]+5,FALSE)</f>
        <v>215</v>
      </c>
      <c r="H2722" s="58" t="str">
        <f>CONCATENATE(표4[[#This Row],[세그먼트 (OTA , GOTA, IB'[IB'])]],표4[[#This Row],[목표구분 (REV, RNS, ADR)]],표4[[#This Row],[영업장코드(예약 영업장 코드)]])</f>
        <v>GOTAADR77</v>
      </c>
      <c r="I2722" s="34">
        <f>RIGHT(표4[[#This Row],[년월(XXXX-XX 형식)]],2)*1</f>
        <v>10</v>
      </c>
    </row>
    <row r="2723" spans="1:9" x14ac:dyDescent="0.3">
      <c r="A2723">
        <v>10</v>
      </c>
      <c r="B2723" t="s">
        <v>190</v>
      </c>
      <c r="C2723" t="s">
        <v>192</v>
      </c>
      <c r="D2723" t="s">
        <v>195</v>
      </c>
      <c r="E2723" t="s">
        <v>183</v>
      </c>
      <c r="F2723" s="57" t="s">
        <v>157</v>
      </c>
      <c r="G2723" s="34">
        <f>VLOOKUP(표4[[#This Row],[구분]],ota_rns[#All],표4[[#This Row],[구분1]]+5,FALSE)</f>
        <v>246.32183908045977</v>
      </c>
      <c r="H2723" s="58" t="str">
        <f>CONCATENATE(표4[[#This Row],[세그먼트 (OTA , GOTA, IB'[IB'])]],표4[[#This Row],[목표구분 (REV, RNS, ADR)]],표4[[#This Row],[영업장코드(예약 영업장 코드)]])</f>
        <v>GOTAADR87</v>
      </c>
      <c r="I2723" s="34">
        <f>RIGHT(표4[[#This Row],[년월(XXXX-XX 형식)]],2)*1</f>
        <v>10</v>
      </c>
    </row>
    <row r="2724" spans="1:9" x14ac:dyDescent="0.3">
      <c r="A2724">
        <v>10</v>
      </c>
      <c r="B2724" t="s">
        <v>190</v>
      </c>
      <c r="C2724" t="s">
        <v>192</v>
      </c>
      <c r="D2724" t="s">
        <v>195</v>
      </c>
      <c r="E2724" t="s">
        <v>96</v>
      </c>
      <c r="F2724" s="57" t="s">
        <v>96</v>
      </c>
      <c r="G2724" s="34">
        <f>VLOOKUP(표4[[#This Row],[구분]],ota_rns[#All],표4[[#This Row],[구분1]]+5,FALSE)</f>
        <v>200.5</v>
      </c>
      <c r="H2724" s="58" t="str">
        <f>CONCATENATE(표4[[#This Row],[세그먼트 (OTA , GOTA, IB'[IB'])]],표4[[#This Row],[목표구분 (REV, RNS, ADR)]],표4[[#This Row],[영업장코드(예약 영업장 코드)]])</f>
        <v>GOTAADR15</v>
      </c>
      <c r="I2724" s="34">
        <f>RIGHT(표4[[#This Row],[년월(XXXX-XX 형식)]],2)*1</f>
        <v>10</v>
      </c>
    </row>
    <row r="2725" spans="1:9" x14ac:dyDescent="0.3">
      <c r="A2725">
        <v>10</v>
      </c>
      <c r="B2725" t="s">
        <v>190</v>
      </c>
      <c r="C2725" t="s">
        <v>192</v>
      </c>
      <c r="D2725" t="s">
        <v>195</v>
      </c>
      <c r="E2725" t="s">
        <v>105</v>
      </c>
      <c r="F2725" s="57" t="s">
        <v>119</v>
      </c>
      <c r="G2725" s="34">
        <f>VLOOKUP(표4[[#This Row],[구분]],ota_rns[#All],표4[[#This Row],[구분1]]+5,FALSE)</f>
        <v>168.5</v>
      </c>
      <c r="H2725" s="58" t="str">
        <f>CONCATENATE(표4[[#This Row],[세그먼트 (OTA , GOTA, IB'[IB'])]],표4[[#This Row],[목표구분 (REV, RNS, ADR)]],표4[[#This Row],[영업장코드(예약 영업장 코드)]])</f>
        <v>GOTAADR29</v>
      </c>
      <c r="I2725" s="34">
        <f>RIGHT(표4[[#This Row],[년월(XXXX-XX 형식)]],2)*1</f>
        <v>10</v>
      </c>
    </row>
    <row r="2726" spans="1:9" x14ac:dyDescent="0.3">
      <c r="A2726">
        <v>10</v>
      </c>
      <c r="B2726" t="s">
        <v>190</v>
      </c>
      <c r="C2726" t="s">
        <v>192</v>
      </c>
      <c r="D2726" t="s">
        <v>195</v>
      </c>
      <c r="E2726" t="s">
        <v>184</v>
      </c>
      <c r="F2726" s="57" t="s">
        <v>152</v>
      </c>
      <c r="G2726" s="34">
        <f>VLOOKUP(표4[[#This Row],[구분]],ota_rns[#All],표4[[#This Row],[구분1]]+5,FALSE)</f>
        <v>362.24444444444447</v>
      </c>
      <c r="H2726" s="58" t="str">
        <f>CONCATENATE(표4[[#This Row],[세그먼트 (OTA , GOTA, IB'[IB'])]],표4[[#This Row],[목표구분 (REV, RNS, ADR)]],표4[[#This Row],[영업장코드(예약 영업장 코드)]])</f>
        <v>GOTAADR85</v>
      </c>
      <c r="I2726" s="34">
        <f>RIGHT(표4[[#This Row],[년월(XXXX-XX 형식)]],2)*1</f>
        <v>10</v>
      </c>
    </row>
    <row r="2727" spans="1:9" x14ac:dyDescent="0.3">
      <c r="A2727">
        <v>10</v>
      </c>
      <c r="B2727" t="s">
        <v>190</v>
      </c>
      <c r="C2727" t="s">
        <v>192</v>
      </c>
      <c r="D2727" t="s">
        <v>195</v>
      </c>
      <c r="E2727" t="s">
        <v>185</v>
      </c>
      <c r="F2727" s="57" t="s">
        <v>128</v>
      </c>
      <c r="G2727" s="34">
        <f>VLOOKUP(표4[[#This Row],[구분]],ota_rns[#All],표4[[#This Row],[구분1]]+5,FALSE)</f>
        <v>102</v>
      </c>
      <c r="H2727" s="58" t="str">
        <f>CONCATENATE(표4[[#This Row],[세그먼트 (OTA , GOTA, IB'[IB'])]],표4[[#This Row],[목표구분 (REV, RNS, ADR)]],표4[[#This Row],[영업장코드(예약 영업장 코드)]])</f>
        <v>GOTAADR58</v>
      </c>
      <c r="I2727" s="34">
        <f>RIGHT(표4[[#This Row],[년월(XXXX-XX 형식)]],2)*1</f>
        <v>10</v>
      </c>
    </row>
    <row r="2728" spans="1:9" x14ac:dyDescent="0.3">
      <c r="A2728">
        <v>10</v>
      </c>
      <c r="B2728" t="s">
        <v>190</v>
      </c>
      <c r="C2728" t="s">
        <v>192</v>
      </c>
      <c r="D2728" t="s">
        <v>195</v>
      </c>
      <c r="E2728" t="s">
        <v>178</v>
      </c>
      <c r="F2728" s="57" t="s">
        <v>178</v>
      </c>
      <c r="G2728" s="34">
        <f>VLOOKUP(표4[[#This Row],[구분]],ota_rns[#All],표4[[#This Row],[구분1]]+5,FALSE)</f>
        <v>268</v>
      </c>
      <c r="H2728" s="58" t="str">
        <f>CONCATENATE(표4[[#This Row],[세그먼트 (OTA , GOTA, IB'[IB'])]],표4[[#This Row],[목표구분 (REV, RNS, ADR)]],표4[[#This Row],[영업장코드(예약 영업장 코드)]])</f>
        <v>GOTAADR94</v>
      </c>
      <c r="I2728" s="34">
        <f>RIGHT(표4[[#This Row],[년월(XXXX-XX 형식)]],2)*1</f>
        <v>10</v>
      </c>
    </row>
    <row r="2729" spans="1:9" x14ac:dyDescent="0.3">
      <c r="A2729">
        <v>10</v>
      </c>
      <c r="B2729" t="s">
        <v>190</v>
      </c>
      <c r="C2729" t="s">
        <v>193</v>
      </c>
      <c r="D2729" t="s">
        <v>195</v>
      </c>
      <c r="E2729" t="s">
        <v>78</v>
      </c>
      <c r="F2729" s="57" t="s">
        <v>78</v>
      </c>
      <c r="G2729" s="34">
        <f>VLOOKUP(표4[[#This Row],[구분]],ota_rns[#All],표4[[#This Row],[구분1]]+5,FALSE)</f>
        <v>365.4</v>
      </c>
      <c r="H2729" s="58" t="str">
        <f>CONCATENATE(표4[[#This Row],[세그먼트 (OTA , GOTA, IB'[IB'])]],표4[[#This Row],[목표구분 (REV, RNS, ADR)]],표4[[#This Row],[영업장코드(예약 영업장 코드)]])</f>
        <v>GOTAREV02</v>
      </c>
      <c r="I2729" s="34">
        <f>RIGHT(표4[[#This Row],[년월(XXXX-XX 형식)]],2)*1</f>
        <v>10</v>
      </c>
    </row>
    <row r="2730" spans="1:9" x14ac:dyDescent="0.3">
      <c r="A2730">
        <v>10</v>
      </c>
      <c r="B2730" t="s">
        <v>190</v>
      </c>
      <c r="C2730" t="s">
        <v>193</v>
      </c>
      <c r="D2730" t="s">
        <v>195</v>
      </c>
      <c r="E2730" t="s">
        <v>78</v>
      </c>
      <c r="F2730" s="57" t="s">
        <v>86</v>
      </c>
      <c r="G2730" s="34">
        <f>VLOOKUP(표4[[#This Row],[구분]],ota_rns[#All],표4[[#This Row],[구분1]]+5,FALSE)</f>
        <v>216.4</v>
      </c>
      <c r="H2730" s="58" t="str">
        <f>CONCATENATE(표4[[#This Row],[세그먼트 (OTA , GOTA, IB'[IB'])]],표4[[#This Row],[목표구분 (REV, RNS, ADR)]],표4[[#This Row],[영업장코드(예약 영업장 코드)]])</f>
        <v>GOTAREV07</v>
      </c>
      <c r="I2730" s="34">
        <f>RIGHT(표4[[#This Row],[년월(XXXX-XX 형식)]],2)*1</f>
        <v>10</v>
      </c>
    </row>
    <row r="2731" spans="1:9" x14ac:dyDescent="0.3">
      <c r="A2731">
        <v>10</v>
      </c>
      <c r="B2731" t="s">
        <v>190</v>
      </c>
      <c r="C2731" t="s">
        <v>193</v>
      </c>
      <c r="D2731" t="s">
        <v>195</v>
      </c>
      <c r="E2731" t="s">
        <v>78</v>
      </c>
      <c r="F2731" s="57" t="s">
        <v>105</v>
      </c>
      <c r="G2731" s="34">
        <f>VLOOKUP(표4[[#This Row],[구분]],ota_rns[#All],표4[[#This Row],[구분1]]+5,FALSE)</f>
        <v>324.89999999999998</v>
      </c>
      <c r="H2731" s="58" t="str">
        <f>CONCATENATE(표4[[#This Row],[세그먼트 (OTA , GOTA, IB'[IB'])]],표4[[#This Row],[목표구분 (REV, RNS, ADR)]],표4[[#This Row],[영업장코드(예약 영업장 코드)]])</f>
        <v>GOTAREV19</v>
      </c>
      <c r="I2731" s="34">
        <f>RIGHT(표4[[#This Row],[년월(XXXX-XX 형식)]],2)*1</f>
        <v>10</v>
      </c>
    </row>
    <row r="2732" spans="1:9" x14ac:dyDescent="0.3">
      <c r="A2732">
        <v>10</v>
      </c>
      <c r="B2732" t="s">
        <v>190</v>
      </c>
      <c r="C2732" t="s">
        <v>193</v>
      </c>
      <c r="D2732" t="s">
        <v>195</v>
      </c>
      <c r="E2732" t="s">
        <v>78</v>
      </c>
      <c r="F2732" s="57" t="s">
        <v>124</v>
      </c>
      <c r="G2732" s="34">
        <f>VLOOKUP(표4[[#This Row],[구분]],ota_rns[#All],표4[[#This Row],[구분1]]+5,FALSE)</f>
        <v>138</v>
      </c>
      <c r="H2732" s="58" t="str">
        <f>CONCATENATE(표4[[#This Row],[세그먼트 (OTA , GOTA, IB'[IB'])]],표4[[#This Row],[목표구분 (REV, RNS, ADR)]],표4[[#This Row],[영업장코드(예약 영업장 코드)]])</f>
        <v>GOTAREV50</v>
      </c>
      <c r="I2732" s="34">
        <f>RIGHT(표4[[#This Row],[년월(XXXX-XX 형식)]],2)*1</f>
        <v>10</v>
      </c>
    </row>
    <row r="2733" spans="1:9" x14ac:dyDescent="0.3">
      <c r="A2733">
        <v>10</v>
      </c>
      <c r="B2733" t="s">
        <v>190</v>
      </c>
      <c r="C2733" t="s">
        <v>193</v>
      </c>
      <c r="D2733" t="s">
        <v>195</v>
      </c>
      <c r="E2733" t="s">
        <v>78</v>
      </c>
      <c r="F2733" s="57" t="s">
        <v>88</v>
      </c>
      <c r="G2733" s="34">
        <f>VLOOKUP(표4[[#This Row],[구분]],ota_rns[#All],표4[[#This Row],[구분1]]+5,FALSE)</f>
        <v>189.75</v>
      </c>
      <c r="H2733" s="58" t="str">
        <f>CONCATENATE(표4[[#This Row],[세그먼트 (OTA , GOTA, IB'[IB'])]],표4[[#This Row],[목표구분 (REV, RNS, ADR)]],표4[[#This Row],[영업장코드(예약 영업장 코드)]])</f>
        <v>GOTAREV08</v>
      </c>
      <c r="I2733" s="34">
        <f>RIGHT(표4[[#This Row],[년월(XXXX-XX 형식)]],2)*1</f>
        <v>10</v>
      </c>
    </row>
    <row r="2734" spans="1:9" x14ac:dyDescent="0.3">
      <c r="A2734">
        <v>10</v>
      </c>
      <c r="B2734" t="s">
        <v>190</v>
      </c>
      <c r="C2734" t="s">
        <v>193</v>
      </c>
      <c r="D2734" t="s">
        <v>195</v>
      </c>
      <c r="E2734" t="s">
        <v>81</v>
      </c>
      <c r="F2734" s="57" t="s">
        <v>81</v>
      </c>
      <c r="G2734" s="34">
        <f>VLOOKUP(표4[[#This Row],[구분]],ota_rns[#All],표4[[#This Row],[구분1]]+5,FALSE)</f>
        <v>57.563249999999996</v>
      </c>
      <c r="H2734" s="58" t="str">
        <f>CONCATENATE(표4[[#This Row],[세그먼트 (OTA , GOTA, IB'[IB'])]],표4[[#This Row],[목표구분 (REV, RNS, ADR)]],표4[[#This Row],[영업장코드(예약 영업장 코드)]])</f>
        <v>GOTAREV03</v>
      </c>
      <c r="I2734" s="34">
        <f>RIGHT(표4[[#This Row],[년월(XXXX-XX 형식)]],2)*1</f>
        <v>10</v>
      </c>
    </row>
    <row r="2735" spans="1:9" x14ac:dyDescent="0.3">
      <c r="A2735">
        <v>10</v>
      </c>
      <c r="B2735" t="s">
        <v>190</v>
      </c>
      <c r="C2735" t="s">
        <v>193</v>
      </c>
      <c r="D2735" t="s">
        <v>195</v>
      </c>
      <c r="E2735" t="s">
        <v>75</v>
      </c>
      <c r="F2735" s="57" t="s">
        <v>75</v>
      </c>
      <c r="G2735" s="34">
        <f>VLOOKUP(표4[[#This Row],[구분]],ota_rns[#All],표4[[#This Row],[구분1]]+5,FALSE)</f>
        <v>167</v>
      </c>
      <c r="H2735" s="58" t="str">
        <f>CONCATENATE(표4[[#This Row],[세그먼트 (OTA , GOTA, IB'[IB'])]],표4[[#This Row],[목표구분 (REV, RNS, ADR)]],표4[[#This Row],[영업장코드(예약 영업장 코드)]])</f>
        <v>GOTAREV01</v>
      </c>
      <c r="I2735" s="34">
        <f>RIGHT(표4[[#This Row],[년월(XXXX-XX 형식)]],2)*1</f>
        <v>10</v>
      </c>
    </row>
    <row r="2736" spans="1:9" x14ac:dyDescent="0.3">
      <c r="A2736">
        <v>10</v>
      </c>
      <c r="B2736" t="s">
        <v>190</v>
      </c>
      <c r="C2736" t="s">
        <v>193</v>
      </c>
      <c r="D2736" t="s">
        <v>195</v>
      </c>
      <c r="E2736" t="s">
        <v>75</v>
      </c>
      <c r="F2736" s="57" t="s">
        <v>141</v>
      </c>
      <c r="G2736" s="34">
        <f>VLOOKUP(표4[[#This Row],[구분]],ota_rns[#All],표4[[#This Row],[구분1]]+5,FALSE)</f>
        <v>600.1</v>
      </c>
      <c r="H2736" s="58" t="str">
        <f>CONCATENATE(표4[[#This Row],[세그먼트 (OTA , GOTA, IB'[IB'])]],표4[[#This Row],[목표구분 (REV, RNS, ADR)]],표4[[#This Row],[영업장코드(예약 영업장 코드)]])</f>
        <v>GOTAREV70</v>
      </c>
      <c r="I2736" s="34">
        <f>RIGHT(표4[[#This Row],[년월(XXXX-XX 형식)]],2)*1</f>
        <v>10</v>
      </c>
    </row>
    <row r="2737" spans="1:9" x14ac:dyDescent="0.3">
      <c r="A2737">
        <v>10</v>
      </c>
      <c r="B2737" t="s">
        <v>190</v>
      </c>
      <c r="C2737" t="s">
        <v>193</v>
      </c>
      <c r="D2737" t="s">
        <v>195</v>
      </c>
      <c r="E2737" t="s">
        <v>75</v>
      </c>
      <c r="F2737" s="57" t="s">
        <v>113</v>
      </c>
      <c r="G2737" s="34">
        <f>VLOOKUP(표4[[#This Row],[구분]],ota_rns[#All],표4[[#This Row],[구분1]]+5,FALSE)</f>
        <v>97.5</v>
      </c>
      <c r="H2737" s="58" t="str">
        <f>CONCATENATE(표4[[#This Row],[세그먼트 (OTA , GOTA, IB'[IB'])]],표4[[#This Row],[목표구분 (REV, RNS, ADR)]],표4[[#This Row],[영업장코드(예약 영업장 코드)]])</f>
        <v>GOTAREV25</v>
      </c>
      <c r="I2737" s="34">
        <f>RIGHT(표4[[#This Row],[년월(XXXX-XX 형식)]],2)*1</f>
        <v>10</v>
      </c>
    </row>
    <row r="2738" spans="1:9" x14ac:dyDescent="0.3">
      <c r="A2738">
        <v>10</v>
      </c>
      <c r="B2738" t="s">
        <v>190</v>
      </c>
      <c r="C2738" t="s">
        <v>193</v>
      </c>
      <c r="D2738" t="s">
        <v>195</v>
      </c>
      <c r="E2738" t="s">
        <v>75</v>
      </c>
      <c r="F2738" s="57" t="s">
        <v>117</v>
      </c>
      <c r="G2738" s="34">
        <f>VLOOKUP(표4[[#This Row],[구분]],ota_rns[#All],표4[[#This Row],[구분1]]+5,FALSE)</f>
        <v>310</v>
      </c>
      <c r="H2738" s="58" t="str">
        <f>CONCATENATE(표4[[#This Row],[세그먼트 (OTA , GOTA, IB'[IB'])]],표4[[#This Row],[목표구분 (REV, RNS, ADR)]],표4[[#This Row],[영업장코드(예약 영업장 코드)]])</f>
        <v>GOTAREV27</v>
      </c>
      <c r="I2738" s="34">
        <f>RIGHT(표4[[#This Row],[년월(XXXX-XX 형식)]],2)*1</f>
        <v>10</v>
      </c>
    </row>
    <row r="2739" spans="1:9" x14ac:dyDescent="0.3">
      <c r="A2739">
        <v>10</v>
      </c>
      <c r="B2739" t="s">
        <v>190</v>
      </c>
      <c r="C2739" t="s">
        <v>193</v>
      </c>
      <c r="D2739" t="s">
        <v>195</v>
      </c>
      <c r="E2739" t="s">
        <v>75</v>
      </c>
      <c r="F2739" s="57" t="s">
        <v>122</v>
      </c>
      <c r="G2739" s="34">
        <f>VLOOKUP(표4[[#This Row],[구분]],ota_rns[#All],표4[[#This Row],[구분1]]+5,FALSE)</f>
        <v>25.6</v>
      </c>
      <c r="H2739" s="58" t="str">
        <f>CONCATENATE(표4[[#This Row],[세그먼트 (OTA , GOTA, IB'[IB'])]],표4[[#This Row],[목표구분 (REV, RNS, ADR)]],표4[[#This Row],[영업장코드(예약 영업장 코드)]])</f>
        <v>GOTAREV46</v>
      </c>
      <c r="I2739" s="34">
        <f>RIGHT(표4[[#This Row],[년월(XXXX-XX 형식)]],2)*1</f>
        <v>10</v>
      </c>
    </row>
    <row r="2740" spans="1:9" x14ac:dyDescent="0.3">
      <c r="A2740">
        <v>10</v>
      </c>
      <c r="B2740" t="s">
        <v>190</v>
      </c>
      <c r="C2740" t="s">
        <v>193</v>
      </c>
      <c r="D2740" t="s">
        <v>195</v>
      </c>
      <c r="E2740" t="s">
        <v>92</v>
      </c>
      <c r="F2740" s="57" t="s">
        <v>92</v>
      </c>
      <c r="G2740" s="34">
        <f>VLOOKUP(표4[[#This Row],[구분]],ota_rns[#All],표4[[#This Row],[구분1]]+5,FALSE)</f>
        <v>194.25</v>
      </c>
      <c r="H2740" s="58" t="str">
        <f>CONCATENATE(표4[[#This Row],[세그먼트 (OTA , GOTA, IB'[IB'])]],표4[[#This Row],[목표구분 (REV, RNS, ADR)]],표4[[#This Row],[영업장코드(예약 영업장 코드)]])</f>
        <v>GOTAREV10</v>
      </c>
      <c r="I2740" s="34">
        <f>RIGHT(표4[[#This Row],[년월(XXXX-XX 형식)]],2)*1</f>
        <v>10</v>
      </c>
    </row>
    <row r="2741" spans="1:9" x14ac:dyDescent="0.3">
      <c r="A2741">
        <v>10</v>
      </c>
      <c r="B2741" t="s">
        <v>190</v>
      </c>
      <c r="C2741" t="s">
        <v>193</v>
      </c>
      <c r="D2741" t="s">
        <v>195</v>
      </c>
      <c r="E2741" t="s">
        <v>110</v>
      </c>
      <c r="F2741" s="57" t="s">
        <v>131</v>
      </c>
      <c r="G2741" s="34">
        <f>VLOOKUP(표4[[#This Row],[구분]],ota_rns[#All],표4[[#This Row],[구분1]]+5,FALSE)</f>
        <v>331.1712</v>
      </c>
      <c r="H2741" s="58" t="str">
        <f>CONCATENATE(표4[[#This Row],[세그먼트 (OTA , GOTA, IB'[IB'])]],표4[[#This Row],[목표구분 (REV, RNS, ADR)]],표4[[#This Row],[영업장코드(예약 영업장 코드)]])</f>
        <v>GOTAREV61</v>
      </c>
      <c r="I2741" s="34">
        <f>RIGHT(표4[[#This Row],[년월(XXXX-XX 형식)]],2)*1</f>
        <v>10</v>
      </c>
    </row>
    <row r="2742" spans="1:9" x14ac:dyDescent="0.3">
      <c r="A2742">
        <v>10</v>
      </c>
      <c r="B2742" t="s">
        <v>190</v>
      </c>
      <c r="C2742" t="s">
        <v>193</v>
      </c>
      <c r="D2742" t="s">
        <v>195</v>
      </c>
      <c r="E2742" t="s">
        <v>180</v>
      </c>
      <c r="F2742" s="57" t="s">
        <v>180</v>
      </c>
      <c r="G2742" s="34">
        <f>VLOOKUP(표4[[#This Row],[구분]],ota_rns[#All],표4[[#This Row],[구분1]]+5,FALSE)</f>
        <v>250.42860832723173</v>
      </c>
      <c r="H2742" s="58" t="str">
        <f>CONCATENATE(표4[[#This Row],[세그먼트 (OTA , GOTA, IB'[IB'])]],표4[[#This Row],[목표구분 (REV, RNS, ADR)]],표4[[#This Row],[영업장코드(예약 영업장 코드)]])</f>
        <v>GOTAREV05</v>
      </c>
      <c r="I2742" s="34">
        <f>RIGHT(표4[[#This Row],[년월(XXXX-XX 형식)]],2)*1</f>
        <v>10</v>
      </c>
    </row>
    <row r="2743" spans="1:9" x14ac:dyDescent="0.3">
      <c r="A2743">
        <v>10</v>
      </c>
      <c r="B2743" t="s">
        <v>190</v>
      </c>
      <c r="C2743" t="s">
        <v>193</v>
      </c>
      <c r="D2743" t="s">
        <v>195</v>
      </c>
      <c r="E2743" t="s">
        <v>181</v>
      </c>
      <c r="F2743" s="57" t="s">
        <v>137</v>
      </c>
      <c r="G2743" s="34">
        <f>VLOOKUP(표4[[#This Row],[구분]],ota_rns[#All],표4[[#This Row],[구분1]]+5,FALSE)</f>
        <v>162.9</v>
      </c>
      <c r="H2743" s="58" t="str">
        <f>CONCATENATE(표4[[#This Row],[세그먼트 (OTA , GOTA, IB'[IB'])]],표4[[#This Row],[목표구분 (REV, RNS, ADR)]],표4[[#This Row],[영업장코드(예약 영업장 코드)]])</f>
        <v>GOTAREV66</v>
      </c>
      <c r="I2743" s="34">
        <f>RIGHT(표4[[#This Row],[년월(XXXX-XX 형식)]],2)*1</f>
        <v>10</v>
      </c>
    </row>
    <row r="2744" spans="1:9" x14ac:dyDescent="0.3">
      <c r="A2744">
        <v>10</v>
      </c>
      <c r="B2744" t="s">
        <v>190</v>
      </c>
      <c r="C2744" t="s">
        <v>193</v>
      </c>
      <c r="D2744" t="s">
        <v>195</v>
      </c>
      <c r="E2744" t="s">
        <v>84</v>
      </c>
      <c r="F2744" s="57" t="s">
        <v>84</v>
      </c>
      <c r="G2744" s="34">
        <f>VLOOKUP(표4[[#This Row],[구분]],ota_rns[#All],표4[[#This Row],[구분1]]+5,FALSE)</f>
        <v>351.78</v>
      </c>
      <c r="H2744" s="58" t="str">
        <f>CONCATENATE(표4[[#This Row],[세그먼트 (OTA , GOTA, IB'[IB'])]],표4[[#This Row],[목표구분 (REV, RNS, ADR)]],표4[[#This Row],[영업장코드(예약 영업장 코드)]])</f>
        <v>GOTAREV06</v>
      </c>
      <c r="I2744" s="34">
        <f>RIGHT(표4[[#This Row],[년월(XXXX-XX 형식)]],2)*1</f>
        <v>10</v>
      </c>
    </row>
    <row r="2745" spans="1:9" x14ac:dyDescent="0.3">
      <c r="A2745">
        <v>10</v>
      </c>
      <c r="B2745" t="s">
        <v>190</v>
      </c>
      <c r="C2745" t="s">
        <v>193</v>
      </c>
      <c r="D2745" t="s">
        <v>195</v>
      </c>
      <c r="E2745" t="s">
        <v>143</v>
      </c>
      <c r="F2745" s="57" t="s">
        <v>143</v>
      </c>
      <c r="G2745" s="34">
        <f>VLOOKUP(표4[[#This Row],[구분]],ota_rns[#All],표4[[#This Row],[구분1]]+5,FALSE)</f>
        <v>191.1</v>
      </c>
      <c r="H2745" s="58" t="str">
        <f>CONCATENATE(표4[[#This Row],[세그먼트 (OTA , GOTA, IB'[IB'])]],표4[[#This Row],[목표구분 (REV, RNS, ADR)]],표4[[#This Row],[영업장코드(예약 영업장 코드)]])</f>
        <v>GOTAREV73</v>
      </c>
      <c r="I2745" s="34">
        <f>RIGHT(표4[[#This Row],[년월(XXXX-XX 형식)]],2)*1</f>
        <v>10</v>
      </c>
    </row>
    <row r="2746" spans="1:9" x14ac:dyDescent="0.3">
      <c r="A2746">
        <v>10</v>
      </c>
      <c r="B2746" t="s">
        <v>190</v>
      </c>
      <c r="C2746" t="s">
        <v>193</v>
      </c>
      <c r="D2746" t="s">
        <v>195</v>
      </c>
      <c r="E2746" t="s">
        <v>99</v>
      </c>
      <c r="F2746" s="57" t="s">
        <v>99</v>
      </c>
      <c r="G2746" s="34">
        <f>VLOOKUP(표4[[#This Row],[구분]],ota_rns[#All],표4[[#This Row],[구분1]]+5,FALSE)</f>
        <v>157.69999999999999</v>
      </c>
      <c r="H2746" s="58" t="str">
        <f>CONCATENATE(표4[[#This Row],[세그먼트 (OTA , GOTA, IB'[IB'])]],표4[[#This Row],[목표구분 (REV, RNS, ADR)]],표4[[#This Row],[영업장코드(예약 영업장 코드)]])</f>
        <v>GOTAREV16</v>
      </c>
      <c r="I2746" s="34">
        <f>RIGHT(표4[[#This Row],[년월(XXXX-XX 형식)]],2)*1</f>
        <v>10</v>
      </c>
    </row>
    <row r="2747" spans="1:9" x14ac:dyDescent="0.3">
      <c r="A2747">
        <v>10</v>
      </c>
      <c r="B2747" t="s">
        <v>190</v>
      </c>
      <c r="C2747" t="s">
        <v>193</v>
      </c>
      <c r="D2747" t="s">
        <v>195</v>
      </c>
      <c r="E2747" t="s">
        <v>103</v>
      </c>
      <c r="F2747" s="57" t="s">
        <v>110</v>
      </c>
      <c r="G2747" s="34">
        <f>VLOOKUP(표4[[#This Row],[구분]],ota_rns[#All],표4[[#This Row],[구분1]]+5,FALSE)</f>
        <v>289.94</v>
      </c>
      <c r="H2747" s="58" t="str">
        <f>CONCATENATE(표4[[#This Row],[세그먼트 (OTA , GOTA, IB'[IB'])]],표4[[#This Row],[목표구분 (REV, RNS, ADR)]],표4[[#This Row],[영업장코드(예약 영업장 코드)]])</f>
        <v>GOTAREV24</v>
      </c>
      <c r="I2747" s="34">
        <f>RIGHT(표4[[#This Row],[년월(XXXX-XX 형식)]],2)*1</f>
        <v>10</v>
      </c>
    </row>
    <row r="2748" spans="1:9" x14ac:dyDescent="0.3">
      <c r="A2748">
        <v>10</v>
      </c>
      <c r="B2748" t="s">
        <v>190</v>
      </c>
      <c r="C2748" t="s">
        <v>193</v>
      </c>
      <c r="D2748" t="s">
        <v>195</v>
      </c>
      <c r="E2748" t="s">
        <v>101</v>
      </c>
      <c r="F2748" s="57" t="s">
        <v>107</v>
      </c>
      <c r="G2748" s="34">
        <f>VLOOKUP(표4[[#This Row],[구분]],ota_rns[#All],표4[[#This Row],[구분1]]+5,FALSE)</f>
        <v>235.8</v>
      </c>
      <c r="H2748" s="58" t="str">
        <f>CONCATENATE(표4[[#This Row],[세그먼트 (OTA , GOTA, IB'[IB'])]],표4[[#This Row],[목표구분 (REV, RNS, ADR)]],표4[[#This Row],[영업장코드(예약 영업장 코드)]])</f>
        <v>GOTAREV22</v>
      </c>
      <c r="I2748" s="34">
        <f>RIGHT(표4[[#This Row],[년월(XXXX-XX 형식)]],2)*1</f>
        <v>10</v>
      </c>
    </row>
    <row r="2749" spans="1:9" x14ac:dyDescent="0.3">
      <c r="A2749">
        <v>10</v>
      </c>
      <c r="B2749" t="s">
        <v>190</v>
      </c>
      <c r="C2749" t="s">
        <v>193</v>
      </c>
      <c r="D2749" t="s">
        <v>195</v>
      </c>
      <c r="E2749" t="s">
        <v>182</v>
      </c>
      <c r="F2749" s="57" t="s">
        <v>147</v>
      </c>
      <c r="G2749" s="34">
        <f>VLOOKUP(표4[[#This Row],[구분]],ota_rns[#All],표4[[#This Row],[구분1]]+5,FALSE)</f>
        <v>322.5</v>
      </c>
      <c r="H2749" s="58" t="str">
        <f>CONCATENATE(표4[[#This Row],[세그먼트 (OTA , GOTA, IB'[IB'])]],표4[[#This Row],[목표구분 (REV, RNS, ADR)]],표4[[#This Row],[영업장코드(예약 영업장 코드)]])</f>
        <v>GOTAREV77</v>
      </c>
      <c r="I2749" s="34">
        <f>RIGHT(표4[[#This Row],[년월(XXXX-XX 형식)]],2)*1</f>
        <v>10</v>
      </c>
    </row>
    <row r="2750" spans="1:9" x14ac:dyDescent="0.3">
      <c r="A2750">
        <v>10</v>
      </c>
      <c r="B2750" t="s">
        <v>190</v>
      </c>
      <c r="C2750" t="s">
        <v>193</v>
      </c>
      <c r="D2750" t="s">
        <v>195</v>
      </c>
      <c r="E2750" t="s">
        <v>183</v>
      </c>
      <c r="F2750" s="57" t="s">
        <v>157</v>
      </c>
      <c r="G2750" s="34">
        <f>VLOOKUP(표4[[#This Row],[구분]],ota_rns[#All],표4[[#This Row],[구분1]]+5,FALSE)</f>
        <v>214.3</v>
      </c>
      <c r="H2750" s="58" t="str">
        <f>CONCATENATE(표4[[#This Row],[세그먼트 (OTA , GOTA, IB'[IB'])]],표4[[#This Row],[목표구분 (REV, RNS, ADR)]],표4[[#This Row],[영업장코드(예약 영업장 코드)]])</f>
        <v>GOTAREV87</v>
      </c>
      <c r="I2750" s="34">
        <f>RIGHT(표4[[#This Row],[년월(XXXX-XX 형식)]],2)*1</f>
        <v>10</v>
      </c>
    </row>
    <row r="2751" spans="1:9" x14ac:dyDescent="0.3">
      <c r="A2751">
        <v>10</v>
      </c>
      <c r="B2751" t="s">
        <v>190</v>
      </c>
      <c r="C2751" t="s">
        <v>193</v>
      </c>
      <c r="D2751" t="s">
        <v>195</v>
      </c>
      <c r="E2751" t="s">
        <v>96</v>
      </c>
      <c r="F2751" s="57" t="s">
        <v>96</v>
      </c>
      <c r="G2751" s="34">
        <f>VLOOKUP(표4[[#This Row],[구분]],ota_rns[#All],표4[[#This Row],[구분1]]+5,FALSE)</f>
        <v>300.75</v>
      </c>
      <c r="H2751" s="58" t="str">
        <f>CONCATENATE(표4[[#This Row],[세그먼트 (OTA , GOTA, IB'[IB'])]],표4[[#This Row],[목표구분 (REV, RNS, ADR)]],표4[[#This Row],[영업장코드(예약 영업장 코드)]])</f>
        <v>GOTAREV15</v>
      </c>
      <c r="I2751" s="34">
        <f>RIGHT(표4[[#This Row],[년월(XXXX-XX 형식)]],2)*1</f>
        <v>10</v>
      </c>
    </row>
    <row r="2752" spans="1:9" x14ac:dyDescent="0.3">
      <c r="A2752">
        <v>10</v>
      </c>
      <c r="B2752" t="s">
        <v>190</v>
      </c>
      <c r="C2752" t="s">
        <v>193</v>
      </c>
      <c r="D2752" t="s">
        <v>195</v>
      </c>
      <c r="E2752" t="s">
        <v>105</v>
      </c>
      <c r="F2752" s="57" t="s">
        <v>119</v>
      </c>
      <c r="G2752" s="34">
        <f>VLOOKUP(표4[[#This Row],[구분]],ota_rns[#All],표4[[#This Row],[구분1]]+5,FALSE)</f>
        <v>438.1</v>
      </c>
      <c r="H2752" s="58" t="str">
        <f>CONCATENATE(표4[[#This Row],[세그먼트 (OTA , GOTA, IB'[IB'])]],표4[[#This Row],[목표구분 (REV, RNS, ADR)]],표4[[#This Row],[영업장코드(예약 영업장 코드)]])</f>
        <v>GOTAREV29</v>
      </c>
      <c r="I2752" s="34">
        <f>RIGHT(표4[[#This Row],[년월(XXXX-XX 형식)]],2)*1</f>
        <v>10</v>
      </c>
    </row>
    <row r="2753" spans="1:9" x14ac:dyDescent="0.3">
      <c r="A2753">
        <v>10</v>
      </c>
      <c r="B2753" t="s">
        <v>190</v>
      </c>
      <c r="C2753" t="s">
        <v>193</v>
      </c>
      <c r="D2753" t="s">
        <v>195</v>
      </c>
      <c r="E2753" t="s">
        <v>184</v>
      </c>
      <c r="F2753" s="57" t="s">
        <v>152</v>
      </c>
      <c r="G2753" s="34">
        <f>VLOOKUP(표4[[#This Row],[구분]],ota_rns[#All],표4[[#This Row],[구분1]]+5,FALSE)</f>
        <v>326.02</v>
      </c>
      <c r="H2753" s="58" t="str">
        <f>CONCATENATE(표4[[#This Row],[세그먼트 (OTA , GOTA, IB'[IB'])]],표4[[#This Row],[목표구분 (REV, RNS, ADR)]],표4[[#This Row],[영업장코드(예약 영업장 코드)]])</f>
        <v>GOTAREV85</v>
      </c>
      <c r="I2753" s="34">
        <f>RIGHT(표4[[#This Row],[년월(XXXX-XX 형식)]],2)*1</f>
        <v>10</v>
      </c>
    </row>
    <row r="2754" spans="1:9" x14ac:dyDescent="0.3">
      <c r="A2754">
        <v>10</v>
      </c>
      <c r="B2754" t="s">
        <v>190</v>
      </c>
      <c r="C2754" t="s">
        <v>193</v>
      </c>
      <c r="D2754" t="s">
        <v>195</v>
      </c>
      <c r="E2754" t="s">
        <v>185</v>
      </c>
      <c r="F2754" s="57" t="s">
        <v>128</v>
      </c>
      <c r="G2754" s="34">
        <f>VLOOKUP(표4[[#This Row],[구분]],ota_rns[#All],표4[[#This Row],[구분1]]+5,FALSE)</f>
        <v>102</v>
      </c>
      <c r="H2754" s="58" t="str">
        <f>CONCATENATE(표4[[#This Row],[세그먼트 (OTA , GOTA, IB'[IB'])]],표4[[#This Row],[목표구분 (REV, RNS, ADR)]],표4[[#This Row],[영업장코드(예약 영업장 코드)]])</f>
        <v>GOTAREV58</v>
      </c>
      <c r="I2754" s="34">
        <f>RIGHT(표4[[#This Row],[년월(XXXX-XX 형식)]],2)*1</f>
        <v>10</v>
      </c>
    </row>
    <row r="2755" spans="1:9" x14ac:dyDescent="0.3">
      <c r="A2755">
        <v>10</v>
      </c>
      <c r="B2755" t="s">
        <v>190</v>
      </c>
      <c r="C2755" t="s">
        <v>193</v>
      </c>
      <c r="D2755" t="s">
        <v>195</v>
      </c>
      <c r="E2755" t="s">
        <v>178</v>
      </c>
      <c r="F2755" s="57" t="s">
        <v>178</v>
      </c>
      <c r="G2755" s="34">
        <f>VLOOKUP(표4[[#This Row],[구분]],ota_rns[#All],표4[[#This Row],[구분1]]+5,FALSE)</f>
        <v>97.82</v>
      </c>
      <c r="H2755" s="58" t="str">
        <f>CONCATENATE(표4[[#This Row],[세그먼트 (OTA , GOTA, IB'[IB'])]],표4[[#This Row],[목표구분 (REV, RNS, ADR)]],표4[[#This Row],[영업장코드(예약 영업장 코드)]])</f>
        <v>GOTAREV94</v>
      </c>
      <c r="I2755" s="34">
        <f>RIGHT(표4[[#This Row],[년월(XXXX-XX 형식)]],2)*1</f>
        <v>10</v>
      </c>
    </row>
    <row r="2756" spans="1:9" x14ac:dyDescent="0.3">
      <c r="A2756" s="53">
        <v>11</v>
      </c>
      <c r="B2756" s="53" t="s">
        <v>190</v>
      </c>
      <c r="C2756" s="53" t="s">
        <v>191</v>
      </c>
      <c r="D2756" s="53" t="s">
        <v>195</v>
      </c>
      <c r="E2756" s="53" t="s">
        <v>78</v>
      </c>
      <c r="F2756" s="57" t="s">
        <v>78</v>
      </c>
      <c r="G2756" s="34">
        <f>VLOOKUP(표4[[#This Row],[구분]],ota_rns[#All],표4[[#This Row],[구분1]]+5,FALSE)</f>
        <v>1100</v>
      </c>
      <c r="H2756" s="58" t="str">
        <f>CONCATENATE(표4[[#This Row],[세그먼트 (OTA , GOTA, IB'[IB'])]],표4[[#This Row],[목표구분 (REV, RNS, ADR)]],표4[[#This Row],[영업장코드(예약 영업장 코드)]])</f>
        <v>GOTARNS02</v>
      </c>
      <c r="I2756" s="34">
        <f>RIGHT(표4[[#This Row],[년월(XXXX-XX 형식)]],2)*1</f>
        <v>11</v>
      </c>
    </row>
    <row r="2757" spans="1:9" x14ac:dyDescent="0.3">
      <c r="A2757" s="53">
        <v>11</v>
      </c>
      <c r="B2757" s="53" t="s">
        <v>190</v>
      </c>
      <c r="C2757" s="53" t="s">
        <v>191</v>
      </c>
      <c r="D2757" s="53" t="s">
        <v>195</v>
      </c>
      <c r="E2757" s="53" t="s">
        <v>78</v>
      </c>
      <c r="F2757" s="57" t="s">
        <v>86</v>
      </c>
      <c r="G2757" s="34">
        <f>VLOOKUP(표4[[#This Row],[구분]],ota_rns[#All],표4[[#This Row],[구분1]]+5,FALSE)</f>
        <v>310</v>
      </c>
      <c r="H2757" s="58" t="str">
        <f>CONCATENATE(표4[[#This Row],[세그먼트 (OTA , GOTA, IB'[IB'])]],표4[[#This Row],[목표구분 (REV, RNS, ADR)]],표4[[#This Row],[영업장코드(예약 영업장 코드)]])</f>
        <v>GOTARNS07</v>
      </c>
      <c r="I2757" s="34">
        <f>RIGHT(표4[[#This Row],[년월(XXXX-XX 형식)]],2)*1</f>
        <v>11</v>
      </c>
    </row>
    <row r="2758" spans="1:9" x14ac:dyDescent="0.3">
      <c r="A2758" s="53">
        <v>11</v>
      </c>
      <c r="B2758" s="53" t="s">
        <v>190</v>
      </c>
      <c r="C2758" s="53" t="s">
        <v>191</v>
      </c>
      <c r="D2758" s="53" t="s">
        <v>195</v>
      </c>
      <c r="E2758" s="53" t="s">
        <v>78</v>
      </c>
      <c r="F2758" s="57" t="s">
        <v>105</v>
      </c>
      <c r="G2758" s="34">
        <f>VLOOKUP(표4[[#This Row],[구분]],ota_rns[#All],표4[[#This Row],[구분1]]+5,FALSE)</f>
        <v>500</v>
      </c>
      <c r="H2758" s="58" t="str">
        <f>CONCATENATE(표4[[#This Row],[세그먼트 (OTA , GOTA, IB'[IB'])]],표4[[#This Row],[목표구분 (REV, RNS, ADR)]],표4[[#This Row],[영업장코드(예약 영업장 코드)]])</f>
        <v>GOTARNS19</v>
      </c>
      <c r="I2758" s="34">
        <f>RIGHT(표4[[#This Row],[년월(XXXX-XX 형식)]],2)*1</f>
        <v>11</v>
      </c>
    </row>
    <row r="2759" spans="1:9" x14ac:dyDescent="0.3">
      <c r="A2759" s="53">
        <v>11</v>
      </c>
      <c r="B2759" s="53" t="s">
        <v>190</v>
      </c>
      <c r="C2759" s="53" t="s">
        <v>191</v>
      </c>
      <c r="D2759" s="53" t="s">
        <v>195</v>
      </c>
      <c r="E2759" s="53" t="s">
        <v>78</v>
      </c>
      <c r="F2759" s="57" t="s">
        <v>124</v>
      </c>
      <c r="G2759" s="34">
        <f>VLOOKUP(표4[[#This Row],[구분]],ota_rns[#All],표4[[#This Row],[구분1]]+5,FALSE)</f>
        <v>300</v>
      </c>
      <c r="H2759" s="58" t="str">
        <f>CONCATENATE(표4[[#This Row],[세그먼트 (OTA , GOTA, IB'[IB'])]],표4[[#This Row],[목표구분 (REV, RNS, ADR)]],표4[[#This Row],[영업장코드(예약 영업장 코드)]])</f>
        <v>GOTARNS50</v>
      </c>
      <c r="I2759" s="34">
        <f>RIGHT(표4[[#This Row],[년월(XXXX-XX 형식)]],2)*1</f>
        <v>11</v>
      </c>
    </row>
    <row r="2760" spans="1:9" x14ac:dyDescent="0.3">
      <c r="A2760" s="53">
        <v>11</v>
      </c>
      <c r="B2760" s="53" t="s">
        <v>190</v>
      </c>
      <c r="C2760" s="53" t="s">
        <v>191</v>
      </c>
      <c r="D2760" s="53" t="s">
        <v>195</v>
      </c>
      <c r="E2760" s="53" t="s">
        <v>78</v>
      </c>
      <c r="F2760" s="57" t="s">
        <v>88</v>
      </c>
      <c r="G2760" s="34">
        <f>VLOOKUP(표4[[#This Row],[구분]],ota_rns[#All],표4[[#This Row],[구분1]]+5,FALSE)</f>
        <v>300</v>
      </c>
      <c r="H2760" s="58" t="str">
        <f>CONCATENATE(표4[[#This Row],[세그먼트 (OTA , GOTA, IB'[IB'])]],표4[[#This Row],[목표구분 (REV, RNS, ADR)]],표4[[#This Row],[영업장코드(예약 영업장 코드)]])</f>
        <v>GOTARNS08</v>
      </c>
      <c r="I2760" s="34">
        <f>RIGHT(표4[[#This Row],[년월(XXXX-XX 형식)]],2)*1</f>
        <v>11</v>
      </c>
    </row>
    <row r="2761" spans="1:9" x14ac:dyDescent="0.3">
      <c r="A2761" s="53">
        <v>11</v>
      </c>
      <c r="B2761" s="53" t="s">
        <v>190</v>
      </c>
      <c r="C2761" s="53" t="s">
        <v>191</v>
      </c>
      <c r="D2761" s="53" t="s">
        <v>195</v>
      </c>
      <c r="E2761" s="53" t="s">
        <v>81</v>
      </c>
      <c r="F2761" s="57" t="s">
        <v>81</v>
      </c>
      <c r="G2761" s="34">
        <f>VLOOKUP(표4[[#This Row],[구분]],ota_rns[#All],표4[[#This Row],[구분1]]+5,FALSE)</f>
        <v>280</v>
      </c>
      <c r="H2761" s="58" t="str">
        <f>CONCATENATE(표4[[#This Row],[세그먼트 (OTA , GOTA, IB'[IB'])]],표4[[#This Row],[목표구분 (REV, RNS, ADR)]],표4[[#This Row],[영업장코드(예약 영업장 코드)]])</f>
        <v>GOTARNS03</v>
      </c>
      <c r="I2761" s="34">
        <f>RIGHT(표4[[#This Row],[년월(XXXX-XX 형식)]],2)*1</f>
        <v>11</v>
      </c>
    </row>
    <row r="2762" spans="1:9" x14ac:dyDescent="0.3">
      <c r="A2762" s="53">
        <v>11</v>
      </c>
      <c r="B2762" s="53" t="s">
        <v>190</v>
      </c>
      <c r="C2762" s="53" t="s">
        <v>191</v>
      </c>
      <c r="D2762" s="53" t="s">
        <v>195</v>
      </c>
      <c r="E2762" s="53" t="s">
        <v>75</v>
      </c>
      <c r="F2762" s="57" t="s">
        <v>75</v>
      </c>
      <c r="G2762" s="34">
        <f>VLOOKUP(표4[[#This Row],[구분]],ota_rns[#All],표4[[#This Row],[구분1]]+5,FALSE)</f>
        <v>700</v>
      </c>
      <c r="H2762" s="58" t="str">
        <f>CONCATENATE(표4[[#This Row],[세그먼트 (OTA , GOTA, IB'[IB'])]],표4[[#This Row],[목표구분 (REV, RNS, ADR)]],표4[[#This Row],[영업장코드(예약 영업장 코드)]])</f>
        <v>GOTARNS01</v>
      </c>
      <c r="I2762" s="34">
        <f>RIGHT(표4[[#This Row],[년월(XXXX-XX 형식)]],2)*1</f>
        <v>11</v>
      </c>
    </row>
    <row r="2763" spans="1:9" x14ac:dyDescent="0.3">
      <c r="A2763" s="53">
        <v>11</v>
      </c>
      <c r="B2763" s="53" t="s">
        <v>190</v>
      </c>
      <c r="C2763" s="53" t="s">
        <v>191</v>
      </c>
      <c r="D2763" s="53" t="s">
        <v>195</v>
      </c>
      <c r="E2763" s="53" t="s">
        <v>75</v>
      </c>
      <c r="F2763" s="57" t="s">
        <v>141</v>
      </c>
      <c r="G2763" s="34">
        <f>VLOOKUP(표4[[#This Row],[구분]],ota_rns[#All],표4[[#This Row],[구분1]]+5,FALSE)</f>
        <v>2230</v>
      </c>
      <c r="H2763" s="58" t="str">
        <f>CONCATENATE(표4[[#This Row],[세그먼트 (OTA , GOTA, IB'[IB'])]],표4[[#This Row],[목표구분 (REV, RNS, ADR)]],표4[[#This Row],[영업장코드(예약 영업장 코드)]])</f>
        <v>GOTARNS70</v>
      </c>
      <c r="I2763" s="34">
        <f>RIGHT(표4[[#This Row],[년월(XXXX-XX 형식)]],2)*1</f>
        <v>11</v>
      </c>
    </row>
    <row r="2764" spans="1:9" x14ac:dyDescent="0.3">
      <c r="A2764" s="53">
        <v>11</v>
      </c>
      <c r="B2764" s="53" t="s">
        <v>190</v>
      </c>
      <c r="C2764" s="53" t="s">
        <v>191</v>
      </c>
      <c r="D2764" s="53" t="s">
        <v>195</v>
      </c>
      <c r="E2764" s="53" t="s">
        <v>75</v>
      </c>
      <c r="F2764" s="57" t="s">
        <v>113</v>
      </c>
      <c r="G2764" s="34">
        <f>VLOOKUP(표4[[#This Row],[구분]],ota_rns[#All],표4[[#This Row],[구분1]]+5,FALSE)</f>
        <v>550</v>
      </c>
      <c r="H2764" s="58" t="str">
        <f>CONCATENATE(표4[[#This Row],[세그먼트 (OTA , GOTA, IB'[IB'])]],표4[[#This Row],[목표구분 (REV, RNS, ADR)]],표4[[#This Row],[영업장코드(예약 영업장 코드)]])</f>
        <v>GOTARNS25</v>
      </c>
      <c r="I2764" s="34">
        <f>RIGHT(표4[[#This Row],[년월(XXXX-XX 형식)]],2)*1</f>
        <v>11</v>
      </c>
    </row>
    <row r="2765" spans="1:9" x14ac:dyDescent="0.3">
      <c r="A2765" s="53">
        <v>11</v>
      </c>
      <c r="B2765" s="53" t="s">
        <v>190</v>
      </c>
      <c r="C2765" s="53" t="s">
        <v>191</v>
      </c>
      <c r="D2765" s="53" t="s">
        <v>195</v>
      </c>
      <c r="E2765" s="53" t="s">
        <v>75</v>
      </c>
      <c r="F2765" s="57" t="s">
        <v>117</v>
      </c>
      <c r="G2765" s="34">
        <f>VLOOKUP(표4[[#This Row],[구분]],ota_rns[#All],표4[[#This Row],[구분1]]+5,FALSE)</f>
        <v>900</v>
      </c>
      <c r="H2765" s="58" t="str">
        <f>CONCATENATE(표4[[#This Row],[세그먼트 (OTA , GOTA, IB'[IB'])]],표4[[#This Row],[목표구분 (REV, RNS, ADR)]],표4[[#This Row],[영업장코드(예약 영업장 코드)]])</f>
        <v>GOTARNS27</v>
      </c>
      <c r="I2765" s="34">
        <f>RIGHT(표4[[#This Row],[년월(XXXX-XX 형식)]],2)*1</f>
        <v>11</v>
      </c>
    </row>
    <row r="2766" spans="1:9" x14ac:dyDescent="0.3">
      <c r="A2766" s="53">
        <v>11</v>
      </c>
      <c r="B2766" s="53" t="s">
        <v>190</v>
      </c>
      <c r="C2766" s="53" t="s">
        <v>191</v>
      </c>
      <c r="D2766" s="53" t="s">
        <v>195</v>
      </c>
      <c r="E2766" s="53" t="s">
        <v>75</v>
      </c>
      <c r="F2766" s="57" t="s">
        <v>122</v>
      </c>
      <c r="G2766" s="34">
        <f>VLOOKUP(표4[[#This Row],[구분]],ota_rns[#All],표4[[#This Row],[구분1]]+5,FALSE)</f>
        <v>80</v>
      </c>
      <c r="H2766" s="58" t="str">
        <f>CONCATENATE(표4[[#This Row],[세그먼트 (OTA , GOTA, IB'[IB'])]],표4[[#This Row],[목표구분 (REV, RNS, ADR)]],표4[[#This Row],[영업장코드(예약 영업장 코드)]])</f>
        <v>GOTARNS46</v>
      </c>
      <c r="I2766" s="34">
        <f>RIGHT(표4[[#This Row],[년월(XXXX-XX 형식)]],2)*1</f>
        <v>11</v>
      </c>
    </row>
    <row r="2767" spans="1:9" x14ac:dyDescent="0.3">
      <c r="A2767" s="53">
        <v>11</v>
      </c>
      <c r="B2767" s="53" t="s">
        <v>190</v>
      </c>
      <c r="C2767" s="53" t="s">
        <v>191</v>
      </c>
      <c r="D2767" s="53" t="s">
        <v>195</v>
      </c>
      <c r="E2767" s="53" t="s">
        <v>92</v>
      </c>
      <c r="F2767" s="57" t="s">
        <v>92</v>
      </c>
      <c r="G2767" s="34">
        <f>VLOOKUP(표4[[#This Row],[구분]],ota_rns[#All],표4[[#This Row],[구분1]]+5,FALSE)</f>
        <v>900</v>
      </c>
      <c r="H2767" s="58" t="str">
        <f>CONCATENATE(표4[[#This Row],[세그먼트 (OTA , GOTA, IB'[IB'])]],표4[[#This Row],[목표구분 (REV, RNS, ADR)]],표4[[#This Row],[영업장코드(예약 영업장 코드)]])</f>
        <v>GOTARNS10</v>
      </c>
      <c r="I2767" s="34">
        <f>RIGHT(표4[[#This Row],[년월(XXXX-XX 형식)]],2)*1</f>
        <v>11</v>
      </c>
    </row>
    <row r="2768" spans="1:9" x14ac:dyDescent="0.3">
      <c r="A2768" s="53">
        <v>11</v>
      </c>
      <c r="B2768" s="53" t="s">
        <v>190</v>
      </c>
      <c r="C2768" s="53" t="s">
        <v>191</v>
      </c>
      <c r="D2768" s="53" t="s">
        <v>195</v>
      </c>
      <c r="E2768" s="53" t="s">
        <v>110</v>
      </c>
      <c r="F2768" s="57" t="s">
        <v>131</v>
      </c>
      <c r="G2768" s="34">
        <f>VLOOKUP(표4[[#This Row],[구분]],ota_rns[#All],표4[[#This Row],[구분1]]+5,FALSE)</f>
        <v>1800</v>
      </c>
      <c r="H2768" s="58" t="str">
        <f>CONCATENATE(표4[[#This Row],[세그먼트 (OTA , GOTA, IB'[IB'])]],표4[[#This Row],[목표구분 (REV, RNS, ADR)]],표4[[#This Row],[영업장코드(예약 영업장 코드)]])</f>
        <v>GOTARNS61</v>
      </c>
      <c r="I2768" s="34">
        <f>RIGHT(표4[[#This Row],[년월(XXXX-XX 형식)]],2)*1</f>
        <v>11</v>
      </c>
    </row>
    <row r="2769" spans="1:9" x14ac:dyDescent="0.3">
      <c r="A2769" s="53">
        <v>11</v>
      </c>
      <c r="B2769" s="53" t="s">
        <v>190</v>
      </c>
      <c r="C2769" s="53" t="s">
        <v>191</v>
      </c>
      <c r="D2769" s="53" t="s">
        <v>195</v>
      </c>
      <c r="E2769" s="53" t="s">
        <v>180</v>
      </c>
      <c r="F2769" s="57" t="s">
        <v>180</v>
      </c>
      <c r="G2769" s="34">
        <f>VLOOKUP(표4[[#This Row],[구분]],ota_rns[#All],표4[[#This Row],[구분1]]+5,FALSE)</f>
        <v>880</v>
      </c>
      <c r="H2769" s="58" t="str">
        <f>CONCATENATE(표4[[#This Row],[세그먼트 (OTA , GOTA, IB'[IB'])]],표4[[#This Row],[목표구분 (REV, RNS, ADR)]],표4[[#This Row],[영업장코드(예약 영업장 코드)]])</f>
        <v>GOTARNS05</v>
      </c>
      <c r="I2769" s="34">
        <f>RIGHT(표4[[#This Row],[년월(XXXX-XX 형식)]],2)*1</f>
        <v>11</v>
      </c>
    </row>
    <row r="2770" spans="1:9" x14ac:dyDescent="0.3">
      <c r="A2770" s="53">
        <v>11</v>
      </c>
      <c r="B2770" s="53" t="s">
        <v>190</v>
      </c>
      <c r="C2770" s="53" t="s">
        <v>191</v>
      </c>
      <c r="D2770" s="53" t="s">
        <v>195</v>
      </c>
      <c r="E2770" s="53" t="s">
        <v>181</v>
      </c>
      <c r="F2770" s="57" t="s">
        <v>137</v>
      </c>
      <c r="G2770" s="34">
        <f>VLOOKUP(표4[[#This Row],[구분]],ota_rns[#All],표4[[#This Row],[구분1]]+5,FALSE)</f>
        <v>700</v>
      </c>
      <c r="H2770" s="58" t="str">
        <f>CONCATENATE(표4[[#This Row],[세그먼트 (OTA , GOTA, IB'[IB'])]],표4[[#This Row],[목표구분 (REV, RNS, ADR)]],표4[[#This Row],[영업장코드(예약 영업장 코드)]])</f>
        <v>GOTARNS66</v>
      </c>
      <c r="I2770" s="34">
        <f>RIGHT(표4[[#This Row],[년월(XXXX-XX 형식)]],2)*1</f>
        <v>11</v>
      </c>
    </row>
    <row r="2771" spans="1:9" x14ac:dyDescent="0.3">
      <c r="A2771" s="53">
        <v>11</v>
      </c>
      <c r="B2771" s="53" t="s">
        <v>190</v>
      </c>
      <c r="C2771" s="53" t="s">
        <v>191</v>
      </c>
      <c r="D2771" s="53" t="s">
        <v>195</v>
      </c>
      <c r="E2771" s="53" t="s">
        <v>84</v>
      </c>
      <c r="F2771" s="57" t="s">
        <v>84</v>
      </c>
      <c r="G2771" s="34">
        <f>VLOOKUP(표4[[#This Row],[구분]],ota_rns[#All],표4[[#This Row],[구분1]]+5,FALSE)</f>
        <v>1700</v>
      </c>
      <c r="H2771" s="58" t="str">
        <f>CONCATENATE(표4[[#This Row],[세그먼트 (OTA , GOTA, IB'[IB'])]],표4[[#This Row],[목표구분 (REV, RNS, ADR)]],표4[[#This Row],[영업장코드(예약 영업장 코드)]])</f>
        <v>GOTARNS06</v>
      </c>
      <c r="I2771" s="34">
        <f>RIGHT(표4[[#This Row],[년월(XXXX-XX 형식)]],2)*1</f>
        <v>11</v>
      </c>
    </row>
    <row r="2772" spans="1:9" x14ac:dyDescent="0.3">
      <c r="A2772" s="53">
        <v>11</v>
      </c>
      <c r="B2772" s="53" t="s">
        <v>190</v>
      </c>
      <c r="C2772" s="53" t="s">
        <v>191</v>
      </c>
      <c r="D2772" s="53" t="s">
        <v>195</v>
      </c>
      <c r="E2772" s="53" t="s">
        <v>143</v>
      </c>
      <c r="F2772" s="57" t="s">
        <v>143</v>
      </c>
      <c r="G2772" s="34">
        <f>VLOOKUP(표4[[#This Row],[구분]],ota_rns[#All],표4[[#This Row],[구분1]]+5,FALSE)</f>
        <v>750</v>
      </c>
      <c r="H2772" s="58" t="str">
        <f>CONCATENATE(표4[[#This Row],[세그먼트 (OTA , GOTA, IB'[IB'])]],표4[[#This Row],[목표구분 (REV, RNS, ADR)]],표4[[#This Row],[영업장코드(예약 영업장 코드)]])</f>
        <v>GOTARNS73</v>
      </c>
      <c r="I2772" s="34">
        <f>RIGHT(표4[[#This Row],[년월(XXXX-XX 형식)]],2)*1</f>
        <v>11</v>
      </c>
    </row>
    <row r="2773" spans="1:9" x14ac:dyDescent="0.3">
      <c r="A2773" s="53">
        <v>11</v>
      </c>
      <c r="B2773" s="53" t="s">
        <v>190</v>
      </c>
      <c r="C2773" s="53" t="s">
        <v>191</v>
      </c>
      <c r="D2773" s="53" t="s">
        <v>195</v>
      </c>
      <c r="E2773" s="53" t="s">
        <v>99</v>
      </c>
      <c r="F2773" s="57" t="s">
        <v>99</v>
      </c>
      <c r="G2773" s="34">
        <f>VLOOKUP(표4[[#This Row],[구분]],ota_rns[#All],표4[[#This Row],[구분1]]+5,FALSE)</f>
        <v>950</v>
      </c>
      <c r="H2773" s="58" t="str">
        <f>CONCATENATE(표4[[#This Row],[세그먼트 (OTA , GOTA, IB'[IB'])]],표4[[#This Row],[목표구분 (REV, RNS, ADR)]],표4[[#This Row],[영업장코드(예약 영업장 코드)]])</f>
        <v>GOTARNS16</v>
      </c>
      <c r="I2773" s="34">
        <f>RIGHT(표4[[#This Row],[년월(XXXX-XX 형식)]],2)*1</f>
        <v>11</v>
      </c>
    </row>
    <row r="2774" spans="1:9" x14ac:dyDescent="0.3">
      <c r="A2774" s="53">
        <v>11</v>
      </c>
      <c r="B2774" s="53" t="s">
        <v>190</v>
      </c>
      <c r="C2774" s="53" t="s">
        <v>191</v>
      </c>
      <c r="D2774" s="53" t="s">
        <v>195</v>
      </c>
      <c r="E2774" s="53" t="s">
        <v>103</v>
      </c>
      <c r="F2774" s="57" t="s">
        <v>110</v>
      </c>
      <c r="G2774" s="34">
        <f>VLOOKUP(표4[[#This Row],[구분]],ota_rns[#All],표4[[#This Row],[구분1]]+5,FALSE)</f>
        <v>900</v>
      </c>
      <c r="H2774" s="58" t="str">
        <f>CONCATENATE(표4[[#This Row],[세그먼트 (OTA , GOTA, IB'[IB'])]],표4[[#This Row],[목표구분 (REV, RNS, ADR)]],표4[[#This Row],[영업장코드(예약 영업장 코드)]])</f>
        <v>GOTARNS24</v>
      </c>
      <c r="I2774" s="34">
        <f>RIGHT(표4[[#This Row],[년월(XXXX-XX 형식)]],2)*1</f>
        <v>11</v>
      </c>
    </row>
    <row r="2775" spans="1:9" x14ac:dyDescent="0.3">
      <c r="A2775" s="53">
        <v>11</v>
      </c>
      <c r="B2775" s="53" t="s">
        <v>190</v>
      </c>
      <c r="C2775" s="53" t="s">
        <v>191</v>
      </c>
      <c r="D2775" s="53" t="s">
        <v>195</v>
      </c>
      <c r="E2775" s="53" t="s">
        <v>101</v>
      </c>
      <c r="F2775" s="57" t="s">
        <v>107</v>
      </c>
      <c r="G2775" s="34">
        <f>VLOOKUP(표4[[#This Row],[구분]],ota_rns[#All],표4[[#This Row],[구분1]]+5,FALSE)</f>
        <v>900</v>
      </c>
      <c r="H2775" s="58" t="str">
        <f>CONCATENATE(표4[[#This Row],[세그먼트 (OTA , GOTA, IB'[IB'])]],표4[[#This Row],[목표구분 (REV, RNS, ADR)]],표4[[#This Row],[영업장코드(예약 영업장 코드)]])</f>
        <v>GOTARNS22</v>
      </c>
      <c r="I2775" s="34">
        <f>RIGHT(표4[[#This Row],[년월(XXXX-XX 형식)]],2)*1</f>
        <v>11</v>
      </c>
    </row>
    <row r="2776" spans="1:9" x14ac:dyDescent="0.3">
      <c r="A2776" s="53">
        <v>11</v>
      </c>
      <c r="B2776" s="53" t="s">
        <v>190</v>
      </c>
      <c r="C2776" s="53" t="s">
        <v>191</v>
      </c>
      <c r="D2776" s="53" t="s">
        <v>195</v>
      </c>
      <c r="E2776" s="53" t="s">
        <v>182</v>
      </c>
      <c r="F2776" s="57" t="s">
        <v>147</v>
      </c>
      <c r="G2776" s="34">
        <f>VLOOKUP(표4[[#This Row],[구분]],ota_rns[#All],표4[[#This Row],[구분1]]+5,FALSE)</f>
        <v>1500</v>
      </c>
      <c r="H2776" s="58" t="str">
        <f>CONCATENATE(표4[[#This Row],[세그먼트 (OTA , GOTA, IB'[IB'])]],표4[[#This Row],[목표구분 (REV, RNS, ADR)]],표4[[#This Row],[영업장코드(예약 영업장 코드)]])</f>
        <v>GOTARNS77</v>
      </c>
      <c r="I2776" s="34">
        <f>RIGHT(표4[[#This Row],[년월(XXXX-XX 형식)]],2)*1</f>
        <v>11</v>
      </c>
    </row>
    <row r="2777" spans="1:9" x14ac:dyDescent="0.3">
      <c r="A2777" s="53">
        <v>11</v>
      </c>
      <c r="B2777" s="53" t="s">
        <v>190</v>
      </c>
      <c r="C2777" s="53" t="s">
        <v>191</v>
      </c>
      <c r="D2777" s="53" t="s">
        <v>195</v>
      </c>
      <c r="E2777" s="53" t="s">
        <v>183</v>
      </c>
      <c r="F2777" s="57" t="s">
        <v>157</v>
      </c>
      <c r="G2777" s="34">
        <f>VLOOKUP(표4[[#This Row],[구분]],ota_rns[#All],표4[[#This Row],[구분1]]+5,FALSE)</f>
        <v>680</v>
      </c>
      <c r="H2777" s="58" t="str">
        <f>CONCATENATE(표4[[#This Row],[세그먼트 (OTA , GOTA, IB'[IB'])]],표4[[#This Row],[목표구분 (REV, RNS, ADR)]],표4[[#This Row],[영업장코드(예약 영업장 코드)]])</f>
        <v>GOTARNS87</v>
      </c>
      <c r="I2777" s="34">
        <f>RIGHT(표4[[#This Row],[년월(XXXX-XX 형식)]],2)*1</f>
        <v>11</v>
      </c>
    </row>
    <row r="2778" spans="1:9" x14ac:dyDescent="0.3">
      <c r="A2778" s="53">
        <v>11</v>
      </c>
      <c r="B2778" s="53" t="s">
        <v>190</v>
      </c>
      <c r="C2778" s="53" t="s">
        <v>191</v>
      </c>
      <c r="D2778" s="53" t="s">
        <v>195</v>
      </c>
      <c r="E2778" s="53" t="s">
        <v>96</v>
      </c>
      <c r="F2778" s="57" t="s">
        <v>96</v>
      </c>
      <c r="G2778" s="34">
        <f>VLOOKUP(표4[[#This Row],[구분]],ota_rns[#All],표4[[#This Row],[구분1]]+5,FALSE)</f>
        <v>730</v>
      </c>
      <c r="H2778" s="58" t="str">
        <f>CONCATENATE(표4[[#This Row],[세그먼트 (OTA , GOTA, IB'[IB'])]],표4[[#This Row],[목표구분 (REV, RNS, ADR)]],표4[[#This Row],[영업장코드(예약 영업장 코드)]])</f>
        <v>GOTARNS15</v>
      </c>
      <c r="I2778" s="34">
        <f>RIGHT(표4[[#This Row],[년월(XXXX-XX 형식)]],2)*1</f>
        <v>11</v>
      </c>
    </row>
    <row r="2779" spans="1:9" x14ac:dyDescent="0.3">
      <c r="A2779" s="53">
        <v>11</v>
      </c>
      <c r="B2779" s="53" t="s">
        <v>190</v>
      </c>
      <c r="C2779" s="53" t="s">
        <v>191</v>
      </c>
      <c r="D2779" s="53" t="s">
        <v>195</v>
      </c>
      <c r="E2779" s="53" t="s">
        <v>105</v>
      </c>
      <c r="F2779" s="57" t="s">
        <v>119</v>
      </c>
      <c r="G2779" s="34">
        <f>VLOOKUP(표4[[#This Row],[구분]],ota_rns[#All],표4[[#This Row],[구분1]]+5,FALSE)</f>
        <v>2200</v>
      </c>
      <c r="H2779" s="58" t="str">
        <f>CONCATENATE(표4[[#This Row],[세그먼트 (OTA , GOTA, IB'[IB'])]],표4[[#This Row],[목표구분 (REV, RNS, ADR)]],표4[[#This Row],[영업장코드(예약 영업장 코드)]])</f>
        <v>GOTARNS29</v>
      </c>
      <c r="I2779" s="34">
        <f>RIGHT(표4[[#This Row],[년월(XXXX-XX 형식)]],2)*1</f>
        <v>11</v>
      </c>
    </row>
    <row r="2780" spans="1:9" x14ac:dyDescent="0.3">
      <c r="A2780" s="53">
        <v>11</v>
      </c>
      <c r="B2780" s="53" t="s">
        <v>190</v>
      </c>
      <c r="C2780" s="53" t="s">
        <v>191</v>
      </c>
      <c r="D2780" s="53" t="s">
        <v>195</v>
      </c>
      <c r="E2780" s="53" t="s">
        <v>184</v>
      </c>
      <c r="F2780" s="57" t="s">
        <v>152</v>
      </c>
      <c r="G2780" s="34">
        <f>VLOOKUP(표4[[#This Row],[구분]],ota_rns[#All],표4[[#This Row],[구분1]]+5,FALSE)</f>
        <v>900</v>
      </c>
      <c r="H2780" s="58" t="str">
        <f>CONCATENATE(표4[[#This Row],[세그먼트 (OTA , GOTA, IB'[IB'])]],표4[[#This Row],[목표구분 (REV, RNS, ADR)]],표4[[#This Row],[영업장코드(예약 영업장 코드)]])</f>
        <v>GOTARNS85</v>
      </c>
      <c r="I2780" s="34">
        <f>RIGHT(표4[[#This Row],[년월(XXXX-XX 형식)]],2)*1</f>
        <v>11</v>
      </c>
    </row>
    <row r="2781" spans="1:9" x14ac:dyDescent="0.3">
      <c r="A2781" s="53">
        <v>11</v>
      </c>
      <c r="B2781" s="53" t="s">
        <v>190</v>
      </c>
      <c r="C2781" s="53" t="s">
        <v>191</v>
      </c>
      <c r="D2781" s="53" t="s">
        <v>195</v>
      </c>
      <c r="E2781" s="53" t="s">
        <v>185</v>
      </c>
      <c r="F2781" s="57" t="s">
        <v>128</v>
      </c>
      <c r="G2781" s="34">
        <f>VLOOKUP(표4[[#This Row],[구분]],ota_rns[#All],표4[[#This Row],[구분1]]+5,FALSE)</f>
        <v>1200</v>
      </c>
      <c r="H2781" s="58" t="str">
        <f>CONCATENATE(표4[[#This Row],[세그먼트 (OTA , GOTA, IB'[IB'])]],표4[[#This Row],[목표구분 (REV, RNS, ADR)]],표4[[#This Row],[영업장코드(예약 영업장 코드)]])</f>
        <v>GOTARNS58</v>
      </c>
      <c r="I2781" s="34">
        <f>RIGHT(표4[[#This Row],[년월(XXXX-XX 형식)]],2)*1</f>
        <v>11</v>
      </c>
    </row>
    <row r="2782" spans="1:9" x14ac:dyDescent="0.3">
      <c r="A2782" s="53">
        <v>11</v>
      </c>
      <c r="B2782" s="53" t="s">
        <v>190</v>
      </c>
      <c r="C2782" s="53" t="s">
        <v>191</v>
      </c>
      <c r="D2782" s="53" t="s">
        <v>195</v>
      </c>
      <c r="E2782" s="53" t="s">
        <v>178</v>
      </c>
      <c r="F2782" s="57" t="s">
        <v>178</v>
      </c>
      <c r="G2782" s="34">
        <f>VLOOKUP(표4[[#This Row],[구분]],ota_rns[#All],표4[[#This Row],[구분1]]+5,FALSE)</f>
        <v>320</v>
      </c>
      <c r="H2782" s="58" t="str">
        <f>CONCATENATE(표4[[#This Row],[세그먼트 (OTA , GOTA, IB'[IB'])]],표4[[#This Row],[목표구분 (REV, RNS, ADR)]],표4[[#This Row],[영업장코드(예약 영업장 코드)]])</f>
        <v>GOTARNS94</v>
      </c>
      <c r="I2782" s="34">
        <f>RIGHT(표4[[#This Row],[년월(XXXX-XX 형식)]],2)*1</f>
        <v>11</v>
      </c>
    </row>
    <row r="2783" spans="1:9" x14ac:dyDescent="0.3">
      <c r="A2783" s="53">
        <v>11</v>
      </c>
      <c r="B2783" s="53" t="s">
        <v>190</v>
      </c>
      <c r="C2783" s="53" t="s">
        <v>192</v>
      </c>
      <c r="D2783" s="53" t="s">
        <v>195</v>
      </c>
      <c r="E2783" s="53" t="s">
        <v>78</v>
      </c>
      <c r="F2783" s="57" t="s">
        <v>78</v>
      </c>
      <c r="G2783" s="34">
        <f>VLOOKUP(표4[[#This Row],[구분]],ota_rns[#All],표4[[#This Row],[구분1]]+5,FALSE)</f>
        <v>134.64000000000001</v>
      </c>
      <c r="H2783" s="58" t="str">
        <f>CONCATENATE(표4[[#This Row],[세그먼트 (OTA , GOTA, IB'[IB'])]],표4[[#This Row],[목표구분 (REV, RNS, ADR)]],표4[[#This Row],[영업장코드(예약 영업장 코드)]])</f>
        <v>GOTAADR02</v>
      </c>
      <c r="I2783" s="34">
        <f>RIGHT(표4[[#This Row],[년월(XXXX-XX 형식)]],2)*1</f>
        <v>11</v>
      </c>
    </row>
    <row r="2784" spans="1:9" x14ac:dyDescent="0.3">
      <c r="A2784" s="53">
        <v>11</v>
      </c>
      <c r="B2784" s="53" t="s">
        <v>190</v>
      </c>
      <c r="C2784" s="53" t="s">
        <v>192</v>
      </c>
      <c r="D2784" s="53" t="s">
        <v>195</v>
      </c>
      <c r="E2784" s="53" t="s">
        <v>78</v>
      </c>
      <c r="F2784" s="57" t="s">
        <v>86</v>
      </c>
      <c r="G2784" s="34">
        <f>VLOOKUP(표4[[#This Row],[구분]],ota_rns[#All],표4[[#This Row],[구분1]]+5,FALSE)</f>
        <v>211.12903225806451</v>
      </c>
      <c r="H2784" s="58" t="str">
        <f>CONCATENATE(표4[[#This Row],[세그먼트 (OTA , GOTA, IB'[IB'])]],표4[[#This Row],[목표구분 (REV, RNS, ADR)]],표4[[#This Row],[영업장코드(예약 영업장 코드)]])</f>
        <v>GOTAADR07</v>
      </c>
      <c r="I2784" s="34">
        <f>RIGHT(표4[[#This Row],[년월(XXXX-XX 형식)]],2)*1</f>
        <v>11</v>
      </c>
    </row>
    <row r="2785" spans="1:9" x14ac:dyDescent="0.3">
      <c r="A2785" s="53">
        <v>11</v>
      </c>
      <c r="B2785" s="53" t="s">
        <v>190</v>
      </c>
      <c r="C2785" s="53" t="s">
        <v>192</v>
      </c>
      <c r="D2785" s="53" t="s">
        <v>195</v>
      </c>
      <c r="E2785" s="53" t="s">
        <v>78</v>
      </c>
      <c r="F2785" s="57" t="s">
        <v>105</v>
      </c>
      <c r="G2785" s="34">
        <f>VLOOKUP(표4[[#This Row],[구분]],ota_rns[#All],표4[[#This Row],[구분1]]+5,FALSE)</f>
        <v>260</v>
      </c>
      <c r="H2785" s="58" t="str">
        <f>CONCATENATE(표4[[#This Row],[세그먼트 (OTA , GOTA, IB'[IB'])]],표4[[#This Row],[목표구분 (REV, RNS, ADR)]],표4[[#This Row],[영업장코드(예약 영업장 코드)]])</f>
        <v>GOTAADR19</v>
      </c>
      <c r="I2785" s="34">
        <f>RIGHT(표4[[#This Row],[년월(XXXX-XX 형식)]],2)*1</f>
        <v>11</v>
      </c>
    </row>
    <row r="2786" spans="1:9" x14ac:dyDescent="0.3">
      <c r="A2786" s="53">
        <v>11</v>
      </c>
      <c r="B2786" s="53" t="s">
        <v>190</v>
      </c>
      <c r="C2786" s="53" t="s">
        <v>192</v>
      </c>
      <c r="D2786" s="53" t="s">
        <v>195</v>
      </c>
      <c r="E2786" s="53" t="s">
        <v>78</v>
      </c>
      <c r="F2786" s="57" t="s">
        <v>124</v>
      </c>
      <c r="G2786" s="34">
        <f>VLOOKUP(표4[[#This Row],[구분]],ota_rns[#All],표4[[#This Row],[구분1]]+5,FALSE)</f>
        <v>285</v>
      </c>
      <c r="H2786" s="58" t="str">
        <f>CONCATENATE(표4[[#This Row],[세그먼트 (OTA , GOTA, IB'[IB'])]],표4[[#This Row],[목표구분 (REV, RNS, ADR)]],표4[[#This Row],[영업장코드(예약 영업장 코드)]])</f>
        <v>GOTAADR50</v>
      </c>
      <c r="I2786" s="34">
        <f>RIGHT(표4[[#This Row],[년월(XXXX-XX 형식)]],2)*1</f>
        <v>11</v>
      </c>
    </row>
    <row r="2787" spans="1:9" x14ac:dyDescent="0.3">
      <c r="A2787" s="53">
        <v>11</v>
      </c>
      <c r="B2787" s="53" t="s">
        <v>190</v>
      </c>
      <c r="C2787" s="53" t="s">
        <v>192</v>
      </c>
      <c r="D2787" s="53" t="s">
        <v>195</v>
      </c>
      <c r="E2787" s="53" t="s">
        <v>78</v>
      </c>
      <c r="F2787" s="57" t="s">
        <v>88</v>
      </c>
      <c r="G2787" s="34">
        <f>VLOOKUP(표4[[#This Row],[구분]],ota_rns[#All],표4[[#This Row],[구분1]]+5,FALSE)</f>
        <v>286</v>
      </c>
      <c r="H2787" s="58" t="str">
        <f>CONCATENATE(표4[[#This Row],[세그먼트 (OTA , GOTA, IB'[IB'])]],표4[[#This Row],[목표구분 (REV, RNS, ADR)]],표4[[#This Row],[영업장코드(예약 영업장 코드)]])</f>
        <v>GOTAADR08</v>
      </c>
      <c r="I2787" s="34">
        <f>RIGHT(표4[[#This Row],[년월(XXXX-XX 형식)]],2)*1</f>
        <v>11</v>
      </c>
    </row>
    <row r="2788" spans="1:9" x14ac:dyDescent="0.3">
      <c r="A2788" s="53">
        <v>11</v>
      </c>
      <c r="B2788" s="53" t="s">
        <v>190</v>
      </c>
      <c r="C2788" s="53" t="s">
        <v>192</v>
      </c>
      <c r="D2788" s="53" t="s">
        <v>195</v>
      </c>
      <c r="E2788" s="53" t="s">
        <v>81</v>
      </c>
      <c r="F2788" s="57" t="s">
        <v>81</v>
      </c>
      <c r="G2788" s="34">
        <f>VLOOKUP(표4[[#This Row],[구분]],ota_rns[#All],표4[[#This Row],[구분1]]+5,FALSE)</f>
        <v>127.2</v>
      </c>
      <c r="H2788" s="58" t="str">
        <f>CONCATENATE(표4[[#This Row],[세그먼트 (OTA , GOTA, IB'[IB'])]],표4[[#This Row],[목표구분 (REV, RNS, ADR)]],표4[[#This Row],[영업장코드(예약 영업장 코드)]])</f>
        <v>GOTAADR03</v>
      </c>
      <c r="I2788" s="34">
        <f>RIGHT(표4[[#This Row],[년월(XXXX-XX 형식)]],2)*1</f>
        <v>11</v>
      </c>
    </row>
    <row r="2789" spans="1:9" x14ac:dyDescent="0.3">
      <c r="A2789" s="53">
        <v>11</v>
      </c>
      <c r="B2789" s="53" t="s">
        <v>190</v>
      </c>
      <c r="C2789" s="53" t="s">
        <v>192</v>
      </c>
      <c r="D2789" s="53" t="s">
        <v>195</v>
      </c>
      <c r="E2789" s="53" t="s">
        <v>75</v>
      </c>
      <c r="F2789" s="57" t="s">
        <v>75</v>
      </c>
      <c r="G2789" s="34">
        <f>VLOOKUP(표4[[#This Row],[구분]],ota_rns[#All],표4[[#This Row],[구분1]]+5,FALSE)</f>
        <v>162</v>
      </c>
      <c r="H2789" s="58" t="str">
        <f>CONCATENATE(표4[[#This Row],[세그먼트 (OTA , GOTA, IB'[IB'])]],표4[[#This Row],[목표구분 (REV, RNS, ADR)]],표4[[#This Row],[영업장코드(예약 영업장 코드)]])</f>
        <v>GOTAADR01</v>
      </c>
      <c r="I2789" s="34">
        <f>RIGHT(표4[[#This Row],[년월(XXXX-XX 형식)]],2)*1</f>
        <v>11</v>
      </c>
    </row>
    <row r="2790" spans="1:9" x14ac:dyDescent="0.3">
      <c r="A2790" s="53">
        <v>11</v>
      </c>
      <c r="B2790" s="53" t="s">
        <v>190</v>
      </c>
      <c r="C2790" s="53" t="s">
        <v>192</v>
      </c>
      <c r="D2790" s="53" t="s">
        <v>195</v>
      </c>
      <c r="E2790" s="53" t="s">
        <v>75</v>
      </c>
      <c r="F2790" s="57" t="s">
        <v>141</v>
      </c>
      <c r="G2790" s="34">
        <f>VLOOKUP(표4[[#This Row],[구분]],ota_rns[#All],표4[[#This Row],[구분1]]+5,FALSE)</f>
        <v>238.23318385650225</v>
      </c>
      <c r="H2790" s="58" t="str">
        <f>CONCATENATE(표4[[#This Row],[세그먼트 (OTA , GOTA, IB'[IB'])]],표4[[#This Row],[목표구분 (REV, RNS, ADR)]],표4[[#This Row],[영업장코드(예약 영업장 코드)]])</f>
        <v>GOTAADR70</v>
      </c>
      <c r="I2790" s="34">
        <f>RIGHT(표4[[#This Row],[년월(XXXX-XX 형식)]],2)*1</f>
        <v>11</v>
      </c>
    </row>
    <row r="2791" spans="1:9" x14ac:dyDescent="0.3">
      <c r="A2791" s="53">
        <v>11</v>
      </c>
      <c r="B2791" s="53" t="s">
        <v>190</v>
      </c>
      <c r="C2791" s="53" t="s">
        <v>192</v>
      </c>
      <c r="D2791" s="53" t="s">
        <v>195</v>
      </c>
      <c r="E2791" s="53" t="s">
        <v>75</v>
      </c>
      <c r="F2791" s="57" t="s">
        <v>113</v>
      </c>
      <c r="G2791" s="34">
        <f>VLOOKUP(표4[[#This Row],[구분]],ota_rns[#All],표4[[#This Row],[구분1]]+5,FALSE)</f>
        <v>172</v>
      </c>
      <c r="H2791" s="58" t="str">
        <f>CONCATENATE(표4[[#This Row],[세그먼트 (OTA , GOTA, IB'[IB'])]],표4[[#This Row],[목표구분 (REV, RNS, ADR)]],표4[[#This Row],[영업장코드(예약 영업장 코드)]])</f>
        <v>GOTAADR25</v>
      </c>
      <c r="I2791" s="34">
        <f>RIGHT(표4[[#This Row],[년월(XXXX-XX 형식)]],2)*1</f>
        <v>11</v>
      </c>
    </row>
    <row r="2792" spans="1:9" x14ac:dyDescent="0.3">
      <c r="A2792" s="53">
        <v>11</v>
      </c>
      <c r="B2792" s="53" t="s">
        <v>190</v>
      </c>
      <c r="C2792" s="53" t="s">
        <v>192</v>
      </c>
      <c r="D2792" s="53" t="s">
        <v>195</v>
      </c>
      <c r="E2792" s="53" t="s">
        <v>75</v>
      </c>
      <c r="F2792" s="57" t="s">
        <v>117</v>
      </c>
      <c r="G2792" s="34">
        <f>VLOOKUP(표4[[#This Row],[구분]],ota_rns[#All],표4[[#This Row],[구분1]]+5,FALSE)</f>
        <v>335</v>
      </c>
      <c r="H2792" s="58" t="str">
        <f>CONCATENATE(표4[[#This Row],[세그먼트 (OTA , GOTA, IB'[IB'])]],표4[[#This Row],[목표구분 (REV, RNS, ADR)]],표4[[#This Row],[영업장코드(예약 영업장 코드)]])</f>
        <v>GOTAADR27</v>
      </c>
      <c r="I2792" s="34">
        <f>RIGHT(표4[[#This Row],[년월(XXXX-XX 형식)]],2)*1</f>
        <v>11</v>
      </c>
    </row>
    <row r="2793" spans="1:9" x14ac:dyDescent="0.3">
      <c r="A2793" s="53">
        <v>11</v>
      </c>
      <c r="B2793" s="53" t="s">
        <v>190</v>
      </c>
      <c r="C2793" s="53" t="s">
        <v>192</v>
      </c>
      <c r="D2793" s="53" t="s">
        <v>195</v>
      </c>
      <c r="E2793" s="53" t="s">
        <v>75</v>
      </c>
      <c r="F2793" s="57" t="s">
        <v>122</v>
      </c>
      <c r="G2793" s="34">
        <f>VLOOKUP(표4[[#This Row],[구분]],ota_rns[#All],표4[[#This Row],[구분1]]+5,FALSE)</f>
        <v>272</v>
      </c>
      <c r="H2793" s="58" t="str">
        <f>CONCATENATE(표4[[#This Row],[세그먼트 (OTA , GOTA, IB'[IB'])]],표4[[#This Row],[목표구분 (REV, RNS, ADR)]],표4[[#This Row],[영업장코드(예약 영업장 코드)]])</f>
        <v>GOTAADR46</v>
      </c>
      <c r="I2793" s="34">
        <f>RIGHT(표4[[#This Row],[년월(XXXX-XX 형식)]],2)*1</f>
        <v>11</v>
      </c>
    </row>
    <row r="2794" spans="1:9" x14ac:dyDescent="0.3">
      <c r="A2794" s="53">
        <v>11</v>
      </c>
      <c r="B2794" s="53" t="s">
        <v>190</v>
      </c>
      <c r="C2794" s="53" t="s">
        <v>192</v>
      </c>
      <c r="D2794" s="53" t="s">
        <v>195</v>
      </c>
      <c r="E2794" s="53" t="s">
        <v>92</v>
      </c>
      <c r="F2794" s="57" t="s">
        <v>92</v>
      </c>
      <c r="G2794" s="34">
        <f>VLOOKUP(표4[[#This Row],[구분]],ota_rns[#All],표4[[#This Row],[구분1]]+5,FALSE)</f>
        <v>175</v>
      </c>
      <c r="H2794" s="58" t="str">
        <f>CONCATENATE(표4[[#This Row],[세그먼트 (OTA , GOTA, IB'[IB'])]],표4[[#This Row],[목표구분 (REV, RNS, ADR)]],표4[[#This Row],[영업장코드(예약 영업장 코드)]])</f>
        <v>GOTAADR10</v>
      </c>
      <c r="I2794" s="34">
        <f>RIGHT(표4[[#This Row],[년월(XXXX-XX 형식)]],2)*1</f>
        <v>11</v>
      </c>
    </row>
    <row r="2795" spans="1:9" x14ac:dyDescent="0.3">
      <c r="A2795" s="53">
        <v>11</v>
      </c>
      <c r="B2795" s="53" t="s">
        <v>190</v>
      </c>
      <c r="C2795" s="53" t="s">
        <v>192</v>
      </c>
      <c r="D2795" s="53" t="s">
        <v>195</v>
      </c>
      <c r="E2795" s="53" t="s">
        <v>110</v>
      </c>
      <c r="F2795" s="57" t="s">
        <v>131</v>
      </c>
      <c r="G2795" s="34">
        <f>VLOOKUP(표4[[#This Row],[구분]],ota_rns[#All],표4[[#This Row],[구분1]]+5,FALSE)</f>
        <v>188</v>
      </c>
      <c r="H2795" s="58" t="str">
        <f>CONCATENATE(표4[[#This Row],[세그먼트 (OTA , GOTA, IB'[IB'])]],표4[[#This Row],[목표구분 (REV, RNS, ADR)]],표4[[#This Row],[영업장코드(예약 영업장 코드)]])</f>
        <v>GOTAADR61</v>
      </c>
      <c r="I2795" s="34">
        <f>RIGHT(표4[[#This Row],[년월(XXXX-XX 형식)]],2)*1</f>
        <v>11</v>
      </c>
    </row>
    <row r="2796" spans="1:9" x14ac:dyDescent="0.3">
      <c r="A2796" s="53">
        <v>11</v>
      </c>
      <c r="B2796" s="53" t="s">
        <v>190</v>
      </c>
      <c r="C2796" s="53" t="s">
        <v>192</v>
      </c>
      <c r="D2796" s="53" t="s">
        <v>195</v>
      </c>
      <c r="E2796" s="53" t="s">
        <v>180</v>
      </c>
      <c r="F2796" s="57" t="s">
        <v>180</v>
      </c>
      <c r="G2796" s="34">
        <f>VLOOKUP(표4[[#This Row],[구분]],ota_rns[#All],표4[[#This Row],[구분1]]+5,FALSE)</f>
        <v>244.12741578088892</v>
      </c>
      <c r="H2796" s="58" t="str">
        <f>CONCATENATE(표4[[#This Row],[세그먼트 (OTA , GOTA, IB'[IB'])]],표4[[#This Row],[목표구분 (REV, RNS, ADR)]],표4[[#This Row],[영업장코드(예약 영업장 코드)]])</f>
        <v>GOTAADR05</v>
      </c>
      <c r="I2796" s="34">
        <f>RIGHT(표4[[#This Row],[년월(XXXX-XX 형식)]],2)*1</f>
        <v>11</v>
      </c>
    </row>
    <row r="2797" spans="1:9" x14ac:dyDescent="0.3">
      <c r="A2797" s="53">
        <v>11</v>
      </c>
      <c r="B2797" s="53" t="s">
        <v>190</v>
      </c>
      <c r="C2797" s="53" t="s">
        <v>192</v>
      </c>
      <c r="D2797" s="53" t="s">
        <v>195</v>
      </c>
      <c r="E2797" s="53" t="s">
        <v>181</v>
      </c>
      <c r="F2797" s="57" t="s">
        <v>137</v>
      </c>
      <c r="G2797" s="34">
        <f>VLOOKUP(표4[[#This Row],[구분]],ota_rns[#All],표4[[#This Row],[구분1]]+5,FALSE)</f>
        <v>142</v>
      </c>
      <c r="H2797" s="58" t="str">
        <f>CONCATENATE(표4[[#This Row],[세그먼트 (OTA , GOTA, IB'[IB'])]],표4[[#This Row],[목표구분 (REV, RNS, ADR)]],표4[[#This Row],[영업장코드(예약 영업장 코드)]])</f>
        <v>GOTAADR66</v>
      </c>
      <c r="I2797" s="34">
        <f>RIGHT(표4[[#This Row],[년월(XXXX-XX 형식)]],2)*1</f>
        <v>11</v>
      </c>
    </row>
    <row r="2798" spans="1:9" x14ac:dyDescent="0.3">
      <c r="A2798" s="53">
        <v>11</v>
      </c>
      <c r="B2798" s="53" t="s">
        <v>190</v>
      </c>
      <c r="C2798" s="53" t="s">
        <v>192</v>
      </c>
      <c r="D2798" s="53" t="s">
        <v>195</v>
      </c>
      <c r="E2798" s="53" t="s">
        <v>84</v>
      </c>
      <c r="F2798" s="57" t="s">
        <v>84</v>
      </c>
      <c r="G2798" s="34">
        <f>VLOOKUP(표4[[#This Row],[구분]],ota_rns[#All],표4[[#This Row],[구분1]]+5,FALSE)</f>
        <v>161.75</v>
      </c>
      <c r="H2798" s="58" t="str">
        <f>CONCATENATE(표4[[#This Row],[세그먼트 (OTA , GOTA, IB'[IB'])]],표4[[#This Row],[목표구분 (REV, RNS, ADR)]],표4[[#This Row],[영업장코드(예약 영업장 코드)]])</f>
        <v>GOTAADR06</v>
      </c>
      <c r="I2798" s="34">
        <f>RIGHT(표4[[#This Row],[년월(XXXX-XX 형식)]],2)*1</f>
        <v>11</v>
      </c>
    </row>
    <row r="2799" spans="1:9" x14ac:dyDescent="0.3">
      <c r="A2799" s="53">
        <v>11</v>
      </c>
      <c r="B2799" s="53" t="s">
        <v>190</v>
      </c>
      <c r="C2799" s="53" t="s">
        <v>192</v>
      </c>
      <c r="D2799" s="53" t="s">
        <v>195</v>
      </c>
      <c r="E2799" s="53" t="s">
        <v>143</v>
      </c>
      <c r="F2799" s="57" t="s">
        <v>143</v>
      </c>
      <c r="G2799" s="34">
        <f>VLOOKUP(표4[[#This Row],[구분]],ota_rns[#All],표4[[#This Row],[구분1]]+5,FALSE)</f>
        <v>167.97919999999999</v>
      </c>
      <c r="H2799" s="58" t="str">
        <f>CONCATENATE(표4[[#This Row],[세그먼트 (OTA , GOTA, IB'[IB'])]],표4[[#This Row],[목표구분 (REV, RNS, ADR)]],표4[[#This Row],[영업장코드(예약 영업장 코드)]])</f>
        <v>GOTAADR73</v>
      </c>
      <c r="I2799" s="34">
        <f>RIGHT(표4[[#This Row],[년월(XXXX-XX 형식)]],2)*1</f>
        <v>11</v>
      </c>
    </row>
    <row r="2800" spans="1:9" x14ac:dyDescent="0.3">
      <c r="A2800" s="53">
        <v>11</v>
      </c>
      <c r="B2800" s="53" t="s">
        <v>190</v>
      </c>
      <c r="C2800" s="53" t="s">
        <v>192</v>
      </c>
      <c r="D2800" s="53" t="s">
        <v>195</v>
      </c>
      <c r="E2800" s="53" t="s">
        <v>99</v>
      </c>
      <c r="F2800" s="57" t="s">
        <v>99</v>
      </c>
      <c r="G2800" s="34">
        <f>VLOOKUP(표4[[#This Row],[구분]],ota_rns[#All],표4[[#This Row],[구분1]]+5,FALSE)</f>
        <v>145</v>
      </c>
      <c r="H2800" s="58" t="str">
        <f>CONCATENATE(표4[[#This Row],[세그먼트 (OTA , GOTA, IB'[IB'])]],표4[[#This Row],[목표구분 (REV, RNS, ADR)]],표4[[#This Row],[영업장코드(예약 영업장 코드)]])</f>
        <v>GOTAADR16</v>
      </c>
      <c r="I2800" s="34">
        <f>RIGHT(표4[[#This Row],[년월(XXXX-XX 형식)]],2)*1</f>
        <v>11</v>
      </c>
    </row>
    <row r="2801" spans="1:9" x14ac:dyDescent="0.3">
      <c r="A2801" s="53">
        <v>11</v>
      </c>
      <c r="B2801" s="53" t="s">
        <v>190</v>
      </c>
      <c r="C2801" s="53" t="s">
        <v>192</v>
      </c>
      <c r="D2801" s="53" t="s">
        <v>195</v>
      </c>
      <c r="E2801" s="53" t="s">
        <v>103</v>
      </c>
      <c r="F2801" s="57" t="s">
        <v>110</v>
      </c>
      <c r="G2801" s="34">
        <f>VLOOKUP(표4[[#This Row],[구분]],ota_rns[#All],표4[[#This Row],[구분1]]+5,FALSE)</f>
        <v>211</v>
      </c>
      <c r="H2801" s="58" t="str">
        <f>CONCATENATE(표4[[#This Row],[세그먼트 (OTA , GOTA, IB'[IB'])]],표4[[#This Row],[목표구분 (REV, RNS, ADR)]],표4[[#This Row],[영업장코드(예약 영업장 코드)]])</f>
        <v>GOTAADR24</v>
      </c>
      <c r="I2801" s="34">
        <f>RIGHT(표4[[#This Row],[년월(XXXX-XX 형식)]],2)*1</f>
        <v>11</v>
      </c>
    </row>
    <row r="2802" spans="1:9" x14ac:dyDescent="0.3">
      <c r="A2802" s="53">
        <v>11</v>
      </c>
      <c r="B2802" s="53" t="s">
        <v>190</v>
      </c>
      <c r="C2802" s="53" t="s">
        <v>192</v>
      </c>
      <c r="D2802" s="53" t="s">
        <v>195</v>
      </c>
      <c r="E2802" s="53" t="s">
        <v>101</v>
      </c>
      <c r="F2802" s="57" t="s">
        <v>107</v>
      </c>
      <c r="G2802" s="34">
        <f>VLOOKUP(표4[[#This Row],[구분]],ota_rns[#All],표4[[#This Row],[구분1]]+5,FALSE)</f>
        <v>242</v>
      </c>
      <c r="H2802" s="58" t="str">
        <f>CONCATENATE(표4[[#This Row],[세그먼트 (OTA , GOTA, IB'[IB'])]],표4[[#This Row],[목표구분 (REV, RNS, ADR)]],표4[[#This Row],[영업장코드(예약 영업장 코드)]])</f>
        <v>GOTAADR22</v>
      </c>
      <c r="I2802" s="34">
        <f>RIGHT(표4[[#This Row],[년월(XXXX-XX 형식)]],2)*1</f>
        <v>11</v>
      </c>
    </row>
    <row r="2803" spans="1:9" x14ac:dyDescent="0.3">
      <c r="A2803" s="53">
        <v>11</v>
      </c>
      <c r="B2803" s="53" t="s">
        <v>190</v>
      </c>
      <c r="C2803" s="53" t="s">
        <v>192</v>
      </c>
      <c r="D2803" s="53" t="s">
        <v>195</v>
      </c>
      <c r="E2803" s="53" t="s">
        <v>182</v>
      </c>
      <c r="F2803" s="57" t="s">
        <v>147</v>
      </c>
      <c r="G2803" s="34">
        <f>VLOOKUP(표4[[#This Row],[구분]],ota_rns[#All],표4[[#This Row],[구분1]]+5,FALSE)</f>
        <v>222.1</v>
      </c>
      <c r="H2803" s="58" t="str">
        <f>CONCATENATE(표4[[#This Row],[세그먼트 (OTA , GOTA, IB'[IB'])]],표4[[#This Row],[목표구분 (REV, RNS, ADR)]],표4[[#This Row],[영업장코드(예약 영업장 코드)]])</f>
        <v>GOTAADR77</v>
      </c>
      <c r="I2803" s="34">
        <f>RIGHT(표4[[#This Row],[년월(XXXX-XX 형식)]],2)*1</f>
        <v>11</v>
      </c>
    </row>
    <row r="2804" spans="1:9" x14ac:dyDescent="0.3">
      <c r="A2804" s="53">
        <v>11</v>
      </c>
      <c r="B2804" s="53" t="s">
        <v>190</v>
      </c>
      <c r="C2804" s="53" t="s">
        <v>192</v>
      </c>
      <c r="D2804" s="53" t="s">
        <v>195</v>
      </c>
      <c r="E2804" s="53" t="s">
        <v>183</v>
      </c>
      <c r="F2804" s="57" t="s">
        <v>157</v>
      </c>
      <c r="G2804" s="34">
        <f>VLOOKUP(표4[[#This Row],[구분]],ota_rns[#All],표4[[#This Row],[구분1]]+5,FALSE)</f>
        <v>253.48529411764707</v>
      </c>
      <c r="H2804" s="58" t="str">
        <f>CONCATENATE(표4[[#This Row],[세그먼트 (OTA , GOTA, IB'[IB'])]],표4[[#This Row],[목표구분 (REV, RNS, ADR)]],표4[[#This Row],[영업장코드(예약 영업장 코드)]])</f>
        <v>GOTAADR87</v>
      </c>
      <c r="I2804" s="34">
        <f>RIGHT(표4[[#This Row],[년월(XXXX-XX 형식)]],2)*1</f>
        <v>11</v>
      </c>
    </row>
    <row r="2805" spans="1:9" x14ac:dyDescent="0.3">
      <c r="A2805" s="53">
        <v>11</v>
      </c>
      <c r="B2805" s="53" t="s">
        <v>190</v>
      </c>
      <c r="C2805" s="53" t="s">
        <v>192</v>
      </c>
      <c r="D2805" s="53" t="s">
        <v>195</v>
      </c>
      <c r="E2805" s="53" t="s">
        <v>96</v>
      </c>
      <c r="F2805" s="57" t="s">
        <v>96</v>
      </c>
      <c r="G2805" s="34">
        <f>VLOOKUP(표4[[#This Row],[구분]],ota_rns[#All],표4[[#This Row],[구분1]]+5,FALSE)</f>
        <v>170</v>
      </c>
      <c r="H2805" s="58" t="str">
        <f>CONCATENATE(표4[[#This Row],[세그먼트 (OTA , GOTA, IB'[IB'])]],표4[[#This Row],[목표구분 (REV, RNS, ADR)]],표4[[#This Row],[영업장코드(예약 영업장 코드)]])</f>
        <v>GOTAADR15</v>
      </c>
      <c r="I2805" s="34">
        <f>RIGHT(표4[[#This Row],[년월(XXXX-XX 형식)]],2)*1</f>
        <v>11</v>
      </c>
    </row>
    <row r="2806" spans="1:9" x14ac:dyDescent="0.3">
      <c r="A2806" s="53">
        <v>11</v>
      </c>
      <c r="B2806" s="53" t="s">
        <v>190</v>
      </c>
      <c r="C2806" s="53" t="s">
        <v>192</v>
      </c>
      <c r="D2806" s="53" t="s">
        <v>195</v>
      </c>
      <c r="E2806" s="53" t="s">
        <v>105</v>
      </c>
      <c r="F2806" s="57" t="s">
        <v>119</v>
      </c>
      <c r="G2806" s="34">
        <f>VLOOKUP(표4[[#This Row],[구분]],ota_rns[#All],표4[[#This Row],[구분1]]+5,FALSE)</f>
        <v>170</v>
      </c>
      <c r="H2806" s="58" t="str">
        <f>CONCATENATE(표4[[#This Row],[세그먼트 (OTA , GOTA, IB'[IB'])]],표4[[#This Row],[목표구분 (REV, RNS, ADR)]],표4[[#This Row],[영업장코드(예약 영업장 코드)]])</f>
        <v>GOTAADR29</v>
      </c>
      <c r="I2806" s="34">
        <f>RIGHT(표4[[#This Row],[년월(XXXX-XX 형식)]],2)*1</f>
        <v>11</v>
      </c>
    </row>
    <row r="2807" spans="1:9" x14ac:dyDescent="0.3">
      <c r="A2807" s="53">
        <v>11</v>
      </c>
      <c r="B2807" s="53" t="s">
        <v>190</v>
      </c>
      <c r="C2807" s="53" t="s">
        <v>192</v>
      </c>
      <c r="D2807" s="53" t="s">
        <v>195</v>
      </c>
      <c r="E2807" s="53" t="s">
        <v>184</v>
      </c>
      <c r="F2807" s="57" t="s">
        <v>152</v>
      </c>
      <c r="G2807" s="34">
        <f>VLOOKUP(표4[[#This Row],[구분]],ota_rns[#All],표4[[#This Row],[구분1]]+5,FALSE)</f>
        <v>351.33333333333331</v>
      </c>
      <c r="H2807" s="58" t="str">
        <f>CONCATENATE(표4[[#This Row],[세그먼트 (OTA , GOTA, IB'[IB'])]],표4[[#This Row],[목표구분 (REV, RNS, ADR)]],표4[[#This Row],[영업장코드(예약 영업장 코드)]])</f>
        <v>GOTAADR85</v>
      </c>
      <c r="I2807" s="34">
        <f>RIGHT(표4[[#This Row],[년월(XXXX-XX 형식)]],2)*1</f>
        <v>11</v>
      </c>
    </row>
    <row r="2808" spans="1:9" x14ac:dyDescent="0.3">
      <c r="A2808" s="53">
        <v>11</v>
      </c>
      <c r="B2808" s="53" t="s">
        <v>190</v>
      </c>
      <c r="C2808" s="53" t="s">
        <v>192</v>
      </c>
      <c r="D2808" s="53" t="s">
        <v>195</v>
      </c>
      <c r="E2808" s="53" t="s">
        <v>185</v>
      </c>
      <c r="F2808" s="57" t="s">
        <v>128</v>
      </c>
      <c r="G2808" s="34">
        <f>VLOOKUP(표4[[#This Row],[구분]],ota_rns[#All],표4[[#This Row],[구분1]]+5,FALSE)</f>
        <v>90.4</v>
      </c>
      <c r="H2808" s="58" t="str">
        <f>CONCATENATE(표4[[#This Row],[세그먼트 (OTA , GOTA, IB'[IB'])]],표4[[#This Row],[목표구분 (REV, RNS, ADR)]],표4[[#This Row],[영업장코드(예약 영업장 코드)]])</f>
        <v>GOTAADR58</v>
      </c>
      <c r="I2808" s="34">
        <f>RIGHT(표4[[#This Row],[년월(XXXX-XX 형식)]],2)*1</f>
        <v>11</v>
      </c>
    </row>
    <row r="2809" spans="1:9" x14ac:dyDescent="0.3">
      <c r="A2809" s="53">
        <v>11</v>
      </c>
      <c r="B2809" s="53" t="s">
        <v>190</v>
      </c>
      <c r="C2809" s="53" t="s">
        <v>192</v>
      </c>
      <c r="D2809" s="53" t="s">
        <v>195</v>
      </c>
      <c r="E2809" s="53" t="s">
        <v>178</v>
      </c>
      <c r="F2809" s="57" t="s">
        <v>178</v>
      </c>
      <c r="G2809" s="34">
        <f>VLOOKUP(표4[[#This Row],[구분]],ota_rns[#All],표4[[#This Row],[구분1]]+5,FALSE)</f>
        <v>227.46999999999997</v>
      </c>
      <c r="H2809" s="58" t="str">
        <f>CONCATENATE(표4[[#This Row],[세그먼트 (OTA , GOTA, IB'[IB'])]],표4[[#This Row],[목표구분 (REV, RNS, ADR)]],표4[[#This Row],[영업장코드(예약 영업장 코드)]])</f>
        <v>GOTAADR94</v>
      </c>
      <c r="I2809" s="34">
        <f>RIGHT(표4[[#This Row],[년월(XXXX-XX 형식)]],2)*1</f>
        <v>11</v>
      </c>
    </row>
    <row r="2810" spans="1:9" x14ac:dyDescent="0.3">
      <c r="A2810" s="53">
        <v>11</v>
      </c>
      <c r="B2810" s="53" t="s">
        <v>190</v>
      </c>
      <c r="C2810" s="53" t="s">
        <v>193</v>
      </c>
      <c r="D2810" s="53" t="s">
        <v>195</v>
      </c>
      <c r="E2810" s="53" t="s">
        <v>78</v>
      </c>
      <c r="F2810" s="57" t="s">
        <v>78</v>
      </c>
      <c r="G2810" s="34">
        <f>VLOOKUP(표4[[#This Row],[구분]],ota_rns[#All],표4[[#This Row],[구분1]]+5,FALSE)</f>
        <v>148.10400000000004</v>
      </c>
      <c r="H2810" s="58" t="str">
        <f>CONCATENATE(표4[[#This Row],[세그먼트 (OTA , GOTA, IB'[IB'])]],표4[[#This Row],[목표구분 (REV, RNS, ADR)]],표4[[#This Row],[영업장코드(예약 영업장 코드)]])</f>
        <v>GOTAREV02</v>
      </c>
      <c r="I2810" s="34">
        <f>RIGHT(표4[[#This Row],[년월(XXXX-XX 형식)]],2)*1</f>
        <v>11</v>
      </c>
    </row>
    <row r="2811" spans="1:9" x14ac:dyDescent="0.3">
      <c r="A2811" s="53">
        <v>11</v>
      </c>
      <c r="B2811" s="53" t="s">
        <v>190</v>
      </c>
      <c r="C2811" s="53" t="s">
        <v>193</v>
      </c>
      <c r="D2811" s="53" t="s">
        <v>195</v>
      </c>
      <c r="E2811" s="53" t="s">
        <v>78</v>
      </c>
      <c r="F2811" s="57" t="s">
        <v>86</v>
      </c>
      <c r="G2811" s="34">
        <f>VLOOKUP(표4[[#This Row],[구분]],ota_rns[#All],표4[[#This Row],[구분1]]+5,FALSE)</f>
        <v>65.45</v>
      </c>
      <c r="H2811" s="58" t="str">
        <f>CONCATENATE(표4[[#This Row],[세그먼트 (OTA , GOTA, IB'[IB'])]],표4[[#This Row],[목표구분 (REV, RNS, ADR)]],표4[[#This Row],[영업장코드(예약 영업장 코드)]])</f>
        <v>GOTAREV07</v>
      </c>
      <c r="I2811" s="34">
        <f>RIGHT(표4[[#This Row],[년월(XXXX-XX 형식)]],2)*1</f>
        <v>11</v>
      </c>
    </row>
    <row r="2812" spans="1:9" x14ac:dyDescent="0.3">
      <c r="A2812" s="53">
        <v>11</v>
      </c>
      <c r="B2812" s="53" t="s">
        <v>190</v>
      </c>
      <c r="C2812" s="53" t="s">
        <v>193</v>
      </c>
      <c r="D2812" s="53" t="s">
        <v>195</v>
      </c>
      <c r="E2812" s="53" t="s">
        <v>78</v>
      </c>
      <c r="F2812" s="57" t="s">
        <v>105</v>
      </c>
      <c r="G2812" s="34">
        <f>VLOOKUP(표4[[#This Row],[구분]],ota_rns[#All],표4[[#This Row],[구분1]]+5,FALSE)</f>
        <v>130</v>
      </c>
      <c r="H2812" s="58" t="str">
        <f>CONCATENATE(표4[[#This Row],[세그먼트 (OTA , GOTA, IB'[IB'])]],표4[[#This Row],[목표구분 (REV, RNS, ADR)]],표4[[#This Row],[영업장코드(예약 영업장 코드)]])</f>
        <v>GOTAREV19</v>
      </c>
      <c r="I2812" s="34">
        <f>RIGHT(표4[[#This Row],[년월(XXXX-XX 형식)]],2)*1</f>
        <v>11</v>
      </c>
    </row>
    <row r="2813" spans="1:9" x14ac:dyDescent="0.3">
      <c r="A2813" s="53">
        <v>11</v>
      </c>
      <c r="B2813" s="53" t="s">
        <v>190</v>
      </c>
      <c r="C2813" s="53" t="s">
        <v>193</v>
      </c>
      <c r="D2813" s="53" t="s">
        <v>195</v>
      </c>
      <c r="E2813" s="53" t="s">
        <v>78</v>
      </c>
      <c r="F2813" s="57" t="s">
        <v>124</v>
      </c>
      <c r="G2813" s="34">
        <f>VLOOKUP(표4[[#This Row],[구분]],ota_rns[#All],표4[[#This Row],[구분1]]+5,FALSE)</f>
        <v>85.5</v>
      </c>
      <c r="H2813" s="58" t="str">
        <f>CONCATENATE(표4[[#This Row],[세그먼트 (OTA , GOTA, IB'[IB'])]],표4[[#This Row],[목표구분 (REV, RNS, ADR)]],표4[[#This Row],[영업장코드(예약 영업장 코드)]])</f>
        <v>GOTAREV50</v>
      </c>
      <c r="I2813" s="34">
        <f>RIGHT(표4[[#This Row],[년월(XXXX-XX 형식)]],2)*1</f>
        <v>11</v>
      </c>
    </row>
    <row r="2814" spans="1:9" x14ac:dyDescent="0.3">
      <c r="A2814" s="53">
        <v>11</v>
      </c>
      <c r="B2814" s="53" t="s">
        <v>190</v>
      </c>
      <c r="C2814" s="53" t="s">
        <v>193</v>
      </c>
      <c r="D2814" s="53" t="s">
        <v>195</v>
      </c>
      <c r="E2814" s="53" t="s">
        <v>78</v>
      </c>
      <c r="F2814" s="57" t="s">
        <v>88</v>
      </c>
      <c r="G2814" s="34">
        <f>VLOOKUP(표4[[#This Row],[구분]],ota_rns[#All],표4[[#This Row],[구분1]]+5,FALSE)</f>
        <v>85.8</v>
      </c>
      <c r="H2814" s="58" t="str">
        <f>CONCATENATE(표4[[#This Row],[세그먼트 (OTA , GOTA, IB'[IB'])]],표4[[#This Row],[목표구분 (REV, RNS, ADR)]],표4[[#This Row],[영업장코드(예약 영업장 코드)]])</f>
        <v>GOTAREV08</v>
      </c>
      <c r="I2814" s="34">
        <f>RIGHT(표4[[#This Row],[년월(XXXX-XX 형식)]],2)*1</f>
        <v>11</v>
      </c>
    </row>
    <row r="2815" spans="1:9" x14ac:dyDescent="0.3">
      <c r="A2815" s="53">
        <v>11</v>
      </c>
      <c r="B2815" s="53" t="s">
        <v>190</v>
      </c>
      <c r="C2815" s="53" t="s">
        <v>193</v>
      </c>
      <c r="D2815" s="53" t="s">
        <v>195</v>
      </c>
      <c r="E2815" s="53" t="s">
        <v>81</v>
      </c>
      <c r="F2815" s="57" t="s">
        <v>81</v>
      </c>
      <c r="G2815" s="34">
        <f>VLOOKUP(표4[[#This Row],[구분]],ota_rns[#All],표4[[#This Row],[구분1]]+5,FALSE)</f>
        <v>35.616</v>
      </c>
      <c r="H2815" s="58" t="str">
        <f>CONCATENATE(표4[[#This Row],[세그먼트 (OTA , GOTA, IB'[IB'])]],표4[[#This Row],[목표구분 (REV, RNS, ADR)]],표4[[#This Row],[영업장코드(예약 영업장 코드)]])</f>
        <v>GOTAREV03</v>
      </c>
      <c r="I2815" s="34">
        <f>RIGHT(표4[[#This Row],[년월(XXXX-XX 형식)]],2)*1</f>
        <v>11</v>
      </c>
    </row>
    <row r="2816" spans="1:9" x14ac:dyDescent="0.3">
      <c r="A2816" s="53">
        <v>11</v>
      </c>
      <c r="B2816" s="53" t="s">
        <v>190</v>
      </c>
      <c r="C2816" s="53" t="s">
        <v>193</v>
      </c>
      <c r="D2816" s="53" t="s">
        <v>195</v>
      </c>
      <c r="E2816" s="53" t="s">
        <v>75</v>
      </c>
      <c r="F2816" s="57" t="s">
        <v>75</v>
      </c>
      <c r="G2816" s="34">
        <f>VLOOKUP(표4[[#This Row],[구분]],ota_rns[#All],표4[[#This Row],[구분1]]+5,FALSE)</f>
        <v>113.4</v>
      </c>
      <c r="H2816" s="58" t="str">
        <f>CONCATENATE(표4[[#This Row],[세그먼트 (OTA , GOTA, IB'[IB'])]],표4[[#This Row],[목표구분 (REV, RNS, ADR)]],표4[[#This Row],[영업장코드(예약 영업장 코드)]])</f>
        <v>GOTAREV01</v>
      </c>
      <c r="I2816" s="34">
        <f>RIGHT(표4[[#This Row],[년월(XXXX-XX 형식)]],2)*1</f>
        <v>11</v>
      </c>
    </row>
    <row r="2817" spans="1:9" x14ac:dyDescent="0.3">
      <c r="A2817" s="53">
        <v>11</v>
      </c>
      <c r="B2817" s="53" t="s">
        <v>190</v>
      </c>
      <c r="C2817" s="53" t="s">
        <v>193</v>
      </c>
      <c r="D2817" s="53" t="s">
        <v>195</v>
      </c>
      <c r="E2817" s="53" t="s">
        <v>75</v>
      </c>
      <c r="F2817" s="57" t="s">
        <v>141</v>
      </c>
      <c r="G2817" s="34">
        <f>VLOOKUP(표4[[#This Row],[구분]],ota_rns[#All],표4[[#This Row],[구분1]]+5,FALSE)</f>
        <v>531.26</v>
      </c>
      <c r="H2817" s="58" t="str">
        <f>CONCATENATE(표4[[#This Row],[세그먼트 (OTA , GOTA, IB'[IB'])]],표4[[#This Row],[목표구분 (REV, RNS, ADR)]],표4[[#This Row],[영업장코드(예약 영업장 코드)]])</f>
        <v>GOTAREV70</v>
      </c>
      <c r="I2817" s="34">
        <f>RIGHT(표4[[#This Row],[년월(XXXX-XX 형식)]],2)*1</f>
        <v>11</v>
      </c>
    </row>
    <row r="2818" spans="1:9" x14ac:dyDescent="0.3">
      <c r="A2818" s="53">
        <v>11</v>
      </c>
      <c r="B2818" s="53" t="s">
        <v>190</v>
      </c>
      <c r="C2818" s="53" t="s">
        <v>193</v>
      </c>
      <c r="D2818" s="53" t="s">
        <v>195</v>
      </c>
      <c r="E2818" s="53" t="s">
        <v>75</v>
      </c>
      <c r="F2818" s="57" t="s">
        <v>113</v>
      </c>
      <c r="G2818" s="34">
        <f>VLOOKUP(표4[[#This Row],[구분]],ota_rns[#All],표4[[#This Row],[구분1]]+5,FALSE)</f>
        <v>94.6</v>
      </c>
      <c r="H2818" s="58" t="str">
        <f>CONCATENATE(표4[[#This Row],[세그먼트 (OTA , GOTA, IB'[IB'])]],표4[[#This Row],[목표구분 (REV, RNS, ADR)]],표4[[#This Row],[영업장코드(예약 영업장 코드)]])</f>
        <v>GOTAREV25</v>
      </c>
      <c r="I2818" s="34">
        <f>RIGHT(표4[[#This Row],[년월(XXXX-XX 형식)]],2)*1</f>
        <v>11</v>
      </c>
    </row>
    <row r="2819" spans="1:9" x14ac:dyDescent="0.3">
      <c r="A2819" s="53">
        <v>11</v>
      </c>
      <c r="B2819" s="53" t="s">
        <v>190</v>
      </c>
      <c r="C2819" s="53" t="s">
        <v>193</v>
      </c>
      <c r="D2819" s="53" t="s">
        <v>195</v>
      </c>
      <c r="E2819" s="53" t="s">
        <v>75</v>
      </c>
      <c r="F2819" s="57" t="s">
        <v>117</v>
      </c>
      <c r="G2819" s="34">
        <f>VLOOKUP(표4[[#This Row],[구분]],ota_rns[#All],표4[[#This Row],[구분1]]+5,FALSE)</f>
        <v>301.5</v>
      </c>
      <c r="H2819" s="58" t="str">
        <f>CONCATENATE(표4[[#This Row],[세그먼트 (OTA , GOTA, IB'[IB'])]],표4[[#This Row],[목표구분 (REV, RNS, ADR)]],표4[[#This Row],[영업장코드(예약 영업장 코드)]])</f>
        <v>GOTAREV27</v>
      </c>
      <c r="I2819" s="34">
        <f>RIGHT(표4[[#This Row],[년월(XXXX-XX 형식)]],2)*1</f>
        <v>11</v>
      </c>
    </row>
    <row r="2820" spans="1:9" x14ac:dyDescent="0.3">
      <c r="A2820" s="53">
        <v>11</v>
      </c>
      <c r="B2820" s="53" t="s">
        <v>190</v>
      </c>
      <c r="C2820" s="53" t="s">
        <v>193</v>
      </c>
      <c r="D2820" s="53" t="s">
        <v>195</v>
      </c>
      <c r="E2820" s="53" t="s">
        <v>75</v>
      </c>
      <c r="F2820" s="57" t="s">
        <v>122</v>
      </c>
      <c r="G2820" s="34">
        <f>VLOOKUP(표4[[#This Row],[구분]],ota_rns[#All],표4[[#This Row],[구분1]]+5,FALSE)</f>
        <v>21.76</v>
      </c>
      <c r="H2820" s="58" t="str">
        <f>CONCATENATE(표4[[#This Row],[세그먼트 (OTA , GOTA, IB'[IB'])]],표4[[#This Row],[목표구분 (REV, RNS, ADR)]],표4[[#This Row],[영업장코드(예약 영업장 코드)]])</f>
        <v>GOTAREV46</v>
      </c>
      <c r="I2820" s="34">
        <f>RIGHT(표4[[#This Row],[년월(XXXX-XX 형식)]],2)*1</f>
        <v>11</v>
      </c>
    </row>
    <row r="2821" spans="1:9" x14ac:dyDescent="0.3">
      <c r="A2821" s="53">
        <v>11</v>
      </c>
      <c r="B2821" s="53" t="s">
        <v>190</v>
      </c>
      <c r="C2821" s="53" t="s">
        <v>193</v>
      </c>
      <c r="D2821" s="53" t="s">
        <v>195</v>
      </c>
      <c r="E2821" s="53" t="s">
        <v>92</v>
      </c>
      <c r="F2821" s="57" t="s">
        <v>92</v>
      </c>
      <c r="G2821" s="34">
        <f>VLOOKUP(표4[[#This Row],[구분]],ota_rns[#All],표4[[#This Row],[구분1]]+5,FALSE)</f>
        <v>157.5</v>
      </c>
      <c r="H2821" s="58" t="str">
        <f>CONCATENATE(표4[[#This Row],[세그먼트 (OTA , GOTA, IB'[IB'])]],표4[[#This Row],[목표구분 (REV, RNS, ADR)]],표4[[#This Row],[영업장코드(예약 영업장 코드)]])</f>
        <v>GOTAREV10</v>
      </c>
      <c r="I2821" s="34">
        <f>RIGHT(표4[[#This Row],[년월(XXXX-XX 형식)]],2)*1</f>
        <v>11</v>
      </c>
    </row>
    <row r="2822" spans="1:9" x14ac:dyDescent="0.3">
      <c r="A2822" s="53">
        <v>11</v>
      </c>
      <c r="B2822" s="53" t="s">
        <v>190</v>
      </c>
      <c r="C2822" s="53" t="s">
        <v>193</v>
      </c>
      <c r="D2822" s="53" t="s">
        <v>195</v>
      </c>
      <c r="E2822" s="53" t="s">
        <v>110</v>
      </c>
      <c r="F2822" s="57" t="s">
        <v>131</v>
      </c>
      <c r="G2822" s="34">
        <f>VLOOKUP(표4[[#This Row],[구분]],ota_rns[#All],표4[[#This Row],[구분1]]+5,FALSE)</f>
        <v>338.4</v>
      </c>
      <c r="H2822" s="58" t="str">
        <f>CONCATENATE(표4[[#This Row],[세그먼트 (OTA , GOTA, IB'[IB'])]],표4[[#This Row],[목표구분 (REV, RNS, ADR)]],표4[[#This Row],[영업장코드(예약 영업장 코드)]])</f>
        <v>GOTAREV61</v>
      </c>
      <c r="I2822" s="34">
        <f>RIGHT(표4[[#This Row],[년월(XXXX-XX 형식)]],2)*1</f>
        <v>11</v>
      </c>
    </row>
    <row r="2823" spans="1:9" x14ac:dyDescent="0.3">
      <c r="A2823" s="53">
        <v>11</v>
      </c>
      <c r="B2823" s="53" t="s">
        <v>190</v>
      </c>
      <c r="C2823" s="53" t="s">
        <v>193</v>
      </c>
      <c r="D2823" s="53" t="s">
        <v>195</v>
      </c>
      <c r="E2823" s="53" t="s">
        <v>180</v>
      </c>
      <c r="F2823" s="57" t="s">
        <v>180</v>
      </c>
      <c r="G2823" s="34">
        <f>VLOOKUP(표4[[#This Row],[구분]],ota_rns[#All],표4[[#This Row],[구분1]]+5,FALSE)</f>
        <v>214.83212588718226</v>
      </c>
      <c r="H2823" s="58" t="str">
        <f>CONCATENATE(표4[[#This Row],[세그먼트 (OTA , GOTA, IB'[IB'])]],표4[[#This Row],[목표구분 (REV, RNS, ADR)]],표4[[#This Row],[영업장코드(예약 영업장 코드)]])</f>
        <v>GOTAREV05</v>
      </c>
      <c r="I2823" s="34">
        <f>RIGHT(표4[[#This Row],[년월(XXXX-XX 형식)]],2)*1</f>
        <v>11</v>
      </c>
    </row>
    <row r="2824" spans="1:9" x14ac:dyDescent="0.3">
      <c r="A2824" s="53">
        <v>11</v>
      </c>
      <c r="B2824" s="53" t="s">
        <v>190</v>
      </c>
      <c r="C2824" s="53" t="s">
        <v>193</v>
      </c>
      <c r="D2824" s="53" t="s">
        <v>195</v>
      </c>
      <c r="E2824" s="53" t="s">
        <v>181</v>
      </c>
      <c r="F2824" s="57" t="s">
        <v>137</v>
      </c>
      <c r="G2824" s="34">
        <f>VLOOKUP(표4[[#This Row],[구분]],ota_rns[#All],표4[[#This Row],[구분1]]+5,FALSE)</f>
        <v>99.4</v>
      </c>
      <c r="H2824" s="58" t="str">
        <f>CONCATENATE(표4[[#This Row],[세그먼트 (OTA , GOTA, IB'[IB'])]],표4[[#This Row],[목표구분 (REV, RNS, ADR)]],표4[[#This Row],[영업장코드(예약 영업장 코드)]])</f>
        <v>GOTAREV66</v>
      </c>
      <c r="I2824" s="34">
        <f>RIGHT(표4[[#This Row],[년월(XXXX-XX 형식)]],2)*1</f>
        <v>11</v>
      </c>
    </row>
    <row r="2825" spans="1:9" x14ac:dyDescent="0.3">
      <c r="A2825" s="53">
        <v>11</v>
      </c>
      <c r="B2825" s="53" t="s">
        <v>190</v>
      </c>
      <c r="C2825" s="53" t="s">
        <v>193</v>
      </c>
      <c r="D2825" s="53" t="s">
        <v>195</v>
      </c>
      <c r="E2825" s="53" t="s">
        <v>84</v>
      </c>
      <c r="F2825" s="57" t="s">
        <v>84</v>
      </c>
      <c r="G2825" s="34">
        <f>VLOOKUP(표4[[#This Row],[구분]],ota_rns[#All],표4[[#This Row],[구분1]]+5,FALSE)</f>
        <v>274.97500000000002</v>
      </c>
      <c r="H2825" s="58" t="str">
        <f>CONCATENATE(표4[[#This Row],[세그먼트 (OTA , GOTA, IB'[IB'])]],표4[[#This Row],[목표구분 (REV, RNS, ADR)]],표4[[#This Row],[영업장코드(예약 영업장 코드)]])</f>
        <v>GOTAREV06</v>
      </c>
      <c r="I2825" s="34">
        <f>RIGHT(표4[[#This Row],[년월(XXXX-XX 형식)]],2)*1</f>
        <v>11</v>
      </c>
    </row>
    <row r="2826" spans="1:9" x14ac:dyDescent="0.3">
      <c r="A2826" s="53">
        <v>11</v>
      </c>
      <c r="B2826" s="53" t="s">
        <v>190</v>
      </c>
      <c r="C2826" s="53" t="s">
        <v>193</v>
      </c>
      <c r="D2826" s="53" t="s">
        <v>195</v>
      </c>
      <c r="E2826" s="53" t="s">
        <v>143</v>
      </c>
      <c r="F2826" s="57" t="s">
        <v>143</v>
      </c>
      <c r="G2826" s="34">
        <f>VLOOKUP(표4[[#This Row],[구분]],ota_rns[#All],표4[[#This Row],[구분1]]+5,FALSE)</f>
        <v>125.98439999999999</v>
      </c>
      <c r="H2826" s="58" t="str">
        <f>CONCATENATE(표4[[#This Row],[세그먼트 (OTA , GOTA, IB'[IB'])]],표4[[#This Row],[목표구분 (REV, RNS, ADR)]],표4[[#This Row],[영업장코드(예약 영업장 코드)]])</f>
        <v>GOTAREV73</v>
      </c>
      <c r="I2826" s="34">
        <f>RIGHT(표4[[#This Row],[년월(XXXX-XX 형식)]],2)*1</f>
        <v>11</v>
      </c>
    </row>
    <row r="2827" spans="1:9" x14ac:dyDescent="0.3">
      <c r="A2827" s="53">
        <v>11</v>
      </c>
      <c r="B2827" s="53" t="s">
        <v>190</v>
      </c>
      <c r="C2827" s="53" t="s">
        <v>193</v>
      </c>
      <c r="D2827" s="53" t="s">
        <v>195</v>
      </c>
      <c r="E2827" s="53" t="s">
        <v>99</v>
      </c>
      <c r="F2827" s="57" t="s">
        <v>99</v>
      </c>
      <c r="G2827" s="34">
        <f>VLOOKUP(표4[[#This Row],[구분]],ota_rns[#All],표4[[#This Row],[구분1]]+5,FALSE)</f>
        <v>137.75</v>
      </c>
      <c r="H2827" s="58" t="str">
        <f>CONCATENATE(표4[[#This Row],[세그먼트 (OTA , GOTA, IB'[IB'])]],표4[[#This Row],[목표구분 (REV, RNS, ADR)]],표4[[#This Row],[영업장코드(예약 영업장 코드)]])</f>
        <v>GOTAREV16</v>
      </c>
      <c r="I2827" s="34">
        <f>RIGHT(표4[[#This Row],[년월(XXXX-XX 형식)]],2)*1</f>
        <v>11</v>
      </c>
    </row>
    <row r="2828" spans="1:9" x14ac:dyDescent="0.3">
      <c r="A2828" s="53">
        <v>11</v>
      </c>
      <c r="B2828" s="53" t="s">
        <v>190</v>
      </c>
      <c r="C2828" s="53" t="s">
        <v>193</v>
      </c>
      <c r="D2828" s="53" t="s">
        <v>195</v>
      </c>
      <c r="E2828" s="53" t="s">
        <v>103</v>
      </c>
      <c r="F2828" s="57" t="s">
        <v>110</v>
      </c>
      <c r="G2828" s="34">
        <f>VLOOKUP(표4[[#This Row],[구분]],ota_rns[#All],표4[[#This Row],[구분1]]+5,FALSE)</f>
        <v>189.9</v>
      </c>
      <c r="H2828" s="58" t="str">
        <f>CONCATENATE(표4[[#This Row],[세그먼트 (OTA , GOTA, IB'[IB'])]],표4[[#This Row],[목표구분 (REV, RNS, ADR)]],표4[[#This Row],[영업장코드(예약 영업장 코드)]])</f>
        <v>GOTAREV24</v>
      </c>
      <c r="I2828" s="34">
        <f>RIGHT(표4[[#This Row],[년월(XXXX-XX 형식)]],2)*1</f>
        <v>11</v>
      </c>
    </row>
    <row r="2829" spans="1:9" x14ac:dyDescent="0.3">
      <c r="A2829" s="53">
        <v>11</v>
      </c>
      <c r="B2829" s="53" t="s">
        <v>190</v>
      </c>
      <c r="C2829" s="53" t="s">
        <v>193</v>
      </c>
      <c r="D2829" s="53" t="s">
        <v>195</v>
      </c>
      <c r="E2829" s="53" t="s">
        <v>101</v>
      </c>
      <c r="F2829" s="57" t="s">
        <v>107</v>
      </c>
      <c r="G2829" s="34">
        <f>VLOOKUP(표4[[#This Row],[구분]],ota_rns[#All],표4[[#This Row],[구분1]]+5,FALSE)</f>
        <v>217.8</v>
      </c>
      <c r="H2829" s="58" t="str">
        <f>CONCATENATE(표4[[#This Row],[세그먼트 (OTA , GOTA, IB'[IB'])]],표4[[#This Row],[목표구분 (REV, RNS, ADR)]],표4[[#This Row],[영업장코드(예약 영업장 코드)]])</f>
        <v>GOTAREV22</v>
      </c>
      <c r="I2829" s="34">
        <f>RIGHT(표4[[#This Row],[년월(XXXX-XX 형식)]],2)*1</f>
        <v>11</v>
      </c>
    </row>
    <row r="2830" spans="1:9" x14ac:dyDescent="0.3">
      <c r="A2830" s="53">
        <v>11</v>
      </c>
      <c r="B2830" s="53" t="s">
        <v>190</v>
      </c>
      <c r="C2830" s="53" t="s">
        <v>193</v>
      </c>
      <c r="D2830" s="53" t="s">
        <v>195</v>
      </c>
      <c r="E2830" s="53" t="s">
        <v>182</v>
      </c>
      <c r="F2830" s="57" t="s">
        <v>147</v>
      </c>
      <c r="G2830" s="34">
        <f>VLOOKUP(표4[[#This Row],[구분]],ota_rns[#All],표4[[#This Row],[구분1]]+5,FALSE)</f>
        <v>333.15</v>
      </c>
      <c r="H2830" s="58" t="str">
        <f>CONCATENATE(표4[[#This Row],[세그먼트 (OTA , GOTA, IB'[IB'])]],표4[[#This Row],[목표구분 (REV, RNS, ADR)]],표4[[#This Row],[영업장코드(예약 영업장 코드)]])</f>
        <v>GOTAREV77</v>
      </c>
      <c r="I2830" s="34">
        <f>RIGHT(표4[[#This Row],[년월(XXXX-XX 형식)]],2)*1</f>
        <v>11</v>
      </c>
    </row>
    <row r="2831" spans="1:9" x14ac:dyDescent="0.3">
      <c r="A2831" s="53">
        <v>11</v>
      </c>
      <c r="B2831" s="53" t="s">
        <v>190</v>
      </c>
      <c r="C2831" s="53" t="s">
        <v>193</v>
      </c>
      <c r="D2831" s="53" t="s">
        <v>195</v>
      </c>
      <c r="E2831" s="53" t="s">
        <v>183</v>
      </c>
      <c r="F2831" s="57" t="s">
        <v>157</v>
      </c>
      <c r="G2831" s="34">
        <f>VLOOKUP(표4[[#This Row],[구분]],ota_rns[#All],표4[[#This Row],[구분1]]+5,FALSE)</f>
        <v>172.37</v>
      </c>
      <c r="H2831" s="58" t="str">
        <f>CONCATENATE(표4[[#This Row],[세그먼트 (OTA , GOTA, IB'[IB'])]],표4[[#This Row],[목표구분 (REV, RNS, ADR)]],표4[[#This Row],[영업장코드(예약 영업장 코드)]])</f>
        <v>GOTAREV87</v>
      </c>
      <c r="I2831" s="34">
        <f>RIGHT(표4[[#This Row],[년월(XXXX-XX 형식)]],2)*1</f>
        <v>11</v>
      </c>
    </row>
    <row r="2832" spans="1:9" x14ac:dyDescent="0.3">
      <c r="A2832" s="53">
        <v>11</v>
      </c>
      <c r="B2832" s="53" t="s">
        <v>190</v>
      </c>
      <c r="C2832" s="53" t="s">
        <v>193</v>
      </c>
      <c r="D2832" s="53" t="s">
        <v>195</v>
      </c>
      <c r="E2832" s="53" t="s">
        <v>96</v>
      </c>
      <c r="F2832" s="57" t="s">
        <v>96</v>
      </c>
      <c r="G2832" s="34">
        <f>VLOOKUP(표4[[#This Row],[구분]],ota_rns[#All],표4[[#This Row],[구분1]]+5,FALSE)</f>
        <v>124.1</v>
      </c>
      <c r="H2832" s="58" t="str">
        <f>CONCATENATE(표4[[#This Row],[세그먼트 (OTA , GOTA, IB'[IB'])]],표4[[#This Row],[목표구분 (REV, RNS, ADR)]],표4[[#This Row],[영업장코드(예약 영업장 코드)]])</f>
        <v>GOTAREV15</v>
      </c>
      <c r="I2832" s="34">
        <f>RIGHT(표4[[#This Row],[년월(XXXX-XX 형식)]],2)*1</f>
        <v>11</v>
      </c>
    </row>
    <row r="2833" spans="1:9" x14ac:dyDescent="0.3">
      <c r="A2833" s="53">
        <v>11</v>
      </c>
      <c r="B2833" s="53" t="s">
        <v>190</v>
      </c>
      <c r="C2833" s="53" t="s">
        <v>193</v>
      </c>
      <c r="D2833" s="53" t="s">
        <v>195</v>
      </c>
      <c r="E2833" s="53" t="s">
        <v>105</v>
      </c>
      <c r="F2833" s="57" t="s">
        <v>119</v>
      </c>
      <c r="G2833" s="34">
        <f>VLOOKUP(표4[[#This Row],[구분]],ota_rns[#All],표4[[#This Row],[구분1]]+5,FALSE)</f>
        <v>374</v>
      </c>
      <c r="H2833" s="58" t="str">
        <f>CONCATENATE(표4[[#This Row],[세그먼트 (OTA , GOTA, IB'[IB'])]],표4[[#This Row],[목표구분 (REV, RNS, ADR)]],표4[[#This Row],[영업장코드(예약 영업장 코드)]])</f>
        <v>GOTAREV29</v>
      </c>
      <c r="I2833" s="34">
        <f>RIGHT(표4[[#This Row],[년월(XXXX-XX 형식)]],2)*1</f>
        <v>11</v>
      </c>
    </row>
    <row r="2834" spans="1:9" x14ac:dyDescent="0.3">
      <c r="A2834" s="53">
        <v>11</v>
      </c>
      <c r="B2834" s="53" t="s">
        <v>190</v>
      </c>
      <c r="C2834" s="53" t="s">
        <v>193</v>
      </c>
      <c r="D2834" s="53" t="s">
        <v>195</v>
      </c>
      <c r="E2834" s="53" t="s">
        <v>184</v>
      </c>
      <c r="F2834" s="57" t="s">
        <v>152</v>
      </c>
      <c r="G2834" s="34">
        <f>VLOOKUP(표4[[#This Row],[구분]],ota_rns[#All],표4[[#This Row],[구분1]]+5,FALSE)</f>
        <v>316.2</v>
      </c>
      <c r="H2834" s="58" t="str">
        <f>CONCATENATE(표4[[#This Row],[세그먼트 (OTA , GOTA, IB'[IB'])]],표4[[#This Row],[목표구분 (REV, RNS, ADR)]],표4[[#This Row],[영업장코드(예약 영업장 코드)]])</f>
        <v>GOTAREV85</v>
      </c>
      <c r="I2834" s="34">
        <f>RIGHT(표4[[#This Row],[년월(XXXX-XX 형식)]],2)*1</f>
        <v>11</v>
      </c>
    </row>
    <row r="2835" spans="1:9" x14ac:dyDescent="0.3">
      <c r="A2835" s="53">
        <v>11</v>
      </c>
      <c r="B2835" s="53" t="s">
        <v>190</v>
      </c>
      <c r="C2835" s="53" t="s">
        <v>193</v>
      </c>
      <c r="D2835" s="53" t="s">
        <v>195</v>
      </c>
      <c r="E2835" s="53" t="s">
        <v>185</v>
      </c>
      <c r="F2835" s="57" t="s">
        <v>128</v>
      </c>
      <c r="G2835" s="34">
        <f>VLOOKUP(표4[[#This Row],[구분]],ota_rns[#All],표4[[#This Row],[구분1]]+5,FALSE)</f>
        <v>108.48</v>
      </c>
      <c r="H2835" s="58" t="str">
        <f>CONCATENATE(표4[[#This Row],[세그먼트 (OTA , GOTA, IB'[IB'])]],표4[[#This Row],[목표구분 (REV, RNS, ADR)]],표4[[#This Row],[영업장코드(예약 영업장 코드)]])</f>
        <v>GOTAREV58</v>
      </c>
      <c r="I2835" s="34">
        <f>RIGHT(표4[[#This Row],[년월(XXXX-XX 형식)]],2)*1</f>
        <v>11</v>
      </c>
    </row>
    <row r="2836" spans="1:9" x14ac:dyDescent="0.3">
      <c r="A2836" s="53">
        <v>11</v>
      </c>
      <c r="B2836" s="53" t="s">
        <v>190</v>
      </c>
      <c r="C2836" s="53" t="s">
        <v>193</v>
      </c>
      <c r="D2836" s="53" t="s">
        <v>195</v>
      </c>
      <c r="E2836" s="53" t="s">
        <v>178</v>
      </c>
      <c r="F2836" s="57" t="s">
        <v>178</v>
      </c>
      <c r="G2836" s="34">
        <f>VLOOKUP(표4[[#This Row],[구분]],ota_rns[#All],표4[[#This Row],[구분1]]+5,FALSE)</f>
        <v>72.790399999999991</v>
      </c>
      <c r="H2836" s="58" t="str">
        <f>CONCATENATE(표4[[#This Row],[세그먼트 (OTA , GOTA, IB'[IB'])]],표4[[#This Row],[목표구분 (REV, RNS, ADR)]],표4[[#This Row],[영업장코드(예약 영업장 코드)]])</f>
        <v>GOTAREV94</v>
      </c>
      <c r="I2836" s="34">
        <f>RIGHT(표4[[#This Row],[년월(XXXX-XX 형식)]],2)*1</f>
        <v>11</v>
      </c>
    </row>
    <row r="2837" spans="1:9" x14ac:dyDescent="0.3">
      <c r="A2837">
        <v>12</v>
      </c>
      <c r="B2837" t="s">
        <v>190</v>
      </c>
      <c r="C2837" t="s">
        <v>191</v>
      </c>
      <c r="D2837" t="s">
        <v>195</v>
      </c>
      <c r="E2837" t="s">
        <v>78</v>
      </c>
      <c r="F2837" s="57" t="s">
        <v>78</v>
      </c>
      <c r="G2837" s="34">
        <f>VLOOKUP(표4[[#This Row],[구분]],ota_rns[#All],표4[[#This Row],[구분1]]+5,FALSE)</f>
        <v>3300</v>
      </c>
      <c r="H2837" s="58" t="str">
        <f>CONCATENATE(표4[[#This Row],[세그먼트 (OTA , GOTA, IB'[IB'])]],표4[[#This Row],[목표구분 (REV, RNS, ADR)]],표4[[#This Row],[영업장코드(예약 영업장 코드)]])</f>
        <v>GOTARNS02</v>
      </c>
      <c r="I2837" s="34">
        <f>RIGHT(표4[[#This Row],[년월(XXXX-XX 형식)]],2)*1</f>
        <v>12</v>
      </c>
    </row>
    <row r="2838" spans="1:9" x14ac:dyDescent="0.3">
      <c r="A2838">
        <v>12</v>
      </c>
      <c r="B2838" t="s">
        <v>190</v>
      </c>
      <c r="C2838" t="s">
        <v>191</v>
      </c>
      <c r="D2838" t="s">
        <v>195</v>
      </c>
      <c r="E2838" t="s">
        <v>78</v>
      </c>
      <c r="F2838" s="57" t="s">
        <v>86</v>
      </c>
      <c r="G2838" s="34">
        <f>VLOOKUP(표4[[#This Row],[구분]],ota_rns[#All],표4[[#This Row],[구분1]]+5,FALSE)</f>
        <v>1710</v>
      </c>
      <c r="H2838" s="58" t="str">
        <f>CONCATENATE(표4[[#This Row],[세그먼트 (OTA , GOTA, IB'[IB'])]],표4[[#This Row],[목표구분 (REV, RNS, ADR)]],표4[[#This Row],[영업장코드(예약 영업장 코드)]])</f>
        <v>GOTARNS07</v>
      </c>
      <c r="I2838" s="34">
        <f>RIGHT(표4[[#This Row],[년월(XXXX-XX 형식)]],2)*1</f>
        <v>12</v>
      </c>
    </row>
    <row r="2839" spans="1:9" x14ac:dyDescent="0.3">
      <c r="A2839">
        <v>12</v>
      </c>
      <c r="B2839" t="s">
        <v>190</v>
      </c>
      <c r="C2839" t="s">
        <v>191</v>
      </c>
      <c r="D2839" t="s">
        <v>195</v>
      </c>
      <c r="E2839" t="s">
        <v>78</v>
      </c>
      <c r="F2839" s="57" t="s">
        <v>105</v>
      </c>
      <c r="G2839" s="34">
        <f>VLOOKUP(표4[[#This Row],[구분]],ota_rns[#All],표4[[#This Row],[구분1]]+5,FALSE)</f>
        <v>1300</v>
      </c>
      <c r="H2839" s="58" t="str">
        <f>CONCATENATE(표4[[#This Row],[세그먼트 (OTA , GOTA, IB'[IB'])]],표4[[#This Row],[목표구분 (REV, RNS, ADR)]],표4[[#This Row],[영업장코드(예약 영업장 코드)]])</f>
        <v>GOTARNS19</v>
      </c>
      <c r="I2839" s="34">
        <f>RIGHT(표4[[#This Row],[년월(XXXX-XX 형식)]],2)*1</f>
        <v>12</v>
      </c>
    </row>
    <row r="2840" spans="1:9" x14ac:dyDescent="0.3">
      <c r="A2840">
        <v>12</v>
      </c>
      <c r="B2840" t="s">
        <v>190</v>
      </c>
      <c r="C2840" t="s">
        <v>191</v>
      </c>
      <c r="D2840" t="s">
        <v>195</v>
      </c>
      <c r="E2840" t="s">
        <v>78</v>
      </c>
      <c r="F2840" s="57" t="s">
        <v>124</v>
      </c>
      <c r="G2840" s="34">
        <f>VLOOKUP(표4[[#This Row],[구분]],ota_rns[#All],표4[[#This Row],[구분1]]+5,FALSE)</f>
        <v>550</v>
      </c>
      <c r="H2840" s="58" t="str">
        <f>CONCATENATE(표4[[#This Row],[세그먼트 (OTA , GOTA, IB'[IB'])]],표4[[#This Row],[목표구분 (REV, RNS, ADR)]],표4[[#This Row],[영업장코드(예약 영업장 코드)]])</f>
        <v>GOTARNS50</v>
      </c>
      <c r="I2840" s="34">
        <f>RIGHT(표4[[#This Row],[년월(XXXX-XX 형식)]],2)*1</f>
        <v>12</v>
      </c>
    </row>
    <row r="2841" spans="1:9" x14ac:dyDescent="0.3">
      <c r="A2841">
        <v>12</v>
      </c>
      <c r="B2841" t="s">
        <v>190</v>
      </c>
      <c r="C2841" t="s">
        <v>191</v>
      </c>
      <c r="D2841" t="s">
        <v>195</v>
      </c>
      <c r="E2841" t="s">
        <v>78</v>
      </c>
      <c r="F2841" s="57" t="s">
        <v>88</v>
      </c>
      <c r="G2841" s="34">
        <f>VLOOKUP(표4[[#This Row],[구분]],ota_rns[#All],표4[[#This Row],[구분1]]+5,FALSE)</f>
        <v>500</v>
      </c>
      <c r="H2841" s="58" t="str">
        <f>CONCATENATE(표4[[#This Row],[세그먼트 (OTA , GOTA, IB'[IB'])]],표4[[#This Row],[목표구분 (REV, RNS, ADR)]],표4[[#This Row],[영업장코드(예약 영업장 코드)]])</f>
        <v>GOTARNS08</v>
      </c>
      <c r="I2841" s="34">
        <f>RIGHT(표4[[#This Row],[년월(XXXX-XX 형식)]],2)*1</f>
        <v>12</v>
      </c>
    </row>
    <row r="2842" spans="1:9" x14ac:dyDescent="0.3">
      <c r="A2842">
        <v>12</v>
      </c>
      <c r="B2842" t="s">
        <v>190</v>
      </c>
      <c r="C2842" t="s">
        <v>191</v>
      </c>
      <c r="D2842" t="s">
        <v>195</v>
      </c>
      <c r="E2842" t="s">
        <v>81</v>
      </c>
      <c r="F2842" s="57" t="s">
        <v>81</v>
      </c>
      <c r="G2842" s="34">
        <f>VLOOKUP(표4[[#This Row],[구분]],ota_rns[#All],표4[[#This Row],[구분1]]+5,FALSE)</f>
        <v>300</v>
      </c>
      <c r="H2842" s="58" t="str">
        <f>CONCATENATE(표4[[#This Row],[세그먼트 (OTA , GOTA, IB'[IB'])]],표4[[#This Row],[목표구분 (REV, RNS, ADR)]],표4[[#This Row],[영업장코드(예약 영업장 코드)]])</f>
        <v>GOTARNS03</v>
      </c>
      <c r="I2842" s="34">
        <f>RIGHT(표4[[#This Row],[년월(XXXX-XX 형식)]],2)*1</f>
        <v>12</v>
      </c>
    </row>
    <row r="2843" spans="1:9" x14ac:dyDescent="0.3">
      <c r="A2843">
        <v>12</v>
      </c>
      <c r="B2843" t="s">
        <v>190</v>
      </c>
      <c r="C2843" t="s">
        <v>191</v>
      </c>
      <c r="D2843" t="s">
        <v>195</v>
      </c>
      <c r="E2843" t="s">
        <v>75</v>
      </c>
      <c r="F2843" s="57" t="s">
        <v>75</v>
      </c>
      <c r="G2843" s="34">
        <f>VLOOKUP(표4[[#This Row],[구분]],ota_rns[#All],표4[[#This Row],[구분1]]+5,FALSE)</f>
        <v>1200</v>
      </c>
      <c r="H2843" s="58" t="str">
        <f>CONCATENATE(표4[[#This Row],[세그먼트 (OTA , GOTA, IB'[IB'])]],표4[[#This Row],[목표구분 (REV, RNS, ADR)]],표4[[#This Row],[영업장코드(예약 영업장 코드)]])</f>
        <v>GOTARNS01</v>
      </c>
      <c r="I2843" s="34">
        <f>RIGHT(표4[[#This Row],[년월(XXXX-XX 형식)]],2)*1</f>
        <v>12</v>
      </c>
    </row>
    <row r="2844" spans="1:9" x14ac:dyDescent="0.3">
      <c r="A2844">
        <v>12</v>
      </c>
      <c r="B2844" t="s">
        <v>190</v>
      </c>
      <c r="C2844" t="s">
        <v>191</v>
      </c>
      <c r="D2844" t="s">
        <v>195</v>
      </c>
      <c r="E2844" t="s">
        <v>75</v>
      </c>
      <c r="F2844" s="57" t="s">
        <v>141</v>
      </c>
      <c r="G2844" s="34">
        <f>VLOOKUP(표4[[#This Row],[구분]],ota_rns[#All],표4[[#This Row],[구분1]]+5,FALSE)</f>
        <v>2630</v>
      </c>
      <c r="H2844" s="58" t="str">
        <f>CONCATENATE(표4[[#This Row],[세그먼트 (OTA , GOTA, IB'[IB'])]],표4[[#This Row],[목표구분 (REV, RNS, ADR)]],표4[[#This Row],[영업장코드(예약 영업장 코드)]])</f>
        <v>GOTARNS70</v>
      </c>
      <c r="I2844" s="34">
        <f>RIGHT(표4[[#This Row],[년월(XXXX-XX 형식)]],2)*1</f>
        <v>12</v>
      </c>
    </row>
    <row r="2845" spans="1:9" x14ac:dyDescent="0.3">
      <c r="A2845">
        <v>12</v>
      </c>
      <c r="B2845" t="s">
        <v>190</v>
      </c>
      <c r="C2845" t="s">
        <v>191</v>
      </c>
      <c r="D2845" t="s">
        <v>195</v>
      </c>
      <c r="E2845" t="s">
        <v>75</v>
      </c>
      <c r="F2845" s="57" t="s">
        <v>113</v>
      </c>
      <c r="G2845" s="34">
        <f>VLOOKUP(표4[[#This Row],[구분]],ota_rns[#All],표4[[#This Row],[구분1]]+5,FALSE)</f>
        <v>700</v>
      </c>
      <c r="H2845" s="58" t="str">
        <f>CONCATENATE(표4[[#This Row],[세그먼트 (OTA , GOTA, IB'[IB'])]],표4[[#This Row],[목표구분 (REV, RNS, ADR)]],표4[[#This Row],[영업장코드(예약 영업장 코드)]])</f>
        <v>GOTARNS25</v>
      </c>
      <c r="I2845" s="34">
        <f>RIGHT(표4[[#This Row],[년월(XXXX-XX 형식)]],2)*1</f>
        <v>12</v>
      </c>
    </row>
    <row r="2846" spans="1:9" x14ac:dyDescent="0.3">
      <c r="A2846">
        <v>12</v>
      </c>
      <c r="B2846" t="s">
        <v>190</v>
      </c>
      <c r="C2846" t="s">
        <v>191</v>
      </c>
      <c r="D2846" t="s">
        <v>195</v>
      </c>
      <c r="E2846" t="s">
        <v>75</v>
      </c>
      <c r="F2846" s="57" t="s">
        <v>117</v>
      </c>
      <c r="G2846" s="34">
        <f>VLOOKUP(표4[[#This Row],[구분]],ota_rns[#All],표4[[#This Row],[구분1]]+5,FALSE)</f>
        <v>650</v>
      </c>
      <c r="H2846" s="58" t="str">
        <f>CONCATENATE(표4[[#This Row],[세그먼트 (OTA , GOTA, IB'[IB'])]],표4[[#This Row],[목표구분 (REV, RNS, ADR)]],표4[[#This Row],[영업장코드(예약 영업장 코드)]])</f>
        <v>GOTARNS27</v>
      </c>
      <c r="I2846" s="34">
        <f>RIGHT(표4[[#This Row],[년월(XXXX-XX 형식)]],2)*1</f>
        <v>12</v>
      </c>
    </row>
    <row r="2847" spans="1:9" x14ac:dyDescent="0.3">
      <c r="A2847">
        <v>12</v>
      </c>
      <c r="B2847" t="s">
        <v>190</v>
      </c>
      <c r="C2847" t="s">
        <v>191</v>
      </c>
      <c r="D2847" t="s">
        <v>195</v>
      </c>
      <c r="E2847" t="s">
        <v>75</v>
      </c>
      <c r="F2847" s="57" t="s">
        <v>122</v>
      </c>
      <c r="G2847" s="34">
        <f>VLOOKUP(표4[[#This Row],[구분]],ota_rns[#All],표4[[#This Row],[구분1]]+5,FALSE)</f>
        <v>80</v>
      </c>
      <c r="H2847" s="58" t="str">
        <f>CONCATENATE(표4[[#This Row],[세그먼트 (OTA , GOTA, IB'[IB'])]],표4[[#This Row],[목표구분 (REV, RNS, ADR)]],표4[[#This Row],[영업장코드(예약 영업장 코드)]])</f>
        <v>GOTARNS46</v>
      </c>
      <c r="I2847" s="34">
        <f>RIGHT(표4[[#This Row],[년월(XXXX-XX 형식)]],2)*1</f>
        <v>12</v>
      </c>
    </row>
    <row r="2848" spans="1:9" x14ac:dyDescent="0.3">
      <c r="A2848">
        <v>12</v>
      </c>
      <c r="B2848" t="s">
        <v>190</v>
      </c>
      <c r="C2848" t="s">
        <v>191</v>
      </c>
      <c r="D2848" t="s">
        <v>195</v>
      </c>
      <c r="E2848" t="s">
        <v>92</v>
      </c>
      <c r="F2848" s="57" t="s">
        <v>92</v>
      </c>
      <c r="G2848" s="34">
        <f>VLOOKUP(표4[[#This Row],[구분]],ota_rns[#All],표4[[#This Row],[구분1]]+5,FALSE)</f>
        <v>1100</v>
      </c>
      <c r="H2848" s="58" t="str">
        <f>CONCATENATE(표4[[#This Row],[세그먼트 (OTA , GOTA, IB'[IB'])]],표4[[#This Row],[목표구분 (REV, RNS, ADR)]],표4[[#This Row],[영업장코드(예약 영업장 코드)]])</f>
        <v>GOTARNS10</v>
      </c>
      <c r="I2848" s="34">
        <f>RIGHT(표4[[#This Row],[년월(XXXX-XX 형식)]],2)*1</f>
        <v>12</v>
      </c>
    </row>
    <row r="2849" spans="1:9" x14ac:dyDescent="0.3">
      <c r="A2849">
        <v>12</v>
      </c>
      <c r="B2849" t="s">
        <v>190</v>
      </c>
      <c r="C2849" t="s">
        <v>191</v>
      </c>
      <c r="D2849" t="s">
        <v>195</v>
      </c>
      <c r="E2849" t="s">
        <v>110</v>
      </c>
      <c r="F2849" s="57" t="s">
        <v>131</v>
      </c>
      <c r="G2849" s="34">
        <f>VLOOKUP(표4[[#This Row],[구분]],ota_rns[#All],표4[[#This Row],[구분1]]+5,FALSE)</f>
        <v>1500</v>
      </c>
      <c r="H2849" s="58" t="str">
        <f>CONCATENATE(표4[[#This Row],[세그먼트 (OTA , GOTA, IB'[IB'])]],표4[[#This Row],[목표구분 (REV, RNS, ADR)]],표4[[#This Row],[영업장코드(예약 영업장 코드)]])</f>
        <v>GOTARNS61</v>
      </c>
      <c r="I2849" s="34">
        <f>RIGHT(표4[[#This Row],[년월(XXXX-XX 형식)]],2)*1</f>
        <v>12</v>
      </c>
    </row>
    <row r="2850" spans="1:9" x14ac:dyDescent="0.3">
      <c r="A2850">
        <v>12</v>
      </c>
      <c r="B2850" t="s">
        <v>190</v>
      </c>
      <c r="C2850" t="s">
        <v>191</v>
      </c>
      <c r="D2850" t="s">
        <v>195</v>
      </c>
      <c r="E2850" t="s">
        <v>180</v>
      </c>
      <c r="F2850" s="57" t="s">
        <v>180</v>
      </c>
      <c r="G2850" s="34">
        <f>VLOOKUP(표4[[#This Row],[구분]],ota_rns[#All],표4[[#This Row],[구분1]]+5,FALSE)</f>
        <v>940</v>
      </c>
      <c r="H2850" s="58" t="str">
        <f>CONCATENATE(표4[[#This Row],[세그먼트 (OTA , GOTA, IB'[IB'])]],표4[[#This Row],[목표구분 (REV, RNS, ADR)]],표4[[#This Row],[영업장코드(예약 영업장 코드)]])</f>
        <v>GOTARNS05</v>
      </c>
      <c r="I2850" s="34">
        <f>RIGHT(표4[[#This Row],[년월(XXXX-XX 형식)]],2)*1</f>
        <v>12</v>
      </c>
    </row>
    <row r="2851" spans="1:9" x14ac:dyDescent="0.3">
      <c r="A2851">
        <v>12</v>
      </c>
      <c r="B2851" t="s">
        <v>190</v>
      </c>
      <c r="C2851" t="s">
        <v>191</v>
      </c>
      <c r="D2851" t="s">
        <v>195</v>
      </c>
      <c r="E2851" t="s">
        <v>181</v>
      </c>
      <c r="F2851" s="57" t="s">
        <v>137</v>
      </c>
      <c r="G2851" s="34">
        <f>VLOOKUP(표4[[#This Row],[구분]],ota_rns[#All],표4[[#This Row],[구분1]]+5,FALSE)</f>
        <v>900</v>
      </c>
      <c r="H2851" s="58" t="str">
        <f>CONCATENATE(표4[[#This Row],[세그먼트 (OTA , GOTA, IB'[IB'])]],표4[[#This Row],[목표구분 (REV, RNS, ADR)]],표4[[#This Row],[영업장코드(예약 영업장 코드)]])</f>
        <v>GOTARNS66</v>
      </c>
      <c r="I2851" s="34">
        <f>RIGHT(표4[[#This Row],[년월(XXXX-XX 형식)]],2)*1</f>
        <v>12</v>
      </c>
    </row>
    <row r="2852" spans="1:9" x14ac:dyDescent="0.3">
      <c r="A2852">
        <v>12</v>
      </c>
      <c r="B2852" t="s">
        <v>190</v>
      </c>
      <c r="C2852" t="s">
        <v>191</v>
      </c>
      <c r="D2852" t="s">
        <v>195</v>
      </c>
      <c r="E2852" t="s">
        <v>84</v>
      </c>
      <c r="F2852" s="57" t="s">
        <v>84</v>
      </c>
      <c r="G2852" s="34">
        <f>VLOOKUP(표4[[#This Row],[구분]],ota_rns[#All],표4[[#This Row],[구분1]]+5,FALSE)</f>
        <v>890</v>
      </c>
      <c r="H2852" s="58" t="str">
        <f>CONCATENATE(표4[[#This Row],[세그먼트 (OTA , GOTA, IB'[IB'])]],표4[[#This Row],[목표구분 (REV, RNS, ADR)]],표4[[#This Row],[영업장코드(예약 영업장 코드)]])</f>
        <v>GOTARNS06</v>
      </c>
      <c r="I2852" s="34">
        <f>RIGHT(표4[[#This Row],[년월(XXXX-XX 형식)]],2)*1</f>
        <v>12</v>
      </c>
    </row>
    <row r="2853" spans="1:9" x14ac:dyDescent="0.3">
      <c r="A2853">
        <v>12</v>
      </c>
      <c r="B2853" t="s">
        <v>190</v>
      </c>
      <c r="C2853" t="s">
        <v>191</v>
      </c>
      <c r="D2853" t="s">
        <v>195</v>
      </c>
      <c r="E2853" t="s">
        <v>143</v>
      </c>
      <c r="F2853" s="57" t="s">
        <v>143</v>
      </c>
      <c r="G2853" s="34">
        <f>VLOOKUP(표4[[#This Row],[구분]],ota_rns[#All],표4[[#This Row],[구분1]]+5,FALSE)</f>
        <v>1150</v>
      </c>
      <c r="H2853" s="58" t="str">
        <f>CONCATENATE(표4[[#This Row],[세그먼트 (OTA , GOTA, IB'[IB'])]],표4[[#This Row],[목표구분 (REV, RNS, ADR)]],표4[[#This Row],[영업장코드(예약 영업장 코드)]])</f>
        <v>GOTARNS73</v>
      </c>
      <c r="I2853" s="34">
        <f>RIGHT(표4[[#This Row],[년월(XXXX-XX 형식)]],2)*1</f>
        <v>12</v>
      </c>
    </row>
    <row r="2854" spans="1:9" x14ac:dyDescent="0.3">
      <c r="A2854">
        <v>12</v>
      </c>
      <c r="B2854" t="s">
        <v>190</v>
      </c>
      <c r="C2854" t="s">
        <v>191</v>
      </c>
      <c r="D2854" t="s">
        <v>195</v>
      </c>
      <c r="E2854" t="s">
        <v>99</v>
      </c>
      <c r="F2854" s="57" t="s">
        <v>99</v>
      </c>
      <c r="G2854" s="34">
        <f>VLOOKUP(표4[[#This Row],[구분]],ota_rns[#All],표4[[#This Row],[구분1]]+5,FALSE)</f>
        <v>1050</v>
      </c>
      <c r="H2854" s="58" t="str">
        <f>CONCATENATE(표4[[#This Row],[세그먼트 (OTA , GOTA, IB'[IB'])]],표4[[#This Row],[목표구분 (REV, RNS, ADR)]],표4[[#This Row],[영업장코드(예약 영업장 코드)]])</f>
        <v>GOTARNS16</v>
      </c>
      <c r="I2854" s="34">
        <f>RIGHT(표4[[#This Row],[년월(XXXX-XX 형식)]],2)*1</f>
        <v>12</v>
      </c>
    </row>
    <row r="2855" spans="1:9" x14ac:dyDescent="0.3">
      <c r="A2855">
        <v>12</v>
      </c>
      <c r="B2855" t="s">
        <v>190</v>
      </c>
      <c r="C2855" t="s">
        <v>191</v>
      </c>
      <c r="D2855" t="s">
        <v>195</v>
      </c>
      <c r="E2855" t="s">
        <v>103</v>
      </c>
      <c r="F2855" s="57" t="s">
        <v>110</v>
      </c>
      <c r="G2855" s="34">
        <f>VLOOKUP(표4[[#This Row],[구분]],ota_rns[#All],표4[[#This Row],[구분1]]+5,FALSE)</f>
        <v>1000</v>
      </c>
      <c r="H2855" s="58" t="str">
        <f>CONCATENATE(표4[[#This Row],[세그먼트 (OTA , GOTA, IB'[IB'])]],표4[[#This Row],[목표구분 (REV, RNS, ADR)]],표4[[#This Row],[영업장코드(예약 영업장 코드)]])</f>
        <v>GOTARNS24</v>
      </c>
      <c r="I2855" s="34">
        <f>RIGHT(표4[[#This Row],[년월(XXXX-XX 형식)]],2)*1</f>
        <v>12</v>
      </c>
    </row>
    <row r="2856" spans="1:9" x14ac:dyDescent="0.3">
      <c r="A2856">
        <v>12</v>
      </c>
      <c r="B2856" t="s">
        <v>190</v>
      </c>
      <c r="C2856" t="s">
        <v>191</v>
      </c>
      <c r="D2856" t="s">
        <v>195</v>
      </c>
      <c r="E2856" t="s">
        <v>101</v>
      </c>
      <c r="F2856" s="57" t="s">
        <v>107</v>
      </c>
      <c r="G2856" s="34">
        <f>VLOOKUP(표4[[#This Row],[구분]],ota_rns[#All],표4[[#This Row],[구분1]]+5,FALSE)</f>
        <v>900</v>
      </c>
      <c r="H2856" s="58" t="str">
        <f>CONCATENATE(표4[[#This Row],[세그먼트 (OTA , GOTA, IB'[IB'])]],표4[[#This Row],[목표구분 (REV, RNS, ADR)]],표4[[#This Row],[영업장코드(예약 영업장 코드)]])</f>
        <v>GOTARNS22</v>
      </c>
      <c r="I2856" s="34">
        <f>RIGHT(표4[[#This Row],[년월(XXXX-XX 형식)]],2)*1</f>
        <v>12</v>
      </c>
    </row>
    <row r="2857" spans="1:9" x14ac:dyDescent="0.3">
      <c r="A2857">
        <v>12</v>
      </c>
      <c r="B2857" t="s">
        <v>190</v>
      </c>
      <c r="C2857" t="s">
        <v>191</v>
      </c>
      <c r="D2857" t="s">
        <v>195</v>
      </c>
      <c r="E2857" t="s">
        <v>182</v>
      </c>
      <c r="F2857" s="57" t="s">
        <v>147</v>
      </c>
      <c r="G2857" s="34">
        <f>VLOOKUP(표4[[#This Row],[구분]],ota_rns[#All],표4[[#This Row],[구분1]]+5,FALSE)</f>
        <v>1600</v>
      </c>
      <c r="H2857" s="58" t="str">
        <f>CONCATENATE(표4[[#This Row],[세그먼트 (OTA , GOTA, IB'[IB'])]],표4[[#This Row],[목표구분 (REV, RNS, ADR)]],표4[[#This Row],[영업장코드(예약 영업장 코드)]])</f>
        <v>GOTARNS77</v>
      </c>
      <c r="I2857" s="34">
        <f>RIGHT(표4[[#This Row],[년월(XXXX-XX 형식)]],2)*1</f>
        <v>12</v>
      </c>
    </row>
    <row r="2858" spans="1:9" x14ac:dyDescent="0.3">
      <c r="A2858">
        <v>12</v>
      </c>
      <c r="B2858" t="s">
        <v>190</v>
      </c>
      <c r="C2858" t="s">
        <v>191</v>
      </c>
      <c r="D2858" t="s">
        <v>195</v>
      </c>
      <c r="E2858" t="s">
        <v>183</v>
      </c>
      <c r="F2858" s="57" t="s">
        <v>157</v>
      </c>
      <c r="G2858" s="34">
        <f>VLOOKUP(표4[[#This Row],[구분]],ota_rns[#All],표4[[#This Row],[구분1]]+5,FALSE)</f>
        <v>670</v>
      </c>
      <c r="H2858" s="58" t="str">
        <f>CONCATENATE(표4[[#This Row],[세그먼트 (OTA , GOTA, IB'[IB'])]],표4[[#This Row],[목표구분 (REV, RNS, ADR)]],표4[[#This Row],[영업장코드(예약 영업장 코드)]])</f>
        <v>GOTARNS87</v>
      </c>
      <c r="I2858" s="34">
        <f>RIGHT(표4[[#This Row],[년월(XXXX-XX 형식)]],2)*1</f>
        <v>12</v>
      </c>
    </row>
    <row r="2859" spans="1:9" x14ac:dyDescent="0.3">
      <c r="A2859">
        <v>12</v>
      </c>
      <c r="B2859" t="s">
        <v>190</v>
      </c>
      <c r="C2859" t="s">
        <v>191</v>
      </c>
      <c r="D2859" t="s">
        <v>195</v>
      </c>
      <c r="E2859" t="s">
        <v>96</v>
      </c>
      <c r="F2859" s="57" t="s">
        <v>96</v>
      </c>
      <c r="G2859" s="34">
        <f>VLOOKUP(표4[[#This Row],[구분]],ota_rns[#All],표4[[#This Row],[구분1]]+5,FALSE)</f>
        <v>600</v>
      </c>
      <c r="H2859" s="58" t="str">
        <f>CONCATENATE(표4[[#This Row],[세그먼트 (OTA , GOTA, IB'[IB'])]],표4[[#This Row],[목표구분 (REV, RNS, ADR)]],표4[[#This Row],[영업장코드(예약 영업장 코드)]])</f>
        <v>GOTARNS15</v>
      </c>
      <c r="I2859" s="34">
        <f>RIGHT(표4[[#This Row],[년월(XXXX-XX 형식)]],2)*1</f>
        <v>12</v>
      </c>
    </row>
    <row r="2860" spans="1:9" x14ac:dyDescent="0.3">
      <c r="A2860">
        <v>12</v>
      </c>
      <c r="B2860" t="s">
        <v>190</v>
      </c>
      <c r="C2860" t="s">
        <v>191</v>
      </c>
      <c r="D2860" t="s">
        <v>195</v>
      </c>
      <c r="E2860" t="s">
        <v>105</v>
      </c>
      <c r="F2860" s="57" t="s">
        <v>119</v>
      </c>
      <c r="G2860" s="34">
        <f>VLOOKUP(표4[[#This Row],[구분]],ota_rns[#All],표4[[#This Row],[구분1]]+5,FALSE)</f>
        <v>2300</v>
      </c>
      <c r="H2860" s="58" t="str">
        <f>CONCATENATE(표4[[#This Row],[세그먼트 (OTA , GOTA, IB'[IB'])]],표4[[#This Row],[목표구분 (REV, RNS, ADR)]],표4[[#This Row],[영업장코드(예약 영업장 코드)]])</f>
        <v>GOTARNS29</v>
      </c>
      <c r="I2860" s="34">
        <f>RIGHT(표4[[#This Row],[년월(XXXX-XX 형식)]],2)*1</f>
        <v>12</v>
      </c>
    </row>
    <row r="2861" spans="1:9" x14ac:dyDescent="0.3">
      <c r="A2861">
        <v>12</v>
      </c>
      <c r="B2861" t="s">
        <v>190</v>
      </c>
      <c r="C2861" t="s">
        <v>191</v>
      </c>
      <c r="D2861" t="s">
        <v>195</v>
      </c>
      <c r="E2861" t="s">
        <v>184</v>
      </c>
      <c r="F2861" s="57" t="s">
        <v>152</v>
      </c>
      <c r="G2861" s="34">
        <f>VLOOKUP(표4[[#This Row],[구분]],ota_rns[#All],표4[[#This Row],[구분1]]+5,FALSE)</f>
        <v>1030</v>
      </c>
      <c r="H2861" s="58" t="str">
        <f>CONCATENATE(표4[[#This Row],[세그먼트 (OTA , GOTA, IB'[IB'])]],표4[[#This Row],[목표구분 (REV, RNS, ADR)]],표4[[#This Row],[영업장코드(예약 영업장 코드)]])</f>
        <v>GOTARNS85</v>
      </c>
      <c r="I2861" s="34">
        <f>RIGHT(표4[[#This Row],[년월(XXXX-XX 형식)]],2)*1</f>
        <v>12</v>
      </c>
    </row>
    <row r="2862" spans="1:9" x14ac:dyDescent="0.3">
      <c r="A2862">
        <v>12</v>
      </c>
      <c r="B2862" t="s">
        <v>190</v>
      </c>
      <c r="C2862" t="s">
        <v>191</v>
      </c>
      <c r="D2862" t="s">
        <v>195</v>
      </c>
      <c r="E2862" t="s">
        <v>185</v>
      </c>
      <c r="F2862" s="57" t="s">
        <v>128</v>
      </c>
      <c r="G2862" s="34">
        <f>VLOOKUP(표4[[#This Row],[구분]],ota_rns[#All],표4[[#This Row],[구분1]]+5,FALSE)</f>
        <v>1000</v>
      </c>
      <c r="H2862" s="58" t="str">
        <f>CONCATENATE(표4[[#This Row],[세그먼트 (OTA , GOTA, IB'[IB'])]],표4[[#This Row],[목표구분 (REV, RNS, ADR)]],표4[[#This Row],[영업장코드(예약 영업장 코드)]])</f>
        <v>GOTARNS58</v>
      </c>
      <c r="I2862" s="34">
        <f>RIGHT(표4[[#This Row],[년월(XXXX-XX 형식)]],2)*1</f>
        <v>12</v>
      </c>
    </row>
    <row r="2863" spans="1:9" x14ac:dyDescent="0.3">
      <c r="A2863">
        <v>12</v>
      </c>
      <c r="B2863" t="s">
        <v>190</v>
      </c>
      <c r="C2863" t="s">
        <v>191</v>
      </c>
      <c r="D2863" t="s">
        <v>195</v>
      </c>
      <c r="E2863" t="s">
        <v>178</v>
      </c>
      <c r="F2863" s="57" t="s">
        <v>178</v>
      </c>
      <c r="G2863" s="34">
        <f>VLOOKUP(표4[[#This Row],[구분]],ota_rns[#All],표4[[#This Row],[구분1]]+5,FALSE)</f>
        <v>400</v>
      </c>
      <c r="H2863" s="58" t="str">
        <f>CONCATENATE(표4[[#This Row],[세그먼트 (OTA , GOTA, IB'[IB'])]],표4[[#This Row],[목표구분 (REV, RNS, ADR)]],표4[[#This Row],[영업장코드(예약 영업장 코드)]])</f>
        <v>GOTARNS94</v>
      </c>
      <c r="I2863" s="34">
        <f>RIGHT(표4[[#This Row],[년월(XXXX-XX 형식)]],2)*1</f>
        <v>12</v>
      </c>
    </row>
    <row r="2864" spans="1:9" x14ac:dyDescent="0.3">
      <c r="A2864">
        <v>12</v>
      </c>
      <c r="B2864" t="s">
        <v>190</v>
      </c>
      <c r="C2864" t="s">
        <v>192</v>
      </c>
      <c r="D2864" t="s">
        <v>195</v>
      </c>
      <c r="E2864" t="s">
        <v>78</v>
      </c>
      <c r="F2864" s="57" t="s">
        <v>78</v>
      </c>
      <c r="G2864" s="34">
        <f>VLOOKUP(표4[[#This Row],[구분]],ota_rns[#All],표4[[#This Row],[구분1]]+5,FALSE)</f>
        <v>175</v>
      </c>
      <c r="H2864" s="58" t="str">
        <f>CONCATENATE(표4[[#This Row],[세그먼트 (OTA , GOTA, IB'[IB'])]],표4[[#This Row],[목표구분 (REV, RNS, ADR)]],표4[[#This Row],[영업장코드(예약 영업장 코드)]])</f>
        <v>GOTAADR02</v>
      </c>
      <c r="I2864" s="34">
        <f>RIGHT(표4[[#This Row],[년월(XXXX-XX 형식)]],2)*1</f>
        <v>12</v>
      </c>
    </row>
    <row r="2865" spans="1:9" x14ac:dyDescent="0.3">
      <c r="A2865">
        <v>12</v>
      </c>
      <c r="B2865" t="s">
        <v>190</v>
      </c>
      <c r="C2865" t="s">
        <v>192</v>
      </c>
      <c r="D2865" t="s">
        <v>195</v>
      </c>
      <c r="E2865" t="s">
        <v>78</v>
      </c>
      <c r="F2865" s="57" t="s">
        <v>86</v>
      </c>
      <c r="G2865" s="34">
        <f>VLOOKUP(표4[[#This Row],[구분]],ota_rns[#All],표4[[#This Row],[구분1]]+5,FALSE)</f>
        <v>256.24114806961285</v>
      </c>
      <c r="H2865" s="58" t="str">
        <f>CONCATENATE(표4[[#This Row],[세그먼트 (OTA , GOTA, IB'[IB'])]],표4[[#This Row],[목표구분 (REV, RNS, ADR)]],표4[[#This Row],[영업장코드(예약 영업장 코드)]])</f>
        <v>GOTAADR07</v>
      </c>
      <c r="I2865" s="34">
        <f>RIGHT(표4[[#This Row],[년월(XXXX-XX 형식)]],2)*1</f>
        <v>12</v>
      </c>
    </row>
    <row r="2866" spans="1:9" x14ac:dyDescent="0.3">
      <c r="A2866">
        <v>12</v>
      </c>
      <c r="B2866" t="s">
        <v>190</v>
      </c>
      <c r="C2866" t="s">
        <v>192</v>
      </c>
      <c r="D2866" t="s">
        <v>195</v>
      </c>
      <c r="E2866" t="s">
        <v>78</v>
      </c>
      <c r="F2866" s="57" t="s">
        <v>105</v>
      </c>
      <c r="G2866" s="34">
        <f>VLOOKUP(표4[[#This Row],[구분]],ota_rns[#All],표4[[#This Row],[구분1]]+5,FALSE)</f>
        <v>284</v>
      </c>
      <c r="H2866" s="58" t="str">
        <f>CONCATENATE(표4[[#This Row],[세그먼트 (OTA , GOTA, IB'[IB'])]],표4[[#This Row],[목표구분 (REV, RNS, ADR)]],표4[[#This Row],[영업장코드(예약 영업장 코드)]])</f>
        <v>GOTAADR19</v>
      </c>
      <c r="I2866" s="34">
        <f>RIGHT(표4[[#This Row],[년월(XXXX-XX 형식)]],2)*1</f>
        <v>12</v>
      </c>
    </row>
    <row r="2867" spans="1:9" x14ac:dyDescent="0.3">
      <c r="A2867">
        <v>12</v>
      </c>
      <c r="B2867" t="s">
        <v>190</v>
      </c>
      <c r="C2867" t="s">
        <v>192</v>
      </c>
      <c r="D2867" t="s">
        <v>195</v>
      </c>
      <c r="E2867" t="s">
        <v>78</v>
      </c>
      <c r="F2867" s="57" t="s">
        <v>124</v>
      </c>
      <c r="G2867" s="34">
        <f>VLOOKUP(표4[[#This Row],[구분]],ota_rns[#All],표4[[#This Row],[구분1]]+5,FALSE)</f>
        <v>337</v>
      </c>
      <c r="H2867" s="58" t="str">
        <f>CONCATENATE(표4[[#This Row],[세그먼트 (OTA , GOTA, IB'[IB'])]],표4[[#This Row],[목표구분 (REV, RNS, ADR)]],표4[[#This Row],[영업장코드(예약 영업장 코드)]])</f>
        <v>GOTAADR50</v>
      </c>
      <c r="I2867" s="34">
        <f>RIGHT(표4[[#This Row],[년월(XXXX-XX 형식)]],2)*1</f>
        <v>12</v>
      </c>
    </row>
    <row r="2868" spans="1:9" x14ac:dyDescent="0.3">
      <c r="A2868">
        <v>12</v>
      </c>
      <c r="B2868" t="s">
        <v>190</v>
      </c>
      <c r="C2868" t="s">
        <v>192</v>
      </c>
      <c r="D2868" t="s">
        <v>195</v>
      </c>
      <c r="E2868" t="s">
        <v>78</v>
      </c>
      <c r="F2868" s="57" t="s">
        <v>88</v>
      </c>
      <c r="G2868" s="34">
        <f>VLOOKUP(표4[[#This Row],[구분]],ota_rns[#All],표4[[#This Row],[구분1]]+5,FALSE)</f>
        <v>295.34500000000003</v>
      </c>
      <c r="H2868" s="58" t="str">
        <f>CONCATENATE(표4[[#This Row],[세그먼트 (OTA , GOTA, IB'[IB'])]],표4[[#This Row],[목표구분 (REV, RNS, ADR)]],표4[[#This Row],[영업장코드(예약 영업장 코드)]])</f>
        <v>GOTAADR08</v>
      </c>
      <c r="I2868" s="34">
        <f>RIGHT(표4[[#This Row],[년월(XXXX-XX 형식)]],2)*1</f>
        <v>12</v>
      </c>
    </row>
    <row r="2869" spans="1:9" x14ac:dyDescent="0.3">
      <c r="A2869">
        <v>12</v>
      </c>
      <c r="B2869" t="s">
        <v>190</v>
      </c>
      <c r="C2869" t="s">
        <v>192</v>
      </c>
      <c r="D2869" t="s">
        <v>195</v>
      </c>
      <c r="E2869" t="s">
        <v>81</v>
      </c>
      <c r="F2869" s="57" t="s">
        <v>81</v>
      </c>
      <c r="G2869" s="34">
        <f>VLOOKUP(표4[[#This Row],[구분]],ota_rns[#All],표4[[#This Row],[구분1]]+5,FALSE)</f>
        <v>133.9</v>
      </c>
      <c r="H2869" s="58" t="str">
        <f>CONCATENATE(표4[[#This Row],[세그먼트 (OTA , GOTA, IB'[IB'])]],표4[[#This Row],[목표구분 (REV, RNS, ADR)]],표4[[#This Row],[영업장코드(예약 영업장 코드)]])</f>
        <v>GOTAADR03</v>
      </c>
      <c r="I2869" s="34">
        <f>RIGHT(표4[[#This Row],[년월(XXXX-XX 형식)]],2)*1</f>
        <v>12</v>
      </c>
    </row>
    <row r="2870" spans="1:9" x14ac:dyDescent="0.3">
      <c r="A2870">
        <v>12</v>
      </c>
      <c r="B2870" t="s">
        <v>190</v>
      </c>
      <c r="C2870" t="s">
        <v>192</v>
      </c>
      <c r="D2870" t="s">
        <v>195</v>
      </c>
      <c r="E2870" t="s">
        <v>75</v>
      </c>
      <c r="F2870" s="57" t="s">
        <v>75</v>
      </c>
      <c r="G2870" s="34">
        <f>VLOOKUP(표4[[#This Row],[구분]],ota_rns[#All],표4[[#This Row],[구분1]]+5,FALSE)</f>
        <v>160</v>
      </c>
      <c r="H2870" s="58" t="str">
        <f>CONCATENATE(표4[[#This Row],[세그먼트 (OTA , GOTA, IB'[IB'])]],표4[[#This Row],[목표구분 (REV, RNS, ADR)]],표4[[#This Row],[영업장코드(예약 영업장 코드)]])</f>
        <v>GOTAADR01</v>
      </c>
      <c r="I2870" s="34">
        <f>RIGHT(표4[[#This Row],[년월(XXXX-XX 형식)]],2)*1</f>
        <v>12</v>
      </c>
    </row>
    <row r="2871" spans="1:9" x14ac:dyDescent="0.3">
      <c r="A2871">
        <v>12</v>
      </c>
      <c r="B2871" t="s">
        <v>190</v>
      </c>
      <c r="C2871" t="s">
        <v>192</v>
      </c>
      <c r="D2871" t="s">
        <v>195</v>
      </c>
      <c r="E2871" t="s">
        <v>75</v>
      </c>
      <c r="F2871" s="57" t="s">
        <v>141</v>
      </c>
      <c r="G2871" s="34">
        <f>VLOOKUP(표4[[#This Row],[구분]],ota_rns[#All],표4[[#This Row],[구분1]]+5,FALSE)</f>
        <v>221.11726235741446</v>
      </c>
      <c r="H2871" s="58" t="str">
        <f>CONCATENATE(표4[[#This Row],[세그먼트 (OTA , GOTA, IB'[IB'])]],표4[[#This Row],[목표구분 (REV, RNS, ADR)]],표4[[#This Row],[영업장코드(예약 영업장 코드)]])</f>
        <v>GOTAADR70</v>
      </c>
      <c r="I2871" s="34">
        <f>RIGHT(표4[[#This Row],[년월(XXXX-XX 형식)]],2)*1</f>
        <v>12</v>
      </c>
    </row>
    <row r="2872" spans="1:9" x14ac:dyDescent="0.3">
      <c r="A2872">
        <v>12</v>
      </c>
      <c r="B2872" t="s">
        <v>190</v>
      </c>
      <c r="C2872" t="s">
        <v>192</v>
      </c>
      <c r="D2872" t="s">
        <v>195</v>
      </c>
      <c r="E2872" t="s">
        <v>75</v>
      </c>
      <c r="F2872" s="57" t="s">
        <v>113</v>
      </c>
      <c r="G2872" s="34">
        <f>VLOOKUP(표4[[#This Row],[구분]],ota_rns[#All],표4[[#This Row],[구분1]]+5,FALSE)</f>
        <v>205</v>
      </c>
      <c r="H2872" s="58" t="str">
        <f>CONCATENATE(표4[[#This Row],[세그먼트 (OTA , GOTA, IB'[IB'])]],표4[[#This Row],[목표구분 (REV, RNS, ADR)]],표4[[#This Row],[영업장코드(예약 영업장 코드)]])</f>
        <v>GOTAADR25</v>
      </c>
      <c r="I2872" s="34">
        <f>RIGHT(표4[[#This Row],[년월(XXXX-XX 형식)]],2)*1</f>
        <v>12</v>
      </c>
    </row>
    <row r="2873" spans="1:9" x14ac:dyDescent="0.3">
      <c r="A2873">
        <v>12</v>
      </c>
      <c r="B2873" t="s">
        <v>190</v>
      </c>
      <c r="C2873" t="s">
        <v>192</v>
      </c>
      <c r="D2873" t="s">
        <v>195</v>
      </c>
      <c r="E2873" t="s">
        <v>75</v>
      </c>
      <c r="F2873" s="57" t="s">
        <v>117</v>
      </c>
      <c r="G2873" s="34">
        <f>VLOOKUP(표4[[#This Row],[구분]],ota_rns[#All],표4[[#This Row],[구분1]]+5,FALSE)</f>
        <v>340</v>
      </c>
      <c r="H2873" s="58" t="str">
        <f>CONCATENATE(표4[[#This Row],[세그먼트 (OTA , GOTA, IB'[IB'])]],표4[[#This Row],[목표구분 (REV, RNS, ADR)]],표4[[#This Row],[영업장코드(예약 영업장 코드)]])</f>
        <v>GOTAADR27</v>
      </c>
      <c r="I2873" s="34">
        <f>RIGHT(표4[[#This Row],[년월(XXXX-XX 형식)]],2)*1</f>
        <v>12</v>
      </c>
    </row>
    <row r="2874" spans="1:9" x14ac:dyDescent="0.3">
      <c r="A2874">
        <v>12</v>
      </c>
      <c r="B2874" t="s">
        <v>190</v>
      </c>
      <c r="C2874" t="s">
        <v>192</v>
      </c>
      <c r="D2874" t="s">
        <v>195</v>
      </c>
      <c r="E2874" t="s">
        <v>75</v>
      </c>
      <c r="F2874" s="57" t="s">
        <v>122</v>
      </c>
      <c r="G2874" s="34">
        <f>VLOOKUP(표4[[#This Row],[구분]],ota_rns[#All],표4[[#This Row],[구분1]]+5,FALSE)</f>
        <v>312.98</v>
      </c>
      <c r="H2874" s="58" t="str">
        <f>CONCATENATE(표4[[#This Row],[세그먼트 (OTA , GOTA, IB'[IB'])]],표4[[#This Row],[목표구분 (REV, RNS, ADR)]],표4[[#This Row],[영업장코드(예약 영업장 코드)]])</f>
        <v>GOTAADR46</v>
      </c>
      <c r="I2874" s="34">
        <f>RIGHT(표4[[#This Row],[년월(XXXX-XX 형식)]],2)*1</f>
        <v>12</v>
      </c>
    </row>
    <row r="2875" spans="1:9" x14ac:dyDescent="0.3">
      <c r="A2875">
        <v>12</v>
      </c>
      <c r="B2875" t="s">
        <v>190</v>
      </c>
      <c r="C2875" t="s">
        <v>192</v>
      </c>
      <c r="D2875" t="s">
        <v>195</v>
      </c>
      <c r="E2875" t="s">
        <v>92</v>
      </c>
      <c r="F2875" s="57" t="s">
        <v>92</v>
      </c>
      <c r="G2875" s="34">
        <f>VLOOKUP(표4[[#This Row],[구분]],ota_rns[#All],표4[[#This Row],[구분1]]+5,FALSE)</f>
        <v>179.595</v>
      </c>
      <c r="H2875" s="58" t="str">
        <f>CONCATENATE(표4[[#This Row],[세그먼트 (OTA , GOTA, IB'[IB'])]],표4[[#This Row],[목표구분 (REV, RNS, ADR)]],표4[[#This Row],[영업장코드(예약 영업장 코드)]])</f>
        <v>GOTAADR10</v>
      </c>
      <c r="I2875" s="34">
        <f>RIGHT(표4[[#This Row],[년월(XXXX-XX 형식)]],2)*1</f>
        <v>12</v>
      </c>
    </row>
    <row r="2876" spans="1:9" x14ac:dyDescent="0.3">
      <c r="A2876">
        <v>12</v>
      </c>
      <c r="B2876" t="s">
        <v>190</v>
      </c>
      <c r="C2876" t="s">
        <v>192</v>
      </c>
      <c r="D2876" t="s">
        <v>195</v>
      </c>
      <c r="E2876" t="s">
        <v>110</v>
      </c>
      <c r="F2876" s="57" t="s">
        <v>131</v>
      </c>
      <c r="G2876" s="34">
        <f>VLOOKUP(표4[[#This Row],[구분]],ota_rns[#All],표4[[#This Row],[구분1]]+5,FALSE)</f>
        <v>200</v>
      </c>
      <c r="H2876" s="58" t="str">
        <f>CONCATENATE(표4[[#This Row],[세그먼트 (OTA , GOTA, IB'[IB'])]],표4[[#This Row],[목표구분 (REV, RNS, ADR)]],표4[[#This Row],[영업장코드(예약 영업장 코드)]])</f>
        <v>GOTAADR61</v>
      </c>
      <c r="I2876" s="34">
        <f>RIGHT(표4[[#This Row],[년월(XXXX-XX 형식)]],2)*1</f>
        <v>12</v>
      </c>
    </row>
    <row r="2877" spans="1:9" x14ac:dyDescent="0.3">
      <c r="A2877">
        <v>12</v>
      </c>
      <c r="B2877" t="s">
        <v>190</v>
      </c>
      <c r="C2877" t="s">
        <v>192</v>
      </c>
      <c r="D2877" t="s">
        <v>195</v>
      </c>
      <c r="E2877" t="s">
        <v>180</v>
      </c>
      <c r="F2877" s="57" t="s">
        <v>180</v>
      </c>
      <c r="G2877" s="34">
        <f>VLOOKUP(표4[[#This Row],[구분]],ota_rns[#All],표4[[#This Row],[구분1]]+5,FALSE)</f>
        <v>267.43461529560335</v>
      </c>
      <c r="H2877" s="58" t="str">
        <f>CONCATENATE(표4[[#This Row],[세그먼트 (OTA , GOTA, IB'[IB'])]],표4[[#This Row],[목표구분 (REV, RNS, ADR)]],표4[[#This Row],[영업장코드(예약 영업장 코드)]])</f>
        <v>GOTAADR05</v>
      </c>
      <c r="I2877" s="34">
        <f>RIGHT(표4[[#This Row],[년월(XXXX-XX 형식)]],2)*1</f>
        <v>12</v>
      </c>
    </row>
    <row r="2878" spans="1:9" x14ac:dyDescent="0.3">
      <c r="A2878">
        <v>12</v>
      </c>
      <c r="B2878" t="s">
        <v>190</v>
      </c>
      <c r="C2878" t="s">
        <v>192</v>
      </c>
      <c r="D2878" t="s">
        <v>195</v>
      </c>
      <c r="E2878" t="s">
        <v>181</v>
      </c>
      <c r="F2878" s="57" t="s">
        <v>137</v>
      </c>
      <c r="G2878" s="34">
        <f>VLOOKUP(표4[[#This Row],[구분]],ota_rns[#All],표4[[#This Row],[구분1]]+5,FALSE)</f>
        <v>144</v>
      </c>
      <c r="H2878" s="58" t="str">
        <f>CONCATENATE(표4[[#This Row],[세그먼트 (OTA , GOTA, IB'[IB'])]],표4[[#This Row],[목표구분 (REV, RNS, ADR)]],표4[[#This Row],[영업장코드(예약 영업장 코드)]])</f>
        <v>GOTAADR66</v>
      </c>
      <c r="I2878" s="34">
        <f>RIGHT(표4[[#This Row],[년월(XXXX-XX 형식)]],2)*1</f>
        <v>12</v>
      </c>
    </row>
    <row r="2879" spans="1:9" x14ac:dyDescent="0.3">
      <c r="A2879">
        <v>12</v>
      </c>
      <c r="B2879" t="s">
        <v>190</v>
      </c>
      <c r="C2879" t="s">
        <v>192</v>
      </c>
      <c r="D2879" t="s">
        <v>195</v>
      </c>
      <c r="E2879" t="s">
        <v>84</v>
      </c>
      <c r="F2879" s="57" t="s">
        <v>84</v>
      </c>
      <c r="G2879" s="34">
        <f>VLOOKUP(표4[[#This Row],[구분]],ota_rns[#All],표4[[#This Row],[구분1]]+5,FALSE)</f>
        <v>172.8</v>
      </c>
      <c r="H2879" s="58" t="str">
        <f>CONCATENATE(표4[[#This Row],[세그먼트 (OTA , GOTA, IB'[IB'])]],표4[[#This Row],[목표구분 (REV, RNS, ADR)]],표4[[#This Row],[영업장코드(예약 영업장 코드)]])</f>
        <v>GOTAADR06</v>
      </c>
      <c r="I2879" s="34">
        <f>RIGHT(표4[[#This Row],[년월(XXXX-XX 형식)]],2)*1</f>
        <v>12</v>
      </c>
    </row>
    <row r="2880" spans="1:9" x14ac:dyDescent="0.3">
      <c r="A2880">
        <v>12</v>
      </c>
      <c r="B2880" t="s">
        <v>190</v>
      </c>
      <c r="C2880" t="s">
        <v>192</v>
      </c>
      <c r="D2880" t="s">
        <v>195</v>
      </c>
      <c r="E2880" t="s">
        <v>143</v>
      </c>
      <c r="F2880" s="57" t="s">
        <v>143</v>
      </c>
      <c r="G2880" s="34">
        <f>VLOOKUP(표4[[#This Row],[구분]],ota_rns[#All],표4[[#This Row],[구분1]]+5,FALSE)</f>
        <v>161.69565217391303</v>
      </c>
      <c r="H2880" s="58" t="str">
        <f>CONCATENATE(표4[[#This Row],[세그먼트 (OTA , GOTA, IB'[IB'])]],표4[[#This Row],[목표구분 (REV, RNS, ADR)]],표4[[#This Row],[영업장코드(예약 영업장 코드)]])</f>
        <v>GOTAADR73</v>
      </c>
      <c r="I2880" s="34">
        <f>RIGHT(표4[[#This Row],[년월(XXXX-XX 형식)]],2)*1</f>
        <v>12</v>
      </c>
    </row>
    <row r="2881" spans="1:9" x14ac:dyDescent="0.3">
      <c r="A2881">
        <v>12</v>
      </c>
      <c r="B2881" t="s">
        <v>190</v>
      </c>
      <c r="C2881" t="s">
        <v>192</v>
      </c>
      <c r="D2881" t="s">
        <v>195</v>
      </c>
      <c r="E2881" t="s">
        <v>99</v>
      </c>
      <c r="F2881" s="57" t="s">
        <v>99</v>
      </c>
      <c r="G2881" s="34">
        <f>VLOOKUP(표4[[#This Row],[구분]],ota_rns[#All],표4[[#This Row],[구분1]]+5,FALSE)</f>
        <v>161</v>
      </c>
      <c r="H2881" s="58" t="str">
        <f>CONCATENATE(표4[[#This Row],[세그먼트 (OTA , GOTA, IB'[IB'])]],표4[[#This Row],[목표구분 (REV, RNS, ADR)]],표4[[#This Row],[영업장코드(예약 영업장 코드)]])</f>
        <v>GOTAADR16</v>
      </c>
      <c r="I2881" s="34">
        <f>RIGHT(표4[[#This Row],[년월(XXXX-XX 형식)]],2)*1</f>
        <v>12</v>
      </c>
    </row>
    <row r="2882" spans="1:9" x14ac:dyDescent="0.3">
      <c r="A2882">
        <v>12</v>
      </c>
      <c r="B2882" t="s">
        <v>190</v>
      </c>
      <c r="C2882" t="s">
        <v>192</v>
      </c>
      <c r="D2882" t="s">
        <v>195</v>
      </c>
      <c r="E2882" t="s">
        <v>103</v>
      </c>
      <c r="F2882" s="57" t="s">
        <v>110</v>
      </c>
      <c r="G2882" s="34">
        <f>VLOOKUP(표4[[#This Row],[구분]],ota_rns[#All],표4[[#This Row],[구분1]]+5,FALSE)</f>
        <v>213.56</v>
      </c>
      <c r="H2882" s="58" t="str">
        <f>CONCATENATE(표4[[#This Row],[세그먼트 (OTA , GOTA, IB'[IB'])]],표4[[#This Row],[목표구분 (REV, RNS, ADR)]],표4[[#This Row],[영업장코드(예약 영업장 코드)]])</f>
        <v>GOTAADR24</v>
      </c>
      <c r="I2882" s="34">
        <f>RIGHT(표4[[#This Row],[년월(XXXX-XX 형식)]],2)*1</f>
        <v>12</v>
      </c>
    </row>
    <row r="2883" spans="1:9" x14ac:dyDescent="0.3">
      <c r="A2883">
        <v>12</v>
      </c>
      <c r="B2883" t="s">
        <v>190</v>
      </c>
      <c r="C2883" t="s">
        <v>192</v>
      </c>
      <c r="D2883" t="s">
        <v>195</v>
      </c>
      <c r="E2883" t="s">
        <v>101</v>
      </c>
      <c r="F2883" s="57" t="s">
        <v>107</v>
      </c>
      <c r="G2883" s="34">
        <f>VLOOKUP(표4[[#This Row],[구분]],ota_rns[#All],표4[[#This Row],[구분1]]+5,FALSE)</f>
        <v>246</v>
      </c>
      <c r="H2883" s="58" t="str">
        <f>CONCATENATE(표4[[#This Row],[세그먼트 (OTA , GOTA, IB'[IB'])]],표4[[#This Row],[목표구분 (REV, RNS, ADR)]],표4[[#This Row],[영업장코드(예약 영업장 코드)]])</f>
        <v>GOTAADR22</v>
      </c>
      <c r="I2883" s="34">
        <f>RIGHT(표4[[#This Row],[년월(XXXX-XX 형식)]],2)*1</f>
        <v>12</v>
      </c>
    </row>
    <row r="2884" spans="1:9" x14ac:dyDescent="0.3">
      <c r="A2884">
        <v>12</v>
      </c>
      <c r="B2884" t="s">
        <v>190</v>
      </c>
      <c r="C2884" t="s">
        <v>192</v>
      </c>
      <c r="D2884" t="s">
        <v>195</v>
      </c>
      <c r="E2884" t="s">
        <v>182</v>
      </c>
      <c r="F2884" s="57" t="s">
        <v>147</v>
      </c>
      <c r="G2884" s="34">
        <f>VLOOKUP(표4[[#This Row],[구분]],ota_rns[#All],표4[[#This Row],[구분1]]+5,FALSE)</f>
        <v>205</v>
      </c>
      <c r="H2884" s="58" t="str">
        <f>CONCATENATE(표4[[#This Row],[세그먼트 (OTA , GOTA, IB'[IB'])]],표4[[#This Row],[목표구분 (REV, RNS, ADR)]],표4[[#This Row],[영업장코드(예약 영업장 코드)]])</f>
        <v>GOTAADR77</v>
      </c>
      <c r="I2884" s="34">
        <f>RIGHT(표4[[#This Row],[년월(XXXX-XX 형식)]],2)*1</f>
        <v>12</v>
      </c>
    </row>
    <row r="2885" spans="1:9" x14ac:dyDescent="0.3">
      <c r="A2885">
        <v>12</v>
      </c>
      <c r="B2885" t="s">
        <v>190</v>
      </c>
      <c r="C2885" t="s">
        <v>192</v>
      </c>
      <c r="D2885" t="s">
        <v>195</v>
      </c>
      <c r="E2885" t="s">
        <v>183</v>
      </c>
      <c r="F2885" s="57" t="s">
        <v>157</v>
      </c>
      <c r="G2885" s="34">
        <f>VLOOKUP(표4[[#This Row],[구분]],ota_rns[#All],표4[[#This Row],[구분1]]+5,FALSE)</f>
        <v>256.9850746268657</v>
      </c>
      <c r="H2885" s="58" t="str">
        <f>CONCATENATE(표4[[#This Row],[세그먼트 (OTA , GOTA, IB'[IB'])]],표4[[#This Row],[목표구분 (REV, RNS, ADR)]],표4[[#This Row],[영업장코드(예약 영업장 코드)]])</f>
        <v>GOTAADR87</v>
      </c>
      <c r="I2885" s="34">
        <f>RIGHT(표4[[#This Row],[년월(XXXX-XX 형식)]],2)*1</f>
        <v>12</v>
      </c>
    </row>
    <row r="2886" spans="1:9" x14ac:dyDescent="0.3">
      <c r="A2886">
        <v>12</v>
      </c>
      <c r="B2886" t="s">
        <v>190</v>
      </c>
      <c r="C2886" t="s">
        <v>192</v>
      </c>
      <c r="D2886" t="s">
        <v>195</v>
      </c>
      <c r="E2886" t="s">
        <v>96</v>
      </c>
      <c r="F2886" s="57" t="s">
        <v>96</v>
      </c>
      <c r="G2886" s="34">
        <f>VLOOKUP(표4[[#This Row],[구분]],ota_rns[#All],표4[[#This Row],[구분1]]+5,FALSE)</f>
        <v>180</v>
      </c>
      <c r="H2886" s="58" t="str">
        <f>CONCATENATE(표4[[#This Row],[세그먼트 (OTA , GOTA, IB'[IB'])]],표4[[#This Row],[목표구분 (REV, RNS, ADR)]],표4[[#This Row],[영업장코드(예약 영업장 코드)]])</f>
        <v>GOTAADR15</v>
      </c>
      <c r="I2886" s="34">
        <f>RIGHT(표4[[#This Row],[년월(XXXX-XX 형식)]],2)*1</f>
        <v>12</v>
      </c>
    </row>
    <row r="2887" spans="1:9" x14ac:dyDescent="0.3">
      <c r="A2887">
        <v>12</v>
      </c>
      <c r="B2887" t="s">
        <v>190</v>
      </c>
      <c r="C2887" t="s">
        <v>192</v>
      </c>
      <c r="D2887" t="s">
        <v>195</v>
      </c>
      <c r="E2887" t="s">
        <v>105</v>
      </c>
      <c r="F2887" s="57" t="s">
        <v>119</v>
      </c>
      <c r="G2887" s="34">
        <f>VLOOKUP(표4[[#This Row],[구분]],ota_rns[#All],표4[[#This Row],[구분1]]+5,FALSE)</f>
        <v>171.4</v>
      </c>
      <c r="H2887" s="58" t="str">
        <f>CONCATENATE(표4[[#This Row],[세그먼트 (OTA , GOTA, IB'[IB'])]],표4[[#This Row],[목표구분 (REV, RNS, ADR)]],표4[[#This Row],[영업장코드(예약 영업장 코드)]])</f>
        <v>GOTAADR29</v>
      </c>
      <c r="I2887" s="34">
        <f>RIGHT(표4[[#This Row],[년월(XXXX-XX 형식)]],2)*1</f>
        <v>12</v>
      </c>
    </row>
    <row r="2888" spans="1:9" x14ac:dyDescent="0.3">
      <c r="A2888">
        <v>12</v>
      </c>
      <c r="B2888" t="s">
        <v>190</v>
      </c>
      <c r="C2888" t="s">
        <v>192</v>
      </c>
      <c r="D2888" t="s">
        <v>195</v>
      </c>
      <c r="E2888" t="s">
        <v>184</v>
      </c>
      <c r="F2888" s="57" t="s">
        <v>152</v>
      </c>
      <c r="G2888" s="34">
        <f>VLOOKUP(표4[[#This Row],[구분]],ota_rns[#All],표4[[#This Row],[구분1]]+5,FALSE)</f>
        <v>348.97087378640776</v>
      </c>
      <c r="H2888" s="58" t="str">
        <f>CONCATENATE(표4[[#This Row],[세그먼트 (OTA , GOTA, IB'[IB'])]],표4[[#This Row],[목표구분 (REV, RNS, ADR)]],표4[[#This Row],[영업장코드(예약 영업장 코드)]])</f>
        <v>GOTAADR85</v>
      </c>
      <c r="I2888" s="34">
        <f>RIGHT(표4[[#This Row],[년월(XXXX-XX 형식)]],2)*1</f>
        <v>12</v>
      </c>
    </row>
    <row r="2889" spans="1:9" x14ac:dyDescent="0.3">
      <c r="A2889">
        <v>12</v>
      </c>
      <c r="B2889" t="s">
        <v>190</v>
      </c>
      <c r="C2889" t="s">
        <v>192</v>
      </c>
      <c r="D2889" t="s">
        <v>195</v>
      </c>
      <c r="E2889" t="s">
        <v>185</v>
      </c>
      <c r="F2889" s="57" t="s">
        <v>128</v>
      </c>
      <c r="G2889" s="34">
        <f>VLOOKUP(표4[[#This Row],[구분]],ota_rns[#All],표4[[#This Row],[구분1]]+5,FALSE)</f>
        <v>97.1</v>
      </c>
      <c r="H2889" s="58" t="str">
        <f>CONCATENATE(표4[[#This Row],[세그먼트 (OTA , GOTA, IB'[IB'])]],표4[[#This Row],[목표구분 (REV, RNS, ADR)]],표4[[#This Row],[영업장코드(예약 영업장 코드)]])</f>
        <v>GOTAADR58</v>
      </c>
      <c r="I2889" s="34">
        <f>RIGHT(표4[[#This Row],[년월(XXXX-XX 형식)]],2)*1</f>
        <v>12</v>
      </c>
    </row>
    <row r="2890" spans="1:9" x14ac:dyDescent="0.3">
      <c r="A2890">
        <v>12</v>
      </c>
      <c r="B2890" t="s">
        <v>190</v>
      </c>
      <c r="C2890" t="s">
        <v>192</v>
      </c>
      <c r="D2890" t="s">
        <v>195</v>
      </c>
      <c r="E2890" t="s">
        <v>178</v>
      </c>
      <c r="F2890" s="57" t="s">
        <v>178</v>
      </c>
      <c r="G2890" s="34">
        <f>VLOOKUP(표4[[#This Row],[구분]],ota_rns[#All],표4[[#This Row],[구분1]]+5,FALSE)</f>
        <v>253</v>
      </c>
      <c r="H2890" s="58" t="str">
        <f>CONCATENATE(표4[[#This Row],[세그먼트 (OTA , GOTA, IB'[IB'])]],표4[[#This Row],[목표구분 (REV, RNS, ADR)]],표4[[#This Row],[영업장코드(예약 영업장 코드)]])</f>
        <v>GOTAADR94</v>
      </c>
      <c r="I2890" s="34">
        <f>RIGHT(표4[[#This Row],[년월(XXXX-XX 형식)]],2)*1</f>
        <v>12</v>
      </c>
    </row>
    <row r="2891" spans="1:9" x14ac:dyDescent="0.3">
      <c r="A2891">
        <v>12</v>
      </c>
      <c r="B2891" t="s">
        <v>190</v>
      </c>
      <c r="C2891" t="s">
        <v>193</v>
      </c>
      <c r="D2891" t="s">
        <v>195</v>
      </c>
      <c r="E2891" t="s">
        <v>78</v>
      </c>
      <c r="F2891" s="57" t="s">
        <v>78</v>
      </c>
      <c r="G2891" s="34">
        <f>VLOOKUP(표4[[#This Row],[구분]],ota_rns[#All],표4[[#This Row],[구분1]]+5,FALSE)</f>
        <v>577.5</v>
      </c>
      <c r="H2891" s="58" t="str">
        <f>CONCATENATE(표4[[#This Row],[세그먼트 (OTA , GOTA, IB'[IB'])]],표4[[#This Row],[목표구분 (REV, RNS, ADR)]],표4[[#This Row],[영업장코드(예약 영업장 코드)]])</f>
        <v>GOTAREV02</v>
      </c>
      <c r="I2891" s="34">
        <f>RIGHT(표4[[#This Row],[년월(XXXX-XX 형식)]],2)*1</f>
        <v>12</v>
      </c>
    </row>
    <row r="2892" spans="1:9" x14ac:dyDescent="0.3">
      <c r="A2892">
        <v>12</v>
      </c>
      <c r="B2892" t="s">
        <v>190</v>
      </c>
      <c r="C2892" t="s">
        <v>193</v>
      </c>
      <c r="D2892" t="s">
        <v>195</v>
      </c>
      <c r="E2892" t="s">
        <v>78</v>
      </c>
      <c r="F2892" s="57" t="s">
        <v>86</v>
      </c>
      <c r="G2892" s="34">
        <f>VLOOKUP(표4[[#This Row],[구분]],ota_rns[#All],표4[[#This Row],[구분1]]+5,FALSE)</f>
        <v>438.17236319903799</v>
      </c>
      <c r="H2892" s="58" t="str">
        <f>CONCATENATE(표4[[#This Row],[세그먼트 (OTA , GOTA, IB'[IB'])]],표4[[#This Row],[목표구분 (REV, RNS, ADR)]],표4[[#This Row],[영업장코드(예약 영업장 코드)]])</f>
        <v>GOTAREV07</v>
      </c>
      <c r="I2892" s="34">
        <f>RIGHT(표4[[#This Row],[년월(XXXX-XX 형식)]],2)*1</f>
        <v>12</v>
      </c>
    </row>
    <row r="2893" spans="1:9" x14ac:dyDescent="0.3">
      <c r="A2893">
        <v>12</v>
      </c>
      <c r="B2893" t="s">
        <v>190</v>
      </c>
      <c r="C2893" t="s">
        <v>193</v>
      </c>
      <c r="D2893" t="s">
        <v>195</v>
      </c>
      <c r="E2893" t="s">
        <v>78</v>
      </c>
      <c r="F2893" s="57" t="s">
        <v>105</v>
      </c>
      <c r="G2893" s="34">
        <f>VLOOKUP(표4[[#This Row],[구분]],ota_rns[#All],표4[[#This Row],[구분1]]+5,FALSE)</f>
        <v>369.2</v>
      </c>
      <c r="H2893" s="58" t="str">
        <f>CONCATENATE(표4[[#This Row],[세그먼트 (OTA , GOTA, IB'[IB'])]],표4[[#This Row],[목표구분 (REV, RNS, ADR)]],표4[[#This Row],[영업장코드(예약 영업장 코드)]])</f>
        <v>GOTAREV19</v>
      </c>
      <c r="I2893" s="34">
        <f>RIGHT(표4[[#This Row],[년월(XXXX-XX 형식)]],2)*1</f>
        <v>12</v>
      </c>
    </row>
    <row r="2894" spans="1:9" x14ac:dyDescent="0.3">
      <c r="A2894">
        <v>12</v>
      </c>
      <c r="B2894" t="s">
        <v>190</v>
      </c>
      <c r="C2894" t="s">
        <v>193</v>
      </c>
      <c r="D2894" t="s">
        <v>195</v>
      </c>
      <c r="E2894" t="s">
        <v>78</v>
      </c>
      <c r="F2894" s="57" t="s">
        <v>124</v>
      </c>
      <c r="G2894" s="34">
        <f>VLOOKUP(표4[[#This Row],[구분]],ota_rns[#All],표4[[#This Row],[구분1]]+5,FALSE)</f>
        <v>185.35</v>
      </c>
      <c r="H2894" s="58" t="str">
        <f>CONCATENATE(표4[[#This Row],[세그먼트 (OTA , GOTA, IB'[IB'])]],표4[[#This Row],[목표구분 (REV, RNS, ADR)]],표4[[#This Row],[영업장코드(예약 영업장 코드)]])</f>
        <v>GOTAREV50</v>
      </c>
      <c r="I2894" s="34">
        <f>RIGHT(표4[[#This Row],[년월(XXXX-XX 형식)]],2)*1</f>
        <v>12</v>
      </c>
    </row>
    <row r="2895" spans="1:9" x14ac:dyDescent="0.3">
      <c r="A2895">
        <v>12</v>
      </c>
      <c r="B2895" t="s">
        <v>190</v>
      </c>
      <c r="C2895" t="s">
        <v>193</v>
      </c>
      <c r="D2895" t="s">
        <v>195</v>
      </c>
      <c r="E2895" t="s">
        <v>78</v>
      </c>
      <c r="F2895" s="57" t="s">
        <v>88</v>
      </c>
      <c r="G2895" s="34">
        <f>VLOOKUP(표4[[#This Row],[구분]],ota_rns[#All],표4[[#This Row],[구분1]]+5,FALSE)</f>
        <v>147.67250000000001</v>
      </c>
      <c r="H2895" s="58" t="str">
        <f>CONCATENATE(표4[[#This Row],[세그먼트 (OTA , GOTA, IB'[IB'])]],표4[[#This Row],[목표구분 (REV, RNS, ADR)]],표4[[#This Row],[영업장코드(예약 영업장 코드)]])</f>
        <v>GOTAREV08</v>
      </c>
      <c r="I2895" s="34">
        <f>RIGHT(표4[[#This Row],[년월(XXXX-XX 형식)]],2)*1</f>
        <v>12</v>
      </c>
    </row>
    <row r="2896" spans="1:9" x14ac:dyDescent="0.3">
      <c r="A2896">
        <v>12</v>
      </c>
      <c r="B2896" t="s">
        <v>190</v>
      </c>
      <c r="C2896" t="s">
        <v>193</v>
      </c>
      <c r="D2896" t="s">
        <v>195</v>
      </c>
      <c r="E2896" t="s">
        <v>81</v>
      </c>
      <c r="F2896" s="57" t="s">
        <v>81</v>
      </c>
      <c r="G2896" s="34">
        <f>VLOOKUP(표4[[#This Row],[구분]],ota_rns[#All],표4[[#This Row],[구분1]]+5,FALSE)</f>
        <v>40.17</v>
      </c>
      <c r="H2896" s="58" t="str">
        <f>CONCATENATE(표4[[#This Row],[세그먼트 (OTA , GOTA, IB'[IB'])]],표4[[#This Row],[목표구분 (REV, RNS, ADR)]],표4[[#This Row],[영업장코드(예약 영업장 코드)]])</f>
        <v>GOTAREV03</v>
      </c>
      <c r="I2896" s="34">
        <f>RIGHT(표4[[#This Row],[년월(XXXX-XX 형식)]],2)*1</f>
        <v>12</v>
      </c>
    </row>
    <row r="2897" spans="1:9" x14ac:dyDescent="0.3">
      <c r="A2897">
        <v>12</v>
      </c>
      <c r="B2897" t="s">
        <v>190</v>
      </c>
      <c r="C2897" t="s">
        <v>193</v>
      </c>
      <c r="D2897" t="s">
        <v>195</v>
      </c>
      <c r="E2897" t="s">
        <v>75</v>
      </c>
      <c r="F2897" s="57" t="s">
        <v>75</v>
      </c>
      <c r="G2897" s="34">
        <f>VLOOKUP(표4[[#This Row],[구분]],ota_rns[#All],표4[[#This Row],[구분1]]+5,FALSE)</f>
        <v>192</v>
      </c>
      <c r="H2897" s="58" t="str">
        <f>CONCATENATE(표4[[#This Row],[세그먼트 (OTA , GOTA, IB'[IB'])]],표4[[#This Row],[목표구분 (REV, RNS, ADR)]],표4[[#This Row],[영업장코드(예약 영업장 코드)]])</f>
        <v>GOTAREV01</v>
      </c>
      <c r="I2897" s="34">
        <f>RIGHT(표4[[#This Row],[년월(XXXX-XX 형식)]],2)*1</f>
        <v>12</v>
      </c>
    </row>
    <row r="2898" spans="1:9" x14ac:dyDescent="0.3">
      <c r="A2898">
        <v>12</v>
      </c>
      <c r="B2898" t="s">
        <v>190</v>
      </c>
      <c r="C2898" t="s">
        <v>193</v>
      </c>
      <c r="D2898" t="s">
        <v>195</v>
      </c>
      <c r="E2898" t="s">
        <v>75</v>
      </c>
      <c r="F2898" s="57" t="s">
        <v>141</v>
      </c>
      <c r="G2898" s="34">
        <f>VLOOKUP(표4[[#This Row],[구분]],ota_rns[#All],표4[[#This Row],[구분1]]+5,FALSE)</f>
        <v>581.53840000000002</v>
      </c>
      <c r="H2898" s="58" t="str">
        <f>CONCATENATE(표4[[#This Row],[세그먼트 (OTA , GOTA, IB'[IB'])]],표4[[#This Row],[목표구분 (REV, RNS, ADR)]],표4[[#This Row],[영업장코드(예약 영업장 코드)]])</f>
        <v>GOTAREV70</v>
      </c>
      <c r="I2898" s="34">
        <f>RIGHT(표4[[#This Row],[년월(XXXX-XX 형식)]],2)*1</f>
        <v>12</v>
      </c>
    </row>
    <row r="2899" spans="1:9" x14ac:dyDescent="0.3">
      <c r="A2899">
        <v>12</v>
      </c>
      <c r="B2899" t="s">
        <v>190</v>
      </c>
      <c r="C2899" t="s">
        <v>193</v>
      </c>
      <c r="D2899" t="s">
        <v>195</v>
      </c>
      <c r="E2899" t="s">
        <v>75</v>
      </c>
      <c r="F2899" s="57" t="s">
        <v>113</v>
      </c>
      <c r="G2899" s="34">
        <f>VLOOKUP(표4[[#This Row],[구분]],ota_rns[#All],표4[[#This Row],[구분1]]+5,FALSE)</f>
        <v>143.5</v>
      </c>
      <c r="H2899" s="58" t="str">
        <f>CONCATENATE(표4[[#This Row],[세그먼트 (OTA , GOTA, IB'[IB'])]],표4[[#This Row],[목표구분 (REV, RNS, ADR)]],표4[[#This Row],[영업장코드(예약 영업장 코드)]])</f>
        <v>GOTAREV25</v>
      </c>
      <c r="I2899" s="34">
        <f>RIGHT(표4[[#This Row],[년월(XXXX-XX 형식)]],2)*1</f>
        <v>12</v>
      </c>
    </row>
    <row r="2900" spans="1:9" x14ac:dyDescent="0.3">
      <c r="A2900">
        <v>12</v>
      </c>
      <c r="B2900" t="s">
        <v>190</v>
      </c>
      <c r="C2900" t="s">
        <v>193</v>
      </c>
      <c r="D2900" t="s">
        <v>195</v>
      </c>
      <c r="E2900" t="s">
        <v>75</v>
      </c>
      <c r="F2900" s="57" t="s">
        <v>117</v>
      </c>
      <c r="G2900" s="34">
        <f>VLOOKUP(표4[[#This Row],[구분]],ota_rns[#All],표4[[#This Row],[구분1]]+5,FALSE)</f>
        <v>221</v>
      </c>
      <c r="H2900" s="58" t="str">
        <f>CONCATENATE(표4[[#This Row],[세그먼트 (OTA , GOTA, IB'[IB'])]],표4[[#This Row],[목표구분 (REV, RNS, ADR)]],표4[[#This Row],[영업장코드(예약 영업장 코드)]])</f>
        <v>GOTAREV27</v>
      </c>
      <c r="I2900" s="34">
        <f>RIGHT(표4[[#This Row],[년월(XXXX-XX 형식)]],2)*1</f>
        <v>12</v>
      </c>
    </row>
    <row r="2901" spans="1:9" x14ac:dyDescent="0.3">
      <c r="A2901">
        <v>12</v>
      </c>
      <c r="B2901" t="s">
        <v>190</v>
      </c>
      <c r="C2901" t="s">
        <v>193</v>
      </c>
      <c r="D2901" t="s">
        <v>195</v>
      </c>
      <c r="E2901" t="s">
        <v>75</v>
      </c>
      <c r="F2901" s="57" t="s">
        <v>122</v>
      </c>
      <c r="G2901" s="34">
        <f>VLOOKUP(표4[[#This Row],[구분]],ota_rns[#All],표4[[#This Row],[구분1]]+5,FALSE)</f>
        <v>25.038400000000003</v>
      </c>
      <c r="H2901" s="58" t="str">
        <f>CONCATENATE(표4[[#This Row],[세그먼트 (OTA , GOTA, IB'[IB'])]],표4[[#This Row],[목표구분 (REV, RNS, ADR)]],표4[[#This Row],[영업장코드(예약 영업장 코드)]])</f>
        <v>GOTAREV46</v>
      </c>
      <c r="I2901" s="34">
        <f>RIGHT(표4[[#This Row],[년월(XXXX-XX 형식)]],2)*1</f>
        <v>12</v>
      </c>
    </row>
    <row r="2902" spans="1:9" x14ac:dyDescent="0.3">
      <c r="A2902">
        <v>12</v>
      </c>
      <c r="B2902" t="s">
        <v>190</v>
      </c>
      <c r="C2902" t="s">
        <v>193</v>
      </c>
      <c r="D2902" t="s">
        <v>195</v>
      </c>
      <c r="E2902" t="s">
        <v>92</v>
      </c>
      <c r="F2902" s="57" t="s">
        <v>92</v>
      </c>
      <c r="G2902" s="34">
        <f>VLOOKUP(표4[[#This Row],[구분]],ota_rns[#All],표4[[#This Row],[구분1]]+5,FALSE)</f>
        <v>197.55449999999999</v>
      </c>
      <c r="H2902" s="58" t="str">
        <f>CONCATENATE(표4[[#This Row],[세그먼트 (OTA , GOTA, IB'[IB'])]],표4[[#This Row],[목표구분 (REV, RNS, ADR)]],표4[[#This Row],[영업장코드(예약 영업장 코드)]])</f>
        <v>GOTAREV10</v>
      </c>
      <c r="I2902" s="34">
        <f>RIGHT(표4[[#This Row],[년월(XXXX-XX 형식)]],2)*1</f>
        <v>12</v>
      </c>
    </row>
    <row r="2903" spans="1:9" x14ac:dyDescent="0.3">
      <c r="A2903">
        <v>12</v>
      </c>
      <c r="B2903" t="s">
        <v>190</v>
      </c>
      <c r="C2903" t="s">
        <v>193</v>
      </c>
      <c r="D2903" t="s">
        <v>195</v>
      </c>
      <c r="E2903" t="s">
        <v>110</v>
      </c>
      <c r="F2903" s="57" t="s">
        <v>131</v>
      </c>
      <c r="G2903" s="34">
        <f>VLOOKUP(표4[[#This Row],[구분]],ota_rns[#All],표4[[#This Row],[구분1]]+5,FALSE)</f>
        <v>300</v>
      </c>
      <c r="H2903" s="58" t="str">
        <f>CONCATENATE(표4[[#This Row],[세그먼트 (OTA , GOTA, IB'[IB'])]],표4[[#This Row],[목표구분 (REV, RNS, ADR)]],표4[[#This Row],[영업장코드(예약 영업장 코드)]])</f>
        <v>GOTAREV61</v>
      </c>
      <c r="I2903" s="34">
        <f>RIGHT(표4[[#This Row],[년월(XXXX-XX 형식)]],2)*1</f>
        <v>12</v>
      </c>
    </row>
    <row r="2904" spans="1:9" x14ac:dyDescent="0.3">
      <c r="A2904">
        <v>12</v>
      </c>
      <c r="B2904" t="s">
        <v>190</v>
      </c>
      <c r="C2904" t="s">
        <v>193</v>
      </c>
      <c r="D2904" t="s">
        <v>195</v>
      </c>
      <c r="E2904" t="s">
        <v>180</v>
      </c>
      <c r="F2904" s="57" t="s">
        <v>180</v>
      </c>
      <c r="G2904" s="34">
        <f>VLOOKUP(표4[[#This Row],[구분]],ota_rns[#All],표4[[#This Row],[구분1]]+5,FALSE)</f>
        <v>251.38853837786715</v>
      </c>
      <c r="H2904" s="58" t="str">
        <f>CONCATENATE(표4[[#This Row],[세그먼트 (OTA , GOTA, IB'[IB'])]],표4[[#This Row],[목표구분 (REV, RNS, ADR)]],표4[[#This Row],[영업장코드(예약 영업장 코드)]])</f>
        <v>GOTAREV05</v>
      </c>
      <c r="I2904" s="34">
        <f>RIGHT(표4[[#This Row],[년월(XXXX-XX 형식)]],2)*1</f>
        <v>12</v>
      </c>
    </row>
    <row r="2905" spans="1:9" x14ac:dyDescent="0.3">
      <c r="A2905">
        <v>12</v>
      </c>
      <c r="B2905" t="s">
        <v>190</v>
      </c>
      <c r="C2905" t="s">
        <v>193</v>
      </c>
      <c r="D2905" t="s">
        <v>195</v>
      </c>
      <c r="E2905" t="s">
        <v>181</v>
      </c>
      <c r="F2905" s="57" t="s">
        <v>137</v>
      </c>
      <c r="G2905" s="34">
        <f>VLOOKUP(표4[[#This Row],[구분]],ota_rns[#All],표4[[#This Row],[구분1]]+5,FALSE)</f>
        <v>129.6</v>
      </c>
      <c r="H2905" s="58" t="str">
        <f>CONCATENATE(표4[[#This Row],[세그먼트 (OTA , GOTA, IB'[IB'])]],표4[[#This Row],[목표구분 (REV, RNS, ADR)]],표4[[#This Row],[영업장코드(예약 영업장 코드)]])</f>
        <v>GOTAREV66</v>
      </c>
      <c r="I2905" s="34">
        <f>RIGHT(표4[[#This Row],[년월(XXXX-XX 형식)]],2)*1</f>
        <v>12</v>
      </c>
    </row>
    <row r="2906" spans="1:9" x14ac:dyDescent="0.3">
      <c r="A2906">
        <v>12</v>
      </c>
      <c r="B2906" t="s">
        <v>190</v>
      </c>
      <c r="C2906" t="s">
        <v>193</v>
      </c>
      <c r="D2906" t="s">
        <v>195</v>
      </c>
      <c r="E2906" t="s">
        <v>84</v>
      </c>
      <c r="F2906" s="57" t="s">
        <v>84</v>
      </c>
      <c r="G2906" s="34">
        <f>VLOOKUP(표4[[#This Row],[구분]],ota_rns[#All],표4[[#This Row],[구분1]]+5,FALSE)</f>
        <v>153.792</v>
      </c>
      <c r="H2906" s="58" t="str">
        <f>CONCATENATE(표4[[#This Row],[세그먼트 (OTA , GOTA, IB'[IB'])]],표4[[#This Row],[목표구분 (REV, RNS, ADR)]],표4[[#This Row],[영업장코드(예약 영업장 코드)]])</f>
        <v>GOTAREV06</v>
      </c>
      <c r="I2906" s="34">
        <f>RIGHT(표4[[#This Row],[년월(XXXX-XX 형식)]],2)*1</f>
        <v>12</v>
      </c>
    </row>
    <row r="2907" spans="1:9" x14ac:dyDescent="0.3">
      <c r="A2907">
        <v>12</v>
      </c>
      <c r="B2907" t="s">
        <v>190</v>
      </c>
      <c r="C2907" t="s">
        <v>193</v>
      </c>
      <c r="D2907" t="s">
        <v>195</v>
      </c>
      <c r="E2907" t="s">
        <v>143</v>
      </c>
      <c r="F2907" s="57" t="s">
        <v>143</v>
      </c>
      <c r="G2907" s="34">
        <f>VLOOKUP(표4[[#This Row],[구분]],ota_rns[#All],표4[[#This Row],[구분1]]+5,FALSE)</f>
        <v>185.95</v>
      </c>
      <c r="H2907" s="58" t="str">
        <f>CONCATENATE(표4[[#This Row],[세그먼트 (OTA , GOTA, IB'[IB'])]],표4[[#This Row],[목표구분 (REV, RNS, ADR)]],표4[[#This Row],[영업장코드(예약 영업장 코드)]])</f>
        <v>GOTAREV73</v>
      </c>
      <c r="I2907" s="34">
        <f>RIGHT(표4[[#This Row],[년월(XXXX-XX 형식)]],2)*1</f>
        <v>12</v>
      </c>
    </row>
    <row r="2908" spans="1:9" x14ac:dyDescent="0.3">
      <c r="A2908">
        <v>12</v>
      </c>
      <c r="B2908" t="s">
        <v>190</v>
      </c>
      <c r="C2908" t="s">
        <v>193</v>
      </c>
      <c r="D2908" t="s">
        <v>195</v>
      </c>
      <c r="E2908" t="s">
        <v>99</v>
      </c>
      <c r="F2908" s="57" t="s">
        <v>99</v>
      </c>
      <c r="G2908" s="34">
        <f>VLOOKUP(표4[[#This Row],[구분]],ota_rns[#All],표4[[#This Row],[구분1]]+5,FALSE)</f>
        <v>169.05</v>
      </c>
      <c r="H2908" s="58" t="str">
        <f>CONCATENATE(표4[[#This Row],[세그먼트 (OTA , GOTA, IB'[IB'])]],표4[[#This Row],[목표구분 (REV, RNS, ADR)]],표4[[#This Row],[영업장코드(예약 영업장 코드)]])</f>
        <v>GOTAREV16</v>
      </c>
      <c r="I2908" s="34">
        <f>RIGHT(표4[[#This Row],[년월(XXXX-XX 형식)]],2)*1</f>
        <v>12</v>
      </c>
    </row>
    <row r="2909" spans="1:9" x14ac:dyDescent="0.3">
      <c r="A2909">
        <v>12</v>
      </c>
      <c r="B2909" t="s">
        <v>190</v>
      </c>
      <c r="C2909" t="s">
        <v>193</v>
      </c>
      <c r="D2909" t="s">
        <v>195</v>
      </c>
      <c r="E2909" t="s">
        <v>103</v>
      </c>
      <c r="F2909" s="57" t="s">
        <v>110</v>
      </c>
      <c r="G2909" s="34">
        <f>VLOOKUP(표4[[#This Row],[구분]],ota_rns[#All],표4[[#This Row],[구분1]]+5,FALSE)</f>
        <v>213.56</v>
      </c>
      <c r="H2909" s="58" t="str">
        <f>CONCATENATE(표4[[#This Row],[세그먼트 (OTA , GOTA, IB'[IB'])]],표4[[#This Row],[목표구분 (REV, RNS, ADR)]],표4[[#This Row],[영업장코드(예약 영업장 코드)]])</f>
        <v>GOTAREV24</v>
      </c>
      <c r="I2909" s="34">
        <f>RIGHT(표4[[#This Row],[년월(XXXX-XX 형식)]],2)*1</f>
        <v>12</v>
      </c>
    </row>
    <row r="2910" spans="1:9" x14ac:dyDescent="0.3">
      <c r="A2910">
        <v>12</v>
      </c>
      <c r="B2910" t="s">
        <v>190</v>
      </c>
      <c r="C2910" t="s">
        <v>193</v>
      </c>
      <c r="D2910" t="s">
        <v>195</v>
      </c>
      <c r="E2910" t="s">
        <v>101</v>
      </c>
      <c r="F2910" s="57" t="s">
        <v>107</v>
      </c>
      <c r="G2910" s="34">
        <f>VLOOKUP(표4[[#This Row],[구분]],ota_rns[#All],표4[[#This Row],[구분1]]+5,FALSE)</f>
        <v>221.4</v>
      </c>
      <c r="H2910" s="58" t="str">
        <f>CONCATENATE(표4[[#This Row],[세그먼트 (OTA , GOTA, IB'[IB'])]],표4[[#This Row],[목표구분 (REV, RNS, ADR)]],표4[[#This Row],[영업장코드(예약 영업장 코드)]])</f>
        <v>GOTAREV22</v>
      </c>
      <c r="I2910" s="34">
        <f>RIGHT(표4[[#This Row],[년월(XXXX-XX 형식)]],2)*1</f>
        <v>12</v>
      </c>
    </row>
    <row r="2911" spans="1:9" x14ac:dyDescent="0.3">
      <c r="A2911">
        <v>12</v>
      </c>
      <c r="B2911" t="s">
        <v>190</v>
      </c>
      <c r="C2911" t="s">
        <v>193</v>
      </c>
      <c r="D2911" t="s">
        <v>195</v>
      </c>
      <c r="E2911" t="s">
        <v>182</v>
      </c>
      <c r="F2911" s="57" t="s">
        <v>147</v>
      </c>
      <c r="G2911" s="34">
        <f>VLOOKUP(표4[[#This Row],[구분]],ota_rns[#All],표4[[#This Row],[구분1]]+5,FALSE)</f>
        <v>328</v>
      </c>
      <c r="H2911" s="58" t="str">
        <f>CONCATENATE(표4[[#This Row],[세그먼트 (OTA , GOTA, IB'[IB'])]],표4[[#This Row],[목표구분 (REV, RNS, ADR)]],표4[[#This Row],[영업장코드(예약 영업장 코드)]])</f>
        <v>GOTAREV77</v>
      </c>
      <c r="I2911" s="34">
        <f>RIGHT(표4[[#This Row],[년월(XXXX-XX 형식)]],2)*1</f>
        <v>12</v>
      </c>
    </row>
    <row r="2912" spans="1:9" x14ac:dyDescent="0.3">
      <c r="A2912">
        <v>12</v>
      </c>
      <c r="B2912" t="s">
        <v>190</v>
      </c>
      <c r="C2912" t="s">
        <v>193</v>
      </c>
      <c r="D2912" t="s">
        <v>195</v>
      </c>
      <c r="E2912" t="s">
        <v>183</v>
      </c>
      <c r="F2912" s="57" t="s">
        <v>157</v>
      </c>
      <c r="G2912" s="34">
        <f>VLOOKUP(표4[[#This Row],[구분]],ota_rns[#All],표4[[#This Row],[구분1]]+5,FALSE)</f>
        <v>172.18</v>
      </c>
      <c r="H2912" s="58" t="str">
        <f>CONCATENATE(표4[[#This Row],[세그먼트 (OTA , GOTA, IB'[IB'])]],표4[[#This Row],[목표구분 (REV, RNS, ADR)]],표4[[#This Row],[영업장코드(예약 영업장 코드)]])</f>
        <v>GOTAREV87</v>
      </c>
      <c r="I2912" s="34">
        <f>RIGHT(표4[[#This Row],[년월(XXXX-XX 형식)]],2)*1</f>
        <v>12</v>
      </c>
    </row>
    <row r="2913" spans="1:9" x14ac:dyDescent="0.3">
      <c r="A2913">
        <v>12</v>
      </c>
      <c r="B2913" t="s">
        <v>190</v>
      </c>
      <c r="C2913" t="s">
        <v>193</v>
      </c>
      <c r="D2913" t="s">
        <v>195</v>
      </c>
      <c r="E2913" t="s">
        <v>96</v>
      </c>
      <c r="F2913" s="57" t="s">
        <v>96</v>
      </c>
      <c r="G2913" s="34">
        <f>VLOOKUP(표4[[#This Row],[구분]],ota_rns[#All],표4[[#This Row],[구분1]]+5,FALSE)</f>
        <v>108</v>
      </c>
      <c r="H2913" s="58" t="str">
        <f>CONCATENATE(표4[[#This Row],[세그먼트 (OTA , GOTA, IB'[IB'])]],표4[[#This Row],[목표구분 (REV, RNS, ADR)]],표4[[#This Row],[영업장코드(예약 영업장 코드)]])</f>
        <v>GOTAREV15</v>
      </c>
      <c r="I2913" s="34">
        <f>RIGHT(표4[[#This Row],[년월(XXXX-XX 형식)]],2)*1</f>
        <v>12</v>
      </c>
    </row>
    <row r="2914" spans="1:9" x14ac:dyDescent="0.3">
      <c r="A2914">
        <v>12</v>
      </c>
      <c r="B2914" t="s">
        <v>190</v>
      </c>
      <c r="C2914" t="s">
        <v>193</v>
      </c>
      <c r="D2914" t="s">
        <v>195</v>
      </c>
      <c r="E2914" t="s">
        <v>105</v>
      </c>
      <c r="F2914" s="57" t="s">
        <v>119</v>
      </c>
      <c r="G2914" s="34">
        <f>VLOOKUP(표4[[#This Row],[구분]],ota_rns[#All],표4[[#This Row],[구분1]]+5,FALSE)</f>
        <v>394.22</v>
      </c>
      <c r="H2914" s="58" t="str">
        <f>CONCATENATE(표4[[#This Row],[세그먼트 (OTA , GOTA, IB'[IB'])]],표4[[#This Row],[목표구분 (REV, RNS, ADR)]],표4[[#This Row],[영업장코드(예약 영업장 코드)]])</f>
        <v>GOTAREV29</v>
      </c>
      <c r="I2914" s="34">
        <f>RIGHT(표4[[#This Row],[년월(XXXX-XX 형식)]],2)*1</f>
        <v>12</v>
      </c>
    </row>
    <row r="2915" spans="1:9" x14ac:dyDescent="0.3">
      <c r="A2915">
        <v>12</v>
      </c>
      <c r="B2915" t="s">
        <v>190</v>
      </c>
      <c r="C2915" t="s">
        <v>193</v>
      </c>
      <c r="D2915" t="s">
        <v>195</v>
      </c>
      <c r="E2915" t="s">
        <v>184</v>
      </c>
      <c r="F2915" s="57" t="s">
        <v>152</v>
      </c>
      <c r="G2915" s="34">
        <f>VLOOKUP(표4[[#This Row],[구분]],ota_rns[#All],표4[[#This Row],[구분1]]+5,FALSE)</f>
        <v>359.44</v>
      </c>
      <c r="H2915" s="58" t="str">
        <f>CONCATENATE(표4[[#This Row],[세그먼트 (OTA , GOTA, IB'[IB'])]],표4[[#This Row],[목표구분 (REV, RNS, ADR)]],표4[[#This Row],[영업장코드(예약 영업장 코드)]])</f>
        <v>GOTAREV85</v>
      </c>
      <c r="I2915" s="34">
        <f>RIGHT(표4[[#This Row],[년월(XXXX-XX 형식)]],2)*1</f>
        <v>12</v>
      </c>
    </row>
    <row r="2916" spans="1:9" x14ac:dyDescent="0.3">
      <c r="A2916">
        <v>12</v>
      </c>
      <c r="B2916" t="s">
        <v>190</v>
      </c>
      <c r="C2916" t="s">
        <v>193</v>
      </c>
      <c r="D2916" t="s">
        <v>195</v>
      </c>
      <c r="E2916" t="s">
        <v>185</v>
      </c>
      <c r="F2916" s="57" t="s">
        <v>128</v>
      </c>
      <c r="G2916" s="34">
        <f>VLOOKUP(표4[[#This Row],[구분]],ota_rns[#All],표4[[#This Row],[구분1]]+5,FALSE)</f>
        <v>97.1</v>
      </c>
      <c r="H2916" s="58" t="str">
        <f>CONCATENATE(표4[[#This Row],[세그먼트 (OTA , GOTA, IB'[IB'])]],표4[[#This Row],[목표구분 (REV, RNS, ADR)]],표4[[#This Row],[영업장코드(예약 영업장 코드)]])</f>
        <v>GOTAREV58</v>
      </c>
      <c r="I2916" s="34">
        <f>RIGHT(표4[[#This Row],[년월(XXXX-XX 형식)]],2)*1</f>
        <v>12</v>
      </c>
    </row>
    <row r="2917" spans="1:9" x14ac:dyDescent="0.3">
      <c r="A2917">
        <v>12</v>
      </c>
      <c r="B2917" t="s">
        <v>190</v>
      </c>
      <c r="C2917" t="s">
        <v>193</v>
      </c>
      <c r="D2917" t="s">
        <v>195</v>
      </c>
      <c r="E2917" t="s">
        <v>178</v>
      </c>
      <c r="F2917" s="57" t="s">
        <v>178</v>
      </c>
      <c r="G2917" s="34">
        <f>VLOOKUP(표4[[#This Row],[구분]],ota_rns[#All],표4[[#This Row],[구분1]]+5,FALSE)</f>
        <v>101.2</v>
      </c>
      <c r="H2917" s="58" t="str">
        <f>CONCATENATE(표4[[#This Row],[세그먼트 (OTA , GOTA, IB'[IB'])]],표4[[#This Row],[목표구분 (REV, RNS, ADR)]],표4[[#This Row],[영업장코드(예약 영업장 코드)]])</f>
        <v>GOTAREV94</v>
      </c>
      <c r="I2917" s="34">
        <f>RIGHT(표4[[#This Row],[년월(XXXX-XX 형식)]],2)*1</f>
        <v>12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1"/>
  <sheetViews>
    <sheetView showGridLines="0" workbookViewId="0">
      <selection activeCell="A3" sqref="A3"/>
    </sheetView>
  </sheetViews>
  <sheetFormatPr defaultRowHeight="16.5" x14ac:dyDescent="0.3"/>
  <cols>
    <col min="1" max="1" width="11.875" bestFit="1" customWidth="1"/>
    <col min="2" max="2" width="11.125" bestFit="1" customWidth="1"/>
  </cols>
  <sheetData>
    <row r="3" spans="1:2" x14ac:dyDescent="0.3">
      <c r="A3" s="118" t="s">
        <v>235</v>
      </c>
      <c r="B3" t="s">
        <v>237</v>
      </c>
    </row>
    <row r="4" spans="1:2" x14ac:dyDescent="0.3">
      <c r="A4" s="119" t="s">
        <v>75</v>
      </c>
      <c r="B4" s="58">
        <v>9</v>
      </c>
    </row>
    <row r="5" spans="1:2" x14ac:dyDescent="0.3">
      <c r="A5" s="119" t="s">
        <v>78</v>
      </c>
      <c r="B5" s="58">
        <v>9</v>
      </c>
    </row>
    <row r="6" spans="1:2" x14ac:dyDescent="0.3">
      <c r="A6" s="119" t="s">
        <v>81</v>
      </c>
      <c r="B6" s="58">
        <v>9</v>
      </c>
    </row>
    <row r="7" spans="1:2" x14ac:dyDescent="0.3">
      <c r="A7" s="119" t="s">
        <v>180</v>
      </c>
      <c r="B7" s="58">
        <v>9</v>
      </c>
    </row>
    <row r="8" spans="1:2" x14ac:dyDescent="0.3">
      <c r="A8" s="119" t="s">
        <v>84</v>
      </c>
      <c r="B8" s="58">
        <v>9</v>
      </c>
    </row>
    <row r="9" spans="1:2" x14ac:dyDescent="0.3">
      <c r="A9" s="119" t="s">
        <v>86</v>
      </c>
      <c r="B9" s="58">
        <v>9</v>
      </c>
    </row>
    <row r="10" spans="1:2" x14ac:dyDescent="0.3">
      <c r="A10" s="119" t="s">
        <v>88</v>
      </c>
      <c r="B10" s="58">
        <v>9</v>
      </c>
    </row>
    <row r="11" spans="1:2" x14ac:dyDescent="0.3">
      <c r="A11" s="119" t="s">
        <v>92</v>
      </c>
      <c r="B11" s="58">
        <v>9</v>
      </c>
    </row>
    <row r="12" spans="1:2" x14ac:dyDescent="0.3">
      <c r="A12" s="119" t="s">
        <v>96</v>
      </c>
      <c r="B12" s="58">
        <v>9</v>
      </c>
    </row>
    <row r="13" spans="1:2" x14ac:dyDescent="0.3">
      <c r="A13" s="119" t="s">
        <v>99</v>
      </c>
      <c r="B13" s="58">
        <v>9</v>
      </c>
    </row>
    <row r="14" spans="1:2" x14ac:dyDescent="0.3">
      <c r="A14" s="119" t="s">
        <v>105</v>
      </c>
      <c r="B14" s="58">
        <v>9</v>
      </c>
    </row>
    <row r="15" spans="1:2" x14ac:dyDescent="0.3">
      <c r="A15" s="119" t="s">
        <v>107</v>
      </c>
      <c r="B15" s="58">
        <v>9</v>
      </c>
    </row>
    <row r="16" spans="1:2" x14ac:dyDescent="0.3">
      <c r="A16" s="119" t="s">
        <v>110</v>
      </c>
      <c r="B16" s="58">
        <v>9</v>
      </c>
    </row>
    <row r="17" spans="1:2" x14ac:dyDescent="0.3">
      <c r="A17" s="119" t="s">
        <v>113</v>
      </c>
      <c r="B17" s="58">
        <v>9</v>
      </c>
    </row>
    <row r="18" spans="1:2" x14ac:dyDescent="0.3">
      <c r="A18" s="119" t="s">
        <v>117</v>
      </c>
      <c r="B18" s="58">
        <v>9</v>
      </c>
    </row>
    <row r="19" spans="1:2" x14ac:dyDescent="0.3">
      <c r="A19" s="119" t="s">
        <v>119</v>
      </c>
      <c r="B19" s="58">
        <v>9</v>
      </c>
    </row>
    <row r="20" spans="1:2" x14ac:dyDescent="0.3">
      <c r="A20" s="119" t="s">
        <v>122</v>
      </c>
      <c r="B20" s="58">
        <v>9</v>
      </c>
    </row>
    <row r="21" spans="1:2" x14ac:dyDescent="0.3">
      <c r="A21" s="119" t="s">
        <v>124</v>
      </c>
      <c r="B21" s="58">
        <v>9</v>
      </c>
    </row>
    <row r="22" spans="1:2" x14ac:dyDescent="0.3">
      <c r="A22" s="119" t="s">
        <v>128</v>
      </c>
      <c r="B22" s="58">
        <v>9</v>
      </c>
    </row>
    <row r="23" spans="1:2" x14ac:dyDescent="0.3">
      <c r="A23" s="119" t="s">
        <v>131</v>
      </c>
      <c r="B23" s="58">
        <v>9</v>
      </c>
    </row>
    <row r="24" spans="1:2" x14ac:dyDescent="0.3">
      <c r="A24" s="119" t="s">
        <v>137</v>
      </c>
      <c r="B24" s="58">
        <v>9</v>
      </c>
    </row>
    <row r="25" spans="1:2" x14ac:dyDescent="0.3">
      <c r="A25" s="119" t="s">
        <v>141</v>
      </c>
      <c r="B25" s="58">
        <v>9</v>
      </c>
    </row>
    <row r="26" spans="1:2" x14ac:dyDescent="0.3">
      <c r="A26" s="119" t="s">
        <v>143</v>
      </c>
      <c r="B26" s="58">
        <v>9</v>
      </c>
    </row>
    <row r="27" spans="1:2" x14ac:dyDescent="0.3">
      <c r="A27" s="119" t="s">
        <v>147</v>
      </c>
      <c r="B27" s="58">
        <v>9</v>
      </c>
    </row>
    <row r="28" spans="1:2" x14ac:dyDescent="0.3">
      <c r="A28" s="119" t="s">
        <v>152</v>
      </c>
      <c r="B28" s="58">
        <v>9</v>
      </c>
    </row>
    <row r="29" spans="1:2" x14ac:dyDescent="0.3">
      <c r="A29" s="119" t="s">
        <v>157</v>
      </c>
      <c r="B29" s="58">
        <v>9</v>
      </c>
    </row>
    <row r="30" spans="1:2" x14ac:dyDescent="0.3">
      <c r="A30" s="119" t="s">
        <v>178</v>
      </c>
      <c r="B30" s="58">
        <v>9</v>
      </c>
    </row>
    <row r="31" spans="1:2" x14ac:dyDescent="0.3">
      <c r="A31" s="119" t="s">
        <v>236</v>
      </c>
      <c r="B31" s="58">
        <v>243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247"/>
  <sheetViews>
    <sheetView topLeftCell="A7" zoomScale="91" zoomScaleNormal="91" workbookViewId="0">
      <selection activeCell="I8" sqref="I8"/>
    </sheetView>
  </sheetViews>
  <sheetFormatPr defaultRowHeight="14.25" x14ac:dyDescent="0.3"/>
  <cols>
    <col min="1" max="4" width="9" style="63"/>
    <col min="5" max="5" width="13.375" style="63" bestFit="1" customWidth="1"/>
    <col min="6" max="7" width="12.25" style="63" bestFit="1" customWidth="1"/>
    <col min="8" max="9" width="10.5" style="63" bestFit="1" customWidth="1"/>
    <col min="10" max="15" width="12.25" style="63" bestFit="1" customWidth="1"/>
    <col min="16" max="16" width="10.5" style="63" bestFit="1" customWidth="1"/>
    <col min="17" max="17" width="12.25" style="63" bestFit="1" customWidth="1"/>
    <col min="18" max="16384" width="9" style="63"/>
  </cols>
  <sheetData>
    <row r="3" spans="1:19" x14ac:dyDescent="0.3">
      <c r="A3" s="63">
        <v>1</v>
      </c>
      <c r="B3" s="63">
        <v>2</v>
      </c>
      <c r="C3" s="63">
        <v>3</v>
      </c>
      <c r="D3" s="63">
        <v>4</v>
      </c>
      <c r="E3" s="63">
        <v>5</v>
      </c>
      <c r="F3" s="63">
        <v>6</v>
      </c>
      <c r="G3" s="63">
        <v>7</v>
      </c>
      <c r="H3" s="63">
        <v>8</v>
      </c>
      <c r="I3" s="63">
        <v>9</v>
      </c>
      <c r="J3" s="63">
        <v>10</v>
      </c>
      <c r="K3" s="63">
        <v>11</v>
      </c>
      <c r="L3" s="63">
        <v>12</v>
      </c>
      <c r="M3" s="63">
        <v>13</v>
      </c>
      <c r="N3" s="63">
        <v>14</v>
      </c>
      <c r="O3" s="63">
        <v>15</v>
      </c>
      <c r="P3" s="63">
        <v>16</v>
      </c>
      <c r="Q3" s="63">
        <v>17</v>
      </c>
    </row>
    <row r="4" spans="1:19" x14ac:dyDescent="0.3">
      <c r="A4" s="64" t="s">
        <v>206</v>
      </c>
      <c r="B4" s="64" t="s">
        <v>207</v>
      </c>
      <c r="C4" s="64" t="s">
        <v>208</v>
      </c>
      <c r="D4" s="64" t="s">
        <v>209</v>
      </c>
      <c r="E4" s="64" t="s">
        <v>210</v>
      </c>
      <c r="F4" s="64" t="s">
        <v>196</v>
      </c>
      <c r="G4" s="64" t="s">
        <v>197</v>
      </c>
      <c r="H4" s="64" t="s">
        <v>198</v>
      </c>
      <c r="I4" s="64" t="s">
        <v>199</v>
      </c>
      <c r="J4" s="64" t="s">
        <v>200</v>
      </c>
      <c r="K4" s="64" t="s">
        <v>201</v>
      </c>
      <c r="L4" s="64" t="s">
        <v>202</v>
      </c>
      <c r="M4" s="64" t="s">
        <v>203</v>
      </c>
      <c r="N4" s="64" t="s">
        <v>204</v>
      </c>
      <c r="O4" s="64" t="s">
        <v>92</v>
      </c>
      <c r="P4" s="64" t="s">
        <v>211</v>
      </c>
      <c r="Q4" s="64" t="s">
        <v>212</v>
      </c>
    </row>
    <row r="5" spans="1:19" x14ac:dyDescent="0.3">
      <c r="A5" s="72" t="str">
        <f>CONCATENATE(ota_rns[[#This Row],[채널]],ota_rns[[#This Row],[구분2]],ota_rns[[#This Row],[사업장]])</f>
        <v>OTAADR01</v>
      </c>
      <c r="B5" s="76" t="s">
        <v>188</v>
      </c>
      <c r="C5" s="76" t="s">
        <v>234</v>
      </c>
      <c r="D5" s="86" t="s">
        <v>75</v>
      </c>
      <c r="E5" s="87">
        <v>183.91389140271494</v>
      </c>
      <c r="F5" s="89">
        <v>155</v>
      </c>
      <c r="G5" s="89">
        <v>165</v>
      </c>
      <c r="H5" s="89">
        <v>184.99700000000001</v>
      </c>
      <c r="I5" s="89">
        <v>160</v>
      </c>
      <c r="J5" s="89">
        <v>194</v>
      </c>
      <c r="K5" s="89">
        <v>168</v>
      </c>
      <c r="L5" s="89">
        <v>200</v>
      </c>
      <c r="M5" s="89">
        <v>210</v>
      </c>
      <c r="N5" s="89">
        <v>195</v>
      </c>
      <c r="O5" s="89">
        <v>185</v>
      </c>
      <c r="P5" s="89">
        <v>173</v>
      </c>
      <c r="Q5" s="89">
        <v>175</v>
      </c>
      <c r="S5" s="69" t="s">
        <v>214</v>
      </c>
    </row>
    <row r="6" spans="1:19" x14ac:dyDescent="0.3">
      <c r="A6" s="72" t="str">
        <f>CONCATENATE(ota_rns[[#This Row],[채널]],ota_rns[[#This Row],[구분2]],ota_rns[[#This Row],[사업장]])</f>
        <v>GOTAADR01</v>
      </c>
      <c r="B6" s="76" t="s">
        <v>195</v>
      </c>
      <c r="C6" s="76" t="s">
        <v>234</v>
      </c>
      <c r="D6" s="86" t="s">
        <v>75</v>
      </c>
      <c r="E6" s="87">
        <v>169.57179029126215</v>
      </c>
      <c r="F6" s="89">
        <v>148.28479999999999</v>
      </c>
      <c r="G6" s="89">
        <v>160</v>
      </c>
      <c r="H6" s="89">
        <v>158</v>
      </c>
      <c r="I6" s="89">
        <v>147</v>
      </c>
      <c r="J6" s="89">
        <v>178</v>
      </c>
      <c r="K6" s="89">
        <v>152</v>
      </c>
      <c r="L6" s="89">
        <v>188</v>
      </c>
      <c r="M6" s="89">
        <v>196</v>
      </c>
      <c r="N6" s="89">
        <v>175</v>
      </c>
      <c r="O6" s="89">
        <v>167</v>
      </c>
      <c r="P6" s="89">
        <v>162</v>
      </c>
      <c r="Q6" s="89">
        <v>160</v>
      </c>
      <c r="S6" s="70" t="s">
        <v>8</v>
      </c>
    </row>
    <row r="7" spans="1:19" x14ac:dyDescent="0.3">
      <c r="A7" s="72" t="str">
        <f>CONCATENATE(ota_rns[[#This Row],[채널]],ota_rns[[#This Row],[구분2]],ota_rns[[#This Row],[사업장]])</f>
        <v>INBOUNDADR01</v>
      </c>
      <c r="B7" s="76" t="s">
        <v>238</v>
      </c>
      <c r="C7" s="76" t="s">
        <v>234</v>
      </c>
      <c r="D7" s="86" t="s">
        <v>75</v>
      </c>
      <c r="E7" s="87">
        <v>85.551123595505615</v>
      </c>
      <c r="F7" s="89">
        <v>90</v>
      </c>
      <c r="G7" s="89">
        <v>75</v>
      </c>
      <c r="H7" s="89">
        <v>75</v>
      </c>
      <c r="I7" s="89">
        <v>70</v>
      </c>
      <c r="J7" s="89">
        <v>85</v>
      </c>
      <c r="K7" s="89">
        <v>80</v>
      </c>
      <c r="L7" s="89">
        <v>85</v>
      </c>
      <c r="M7" s="89">
        <v>117</v>
      </c>
      <c r="N7" s="89">
        <v>95</v>
      </c>
      <c r="O7" s="89">
        <v>95</v>
      </c>
      <c r="P7" s="89">
        <v>88</v>
      </c>
      <c r="Q7" s="89">
        <v>87.004999999999995</v>
      </c>
      <c r="S7" s="69" t="s">
        <v>215</v>
      </c>
    </row>
    <row r="8" spans="1:19" x14ac:dyDescent="0.3">
      <c r="A8" s="72" t="str">
        <f>CONCATENATE(ota_rns[[#This Row],[채널]],ota_rns[[#This Row],[구분2]],ota_rns[[#This Row],[사업장]])</f>
        <v>OTAADR25</v>
      </c>
      <c r="B8" s="76" t="s">
        <v>188</v>
      </c>
      <c r="C8" s="76" t="s">
        <v>234</v>
      </c>
      <c r="D8" s="86" t="s">
        <v>113</v>
      </c>
      <c r="E8" s="87">
        <v>215.3557553956835</v>
      </c>
      <c r="F8" s="89">
        <v>195.12</v>
      </c>
      <c r="G8" s="89">
        <v>198</v>
      </c>
      <c r="H8" s="89">
        <v>235</v>
      </c>
      <c r="I8" s="89">
        <v>195</v>
      </c>
      <c r="J8" s="89">
        <v>252</v>
      </c>
      <c r="K8" s="89">
        <v>220</v>
      </c>
      <c r="L8" s="89">
        <v>243</v>
      </c>
      <c r="M8" s="89">
        <v>255</v>
      </c>
      <c r="N8" s="89">
        <v>203</v>
      </c>
      <c r="O8" s="89">
        <v>202</v>
      </c>
      <c r="P8" s="89">
        <v>187</v>
      </c>
      <c r="Q8" s="89">
        <v>220</v>
      </c>
      <c r="S8" s="70" t="s">
        <v>216</v>
      </c>
    </row>
    <row r="9" spans="1:19" x14ac:dyDescent="0.3">
      <c r="A9" s="72" t="str">
        <f>CONCATENATE(ota_rns[[#This Row],[채널]],ota_rns[[#This Row],[구분2]],ota_rns[[#This Row],[사업장]])</f>
        <v>GOTAADR25</v>
      </c>
      <c r="B9" s="76" t="s">
        <v>195</v>
      </c>
      <c r="C9" s="76" t="s">
        <v>234</v>
      </c>
      <c r="D9" s="86" t="s">
        <v>113</v>
      </c>
      <c r="E9" s="87">
        <v>200.84444444444441</v>
      </c>
      <c r="F9" s="89">
        <v>185</v>
      </c>
      <c r="G9" s="89">
        <v>188</v>
      </c>
      <c r="H9" s="89">
        <v>210</v>
      </c>
      <c r="I9" s="89">
        <v>183</v>
      </c>
      <c r="J9" s="89">
        <v>232</v>
      </c>
      <c r="K9" s="89">
        <v>206</v>
      </c>
      <c r="L9" s="89">
        <v>223</v>
      </c>
      <c r="M9" s="89">
        <v>248</v>
      </c>
      <c r="N9" s="89">
        <v>182</v>
      </c>
      <c r="O9" s="89">
        <v>195</v>
      </c>
      <c r="P9" s="89">
        <v>172</v>
      </c>
      <c r="Q9" s="89">
        <v>205</v>
      </c>
      <c r="S9" s="69" t="s">
        <v>166</v>
      </c>
    </row>
    <row r="10" spans="1:19" x14ac:dyDescent="0.3">
      <c r="A10" s="72" t="str">
        <f>CONCATENATE(ota_rns[[#This Row],[채널]],ota_rns[[#This Row],[구분2]],ota_rns[[#This Row],[사업장]])</f>
        <v>INBOUNDADR25</v>
      </c>
      <c r="B10" s="76" t="s">
        <v>238</v>
      </c>
      <c r="C10" s="76" t="s">
        <v>234</v>
      </c>
      <c r="D10" s="86" t="s">
        <v>113</v>
      </c>
      <c r="E10" s="87">
        <v>0</v>
      </c>
      <c r="F10" s="89">
        <v>0</v>
      </c>
      <c r="G10" s="89">
        <v>0</v>
      </c>
      <c r="H10" s="89">
        <v>0</v>
      </c>
      <c r="I10" s="89">
        <v>0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89">
        <v>0</v>
      </c>
      <c r="Q10" s="89">
        <v>0</v>
      </c>
      <c r="S10" s="71" t="s">
        <v>172</v>
      </c>
    </row>
    <row r="11" spans="1:19" x14ac:dyDescent="0.3">
      <c r="A11" s="72" t="str">
        <f>CONCATENATE(ota_rns[[#This Row],[채널]],ota_rns[[#This Row],[구분2]],ota_rns[[#This Row],[사업장]])</f>
        <v>OTAADR27</v>
      </c>
      <c r="B11" s="76" t="s">
        <v>188</v>
      </c>
      <c r="C11" s="76" t="s">
        <v>234</v>
      </c>
      <c r="D11" s="86" t="s">
        <v>117</v>
      </c>
      <c r="E11" s="87">
        <v>392.4447717231223</v>
      </c>
      <c r="F11" s="89">
        <v>383</v>
      </c>
      <c r="G11" s="89">
        <v>368.00000000000006</v>
      </c>
      <c r="H11" s="89">
        <v>405</v>
      </c>
      <c r="I11" s="89">
        <v>365</v>
      </c>
      <c r="J11" s="89">
        <v>417</v>
      </c>
      <c r="K11" s="89">
        <v>387</v>
      </c>
      <c r="L11" s="89">
        <v>425</v>
      </c>
      <c r="M11" s="89">
        <v>472</v>
      </c>
      <c r="N11" s="89">
        <v>382</v>
      </c>
      <c r="O11" s="89">
        <v>380</v>
      </c>
      <c r="P11" s="89">
        <v>351</v>
      </c>
      <c r="Q11" s="89">
        <v>385</v>
      </c>
      <c r="S11" s="69" t="s">
        <v>160</v>
      </c>
    </row>
    <row r="12" spans="1:19" x14ac:dyDescent="0.3">
      <c r="A12" s="72" t="str">
        <f>CONCATENATE(ota_rns[[#This Row],[채널]],ota_rns[[#This Row],[구분2]],ota_rns[[#This Row],[사업장]])</f>
        <v>GOTAADR27</v>
      </c>
      <c r="B12" s="76" t="s">
        <v>195</v>
      </c>
      <c r="C12" s="76" t="s">
        <v>234</v>
      </c>
      <c r="D12" s="86" t="s">
        <v>117</v>
      </c>
      <c r="E12" s="87">
        <v>362.55993000874889</v>
      </c>
      <c r="F12" s="89">
        <v>345</v>
      </c>
      <c r="G12" s="89">
        <v>366</v>
      </c>
      <c r="H12" s="89">
        <v>385</v>
      </c>
      <c r="I12" s="89">
        <v>360</v>
      </c>
      <c r="J12" s="89">
        <v>377</v>
      </c>
      <c r="K12" s="89">
        <v>353</v>
      </c>
      <c r="L12" s="89">
        <v>415</v>
      </c>
      <c r="M12" s="89">
        <v>465</v>
      </c>
      <c r="N12" s="89">
        <v>331.99999999999994</v>
      </c>
      <c r="O12" s="89">
        <v>310</v>
      </c>
      <c r="P12" s="89">
        <v>335</v>
      </c>
      <c r="Q12" s="89">
        <v>340</v>
      </c>
      <c r="S12" s="70" t="s">
        <v>173</v>
      </c>
    </row>
    <row r="13" spans="1:19" x14ac:dyDescent="0.3">
      <c r="A13" s="72" t="str">
        <f>CONCATENATE(ota_rns[[#This Row],[채널]],ota_rns[[#This Row],[구분2]],ota_rns[[#This Row],[사업장]])</f>
        <v>INBOUNDADR27</v>
      </c>
      <c r="B13" s="76" t="s">
        <v>238</v>
      </c>
      <c r="C13" s="76" t="s">
        <v>234</v>
      </c>
      <c r="D13" s="86" t="s">
        <v>117</v>
      </c>
      <c r="E13" s="87">
        <v>0</v>
      </c>
      <c r="F13" s="89">
        <v>0</v>
      </c>
      <c r="G13" s="89">
        <v>0</v>
      </c>
      <c r="H13" s="89">
        <v>0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S13" s="69" t="s">
        <v>32</v>
      </c>
    </row>
    <row r="14" spans="1:19" hidden="1" x14ac:dyDescent="0.3">
      <c r="A14" s="72" t="str">
        <f>CONCATENATE(ota_rns[[#This Row],[채널]],ota_rns[[#This Row],[구분2]],ota_rns[[#This Row],[사업장]])</f>
        <v>OTARNS02</v>
      </c>
      <c r="B14" s="76" t="s">
        <v>188</v>
      </c>
      <c r="C14" s="76" t="s">
        <v>191</v>
      </c>
      <c r="D14" s="86" t="s">
        <v>78</v>
      </c>
      <c r="E14" s="100">
        <v>69600</v>
      </c>
      <c r="F14" s="110">
        <v>6500</v>
      </c>
      <c r="G14" s="110">
        <v>6450</v>
      </c>
      <c r="H14" s="110">
        <v>3400</v>
      </c>
      <c r="I14" s="110">
        <v>4500</v>
      </c>
      <c r="J14" s="110">
        <v>4200</v>
      </c>
      <c r="K14" s="110">
        <v>7300</v>
      </c>
      <c r="L14" s="110">
        <v>8800</v>
      </c>
      <c r="M14" s="110">
        <v>11500</v>
      </c>
      <c r="N14" s="110">
        <v>4350</v>
      </c>
      <c r="O14" s="110">
        <v>4200</v>
      </c>
      <c r="P14" s="110">
        <v>2800</v>
      </c>
      <c r="Q14" s="110">
        <v>5600</v>
      </c>
      <c r="S14" s="69" t="s">
        <v>31</v>
      </c>
    </row>
    <row r="15" spans="1:19" hidden="1" x14ac:dyDescent="0.3">
      <c r="A15" s="72" t="str">
        <f>CONCATENATE(ota_rns[[#This Row],[채널]],ota_rns[[#This Row],[구분2]],ota_rns[[#This Row],[사업장]])</f>
        <v>GOTARNS02</v>
      </c>
      <c r="B15" s="76" t="s">
        <v>195</v>
      </c>
      <c r="C15" s="76" t="s">
        <v>191</v>
      </c>
      <c r="D15" s="86" t="s">
        <v>78</v>
      </c>
      <c r="E15" s="100">
        <v>25100</v>
      </c>
      <c r="F15" s="110">
        <v>4000</v>
      </c>
      <c r="G15" s="110">
        <v>4300</v>
      </c>
      <c r="H15" s="110">
        <v>900</v>
      </c>
      <c r="I15" s="110">
        <v>600</v>
      </c>
      <c r="J15" s="110">
        <v>1000</v>
      </c>
      <c r="K15" s="110">
        <v>1100</v>
      </c>
      <c r="L15" s="110">
        <v>2700</v>
      </c>
      <c r="M15" s="110">
        <v>2800</v>
      </c>
      <c r="N15" s="110">
        <v>1500</v>
      </c>
      <c r="O15" s="110">
        <v>1800</v>
      </c>
      <c r="P15" s="110">
        <v>1100</v>
      </c>
      <c r="Q15" s="110">
        <v>3300</v>
      </c>
      <c r="S15" s="70" t="s">
        <v>177</v>
      </c>
    </row>
    <row r="16" spans="1:19" hidden="1" x14ac:dyDescent="0.3">
      <c r="A16" s="72" t="str">
        <f>CONCATENATE(ota_rns[[#This Row],[채널]],ota_rns[[#This Row],[구분2]],ota_rns[[#This Row],[사업장]])</f>
        <v>INBOUNDRNS02</v>
      </c>
      <c r="B16" s="76" t="s">
        <v>238</v>
      </c>
      <c r="C16" s="76" t="s">
        <v>191</v>
      </c>
      <c r="D16" s="86" t="s">
        <v>78</v>
      </c>
      <c r="E16" s="105">
        <v>7550</v>
      </c>
      <c r="F16" s="105">
        <v>1500</v>
      </c>
      <c r="G16" s="105">
        <v>2000</v>
      </c>
      <c r="H16" s="105">
        <v>50</v>
      </c>
      <c r="I16" s="105">
        <v>200</v>
      </c>
      <c r="J16" s="105">
        <v>50</v>
      </c>
      <c r="K16" s="105">
        <v>50</v>
      </c>
      <c r="L16" s="105">
        <v>300</v>
      </c>
      <c r="M16" s="105">
        <v>300</v>
      </c>
      <c r="N16" s="105">
        <v>200</v>
      </c>
      <c r="O16" s="105">
        <v>200</v>
      </c>
      <c r="P16" s="105">
        <v>200</v>
      </c>
      <c r="Q16" s="105">
        <v>2500</v>
      </c>
      <c r="S16" s="69" t="s">
        <v>217</v>
      </c>
    </row>
    <row r="17" spans="1:17" hidden="1" x14ac:dyDescent="0.3">
      <c r="A17" s="72" t="str">
        <f>CONCATENATE(ota_rns[[#This Row],[채널]],ota_rns[[#This Row],[구분2]],ota_rns[[#This Row],[사업장]])</f>
        <v>OTAREV02</v>
      </c>
      <c r="B17" s="76" t="s">
        <v>188</v>
      </c>
      <c r="C17" s="76" t="s">
        <v>193</v>
      </c>
      <c r="D17" s="86" t="s">
        <v>78</v>
      </c>
      <c r="E17" s="87">
        <v>12285.258889146533</v>
      </c>
      <c r="F17" s="89">
        <v>1404</v>
      </c>
      <c r="G17" s="89">
        <v>1125.9994101913746</v>
      </c>
      <c r="H17" s="89">
        <v>508.63242422690286</v>
      </c>
      <c r="I17" s="89">
        <v>571.5</v>
      </c>
      <c r="J17" s="89">
        <v>671.90465974831466</v>
      </c>
      <c r="K17" s="89">
        <v>1018.2721347388436</v>
      </c>
      <c r="L17" s="89">
        <v>1690.2002602410971</v>
      </c>
      <c r="M17" s="89">
        <v>2357.5</v>
      </c>
      <c r="N17" s="89">
        <v>691.65</v>
      </c>
      <c r="O17" s="89">
        <v>903</v>
      </c>
      <c r="P17" s="89">
        <v>357</v>
      </c>
      <c r="Q17" s="89">
        <v>985.6</v>
      </c>
    </row>
    <row r="18" spans="1:17" hidden="1" x14ac:dyDescent="0.3">
      <c r="A18" s="72" t="str">
        <f>CONCATENATE(ota_rns[[#This Row],[채널]],ota_rns[[#This Row],[구분2]],ota_rns[[#This Row],[사업장]])</f>
        <v>GOTAREV02</v>
      </c>
      <c r="B18" s="79" t="s">
        <v>195</v>
      </c>
      <c r="C18" s="79" t="s">
        <v>193</v>
      </c>
      <c r="D18" s="86" t="s">
        <v>78</v>
      </c>
      <c r="E18" s="102">
        <v>4703.7034769905631</v>
      </c>
      <c r="F18" s="112">
        <v>832</v>
      </c>
      <c r="G18" s="112">
        <v>758.95975835643742</v>
      </c>
      <c r="H18" s="112">
        <v>168.01204909090501</v>
      </c>
      <c r="I18" s="112">
        <v>89.4</v>
      </c>
      <c r="J18" s="112">
        <v>173.58948271777001</v>
      </c>
      <c r="K18" s="112">
        <v>182.08186874669221</v>
      </c>
      <c r="L18" s="112">
        <v>599.15631807875798</v>
      </c>
      <c r="M18" s="112">
        <v>574</v>
      </c>
      <c r="N18" s="112">
        <v>235.5</v>
      </c>
      <c r="O18" s="112">
        <v>365.4</v>
      </c>
      <c r="P18" s="112">
        <v>148.10400000000004</v>
      </c>
      <c r="Q18" s="112">
        <v>577.5</v>
      </c>
    </row>
    <row r="19" spans="1:17" hidden="1" x14ac:dyDescent="0.3">
      <c r="A19" s="72" t="str">
        <f>CONCATENATE(ota_rns[[#This Row],[채널]],ota_rns[[#This Row],[구분2]],ota_rns[[#This Row],[사업장]])</f>
        <v>INBOUNDREV02</v>
      </c>
      <c r="B19" s="79" t="s">
        <v>238</v>
      </c>
      <c r="C19" s="79" t="s">
        <v>193</v>
      </c>
      <c r="D19" s="86" t="s">
        <v>78</v>
      </c>
      <c r="E19" s="88">
        <v>1116.3274312272083</v>
      </c>
      <c r="F19" s="90">
        <v>282.83438163779522</v>
      </c>
      <c r="G19" s="90">
        <v>239.00469402061856</v>
      </c>
      <c r="H19" s="90">
        <v>4.3499999999999996</v>
      </c>
      <c r="I19" s="90">
        <v>12</v>
      </c>
      <c r="J19" s="90">
        <v>5.6512068666666657</v>
      </c>
      <c r="K19" s="90">
        <v>3.5956584255319148</v>
      </c>
      <c r="L19" s="90">
        <v>43.899490276595742</v>
      </c>
      <c r="M19" s="90">
        <v>43.451999999999998</v>
      </c>
      <c r="N19" s="90">
        <v>16.399999999999999</v>
      </c>
      <c r="O19" s="90">
        <v>17.34</v>
      </c>
      <c r="P19" s="90">
        <v>15.3</v>
      </c>
      <c r="Q19" s="90">
        <v>432.5</v>
      </c>
    </row>
    <row r="20" spans="1:17" hidden="1" x14ac:dyDescent="0.3">
      <c r="A20" s="72" t="str">
        <f>CONCATENATE(ota_rns[[#This Row],[채널]],ota_rns[[#This Row],[구분2]],ota_rns[[#This Row],[사업장]])</f>
        <v>OTAADR02</v>
      </c>
      <c r="B20" s="79" t="s">
        <v>188</v>
      </c>
      <c r="C20" s="79" t="s">
        <v>234</v>
      </c>
      <c r="D20" s="86" t="s">
        <v>78</v>
      </c>
      <c r="E20" s="88">
        <v>176.51234036130077</v>
      </c>
      <c r="F20" s="90">
        <v>216</v>
      </c>
      <c r="G20" s="90">
        <v>174.57355196765496</v>
      </c>
      <c r="H20" s="90">
        <v>149.597771831442</v>
      </c>
      <c r="I20" s="90">
        <v>127</v>
      </c>
      <c r="J20" s="90">
        <v>159.97729994007491</v>
      </c>
      <c r="K20" s="90">
        <v>139.489333525869</v>
      </c>
      <c r="L20" s="90">
        <v>192.06821139103377</v>
      </c>
      <c r="M20" s="90">
        <v>205</v>
      </c>
      <c r="N20" s="90">
        <v>159</v>
      </c>
      <c r="O20" s="90">
        <v>215</v>
      </c>
      <c r="P20" s="90">
        <v>127.5</v>
      </c>
      <c r="Q20" s="90">
        <v>176</v>
      </c>
    </row>
    <row r="21" spans="1:17" hidden="1" x14ac:dyDescent="0.3">
      <c r="A21" s="72" t="str">
        <f>CONCATENATE(ota_rns[[#This Row],[채널]],ota_rns[[#This Row],[구분2]],ota_rns[[#This Row],[사업장]])</f>
        <v>GOTAADR02</v>
      </c>
      <c r="B21" s="79" t="s">
        <v>195</v>
      </c>
      <c r="C21" s="79" t="s">
        <v>234</v>
      </c>
      <c r="D21" s="86" t="s">
        <v>78</v>
      </c>
      <c r="E21" s="88">
        <v>187.39854490002242</v>
      </c>
      <c r="F21" s="90">
        <v>208</v>
      </c>
      <c r="G21" s="90">
        <v>176.502269385218</v>
      </c>
      <c r="H21" s="90">
        <v>186.68005454544999</v>
      </c>
      <c r="I21" s="90">
        <v>149</v>
      </c>
      <c r="J21" s="90">
        <v>173.58948271777001</v>
      </c>
      <c r="K21" s="90">
        <v>165.52897158790199</v>
      </c>
      <c r="L21" s="90">
        <v>221.90974743657702</v>
      </c>
      <c r="M21" s="90">
        <v>205</v>
      </c>
      <c r="N21" s="90">
        <v>157</v>
      </c>
      <c r="O21" s="90">
        <v>203</v>
      </c>
      <c r="P21" s="90">
        <v>134.64000000000001</v>
      </c>
      <c r="Q21" s="90">
        <v>175</v>
      </c>
    </row>
    <row r="22" spans="1:17" hidden="1" x14ac:dyDescent="0.3">
      <c r="A22" s="72" t="str">
        <f>CONCATENATE(ota_rns[[#This Row],[채널]],ota_rns[[#This Row],[구분2]],ota_rns[[#This Row],[사업장]])</f>
        <v>INBOUNDADR02</v>
      </c>
      <c r="B22" s="79" t="s">
        <v>238</v>
      </c>
      <c r="C22" s="79" t="s">
        <v>234</v>
      </c>
      <c r="D22" s="86" t="s">
        <v>78</v>
      </c>
      <c r="E22" s="88">
        <v>147.85793791088852</v>
      </c>
      <c r="F22" s="90">
        <v>188.55625442519684</v>
      </c>
      <c r="G22" s="90">
        <v>119.50234701030928</v>
      </c>
      <c r="H22" s="90">
        <v>87</v>
      </c>
      <c r="I22" s="90">
        <v>60</v>
      </c>
      <c r="J22" s="90">
        <v>113.02413733333331</v>
      </c>
      <c r="K22" s="90">
        <v>71.9131685106383</v>
      </c>
      <c r="L22" s="90">
        <v>146.33163425531916</v>
      </c>
      <c r="M22" s="90">
        <v>144.84</v>
      </c>
      <c r="N22" s="90">
        <v>82</v>
      </c>
      <c r="O22" s="90">
        <v>86.7</v>
      </c>
      <c r="P22" s="90">
        <v>76.5</v>
      </c>
      <c r="Q22" s="90">
        <v>173</v>
      </c>
    </row>
    <row r="23" spans="1:17" hidden="1" x14ac:dyDescent="0.3">
      <c r="A23" s="65" t="str">
        <f>CONCATENATE(ota_rns[[#This Row],[채널]],ota_rns[[#This Row],[구분2]],ota_rns[[#This Row],[사업장]])</f>
        <v>OTARNS03</v>
      </c>
      <c r="B23" s="94" t="s">
        <v>66</v>
      </c>
      <c r="C23" s="94" t="s">
        <v>213</v>
      </c>
      <c r="D23" s="73" t="s">
        <v>219</v>
      </c>
      <c r="E23" s="109">
        <v>5330</v>
      </c>
      <c r="F23" s="117">
        <v>400</v>
      </c>
      <c r="G23" s="117">
        <v>470</v>
      </c>
      <c r="H23" s="117">
        <v>300</v>
      </c>
      <c r="I23" s="117">
        <v>450</v>
      </c>
      <c r="J23" s="117">
        <v>410</v>
      </c>
      <c r="K23" s="117">
        <v>400</v>
      </c>
      <c r="L23" s="117">
        <v>400</v>
      </c>
      <c r="M23" s="117">
        <v>450</v>
      </c>
      <c r="N23" s="117">
        <v>450</v>
      </c>
      <c r="O23" s="117">
        <v>600</v>
      </c>
      <c r="P23" s="117">
        <v>500</v>
      </c>
      <c r="Q23" s="117">
        <v>500</v>
      </c>
    </row>
    <row r="24" spans="1:17" hidden="1" x14ac:dyDescent="0.3">
      <c r="A24" s="65" t="str">
        <f>CONCATENATE(ota_rns[[#This Row],[채널]],ota_rns[[#This Row],[구분2]],ota_rns[[#This Row],[사업장]])</f>
        <v>OTAADR03</v>
      </c>
      <c r="B24" s="79" t="s">
        <v>66</v>
      </c>
      <c r="C24" s="79" t="s">
        <v>68</v>
      </c>
      <c r="D24" s="82" t="s">
        <v>219</v>
      </c>
      <c r="E24" s="84">
        <v>150.36062232874247</v>
      </c>
      <c r="F24" s="85">
        <v>133.31348</v>
      </c>
      <c r="G24" s="85">
        <v>151.06033025247501</v>
      </c>
      <c r="H24" s="85">
        <v>151.537314904943</v>
      </c>
      <c r="I24" s="85">
        <v>131.543528847185</v>
      </c>
      <c r="J24" s="85">
        <v>140.16259917808199</v>
      </c>
      <c r="K24" s="85">
        <v>142.52990708791199</v>
      </c>
      <c r="L24" s="85">
        <v>178.20064710659898</v>
      </c>
      <c r="M24" s="85">
        <v>182.64</v>
      </c>
      <c r="N24" s="85">
        <v>167.47</v>
      </c>
      <c r="O24" s="85">
        <v>163.61199999999999</v>
      </c>
      <c r="P24" s="85">
        <v>128.49700000000001</v>
      </c>
      <c r="Q24" s="85">
        <v>133.43700000000001</v>
      </c>
    </row>
    <row r="25" spans="1:17" hidden="1" x14ac:dyDescent="0.3">
      <c r="A25" s="65" t="str">
        <f>CONCATENATE(ota_rns[[#This Row],[채널]],ota_rns[[#This Row],[구분2]],ota_rns[[#This Row],[사업장]])</f>
        <v>OTAREV03</v>
      </c>
      <c r="B25" s="79" t="s">
        <v>66</v>
      </c>
      <c r="C25" s="79" t="s">
        <v>69</v>
      </c>
      <c r="D25" s="82" t="s">
        <v>219</v>
      </c>
      <c r="E25" s="84">
        <v>801.42211701219742</v>
      </c>
      <c r="F25" s="85">
        <v>53.325392000000001</v>
      </c>
      <c r="G25" s="85">
        <v>70.998355218663264</v>
      </c>
      <c r="H25" s="85">
        <v>45.461194471482898</v>
      </c>
      <c r="I25" s="85">
        <v>59.194587981233248</v>
      </c>
      <c r="J25" s="85">
        <v>57.466665663013615</v>
      </c>
      <c r="K25" s="85">
        <v>57.011962835164802</v>
      </c>
      <c r="L25" s="85">
        <v>71.280258842639597</v>
      </c>
      <c r="M25" s="85">
        <v>82.188000000000002</v>
      </c>
      <c r="N25" s="85">
        <v>75.361500000000007</v>
      </c>
      <c r="O25" s="85">
        <v>98.167199999999994</v>
      </c>
      <c r="P25" s="85">
        <v>64.248500000000007</v>
      </c>
      <c r="Q25" s="85">
        <v>66.718500000000006</v>
      </c>
    </row>
    <row r="26" spans="1:17" hidden="1" x14ac:dyDescent="0.3">
      <c r="A26" s="72" t="str">
        <f>CONCATENATE(ota_rns[[#This Row],[채널]],ota_rns[[#This Row],[구분2]],ota_rns[[#This Row],[사업장]])</f>
        <v>GOTARNS03</v>
      </c>
      <c r="B26" s="79" t="s">
        <v>195</v>
      </c>
      <c r="C26" s="79" t="s">
        <v>191</v>
      </c>
      <c r="D26" s="82" t="s">
        <v>219</v>
      </c>
      <c r="E26" s="88">
        <v>3530</v>
      </c>
      <c r="F26" s="90">
        <v>240</v>
      </c>
      <c r="G26" s="90">
        <v>360</v>
      </c>
      <c r="H26" s="90">
        <v>200</v>
      </c>
      <c r="I26" s="90">
        <v>250</v>
      </c>
      <c r="J26" s="90">
        <v>330</v>
      </c>
      <c r="K26" s="90">
        <v>250</v>
      </c>
      <c r="L26" s="90">
        <v>350</v>
      </c>
      <c r="M26" s="90">
        <v>315</v>
      </c>
      <c r="N26" s="90">
        <v>300</v>
      </c>
      <c r="O26" s="90">
        <v>355</v>
      </c>
      <c r="P26" s="90">
        <v>280</v>
      </c>
      <c r="Q26" s="90">
        <v>300</v>
      </c>
    </row>
    <row r="27" spans="1:17" hidden="1" x14ac:dyDescent="0.3">
      <c r="A27" s="72" t="str">
        <f>CONCATENATE(ota_rns[[#This Row],[채널]],ota_rns[[#This Row],[구분2]],ota_rns[[#This Row],[사업장]])</f>
        <v>GOTAADR03</v>
      </c>
      <c r="B27" s="79" t="s">
        <v>195</v>
      </c>
      <c r="C27" s="79" t="s">
        <v>192</v>
      </c>
      <c r="D27" s="82" t="s">
        <v>219</v>
      </c>
      <c r="E27" s="88">
        <v>146.69453807697596</v>
      </c>
      <c r="F27" s="90">
        <v>124.11691846153801</v>
      </c>
      <c r="G27" s="90">
        <v>143.030997419355</v>
      </c>
      <c r="H27" s="90">
        <v>138.59236315217399</v>
      </c>
      <c r="I27" s="90">
        <v>117.66321672413794</v>
      </c>
      <c r="J27" s="90">
        <v>133.101143589744</v>
      </c>
      <c r="K27" s="90">
        <v>138.087359897959</v>
      </c>
      <c r="L27" s="90">
        <v>179.532730684039</v>
      </c>
      <c r="M27" s="90">
        <v>175.42</v>
      </c>
      <c r="N27" s="90">
        <v>165.1</v>
      </c>
      <c r="O27" s="90">
        <v>162.15</v>
      </c>
      <c r="P27" s="90">
        <v>127.2</v>
      </c>
      <c r="Q27" s="90">
        <v>133.9</v>
      </c>
    </row>
    <row r="28" spans="1:17" hidden="1" x14ac:dyDescent="0.3">
      <c r="A28" s="72" t="str">
        <f>CONCATENATE(ota_rns[[#This Row],[채널]],ota_rns[[#This Row],[구분2]],ota_rns[[#This Row],[사업장]])</f>
        <v>GOTAREV03</v>
      </c>
      <c r="B28" s="79" t="s">
        <v>195</v>
      </c>
      <c r="C28" s="79" t="s">
        <v>193</v>
      </c>
      <c r="D28" s="82" t="s">
        <v>219</v>
      </c>
      <c r="E28" s="88">
        <v>517.83171941172509</v>
      </c>
      <c r="F28" s="90">
        <v>29.788060430769121</v>
      </c>
      <c r="G28" s="90">
        <v>51.491159070967797</v>
      </c>
      <c r="H28" s="90">
        <v>27.718472630434796</v>
      </c>
      <c r="I28" s="90">
        <v>29.415804181034485</v>
      </c>
      <c r="J28" s="90">
        <v>43.923377384615513</v>
      </c>
      <c r="K28" s="90">
        <v>34.521839974489751</v>
      </c>
      <c r="L28" s="90">
        <v>62.836455739413651</v>
      </c>
      <c r="M28" s="90">
        <v>55.257299999999994</v>
      </c>
      <c r="N28" s="90">
        <v>49.53</v>
      </c>
      <c r="O28" s="90">
        <v>57.563249999999996</v>
      </c>
      <c r="P28" s="90">
        <v>35.616</v>
      </c>
      <c r="Q28" s="90">
        <v>40.17</v>
      </c>
    </row>
    <row r="29" spans="1:17" hidden="1" x14ac:dyDescent="0.3">
      <c r="A29" s="72" t="str">
        <f>CONCATENATE(ota_rns[[#This Row],[채널]],ota_rns[[#This Row],[구분2]],ota_rns[[#This Row],[사업장]])</f>
        <v>INBOUNDRNS03</v>
      </c>
      <c r="B29" s="79" t="s">
        <v>238</v>
      </c>
      <c r="C29" s="79" t="s">
        <v>213</v>
      </c>
      <c r="D29" s="82" t="s">
        <v>219</v>
      </c>
      <c r="E29" s="88">
        <v>530</v>
      </c>
      <c r="F29" s="90">
        <v>350</v>
      </c>
      <c r="G29" s="90">
        <v>35</v>
      </c>
      <c r="H29" s="90">
        <v>0</v>
      </c>
      <c r="I29" s="90">
        <v>0</v>
      </c>
      <c r="J29" s="90">
        <v>50</v>
      </c>
      <c r="K29" s="90">
        <v>0</v>
      </c>
      <c r="L29" s="90">
        <v>20</v>
      </c>
      <c r="M29" s="90">
        <v>20</v>
      </c>
      <c r="N29" s="90">
        <v>0</v>
      </c>
      <c r="O29" s="90">
        <v>55</v>
      </c>
      <c r="P29" s="90">
        <v>0</v>
      </c>
      <c r="Q29" s="90">
        <v>0</v>
      </c>
    </row>
    <row r="30" spans="1:17" hidden="1" x14ac:dyDescent="0.3">
      <c r="A30" s="72" t="str">
        <f>CONCATENATE(ota_rns[[#This Row],[채널]],ota_rns[[#This Row],[구분2]],ota_rns[[#This Row],[사업장]])</f>
        <v>INBOUNDADR03</v>
      </c>
      <c r="B30" s="79" t="s">
        <v>238</v>
      </c>
      <c r="C30" s="79" t="s">
        <v>192</v>
      </c>
      <c r="D30" s="82" t="s">
        <v>219</v>
      </c>
      <c r="E30" s="88">
        <v>68.754716981132077</v>
      </c>
      <c r="F30" s="90">
        <v>70</v>
      </c>
      <c r="G30" s="90">
        <v>70</v>
      </c>
      <c r="H30" s="90">
        <v>0</v>
      </c>
      <c r="I30" s="90">
        <v>0</v>
      </c>
      <c r="J30" s="90">
        <v>65</v>
      </c>
      <c r="K30" s="90">
        <v>0</v>
      </c>
      <c r="L30" s="90">
        <v>60</v>
      </c>
      <c r="M30" s="90">
        <v>65</v>
      </c>
      <c r="N30" s="90">
        <v>0</v>
      </c>
      <c r="O30" s="90">
        <v>68</v>
      </c>
      <c r="P30" s="90">
        <v>0</v>
      </c>
      <c r="Q30" s="90">
        <v>0</v>
      </c>
    </row>
    <row r="31" spans="1:17" hidden="1" x14ac:dyDescent="0.3">
      <c r="A31" s="72" t="str">
        <f>CONCATENATE(ota_rns[[#This Row],[채널]],ota_rns[[#This Row],[구분2]],ota_rns[[#This Row],[사업장]])</f>
        <v>INBOUNDREV03</v>
      </c>
      <c r="B31" s="79" t="s">
        <v>238</v>
      </c>
      <c r="C31" s="79" t="s">
        <v>193</v>
      </c>
      <c r="D31" s="82" t="s">
        <v>219</v>
      </c>
      <c r="E31" s="88">
        <v>36.44</v>
      </c>
      <c r="F31" s="90">
        <v>24.5</v>
      </c>
      <c r="G31" s="90">
        <v>2.4500000000000002</v>
      </c>
      <c r="H31" s="90">
        <v>0</v>
      </c>
      <c r="I31" s="90">
        <v>0</v>
      </c>
      <c r="J31" s="90">
        <v>3.25</v>
      </c>
      <c r="K31" s="90">
        <v>0</v>
      </c>
      <c r="L31" s="90">
        <v>1.2</v>
      </c>
      <c r="M31" s="90">
        <v>1.3</v>
      </c>
      <c r="N31" s="90">
        <v>0</v>
      </c>
      <c r="O31" s="90">
        <v>3.74</v>
      </c>
      <c r="P31" s="90">
        <v>0</v>
      </c>
      <c r="Q31" s="90">
        <v>0</v>
      </c>
    </row>
    <row r="32" spans="1:17" hidden="1" x14ac:dyDescent="0.3">
      <c r="A32" s="65" t="str">
        <f>CONCATENATE(ota_rns[[#This Row],[채널]],ota_rns[[#This Row],[구분2]],ota_rns[[#This Row],[사업장]])</f>
        <v>OTARNS05</v>
      </c>
      <c r="B32" s="94" t="s">
        <v>66</v>
      </c>
      <c r="C32" s="94" t="s">
        <v>213</v>
      </c>
      <c r="D32" s="73" t="s">
        <v>51</v>
      </c>
      <c r="E32" s="109">
        <v>17785</v>
      </c>
      <c r="F32" s="117">
        <v>1480</v>
      </c>
      <c r="G32" s="117">
        <v>1550</v>
      </c>
      <c r="H32" s="117">
        <v>1105</v>
      </c>
      <c r="I32" s="117">
        <v>1490</v>
      </c>
      <c r="J32" s="117">
        <v>1435</v>
      </c>
      <c r="K32" s="117">
        <v>1495</v>
      </c>
      <c r="L32" s="117">
        <v>1670</v>
      </c>
      <c r="M32" s="117">
        <v>1725</v>
      </c>
      <c r="N32" s="117">
        <v>1460</v>
      </c>
      <c r="O32" s="117">
        <v>1450</v>
      </c>
      <c r="P32" s="117">
        <v>1385</v>
      </c>
      <c r="Q32" s="117">
        <v>1540</v>
      </c>
    </row>
    <row r="33" spans="1:17" hidden="1" x14ac:dyDescent="0.3">
      <c r="A33" s="65" t="str">
        <f>CONCATENATE(ota_rns[[#This Row],[채널]],ota_rns[[#This Row],[구분2]],ota_rns[[#This Row],[사업장]])</f>
        <v>OTAADR05</v>
      </c>
      <c r="B33" s="79" t="s">
        <v>66</v>
      </c>
      <c r="C33" s="79" t="s">
        <v>68</v>
      </c>
      <c r="D33" s="82" t="s">
        <v>51</v>
      </c>
      <c r="E33" s="84">
        <v>262.70488347927989</v>
      </c>
      <c r="F33" s="85">
        <v>246.85048462255338</v>
      </c>
      <c r="G33" s="85">
        <v>255.28610571222879</v>
      </c>
      <c r="H33" s="85">
        <v>233.90438771227937</v>
      </c>
      <c r="I33" s="85">
        <v>242.21293573154361</v>
      </c>
      <c r="J33" s="85">
        <v>269.55889033017741</v>
      </c>
      <c r="K33" s="85">
        <v>264.92245380793656</v>
      </c>
      <c r="L33" s="85">
        <v>291.74146928306669</v>
      </c>
      <c r="M33" s="85">
        <v>301.19024298907487</v>
      </c>
      <c r="N33" s="85">
        <v>265.15084562776025</v>
      </c>
      <c r="O33" s="85">
        <v>260.88430754948695</v>
      </c>
      <c r="P33" s="85">
        <v>239.94826131080507</v>
      </c>
      <c r="Q33" s="85">
        <v>262.62612176447641</v>
      </c>
    </row>
    <row r="34" spans="1:17" hidden="1" x14ac:dyDescent="0.3">
      <c r="A34" s="65" t="str">
        <f>CONCATENATE(ota_rns[[#This Row],[채널]],ota_rns[[#This Row],[구분2]],ota_rns[[#This Row],[사업장]])</f>
        <v>OTAREV05</v>
      </c>
      <c r="B34" s="79" t="s">
        <v>66</v>
      </c>
      <c r="C34" s="79" t="s">
        <v>69</v>
      </c>
      <c r="D34" s="82" t="s">
        <v>51</v>
      </c>
      <c r="E34" s="84">
        <v>4672.2063526789925</v>
      </c>
      <c r="F34" s="85">
        <v>365.33871724137902</v>
      </c>
      <c r="G34" s="85">
        <v>395.69346385395465</v>
      </c>
      <c r="H34" s="85">
        <v>258.46434842206867</v>
      </c>
      <c r="I34" s="85">
        <v>360.89727424</v>
      </c>
      <c r="J34" s="85">
        <v>386.81700762380456</v>
      </c>
      <c r="K34" s="85">
        <v>396.05906844286517</v>
      </c>
      <c r="L34" s="85">
        <v>487.20825370272138</v>
      </c>
      <c r="M34" s="85">
        <v>519.55316915615413</v>
      </c>
      <c r="N34" s="85">
        <v>387.12023461652996</v>
      </c>
      <c r="O34" s="85">
        <v>378.28224594675612</v>
      </c>
      <c r="P34" s="85">
        <v>332.32834191546505</v>
      </c>
      <c r="Q34" s="85">
        <v>404.44422751729365</v>
      </c>
    </row>
    <row r="35" spans="1:17" hidden="1" x14ac:dyDescent="0.3">
      <c r="A35" s="72" t="str">
        <f>CONCATENATE(ota_rns[[#This Row],[채널]],ota_rns[[#This Row],[구분2]],ota_rns[[#This Row],[사업장]])</f>
        <v>GOTARNS05</v>
      </c>
      <c r="B35" s="79" t="s">
        <v>195</v>
      </c>
      <c r="C35" s="79" t="s">
        <v>191</v>
      </c>
      <c r="D35" s="82" t="s">
        <v>51</v>
      </c>
      <c r="E35" s="88">
        <v>12050</v>
      </c>
      <c r="F35" s="90">
        <v>1020</v>
      </c>
      <c r="G35" s="90">
        <v>1290</v>
      </c>
      <c r="H35" s="90">
        <v>835</v>
      </c>
      <c r="I35" s="90">
        <v>1080</v>
      </c>
      <c r="J35" s="90">
        <v>875</v>
      </c>
      <c r="K35" s="90">
        <v>930</v>
      </c>
      <c r="L35" s="90">
        <v>1125</v>
      </c>
      <c r="M35" s="90">
        <v>1165</v>
      </c>
      <c r="N35" s="90">
        <v>970</v>
      </c>
      <c r="O35" s="90">
        <v>940</v>
      </c>
      <c r="P35" s="90">
        <v>880</v>
      </c>
      <c r="Q35" s="90">
        <v>940</v>
      </c>
    </row>
    <row r="36" spans="1:17" hidden="1" x14ac:dyDescent="0.3">
      <c r="A36" s="72" t="str">
        <f>CONCATENATE(ota_rns[[#This Row],[채널]],ota_rns[[#This Row],[구분2]],ota_rns[[#This Row],[사업장]])</f>
        <v>GOTAADR05</v>
      </c>
      <c r="B36" s="79" t="s">
        <v>195</v>
      </c>
      <c r="C36" s="79" t="s">
        <v>192</v>
      </c>
      <c r="D36" s="82" t="s">
        <v>51</v>
      </c>
      <c r="E36" s="88">
        <v>262.62669986620079</v>
      </c>
      <c r="F36" s="90">
        <v>252.02482412812441</v>
      </c>
      <c r="G36" s="90">
        <v>249.73385218717777</v>
      </c>
      <c r="H36" s="90">
        <v>228.32693785345356</v>
      </c>
      <c r="I36" s="90">
        <v>245.76212120306781</v>
      </c>
      <c r="J36" s="90">
        <v>269.7786760559444</v>
      </c>
      <c r="K36" s="90">
        <v>258.67950543188067</v>
      </c>
      <c r="L36" s="90">
        <v>289.48777435322859</v>
      </c>
      <c r="M36" s="90">
        <v>301.79105814842535</v>
      </c>
      <c r="N36" s="90">
        <v>266.82038800561605</v>
      </c>
      <c r="O36" s="90">
        <v>266.41341311407632</v>
      </c>
      <c r="P36" s="90">
        <v>244.12741578088892</v>
      </c>
      <c r="Q36" s="90">
        <v>267.43461529560335</v>
      </c>
    </row>
    <row r="37" spans="1:17" hidden="1" x14ac:dyDescent="0.3">
      <c r="A37" s="72" t="str">
        <f>CONCATENATE(ota_rns[[#This Row],[채널]],ota_rns[[#This Row],[구분2]],ota_rns[[#This Row],[사업장]])</f>
        <v>GOTAREV05</v>
      </c>
      <c r="B37" s="79" t="s">
        <v>195</v>
      </c>
      <c r="C37" s="79" t="s">
        <v>193</v>
      </c>
      <c r="D37" s="80" t="s">
        <v>51</v>
      </c>
      <c r="E37" s="88">
        <v>3164.65173338772</v>
      </c>
      <c r="F37" s="90">
        <v>257.06532061068691</v>
      </c>
      <c r="G37" s="90">
        <v>322.15666932145933</v>
      </c>
      <c r="H37" s="90">
        <v>190.65299310763373</v>
      </c>
      <c r="I37" s="90">
        <v>265.42309089931319</v>
      </c>
      <c r="J37" s="90">
        <v>236.05634154895137</v>
      </c>
      <c r="K37" s="90">
        <v>240.57194005164899</v>
      </c>
      <c r="L37" s="90">
        <v>325.67374614738219</v>
      </c>
      <c r="M37" s="90">
        <v>351.58658274291554</v>
      </c>
      <c r="N37" s="90">
        <v>258.81577636544756</v>
      </c>
      <c r="O37" s="90">
        <v>250.42860832723173</v>
      </c>
      <c r="P37" s="90">
        <v>214.83212588718226</v>
      </c>
      <c r="Q37" s="90">
        <v>251.38853837786715</v>
      </c>
    </row>
    <row r="38" spans="1:17" hidden="1" x14ac:dyDescent="0.3">
      <c r="A38" s="72" t="str">
        <f>CONCATENATE(ota_rns[[#This Row],[채널]],ota_rns[[#This Row],[구분2]],ota_rns[[#This Row],[사업장]])</f>
        <v>INBOUNDRNS05</v>
      </c>
      <c r="B38" s="79" t="s">
        <v>238</v>
      </c>
      <c r="C38" s="79" t="s">
        <v>213</v>
      </c>
      <c r="D38" s="82" t="s">
        <v>51</v>
      </c>
      <c r="E38" s="88">
        <v>0</v>
      </c>
      <c r="F38" s="88">
        <v>0</v>
      </c>
      <c r="G38" s="88">
        <v>0</v>
      </c>
      <c r="H38" s="88">
        <v>0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</row>
    <row r="39" spans="1:17" hidden="1" x14ac:dyDescent="0.3">
      <c r="A39" s="72" t="str">
        <f>CONCATENATE(ota_rns[[#This Row],[채널]],ota_rns[[#This Row],[구분2]],ota_rns[[#This Row],[사업장]])</f>
        <v>INBOUNDADR05</v>
      </c>
      <c r="B39" s="79" t="s">
        <v>238</v>
      </c>
      <c r="C39" s="79" t="s">
        <v>192</v>
      </c>
      <c r="D39" s="82" t="s">
        <v>51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</row>
    <row r="40" spans="1:17" hidden="1" x14ac:dyDescent="0.3">
      <c r="A40" s="72" t="str">
        <f>CONCATENATE(ota_rns[[#This Row],[채널]],ota_rns[[#This Row],[구분2]],ota_rns[[#This Row],[사업장]])</f>
        <v>INBOUNDREV05</v>
      </c>
      <c r="B40" s="79" t="s">
        <v>238</v>
      </c>
      <c r="C40" s="79" t="s">
        <v>193</v>
      </c>
      <c r="D40" s="82" t="s">
        <v>51</v>
      </c>
      <c r="E40" s="88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</row>
    <row r="41" spans="1:17" hidden="1" x14ac:dyDescent="0.3">
      <c r="A41" s="65" t="str">
        <f>CONCATENATE(ota_rns[[#This Row],[채널]],ota_rns[[#This Row],[구분2]],ota_rns[[#This Row],[사업장]])</f>
        <v>OTARNS06</v>
      </c>
      <c r="B41" s="95" t="s">
        <v>66</v>
      </c>
      <c r="C41" s="95" t="s">
        <v>213</v>
      </c>
      <c r="D41" s="74" t="s">
        <v>53</v>
      </c>
      <c r="E41" s="106">
        <v>40800</v>
      </c>
      <c r="F41" s="114">
        <v>2800</v>
      </c>
      <c r="G41" s="114">
        <v>3750</v>
      </c>
      <c r="H41" s="114">
        <v>2050</v>
      </c>
      <c r="I41" s="114">
        <v>2350</v>
      </c>
      <c r="J41" s="114">
        <v>2450</v>
      </c>
      <c r="K41" s="114">
        <v>3550</v>
      </c>
      <c r="L41" s="114">
        <v>4250</v>
      </c>
      <c r="M41" s="114">
        <v>5150</v>
      </c>
      <c r="N41" s="114">
        <v>3700</v>
      </c>
      <c r="O41" s="114">
        <v>5050</v>
      </c>
      <c r="P41" s="114">
        <v>3550</v>
      </c>
      <c r="Q41" s="114">
        <v>2150</v>
      </c>
    </row>
    <row r="42" spans="1:17" hidden="1" x14ac:dyDescent="0.3">
      <c r="A42" s="65" t="str">
        <f>CONCATENATE(ota_rns[[#This Row],[채널]],ota_rns[[#This Row],[구분2]],ota_rns[[#This Row],[사업장]])</f>
        <v>OTAADR06</v>
      </c>
      <c r="B42" s="79" t="s">
        <v>66</v>
      </c>
      <c r="C42" s="79" t="s">
        <v>68</v>
      </c>
      <c r="D42" s="83" t="s">
        <v>53</v>
      </c>
      <c r="E42" s="84">
        <v>167.52355147058825</v>
      </c>
      <c r="F42" s="85">
        <v>159.4</v>
      </c>
      <c r="G42" s="85">
        <v>135.32</v>
      </c>
      <c r="H42" s="85">
        <v>159.69512195121951</v>
      </c>
      <c r="I42" s="85">
        <v>136.9</v>
      </c>
      <c r="J42" s="85">
        <v>167.3</v>
      </c>
      <c r="K42" s="85">
        <v>148.55000000000001</v>
      </c>
      <c r="L42" s="85">
        <v>188.1</v>
      </c>
      <c r="M42" s="85">
        <v>197.6</v>
      </c>
      <c r="N42" s="85">
        <v>176.2</v>
      </c>
      <c r="O42" s="85">
        <v>172.78800000000001</v>
      </c>
      <c r="P42" s="85">
        <v>167.75183098591549</v>
      </c>
      <c r="Q42" s="85">
        <v>166.4</v>
      </c>
    </row>
    <row r="43" spans="1:17" hidden="1" x14ac:dyDescent="0.3">
      <c r="A43" s="65" t="str">
        <f>CONCATENATE(ota_rns[[#This Row],[채널]],ota_rns[[#This Row],[구분2]],ota_rns[[#This Row],[사업장]])</f>
        <v>OTAREV06</v>
      </c>
      <c r="B43" s="79" t="s">
        <v>66</v>
      </c>
      <c r="C43" s="79" t="s">
        <v>69</v>
      </c>
      <c r="D43" s="83" t="s">
        <v>53</v>
      </c>
      <c r="E43" s="84">
        <v>6834.9609</v>
      </c>
      <c r="F43" s="85">
        <v>446.32</v>
      </c>
      <c r="G43" s="85">
        <v>507.45</v>
      </c>
      <c r="H43" s="85">
        <v>327.375</v>
      </c>
      <c r="I43" s="85">
        <v>321.71499999999997</v>
      </c>
      <c r="J43" s="85">
        <v>409.88499999999999</v>
      </c>
      <c r="K43" s="85">
        <v>527.35249999999996</v>
      </c>
      <c r="L43" s="85">
        <v>799.42499999999995</v>
      </c>
      <c r="M43" s="85">
        <v>1017.64</v>
      </c>
      <c r="N43" s="85">
        <v>651.94000000000005</v>
      </c>
      <c r="O43" s="85">
        <v>872.57940000000008</v>
      </c>
      <c r="P43" s="85">
        <v>595.51900000000001</v>
      </c>
      <c r="Q43" s="85">
        <v>357.76</v>
      </c>
    </row>
    <row r="44" spans="1:17" hidden="1" x14ac:dyDescent="0.3">
      <c r="A44" s="72" t="str">
        <f>CONCATENATE(ota_rns[[#This Row],[채널]],ota_rns[[#This Row],[구분2]],ota_rns[[#This Row],[사업장]])</f>
        <v>GOTARNS06</v>
      </c>
      <c r="B44" s="79" t="s">
        <v>195</v>
      </c>
      <c r="C44" s="79" t="s">
        <v>191</v>
      </c>
      <c r="D44" s="83" t="s">
        <v>53</v>
      </c>
      <c r="E44" s="88">
        <v>19690</v>
      </c>
      <c r="F44" s="90">
        <v>1700</v>
      </c>
      <c r="G44" s="90">
        <v>1150</v>
      </c>
      <c r="H44" s="90">
        <v>750</v>
      </c>
      <c r="I44" s="90">
        <v>1150</v>
      </c>
      <c r="J44" s="90">
        <v>1250</v>
      </c>
      <c r="K44" s="90">
        <v>1650</v>
      </c>
      <c r="L44" s="90">
        <v>2200</v>
      </c>
      <c r="M44" s="90">
        <v>3000</v>
      </c>
      <c r="N44" s="90">
        <v>2050</v>
      </c>
      <c r="O44" s="90">
        <v>2200</v>
      </c>
      <c r="P44" s="90">
        <v>1700</v>
      </c>
      <c r="Q44" s="90">
        <v>890</v>
      </c>
    </row>
    <row r="45" spans="1:17" hidden="1" x14ac:dyDescent="0.3">
      <c r="A45" s="72" t="str">
        <f>CONCATENATE(ota_rns[[#This Row],[채널]],ota_rns[[#This Row],[구분2]],ota_rns[[#This Row],[사업장]])</f>
        <v>GOTAADR06</v>
      </c>
      <c r="B45" s="79" t="s">
        <v>195</v>
      </c>
      <c r="C45" s="79" t="s">
        <v>192</v>
      </c>
      <c r="D45" s="83" t="s">
        <v>53</v>
      </c>
      <c r="E45" s="88">
        <v>165.13407821229049</v>
      </c>
      <c r="F45" s="90">
        <v>155.4</v>
      </c>
      <c r="G45" s="90">
        <v>143.32</v>
      </c>
      <c r="H45" s="90">
        <v>154.28</v>
      </c>
      <c r="I45" s="90">
        <v>135.6</v>
      </c>
      <c r="J45" s="90">
        <v>159.69999999999999</v>
      </c>
      <c r="K45" s="90">
        <v>150.6</v>
      </c>
      <c r="L45" s="90">
        <v>182.3</v>
      </c>
      <c r="M45" s="90">
        <v>189.37</v>
      </c>
      <c r="N45" s="90">
        <v>172.2</v>
      </c>
      <c r="O45" s="90">
        <v>159.9</v>
      </c>
      <c r="P45" s="90">
        <v>161.75</v>
      </c>
      <c r="Q45" s="90">
        <v>172.8</v>
      </c>
    </row>
    <row r="46" spans="1:17" hidden="1" x14ac:dyDescent="0.3">
      <c r="A46" s="72" t="str">
        <f>CONCATENATE(ota_rns[[#This Row],[채널]],ota_rns[[#This Row],[구분2]],ota_rns[[#This Row],[사업장]])</f>
        <v>GOTAREV06</v>
      </c>
      <c r="B46" s="79" t="s">
        <v>195</v>
      </c>
      <c r="C46" s="79" t="s">
        <v>193</v>
      </c>
      <c r="D46" s="83" t="s">
        <v>53</v>
      </c>
      <c r="E46" s="88">
        <v>3251.49</v>
      </c>
      <c r="F46" s="90">
        <v>264.18</v>
      </c>
      <c r="G46" s="90">
        <v>164.81800000000001</v>
      </c>
      <c r="H46" s="90">
        <v>115.71</v>
      </c>
      <c r="I46" s="90">
        <v>155.94</v>
      </c>
      <c r="J46" s="90">
        <v>199.625</v>
      </c>
      <c r="K46" s="90">
        <v>248.49</v>
      </c>
      <c r="L46" s="90">
        <v>401.06</v>
      </c>
      <c r="M46" s="90">
        <v>568.11</v>
      </c>
      <c r="N46" s="90">
        <v>353.01</v>
      </c>
      <c r="O46" s="90">
        <v>351.78</v>
      </c>
      <c r="P46" s="90">
        <v>274.97500000000002</v>
      </c>
      <c r="Q46" s="90">
        <v>153.792</v>
      </c>
    </row>
    <row r="47" spans="1:17" hidden="1" x14ac:dyDescent="0.3">
      <c r="A47" s="72" t="str">
        <f>CONCATENATE(ota_rns[[#This Row],[채널]],ota_rns[[#This Row],[구분2]],ota_rns[[#This Row],[사업장]])</f>
        <v>INBOUNDRNS06</v>
      </c>
      <c r="B47" s="79" t="s">
        <v>238</v>
      </c>
      <c r="C47" s="79" t="s">
        <v>213</v>
      </c>
      <c r="D47" s="83" t="s">
        <v>53</v>
      </c>
      <c r="E47" s="88">
        <v>2699</v>
      </c>
      <c r="F47" s="90">
        <v>250</v>
      </c>
      <c r="G47" s="90">
        <v>255</v>
      </c>
      <c r="H47" s="90">
        <v>184</v>
      </c>
      <c r="I47" s="90">
        <v>250</v>
      </c>
      <c r="J47" s="90">
        <v>300</v>
      </c>
      <c r="K47" s="90">
        <v>250</v>
      </c>
      <c r="L47" s="90">
        <v>80</v>
      </c>
      <c r="M47" s="90">
        <v>100</v>
      </c>
      <c r="N47" s="90">
        <v>200</v>
      </c>
      <c r="O47" s="90">
        <v>480</v>
      </c>
      <c r="P47" s="90">
        <v>200</v>
      </c>
      <c r="Q47" s="90">
        <v>150</v>
      </c>
    </row>
    <row r="48" spans="1:17" hidden="1" x14ac:dyDescent="0.3">
      <c r="A48" s="72" t="str">
        <f>CONCATENATE(ota_rns[[#This Row],[채널]],ota_rns[[#This Row],[구분2]],ota_rns[[#This Row],[사업장]])</f>
        <v>INBOUNDADR06</v>
      </c>
      <c r="B48" s="79" t="s">
        <v>238</v>
      </c>
      <c r="C48" s="79" t="s">
        <v>192</v>
      </c>
      <c r="D48" s="83" t="s">
        <v>53</v>
      </c>
      <c r="E48" s="88">
        <v>80.509375424231209</v>
      </c>
      <c r="F48" s="90">
        <v>89.5</v>
      </c>
      <c r="G48" s="90">
        <v>78.17647058823529</v>
      </c>
      <c r="H48" s="90">
        <v>72.173926739130437</v>
      </c>
      <c r="I48" s="90">
        <v>62.800007000000008</v>
      </c>
      <c r="J48" s="90">
        <v>68.44</v>
      </c>
      <c r="K48" s="90">
        <v>76.8</v>
      </c>
      <c r="L48" s="90">
        <v>83.15</v>
      </c>
      <c r="M48" s="90">
        <v>101</v>
      </c>
      <c r="N48" s="90">
        <v>78.22</v>
      </c>
      <c r="O48" s="90">
        <v>90.56</v>
      </c>
      <c r="P48" s="90">
        <v>91.5</v>
      </c>
      <c r="Q48" s="90">
        <v>80.72</v>
      </c>
    </row>
    <row r="49" spans="1:17" hidden="1" x14ac:dyDescent="0.3">
      <c r="A49" s="72" t="str">
        <f>CONCATENATE(ota_rns[[#This Row],[채널]],ota_rns[[#This Row],[구분2]],ota_rns[[#This Row],[사업장]])</f>
        <v>INBOUNDREV06</v>
      </c>
      <c r="B49" s="79" t="s">
        <v>238</v>
      </c>
      <c r="C49" s="79" t="s">
        <v>193</v>
      </c>
      <c r="D49" s="83" t="s">
        <v>53</v>
      </c>
      <c r="E49" s="88">
        <v>217.29480427000001</v>
      </c>
      <c r="F49" s="90">
        <v>22.375</v>
      </c>
      <c r="G49" s="90">
        <v>19.934999999999999</v>
      </c>
      <c r="H49" s="90">
        <v>13.28000252</v>
      </c>
      <c r="I49" s="90">
        <v>15.700001750000002</v>
      </c>
      <c r="J49" s="90">
        <v>20.532</v>
      </c>
      <c r="K49" s="90">
        <v>19.2</v>
      </c>
      <c r="L49" s="90">
        <v>6.6520000000000001</v>
      </c>
      <c r="M49" s="90">
        <v>10.1</v>
      </c>
      <c r="N49" s="90">
        <v>15.644</v>
      </c>
      <c r="O49" s="90">
        <v>43.468800000000002</v>
      </c>
      <c r="P49" s="90">
        <v>18.3</v>
      </c>
      <c r="Q49" s="90">
        <v>12.108000000000001</v>
      </c>
    </row>
    <row r="50" spans="1:17" hidden="1" x14ac:dyDescent="0.3">
      <c r="A50" s="72" t="str">
        <f>CONCATENATE(ota_rns[[#This Row],[채널]],ota_rns[[#This Row],[구분2]],ota_rns[[#This Row],[사업장]])</f>
        <v>OTARNS07</v>
      </c>
      <c r="B50" s="79" t="s">
        <v>188</v>
      </c>
      <c r="C50" s="79" t="s">
        <v>191</v>
      </c>
      <c r="D50" s="86" t="s">
        <v>86</v>
      </c>
      <c r="E50" s="102">
        <v>14480</v>
      </c>
      <c r="F50" s="112">
        <v>1470</v>
      </c>
      <c r="G50" s="112">
        <v>1340</v>
      </c>
      <c r="H50" s="112">
        <v>450</v>
      </c>
      <c r="I50" s="112">
        <v>450</v>
      </c>
      <c r="J50" s="112">
        <v>1120</v>
      </c>
      <c r="K50" s="112">
        <v>1100</v>
      </c>
      <c r="L50" s="112">
        <v>2050</v>
      </c>
      <c r="M50" s="112">
        <v>2060</v>
      </c>
      <c r="N50" s="112">
        <v>920</v>
      </c>
      <c r="O50" s="112">
        <v>1090</v>
      </c>
      <c r="P50" s="112">
        <v>630</v>
      </c>
      <c r="Q50" s="112">
        <v>1800</v>
      </c>
    </row>
    <row r="51" spans="1:17" hidden="1" x14ac:dyDescent="0.3">
      <c r="A51" s="72" t="str">
        <f>CONCATENATE(ota_rns[[#This Row],[채널]],ota_rns[[#This Row],[구분2]],ota_rns[[#This Row],[사업장]])</f>
        <v>GOTARNS07</v>
      </c>
      <c r="B51" s="79" t="s">
        <v>195</v>
      </c>
      <c r="C51" s="79" t="s">
        <v>191</v>
      </c>
      <c r="D51" s="86" t="s">
        <v>86</v>
      </c>
      <c r="E51" s="88">
        <v>9350</v>
      </c>
      <c r="F51" s="90">
        <v>1530</v>
      </c>
      <c r="G51" s="90">
        <v>1100</v>
      </c>
      <c r="H51" s="90">
        <v>250</v>
      </c>
      <c r="I51" s="90">
        <v>220</v>
      </c>
      <c r="J51" s="90">
        <v>510</v>
      </c>
      <c r="K51" s="90">
        <v>500</v>
      </c>
      <c r="L51" s="90">
        <v>860</v>
      </c>
      <c r="M51" s="90">
        <v>1010</v>
      </c>
      <c r="N51" s="90">
        <v>710</v>
      </c>
      <c r="O51" s="90">
        <v>640</v>
      </c>
      <c r="P51" s="90">
        <v>310</v>
      </c>
      <c r="Q51" s="90">
        <v>1710</v>
      </c>
    </row>
    <row r="52" spans="1:17" hidden="1" x14ac:dyDescent="0.3">
      <c r="A52" s="72" t="str">
        <f>CONCATENATE(ota_rns[[#This Row],[채널]],ota_rns[[#This Row],[구분2]],ota_rns[[#This Row],[사업장]])</f>
        <v>INBOUNDRNS07</v>
      </c>
      <c r="B52" s="79" t="s">
        <v>238</v>
      </c>
      <c r="C52" s="79" t="s">
        <v>191</v>
      </c>
      <c r="D52" s="86" t="s">
        <v>86</v>
      </c>
      <c r="E52" s="102">
        <v>0</v>
      </c>
      <c r="F52" s="112">
        <v>0</v>
      </c>
      <c r="G52" s="112">
        <v>0</v>
      </c>
      <c r="H52" s="112">
        <v>0</v>
      </c>
      <c r="I52" s="112">
        <v>0</v>
      </c>
      <c r="J52" s="112">
        <v>0</v>
      </c>
      <c r="K52" s="112">
        <v>0</v>
      </c>
      <c r="L52" s="112">
        <v>0</v>
      </c>
      <c r="M52" s="112">
        <v>0</v>
      </c>
      <c r="N52" s="112">
        <v>0</v>
      </c>
      <c r="O52" s="112">
        <v>0</v>
      </c>
      <c r="P52" s="112">
        <v>0</v>
      </c>
      <c r="Q52" s="112">
        <v>0</v>
      </c>
    </row>
    <row r="53" spans="1:17" hidden="1" x14ac:dyDescent="0.3">
      <c r="A53" s="72" t="str">
        <f>CONCATENATE(ota_rns[[#This Row],[채널]],ota_rns[[#This Row],[구분2]],ota_rns[[#This Row],[사업장]])</f>
        <v>OTAREV07</v>
      </c>
      <c r="B53" s="79" t="s">
        <v>188</v>
      </c>
      <c r="C53" s="79" t="s">
        <v>193</v>
      </c>
      <c r="D53" s="86" t="s">
        <v>86</v>
      </c>
      <c r="E53" s="88">
        <v>3856.8924946523025</v>
      </c>
      <c r="F53" s="90">
        <v>446.05</v>
      </c>
      <c r="G53" s="90">
        <v>347.97445962266755</v>
      </c>
      <c r="H53" s="90">
        <v>118.6346022784866</v>
      </c>
      <c r="I53" s="90">
        <v>94.5</v>
      </c>
      <c r="J53" s="90">
        <v>259.15015301174634</v>
      </c>
      <c r="K53" s="90">
        <v>236.5</v>
      </c>
      <c r="L53" s="90">
        <v>520.82868674707845</v>
      </c>
      <c r="M53" s="90">
        <v>611.93459299232347</v>
      </c>
      <c r="N53" s="90">
        <v>231.22</v>
      </c>
      <c r="O53" s="90">
        <v>366.74</v>
      </c>
      <c r="P53" s="90">
        <v>133.4</v>
      </c>
      <c r="Q53" s="90">
        <v>489.96</v>
      </c>
    </row>
    <row r="54" spans="1:17" hidden="1" x14ac:dyDescent="0.3">
      <c r="A54" s="72" t="str">
        <f>CONCATENATE(ota_rns[[#This Row],[채널]],ota_rns[[#This Row],[구분2]],ota_rns[[#This Row],[사업장]])</f>
        <v>GOTAREV07</v>
      </c>
      <c r="B54" s="79" t="s">
        <v>195</v>
      </c>
      <c r="C54" s="79" t="s">
        <v>193</v>
      </c>
      <c r="D54" s="86" t="s">
        <v>86</v>
      </c>
      <c r="E54" s="102">
        <v>2573.4253801289587</v>
      </c>
      <c r="F54" s="112">
        <v>476.59</v>
      </c>
      <c r="G54" s="112">
        <v>283.95852818801438</v>
      </c>
      <c r="H54" s="112">
        <v>74.788502957186068</v>
      </c>
      <c r="I54" s="112">
        <v>47.734179635654783</v>
      </c>
      <c r="J54" s="112">
        <v>126.24628662040666</v>
      </c>
      <c r="K54" s="112">
        <v>112</v>
      </c>
      <c r="L54" s="112">
        <v>242.34199680138633</v>
      </c>
      <c r="M54" s="112">
        <v>303.14352272727268</v>
      </c>
      <c r="N54" s="112">
        <v>186.6</v>
      </c>
      <c r="O54" s="112">
        <v>216.4</v>
      </c>
      <c r="P54" s="112">
        <v>65.45</v>
      </c>
      <c r="Q54" s="112">
        <v>438.17236319903799</v>
      </c>
    </row>
    <row r="55" spans="1:17" hidden="1" x14ac:dyDescent="0.3">
      <c r="A55" s="72" t="str">
        <f>CONCATENATE(ota_rns[[#This Row],[채널]],ota_rns[[#This Row],[구분2]],ota_rns[[#This Row],[사업장]])</f>
        <v>INBOUNDREV07</v>
      </c>
      <c r="B55" s="79" t="s">
        <v>238</v>
      </c>
      <c r="C55" s="79" t="s">
        <v>193</v>
      </c>
      <c r="D55" s="86" t="s">
        <v>86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</row>
    <row r="56" spans="1:17" hidden="1" x14ac:dyDescent="0.3">
      <c r="A56" s="72" t="str">
        <f>CONCATENATE(ota_rns[[#This Row],[채널]],ota_rns[[#This Row],[구분2]],ota_rns[[#This Row],[사업장]])</f>
        <v>OTAADR07</v>
      </c>
      <c r="B56" s="79" t="s">
        <v>188</v>
      </c>
      <c r="C56" s="79" t="s">
        <v>234</v>
      </c>
      <c r="D56" s="86" t="s">
        <v>86</v>
      </c>
      <c r="E56" s="88">
        <v>266.35997891245182</v>
      </c>
      <c r="F56" s="90">
        <v>303.43537414965988</v>
      </c>
      <c r="G56" s="90">
        <v>259.68243255422954</v>
      </c>
      <c r="H56" s="90">
        <v>263.63244950774799</v>
      </c>
      <c r="I56" s="90">
        <v>210</v>
      </c>
      <c r="J56" s="90">
        <v>231.38406518905921</v>
      </c>
      <c r="K56" s="90">
        <v>215</v>
      </c>
      <c r="L56" s="90">
        <v>254.0627740229651</v>
      </c>
      <c r="M56" s="90">
        <v>297.05562766617641</v>
      </c>
      <c r="N56" s="90">
        <v>251.32608695652175</v>
      </c>
      <c r="O56" s="90">
        <v>336.45871559633025</v>
      </c>
      <c r="P56" s="90">
        <v>211.74603174603175</v>
      </c>
      <c r="Q56" s="90">
        <v>272.2</v>
      </c>
    </row>
    <row r="57" spans="1:17" hidden="1" x14ac:dyDescent="0.3">
      <c r="A57" s="72" t="str">
        <f>CONCATENATE(ota_rns[[#This Row],[채널]],ota_rns[[#This Row],[구분2]],ota_rns[[#This Row],[사업장]])</f>
        <v>GOTAADR07</v>
      </c>
      <c r="B57" s="79" t="s">
        <v>195</v>
      </c>
      <c r="C57" s="79" t="s">
        <v>234</v>
      </c>
      <c r="D57" s="86" t="s">
        <v>86</v>
      </c>
      <c r="E57" s="88">
        <v>275.23266097635923</v>
      </c>
      <c r="F57" s="90">
        <v>311.49673202614377</v>
      </c>
      <c r="G57" s="90">
        <v>258.14411653455852</v>
      </c>
      <c r="H57" s="90">
        <v>299.15401182874427</v>
      </c>
      <c r="I57" s="90">
        <v>216.97354379843085</v>
      </c>
      <c r="J57" s="90">
        <v>247.54173847138563</v>
      </c>
      <c r="K57" s="90">
        <v>224</v>
      </c>
      <c r="L57" s="90">
        <v>281.79301953649571</v>
      </c>
      <c r="M57" s="90">
        <v>300.142101710171</v>
      </c>
      <c r="N57" s="90">
        <v>262.81690140845069</v>
      </c>
      <c r="O57" s="90">
        <v>338.125</v>
      </c>
      <c r="P57" s="90">
        <v>211.12903225806451</v>
      </c>
      <c r="Q57" s="90">
        <v>256.24114806961285</v>
      </c>
    </row>
    <row r="58" spans="1:17" hidden="1" x14ac:dyDescent="0.3">
      <c r="A58" s="72" t="str">
        <f>CONCATENATE(ota_rns[[#This Row],[채널]],ota_rns[[#This Row],[구분2]],ota_rns[[#This Row],[사업장]])</f>
        <v>INBOUNDADR07</v>
      </c>
      <c r="B58" s="79" t="s">
        <v>238</v>
      </c>
      <c r="C58" s="79" t="s">
        <v>234</v>
      </c>
      <c r="D58" s="93" t="s">
        <v>86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</row>
    <row r="59" spans="1:17" hidden="1" x14ac:dyDescent="0.3">
      <c r="A59" s="72" t="str">
        <f>CONCATENATE(ota_rns[[#This Row],[채널]],ota_rns[[#This Row],[구분2]],ota_rns[[#This Row],[사업장]])</f>
        <v>OTARNS08</v>
      </c>
      <c r="B59" s="76" t="s">
        <v>188</v>
      </c>
      <c r="C59" s="76" t="s">
        <v>191</v>
      </c>
      <c r="D59" s="86" t="s">
        <v>88</v>
      </c>
      <c r="E59" s="107">
        <v>8850</v>
      </c>
      <c r="F59" s="115">
        <v>950</v>
      </c>
      <c r="G59" s="115">
        <v>900</v>
      </c>
      <c r="H59" s="115">
        <v>350</v>
      </c>
      <c r="I59" s="115">
        <v>400</v>
      </c>
      <c r="J59" s="115">
        <v>600</v>
      </c>
      <c r="K59" s="115">
        <v>600</v>
      </c>
      <c r="L59" s="115">
        <v>800</v>
      </c>
      <c r="M59" s="115">
        <v>1150</v>
      </c>
      <c r="N59" s="115">
        <v>650</v>
      </c>
      <c r="O59" s="115">
        <v>700</v>
      </c>
      <c r="P59" s="115">
        <v>750</v>
      </c>
      <c r="Q59" s="115">
        <v>1000</v>
      </c>
    </row>
    <row r="60" spans="1:17" hidden="1" x14ac:dyDescent="0.3">
      <c r="A60" s="78" t="str">
        <f>CONCATENATE(ota_rns[[#This Row],[채널]],ota_rns[[#This Row],[구분2]],ota_rns[[#This Row],[사업장]])</f>
        <v>GOTARNS08</v>
      </c>
      <c r="B60" s="79" t="s">
        <v>195</v>
      </c>
      <c r="C60" s="79" t="s">
        <v>191</v>
      </c>
      <c r="D60" s="86" t="s">
        <v>88</v>
      </c>
      <c r="E60" s="88">
        <v>6500</v>
      </c>
      <c r="F60" s="90">
        <v>700</v>
      </c>
      <c r="G60" s="90">
        <v>700</v>
      </c>
      <c r="H60" s="90">
        <v>280</v>
      </c>
      <c r="I60" s="90">
        <v>350</v>
      </c>
      <c r="J60" s="90">
        <v>500</v>
      </c>
      <c r="K60" s="90">
        <v>450</v>
      </c>
      <c r="L60" s="90">
        <v>820</v>
      </c>
      <c r="M60" s="90">
        <v>950</v>
      </c>
      <c r="N60" s="90">
        <v>400</v>
      </c>
      <c r="O60" s="90">
        <v>550</v>
      </c>
      <c r="P60" s="90">
        <v>300</v>
      </c>
      <c r="Q60" s="90">
        <v>500</v>
      </c>
    </row>
    <row r="61" spans="1:17" hidden="1" x14ac:dyDescent="0.3">
      <c r="A61" s="78" t="str">
        <f>CONCATENATE(ota_rns[[#This Row],[채널]],ota_rns[[#This Row],[구분2]],ota_rns[[#This Row],[사업장]])</f>
        <v>INBOUNDRNS08</v>
      </c>
      <c r="B61" s="79" t="s">
        <v>238</v>
      </c>
      <c r="C61" s="79" t="s">
        <v>191</v>
      </c>
      <c r="D61" s="86" t="s">
        <v>88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</row>
    <row r="62" spans="1:17" hidden="1" x14ac:dyDescent="0.3">
      <c r="A62" s="78" t="str">
        <f>CONCATENATE(ota_rns[[#This Row],[채널]],ota_rns[[#This Row],[구분2]],ota_rns[[#This Row],[사업장]])</f>
        <v>OTAREV08</v>
      </c>
      <c r="B62" s="79" t="s">
        <v>188</v>
      </c>
      <c r="C62" s="79" t="s">
        <v>193</v>
      </c>
      <c r="D62" s="86" t="s">
        <v>88</v>
      </c>
      <c r="E62" s="88">
        <v>2894.42</v>
      </c>
      <c r="F62" s="90">
        <v>311.60000000000002</v>
      </c>
      <c r="G62" s="90">
        <v>283.77</v>
      </c>
      <c r="H62" s="90">
        <v>116.9</v>
      </c>
      <c r="I62" s="90">
        <v>106.8</v>
      </c>
      <c r="J62" s="90">
        <v>193.8</v>
      </c>
      <c r="K62" s="90">
        <v>169.2</v>
      </c>
      <c r="L62" s="90">
        <v>301.60000000000002</v>
      </c>
      <c r="M62" s="90">
        <v>424.35</v>
      </c>
      <c r="N62" s="90">
        <v>234</v>
      </c>
      <c r="O62" s="90">
        <v>249.9</v>
      </c>
      <c r="P62" s="90">
        <v>202.5</v>
      </c>
      <c r="Q62" s="90">
        <v>300</v>
      </c>
    </row>
    <row r="63" spans="1:17" hidden="1" x14ac:dyDescent="0.3">
      <c r="A63" s="78" t="str">
        <f>CONCATENATE(ota_rns[[#This Row],[채널]],ota_rns[[#This Row],[구분2]],ota_rns[[#This Row],[사업장]])</f>
        <v>GOTAREV08</v>
      </c>
      <c r="B63" s="79" t="s">
        <v>195</v>
      </c>
      <c r="C63" s="79" t="s">
        <v>193</v>
      </c>
      <c r="D63" s="86" t="s">
        <v>88</v>
      </c>
      <c r="E63" s="102">
        <v>2203.0525000000002</v>
      </c>
      <c r="F63" s="112">
        <v>231.7</v>
      </c>
      <c r="G63" s="112">
        <v>227.5</v>
      </c>
      <c r="H63" s="112">
        <v>92.68</v>
      </c>
      <c r="I63" s="112">
        <v>96.95</v>
      </c>
      <c r="J63" s="112">
        <v>157.5</v>
      </c>
      <c r="K63" s="112">
        <v>129.6</v>
      </c>
      <c r="L63" s="112">
        <v>323.89999999999998</v>
      </c>
      <c r="M63" s="112">
        <v>380</v>
      </c>
      <c r="N63" s="112">
        <v>140</v>
      </c>
      <c r="O63" s="112">
        <v>189.75</v>
      </c>
      <c r="P63" s="112">
        <v>85.8</v>
      </c>
      <c r="Q63" s="112">
        <v>147.67250000000001</v>
      </c>
    </row>
    <row r="64" spans="1:17" hidden="1" x14ac:dyDescent="0.3">
      <c r="A64" s="78" t="str">
        <f>CONCATENATE(ota_rns[[#This Row],[채널]],ota_rns[[#This Row],[구분2]],ota_rns[[#This Row],[사업장]])</f>
        <v>INBOUNDREV08</v>
      </c>
      <c r="B64" s="79" t="s">
        <v>238</v>
      </c>
      <c r="C64" s="79" t="s">
        <v>193</v>
      </c>
      <c r="D64" s="86" t="s">
        <v>88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</row>
    <row r="65" spans="1:17" hidden="1" x14ac:dyDescent="0.3">
      <c r="A65" s="78" t="str">
        <f>CONCATENATE(ota_rns[[#This Row],[채널]],ota_rns[[#This Row],[구분2]],ota_rns[[#This Row],[사업장]])</f>
        <v>OTAADR08</v>
      </c>
      <c r="B65" s="79" t="s">
        <v>188</v>
      </c>
      <c r="C65" s="79" t="s">
        <v>234</v>
      </c>
      <c r="D65" s="86" t="s">
        <v>88</v>
      </c>
      <c r="E65" s="88">
        <v>327.05310734463279</v>
      </c>
      <c r="F65" s="90">
        <v>328</v>
      </c>
      <c r="G65" s="90">
        <v>315.3</v>
      </c>
      <c r="H65" s="90">
        <v>334</v>
      </c>
      <c r="I65" s="90">
        <v>267</v>
      </c>
      <c r="J65" s="90">
        <v>323</v>
      </c>
      <c r="K65" s="90">
        <v>282</v>
      </c>
      <c r="L65" s="90">
        <v>377</v>
      </c>
      <c r="M65" s="90">
        <v>369</v>
      </c>
      <c r="N65" s="90">
        <v>360</v>
      </c>
      <c r="O65" s="90">
        <v>357</v>
      </c>
      <c r="P65" s="90">
        <v>270</v>
      </c>
      <c r="Q65" s="90">
        <v>300</v>
      </c>
    </row>
    <row r="66" spans="1:17" hidden="1" x14ac:dyDescent="0.3">
      <c r="A66" s="78" t="str">
        <f>CONCATENATE(ota_rns[[#This Row],[채널]],ota_rns[[#This Row],[구분2]],ota_rns[[#This Row],[사업장]])</f>
        <v>GOTAADR08</v>
      </c>
      <c r="B66" s="79" t="s">
        <v>195</v>
      </c>
      <c r="C66" s="79" t="s">
        <v>234</v>
      </c>
      <c r="D66" s="86" t="s">
        <v>88</v>
      </c>
      <c r="E66" s="88">
        <v>338.9311538461539</v>
      </c>
      <c r="F66" s="90">
        <v>331</v>
      </c>
      <c r="G66" s="90">
        <v>325</v>
      </c>
      <c r="H66" s="90">
        <v>331</v>
      </c>
      <c r="I66" s="90">
        <v>277</v>
      </c>
      <c r="J66" s="90">
        <v>315</v>
      </c>
      <c r="K66" s="90">
        <v>288</v>
      </c>
      <c r="L66" s="90">
        <v>395</v>
      </c>
      <c r="M66" s="90">
        <v>400</v>
      </c>
      <c r="N66" s="90">
        <v>350</v>
      </c>
      <c r="O66" s="90">
        <v>345</v>
      </c>
      <c r="P66" s="90">
        <v>286</v>
      </c>
      <c r="Q66" s="90">
        <v>295.34500000000003</v>
      </c>
    </row>
    <row r="67" spans="1:17" hidden="1" x14ac:dyDescent="0.3">
      <c r="A67" s="78" t="str">
        <f>CONCATENATE(ota_rns[[#This Row],[채널]],ota_rns[[#This Row],[구분2]],ota_rns[[#This Row],[사업장]])</f>
        <v>INBOUNDADR08</v>
      </c>
      <c r="B67" s="79" t="s">
        <v>238</v>
      </c>
      <c r="C67" s="79" t="s">
        <v>234</v>
      </c>
      <c r="D67" s="86" t="s">
        <v>88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</row>
    <row r="68" spans="1:17" hidden="1" x14ac:dyDescent="0.3">
      <c r="A68" s="94" t="str">
        <f>CONCATENATE(ota_rns[[#This Row],[채널]],ota_rns[[#This Row],[구분2]],ota_rns[[#This Row],[사업장]])</f>
        <v>OTARNS10</v>
      </c>
      <c r="B68" s="94" t="s">
        <v>66</v>
      </c>
      <c r="C68" s="94" t="s">
        <v>213</v>
      </c>
      <c r="D68" s="73" t="s">
        <v>49</v>
      </c>
      <c r="E68" s="109">
        <v>19270</v>
      </c>
      <c r="F68" s="117">
        <v>1200</v>
      </c>
      <c r="G68" s="117">
        <v>1350</v>
      </c>
      <c r="H68" s="117">
        <v>750</v>
      </c>
      <c r="I68" s="117">
        <v>1300</v>
      </c>
      <c r="J68" s="117">
        <v>1800</v>
      </c>
      <c r="K68" s="117">
        <v>2100</v>
      </c>
      <c r="L68" s="117">
        <v>2420</v>
      </c>
      <c r="M68" s="117">
        <v>2050</v>
      </c>
      <c r="N68" s="117">
        <v>1650</v>
      </c>
      <c r="O68" s="117">
        <v>1750</v>
      </c>
      <c r="P68" s="117">
        <v>1400</v>
      </c>
      <c r="Q68" s="117">
        <v>1500</v>
      </c>
    </row>
    <row r="69" spans="1:17" hidden="1" x14ac:dyDescent="0.3">
      <c r="A69" s="94" t="str">
        <f>CONCATENATE(ota_rns[[#This Row],[채널]],ota_rns[[#This Row],[구분2]],ota_rns[[#This Row],[사업장]])</f>
        <v>OTAADR10</v>
      </c>
      <c r="B69" s="79" t="s">
        <v>66</v>
      </c>
      <c r="C69" s="79" t="s">
        <v>68</v>
      </c>
      <c r="D69" s="82" t="s">
        <v>49</v>
      </c>
      <c r="E69" s="84">
        <v>216.20827711468604</v>
      </c>
      <c r="F69" s="85">
        <v>211</v>
      </c>
      <c r="G69" s="85">
        <v>201</v>
      </c>
      <c r="H69" s="85">
        <v>223</v>
      </c>
      <c r="I69" s="85">
        <v>185</v>
      </c>
      <c r="J69" s="85">
        <v>212</v>
      </c>
      <c r="K69" s="85">
        <v>205.4</v>
      </c>
      <c r="L69" s="85">
        <v>238.4</v>
      </c>
      <c r="M69" s="85">
        <v>264.39999999999998</v>
      </c>
      <c r="N69" s="85">
        <v>194</v>
      </c>
      <c r="O69" s="85">
        <v>235</v>
      </c>
      <c r="P69" s="85">
        <v>193</v>
      </c>
      <c r="Q69" s="85">
        <v>200.39699999999999</v>
      </c>
    </row>
    <row r="70" spans="1:17" hidden="1" x14ac:dyDescent="0.3">
      <c r="A70" s="94" t="str">
        <f>CONCATENATE(ota_rns[[#This Row],[채널]],ota_rns[[#This Row],[구분2]],ota_rns[[#This Row],[사업장]])</f>
        <v>OTAREV10</v>
      </c>
      <c r="B70" s="79" t="s">
        <v>66</v>
      </c>
      <c r="C70" s="79" t="s">
        <v>69</v>
      </c>
      <c r="D70" s="82" t="s">
        <v>49</v>
      </c>
      <c r="E70" s="84">
        <v>4166.3334999999997</v>
      </c>
      <c r="F70" s="85">
        <v>253.2</v>
      </c>
      <c r="G70" s="85">
        <v>271.35000000000002</v>
      </c>
      <c r="H70" s="85">
        <v>167.25</v>
      </c>
      <c r="I70" s="85">
        <v>240.5</v>
      </c>
      <c r="J70" s="85">
        <v>381.6</v>
      </c>
      <c r="K70" s="85">
        <v>431.34</v>
      </c>
      <c r="L70" s="85">
        <v>576.928</v>
      </c>
      <c r="M70" s="85">
        <v>542.02</v>
      </c>
      <c r="N70" s="85">
        <v>320.10000000000002</v>
      </c>
      <c r="O70" s="85">
        <v>411.25</v>
      </c>
      <c r="P70" s="85">
        <v>270.2</v>
      </c>
      <c r="Q70" s="85">
        <v>300.59550000000002</v>
      </c>
    </row>
    <row r="71" spans="1:17" hidden="1" x14ac:dyDescent="0.3">
      <c r="A71" s="78" t="str">
        <f>CONCATENATE(ota_rns[[#This Row],[채널]],ota_rns[[#This Row],[구분2]],ota_rns[[#This Row],[사업장]])</f>
        <v>GOTARNS10</v>
      </c>
      <c r="B71" s="79" t="s">
        <v>195</v>
      </c>
      <c r="C71" s="79" t="s">
        <v>191</v>
      </c>
      <c r="D71" s="82" t="s">
        <v>49</v>
      </c>
      <c r="E71" s="88">
        <v>13700</v>
      </c>
      <c r="F71" s="90">
        <v>1150</v>
      </c>
      <c r="G71" s="90">
        <v>1250</v>
      </c>
      <c r="H71" s="90">
        <v>750</v>
      </c>
      <c r="I71" s="90">
        <v>1000</v>
      </c>
      <c r="J71" s="90">
        <v>1300</v>
      </c>
      <c r="K71" s="90">
        <v>1100</v>
      </c>
      <c r="L71" s="90">
        <v>1350</v>
      </c>
      <c r="M71" s="90">
        <v>1200</v>
      </c>
      <c r="N71" s="90">
        <v>1550</v>
      </c>
      <c r="O71" s="90">
        <v>1050</v>
      </c>
      <c r="P71" s="90">
        <v>900</v>
      </c>
      <c r="Q71" s="90">
        <v>1100</v>
      </c>
    </row>
    <row r="72" spans="1:17" hidden="1" x14ac:dyDescent="0.3">
      <c r="A72" s="78" t="str">
        <f>CONCATENATE(ota_rns[[#This Row],[채널]],ota_rns[[#This Row],[구분2]],ota_rns[[#This Row],[사업장]])</f>
        <v>GOTAADR10</v>
      </c>
      <c r="B72" s="79" t="s">
        <v>195</v>
      </c>
      <c r="C72" s="79" t="s">
        <v>192</v>
      </c>
      <c r="D72" s="82" t="s">
        <v>49</v>
      </c>
      <c r="E72" s="88">
        <v>187.57624087591242</v>
      </c>
      <c r="F72" s="90">
        <v>182</v>
      </c>
      <c r="G72" s="90">
        <v>183.4</v>
      </c>
      <c r="H72" s="90">
        <v>172</v>
      </c>
      <c r="I72" s="90">
        <v>164</v>
      </c>
      <c r="J72" s="90">
        <v>187</v>
      </c>
      <c r="K72" s="90">
        <v>185.4</v>
      </c>
      <c r="L72" s="90">
        <v>214.4</v>
      </c>
      <c r="M72" s="90">
        <v>225.3</v>
      </c>
      <c r="N72" s="90">
        <v>182</v>
      </c>
      <c r="O72" s="90">
        <v>185</v>
      </c>
      <c r="P72" s="90">
        <v>175</v>
      </c>
      <c r="Q72" s="90">
        <v>179.595</v>
      </c>
    </row>
    <row r="73" spans="1:17" hidden="1" x14ac:dyDescent="0.3">
      <c r="A73" s="78" t="str">
        <f>CONCATENATE(ota_rns[[#This Row],[채널]],ota_rns[[#This Row],[구분2]],ota_rns[[#This Row],[사업장]])</f>
        <v>GOTAREV10</v>
      </c>
      <c r="B73" s="79" t="s">
        <v>195</v>
      </c>
      <c r="C73" s="79" t="s">
        <v>193</v>
      </c>
      <c r="D73" s="82" t="s">
        <v>49</v>
      </c>
      <c r="E73" s="88">
        <v>2569.7945</v>
      </c>
      <c r="F73" s="90">
        <v>209.3</v>
      </c>
      <c r="G73" s="90">
        <v>229.25</v>
      </c>
      <c r="H73" s="90">
        <v>129</v>
      </c>
      <c r="I73" s="90">
        <v>164</v>
      </c>
      <c r="J73" s="90">
        <v>243.1</v>
      </c>
      <c r="K73" s="90">
        <v>203.94</v>
      </c>
      <c r="L73" s="90">
        <v>289.44</v>
      </c>
      <c r="M73" s="90">
        <v>270.36</v>
      </c>
      <c r="N73" s="90">
        <v>282.10000000000002</v>
      </c>
      <c r="O73" s="90">
        <v>194.25</v>
      </c>
      <c r="P73" s="90">
        <v>157.5</v>
      </c>
      <c r="Q73" s="90">
        <v>197.55449999999999</v>
      </c>
    </row>
    <row r="74" spans="1:17" hidden="1" x14ac:dyDescent="0.3">
      <c r="A74" s="78" t="str">
        <f>CONCATENATE(ota_rns[[#This Row],[채널]],ota_rns[[#This Row],[구분2]],ota_rns[[#This Row],[사업장]])</f>
        <v>INBOUNDRNS10</v>
      </c>
      <c r="B74" s="79" t="s">
        <v>238</v>
      </c>
      <c r="C74" s="79" t="s">
        <v>213</v>
      </c>
      <c r="D74" s="82" t="s">
        <v>49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</row>
    <row r="75" spans="1:17" hidden="1" x14ac:dyDescent="0.3">
      <c r="A75" s="78" t="str">
        <f>CONCATENATE(ota_rns[[#This Row],[채널]],ota_rns[[#This Row],[구분2]],ota_rns[[#This Row],[사업장]])</f>
        <v>INBOUNDADR10</v>
      </c>
      <c r="B75" s="79" t="s">
        <v>238</v>
      </c>
      <c r="C75" s="79" t="s">
        <v>192</v>
      </c>
      <c r="D75" s="82" t="s">
        <v>49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</row>
    <row r="76" spans="1:17" hidden="1" x14ac:dyDescent="0.3">
      <c r="A76" s="78" t="str">
        <f>CONCATENATE(ota_rns[[#This Row],[채널]],ota_rns[[#This Row],[구분2]],ota_rns[[#This Row],[사업장]])</f>
        <v>INBOUNDREV10</v>
      </c>
      <c r="B76" s="79" t="s">
        <v>238</v>
      </c>
      <c r="C76" s="79" t="s">
        <v>193</v>
      </c>
      <c r="D76" s="82" t="s">
        <v>49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</row>
    <row r="77" spans="1:17" hidden="1" x14ac:dyDescent="0.3">
      <c r="A77" s="94" t="str">
        <f>CONCATENATE(ota_rns[[#This Row],[채널]],ota_rns[[#This Row],[구분2]],ota_rns[[#This Row],[사업장]])</f>
        <v>OTARNS15</v>
      </c>
      <c r="B77" s="94" t="s">
        <v>66</v>
      </c>
      <c r="C77" s="94" t="s">
        <v>213</v>
      </c>
      <c r="D77" s="73" t="s">
        <v>60</v>
      </c>
      <c r="E77" s="109">
        <v>8600</v>
      </c>
      <c r="F77" s="117">
        <v>350</v>
      </c>
      <c r="G77" s="117">
        <v>450</v>
      </c>
      <c r="H77" s="117">
        <v>400</v>
      </c>
      <c r="I77" s="117">
        <v>650</v>
      </c>
      <c r="J77" s="117">
        <v>700</v>
      </c>
      <c r="K77" s="117">
        <v>900</v>
      </c>
      <c r="L77" s="117">
        <v>1100</v>
      </c>
      <c r="M77" s="117">
        <v>1200</v>
      </c>
      <c r="N77" s="117">
        <v>900</v>
      </c>
      <c r="O77" s="117">
        <v>900</v>
      </c>
      <c r="P77" s="117">
        <v>550</v>
      </c>
      <c r="Q77" s="117">
        <v>500</v>
      </c>
    </row>
    <row r="78" spans="1:17" hidden="1" x14ac:dyDescent="0.3">
      <c r="A78" s="94" t="str">
        <f>CONCATENATE(ota_rns[[#This Row],[채널]],ota_rns[[#This Row],[구분2]],ota_rns[[#This Row],[사업장]])</f>
        <v>OTAADR15</v>
      </c>
      <c r="B78" s="79" t="s">
        <v>66</v>
      </c>
      <c r="C78" s="79" t="s">
        <v>68</v>
      </c>
      <c r="D78" s="82" t="s">
        <v>60</v>
      </c>
      <c r="E78" s="84">
        <v>181.48488372093024</v>
      </c>
      <c r="F78" s="85">
        <v>160</v>
      </c>
      <c r="G78" s="85">
        <v>164</v>
      </c>
      <c r="H78" s="85">
        <v>165</v>
      </c>
      <c r="I78" s="85">
        <v>161</v>
      </c>
      <c r="J78" s="85">
        <v>182.7</v>
      </c>
      <c r="K78" s="85">
        <v>155</v>
      </c>
      <c r="L78" s="85">
        <v>192</v>
      </c>
      <c r="M78" s="85">
        <v>214</v>
      </c>
      <c r="N78" s="85">
        <v>184</v>
      </c>
      <c r="O78" s="85">
        <v>197.7</v>
      </c>
      <c r="P78" s="85">
        <v>168</v>
      </c>
      <c r="Q78" s="85">
        <v>178</v>
      </c>
    </row>
    <row r="79" spans="1:17" hidden="1" x14ac:dyDescent="0.3">
      <c r="A79" s="94" t="str">
        <f>CONCATENATE(ota_rns[[#This Row],[채널]],ota_rns[[#This Row],[구분2]],ota_rns[[#This Row],[사업장]])</f>
        <v>OTAREV15</v>
      </c>
      <c r="B79" s="79" t="s">
        <v>66</v>
      </c>
      <c r="C79" s="79" t="s">
        <v>69</v>
      </c>
      <c r="D79" s="80" t="s">
        <v>60</v>
      </c>
      <c r="E79" s="84">
        <v>1560.77</v>
      </c>
      <c r="F79" s="85">
        <v>56</v>
      </c>
      <c r="G79" s="85">
        <v>73.8</v>
      </c>
      <c r="H79" s="85">
        <v>66</v>
      </c>
      <c r="I79" s="85">
        <v>104.65</v>
      </c>
      <c r="J79" s="85">
        <v>127.88999999999999</v>
      </c>
      <c r="K79" s="85">
        <v>139.5</v>
      </c>
      <c r="L79" s="85">
        <v>211.2</v>
      </c>
      <c r="M79" s="85">
        <v>256.8</v>
      </c>
      <c r="N79" s="85">
        <v>165.6</v>
      </c>
      <c r="O79" s="85">
        <v>177.93</v>
      </c>
      <c r="P79" s="85">
        <v>92.4</v>
      </c>
      <c r="Q79" s="85">
        <v>89</v>
      </c>
    </row>
    <row r="80" spans="1:17" hidden="1" x14ac:dyDescent="0.3">
      <c r="A80" s="72" t="str">
        <f>CONCATENATE(ota_rns[[#This Row],[채널]],ota_rns[[#This Row],[구분2]],ota_rns[[#This Row],[사업장]])</f>
        <v>GOTARNS15</v>
      </c>
      <c r="B80" s="76" t="s">
        <v>195</v>
      </c>
      <c r="C80" s="76" t="s">
        <v>191</v>
      </c>
      <c r="D80" s="82" t="s">
        <v>60</v>
      </c>
      <c r="E80" s="87">
        <v>13160</v>
      </c>
      <c r="F80" s="89">
        <v>500</v>
      </c>
      <c r="G80" s="89">
        <v>600</v>
      </c>
      <c r="H80" s="89">
        <v>480</v>
      </c>
      <c r="I80" s="89">
        <v>850</v>
      </c>
      <c r="J80" s="89">
        <v>850</v>
      </c>
      <c r="K80" s="89">
        <v>1000</v>
      </c>
      <c r="L80" s="89">
        <v>2200</v>
      </c>
      <c r="M80" s="89">
        <v>2300</v>
      </c>
      <c r="N80" s="89">
        <v>1550</v>
      </c>
      <c r="O80" s="89">
        <v>1500</v>
      </c>
      <c r="P80" s="89">
        <v>730</v>
      </c>
      <c r="Q80" s="89">
        <v>600</v>
      </c>
    </row>
    <row r="81" spans="1:17" hidden="1" x14ac:dyDescent="0.3">
      <c r="A81" s="78" t="str">
        <f>CONCATENATE(ota_rns[[#This Row],[채널]],ota_rns[[#This Row],[구분2]],ota_rns[[#This Row],[사업장]])</f>
        <v>GOTAADR15</v>
      </c>
      <c r="B81" s="79" t="s">
        <v>195</v>
      </c>
      <c r="C81" s="79" t="s">
        <v>192</v>
      </c>
      <c r="D81" s="82" t="s">
        <v>60</v>
      </c>
      <c r="E81" s="88">
        <v>182.59498480243161</v>
      </c>
      <c r="F81" s="90">
        <v>152</v>
      </c>
      <c r="G81" s="90">
        <v>163</v>
      </c>
      <c r="H81" s="90">
        <v>149</v>
      </c>
      <c r="I81" s="90">
        <v>147</v>
      </c>
      <c r="J81" s="90">
        <v>184.8</v>
      </c>
      <c r="K81" s="90">
        <v>152</v>
      </c>
      <c r="L81" s="90">
        <v>197</v>
      </c>
      <c r="M81" s="90">
        <v>210</v>
      </c>
      <c r="N81" s="90">
        <v>177</v>
      </c>
      <c r="O81" s="90">
        <v>200.5</v>
      </c>
      <c r="P81" s="90">
        <v>170</v>
      </c>
      <c r="Q81" s="90">
        <v>180</v>
      </c>
    </row>
    <row r="82" spans="1:17" hidden="1" x14ac:dyDescent="0.3">
      <c r="A82" s="78" t="str">
        <f>CONCATENATE(ota_rns[[#This Row],[채널]],ota_rns[[#This Row],[구분2]],ota_rns[[#This Row],[사업장]])</f>
        <v>GOTAREV15</v>
      </c>
      <c r="B82" s="79" t="s">
        <v>195</v>
      </c>
      <c r="C82" s="79" t="s">
        <v>193</v>
      </c>
      <c r="D82" s="82" t="s">
        <v>60</v>
      </c>
      <c r="E82" s="88">
        <v>2402.9499999999998</v>
      </c>
      <c r="F82" s="90">
        <v>76</v>
      </c>
      <c r="G82" s="90">
        <v>97.8</v>
      </c>
      <c r="H82" s="90">
        <v>71.52</v>
      </c>
      <c r="I82" s="90">
        <v>124.95</v>
      </c>
      <c r="J82" s="90">
        <v>157.08000000000001</v>
      </c>
      <c r="K82" s="90">
        <v>152</v>
      </c>
      <c r="L82" s="90">
        <v>433.4</v>
      </c>
      <c r="M82" s="90">
        <v>483</v>
      </c>
      <c r="N82" s="90">
        <v>274.35000000000002</v>
      </c>
      <c r="O82" s="90">
        <v>300.75</v>
      </c>
      <c r="P82" s="90">
        <v>124.1</v>
      </c>
      <c r="Q82" s="90">
        <v>108</v>
      </c>
    </row>
    <row r="83" spans="1:17" hidden="1" x14ac:dyDescent="0.3">
      <c r="A83" s="78" t="str">
        <f>CONCATENATE(ota_rns[[#This Row],[채널]],ota_rns[[#This Row],[구분2]],ota_rns[[#This Row],[사업장]])</f>
        <v>INBOUNDRNS15</v>
      </c>
      <c r="B83" s="79" t="s">
        <v>238</v>
      </c>
      <c r="C83" s="79" t="s">
        <v>213</v>
      </c>
      <c r="D83" s="82" t="s">
        <v>60</v>
      </c>
      <c r="E83" s="88">
        <v>700</v>
      </c>
      <c r="F83" s="90">
        <v>0</v>
      </c>
      <c r="G83" s="90">
        <v>0</v>
      </c>
      <c r="H83" s="90">
        <v>100</v>
      </c>
      <c r="I83" s="90">
        <v>100</v>
      </c>
      <c r="J83" s="90">
        <v>100</v>
      </c>
      <c r="K83" s="90">
        <v>100</v>
      </c>
      <c r="L83" s="90">
        <v>0</v>
      </c>
      <c r="M83" s="90">
        <v>0</v>
      </c>
      <c r="N83" s="90">
        <v>100</v>
      </c>
      <c r="O83" s="90">
        <v>100</v>
      </c>
      <c r="P83" s="90">
        <v>100</v>
      </c>
      <c r="Q83" s="90">
        <v>0</v>
      </c>
    </row>
    <row r="84" spans="1:17" hidden="1" x14ac:dyDescent="0.3">
      <c r="A84" s="78" t="str">
        <f>CONCATENATE(ota_rns[[#This Row],[채널]],ota_rns[[#This Row],[구분2]],ota_rns[[#This Row],[사업장]])</f>
        <v>INBOUNDADR15</v>
      </c>
      <c r="B84" s="79" t="s">
        <v>238</v>
      </c>
      <c r="C84" s="79" t="s">
        <v>192</v>
      </c>
      <c r="D84" s="82" t="s">
        <v>60</v>
      </c>
      <c r="E84" s="88">
        <v>63</v>
      </c>
      <c r="F84" s="88">
        <v>0</v>
      </c>
      <c r="G84" s="88">
        <v>0</v>
      </c>
      <c r="H84" s="90">
        <v>63</v>
      </c>
      <c r="I84" s="90">
        <v>63</v>
      </c>
      <c r="J84" s="90">
        <v>63</v>
      </c>
      <c r="K84" s="90">
        <v>63</v>
      </c>
      <c r="L84" s="88">
        <v>0</v>
      </c>
      <c r="M84" s="88">
        <v>0</v>
      </c>
      <c r="N84" s="90">
        <v>63</v>
      </c>
      <c r="O84" s="90">
        <v>63</v>
      </c>
      <c r="P84" s="90">
        <v>63</v>
      </c>
      <c r="Q84" s="88">
        <v>0</v>
      </c>
    </row>
    <row r="85" spans="1:17" hidden="1" x14ac:dyDescent="0.3">
      <c r="A85" s="78" t="str">
        <f>CONCATENATE(ota_rns[[#This Row],[채널]],ota_rns[[#This Row],[구분2]],ota_rns[[#This Row],[사업장]])</f>
        <v>INBOUNDREV15</v>
      </c>
      <c r="B85" s="79" t="s">
        <v>238</v>
      </c>
      <c r="C85" s="79" t="s">
        <v>193</v>
      </c>
      <c r="D85" s="82" t="s">
        <v>60</v>
      </c>
      <c r="E85" s="88">
        <v>44.1</v>
      </c>
      <c r="F85" s="90">
        <v>0</v>
      </c>
      <c r="G85" s="90">
        <v>0</v>
      </c>
      <c r="H85" s="90">
        <v>6.3</v>
      </c>
      <c r="I85" s="90">
        <v>6.3</v>
      </c>
      <c r="J85" s="90">
        <v>6.3</v>
      </c>
      <c r="K85" s="90">
        <v>6.3</v>
      </c>
      <c r="L85" s="90">
        <v>0</v>
      </c>
      <c r="M85" s="90">
        <v>0</v>
      </c>
      <c r="N85" s="90">
        <v>6.3</v>
      </c>
      <c r="O85" s="90">
        <v>6.3</v>
      </c>
      <c r="P85" s="90">
        <v>6.3</v>
      </c>
      <c r="Q85" s="90">
        <v>0</v>
      </c>
    </row>
    <row r="86" spans="1:17" hidden="1" x14ac:dyDescent="0.3">
      <c r="A86" s="94" t="str">
        <f>CONCATENATE(ota_rns[[#This Row],[채널]],ota_rns[[#This Row],[구분2]],ota_rns[[#This Row],[사업장]])</f>
        <v>OTARNS16</v>
      </c>
      <c r="B86" s="94" t="s">
        <v>66</v>
      </c>
      <c r="C86" s="94" t="s">
        <v>213</v>
      </c>
      <c r="D86" s="73" t="s">
        <v>55</v>
      </c>
      <c r="E86" s="109">
        <v>19500</v>
      </c>
      <c r="F86" s="117">
        <v>1700</v>
      </c>
      <c r="G86" s="117">
        <v>1650</v>
      </c>
      <c r="H86" s="117">
        <v>1100</v>
      </c>
      <c r="I86" s="117">
        <v>1250</v>
      </c>
      <c r="J86" s="117">
        <v>1300</v>
      </c>
      <c r="K86" s="117">
        <v>1500</v>
      </c>
      <c r="L86" s="117">
        <v>2200</v>
      </c>
      <c r="M86" s="117">
        <v>2600</v>
      </c>
      <c r="N86" s="117">
        <v>1500</v>
      </c>
      <c r="O86" s="117">
        <v>1500</v>
      </c>
      <c r="P86" s="117">
        <v>1400</v>
      </c>
      <c r="Q86" s="117">
        <v>1800</v>
      </c>
    </row>
    <row r="87" spans="1:17" hidden="1" x14ac:dyDescent="0.3">
      <c r="A87" s="94" t="str">
        <f>CONCATENATE(ota_rns[[#This Row],[채널]],ota_rns[[#This Row],[구분2]],ota_rns[[#This Row],[사업장]])</f>
        <v>OTAADR16</v>
      </c>
      <c r="B87" s="79" t="s">
        <v>66</v>
      </c>
      <c r="C87" s="79" t="s">
        <v>68</v>
      </c>
      <c r="D87" s="82" t="s">
        <v>55</v>
      </c>
      <c r="E87" s="84">
        <v>179.1645117948718</v>
      </c>
      <c r="F87" s="85">
        <v>161.4</v>
      </c>
      <c r="G87" s="85">
        <v>155</v>
      </c>
      <c r="H87" s="85">
        <v>180</v>
      </c>
      <c r="I87" s="85">
        <v>158</v>
      </c>
      <c r="J87" s="85">
        <v>178</v>
      </c>
      <c r="K87" s="85">
        <v>165</v>
      </c>
      <c r="L87" s="85">
        <v>199.4</v>
      </c>
      <c r="M87" s="85">
        <v>222</v>
      </c>
      <c r="N87" s="85">
        <v>179.5</v>
      </c>
      <c r="O87" s="85">
        <v>181.05</v>
      </c>
      <c r="P87" s="85">
        <v>161</v>
      </c>
      <c r="Q87" s="85">
        <v>170.59610000000004</v>
      </c>
    </row>
    <row r="88" spans="1:17" hidden="1" x14ac:dyDescent="0.3">
      <c r="A88" s="94" t="str">
        <f>CONCATENATE(ota_rns[[#This Row],[채널]],ota_rns[[#This Row],[구분2]],ota_rns[[#This Row],[사업장]])</f>
        <v>OTAREV16</v>
      </c>
      <c r="B88" s="79" t="s">
        <v>66</v>
      </c>
      <c r="C88" s="79" t="s">
        <v>69</v>
      </c>
      <c r="D88" s="82" t="s">
        <v>55</v>
      </c>
      <c r="E88" s="84">
        <v>3493.7079800000001</v>
      </c>
      <c r="F88" s="85">
        <v>274.38</v>
      </c>
      <c r="G88" s="85">
        <v>255.75</v>
      </c>
      <c r="H88" s="85">
        <v>198</v>
      </c>
      <c r="I88" s="85">
        <v>197.5</v>
      </c>
      <c r="J88" s="85">
        <v>231.4</v>
      </c>
      <c r="K88" s="85">
        <v>247.5</v>
      </c>
      <c r="L88" s="85">
        <v>438.68</v>
      </c>
      <c r="M88" s="85">
        <v>577.20000000000005</v>
      </c>
      <c r="N88" s="85">
        <v>269.25</v>
      </c>
      <c r="O88" s="85">
        <v>271.57499999999999</v>
      </c>
      <c r="P88" s="85">
        <v>225.4</v>
      </c>
      <c r="Q88" s="85">
        <v>307.07298000000003</v>
      </c>
    </row>
    <row r="89" spans="1:17" hidden="1" x14ac:dyDescent="0.3">
      <c r="A89" s="78" t="str">
        <f>CONCATENATE(ota_rns[[#This Row],[채널]],ota_rns[[#This Row],[구분2]],ota_rns[[#This Row],[사업장]])</f>
        <v>GOTARNS16</v>
      </c>
      <c r="B89" s="79" t="s">
        <v>195</v>
      </c>
      <c r="C89" s="79" t="s">
        <v>191</v>
      </c>
      <c r="D89" s="82" t="s">
        <v>55</v>
      </c>
      <c r="E89" s="88">
        <v>14250</v>
      </c>
      <c r="F89" s="90">
        <v>1500</v>
      </c>
      <c r="G89" s="90">
        <v>1200</v>
      </c>
      <c r="H89" s="90">
        <v>850</v>
      </c>
      <c r="I89" s="90">
        <v>1200</v>
      </c>
      <c r="J89" s="90">
        <v>1300</v>
      </c>
      <c r="K89" s="90">
        <v>1200</v>
      </c>
      <c r="L89" s="90">
        <v>1600</v>
      </c>
      <c r="M89" s="90">
        <v>1450</v>
      </c>
      <c r="N89" s="90">
        <v>1000</v>
      </c>
      <c r="O89" s="90">
        <v>950</v>
      </c>
      <c r="P89" s="90">
        <v>950</v>
      </c>
      <c r="Q89" s="90">
        <v>1050</v>
      </c>
    </row>
    <row r="90" spans="1:17" hidden="1" x14ac:dyDescent="0.3">
      <c r="A90" s="78" t="str">
        <f>CONCATENATE(ota_rns[[#This Row],[채널]],ota_rns[[#This Row],[구분2]],ota_rns[[#This Row],[사업장]])</f>
        <v>GOTAADR16</v>
      </c>
      <c r="B90" s="79" t="s">
        <v>195</v>
      </c>
      <c r="C90" s="79" t="s">
        <v>192</v>
      </c>
      <c r="D90" s="82" t="s">
        <v>55</v>
      </c>
      <c r="E90" s="88">
        <v>165.68771929824561</v>
      </c>
      <c r="F90" s="90">
        <v>149.4</v>
      </c>
      <c r="G90" s="90">
        <v>148</v>
      </c>
      <c r="H90" s="90">
        <v>160</v>
      </c>
      <c r="I90" s="90">
        <v>149</v>
      </c>
      <c r="J90" s="90">
        <v>179</v>
      </c>
      <c r="K90" s="90">
        <v>150</v>
      </c>
      <c r="L90" s="90">
        <v>187</v>
      </c>
      <c r="M90" s="90">
        <v>207</v>
      </c>
      <c r="N90" s="90">
        <v>168</v>
      </c>
      <c r="O90" s="90">
        <v>166</v>
      </c>
      <c r="P90" s="90">
        <v>145</v>
      </c>
      <c r="Q90" s="90">
        <v>161</v>
      </c>
    </row>
    <row r="91" spans="1:17" hidden="1" x14ac:dyDescent="0.3">
      <c r="A91" s="78" t="str">
        <f>CONCATENATE(ota_rns[[#This Row],[채널]],ota_rns[[#This Row],[구분2]],ota_rns[[#This Row],[사업장]])</f>
        <v>GOTAREV16</v>
      </c>
      <c r="B91" s="79" t="s">
        <v>195</v>
      </c>
      <c r="C91" s="79" t="s">
        <v>193</v>
      </c>
      <c r="D91" s="82" t="s">
        <v>55</v>
      </c>
      <c r="E91" s="88">
        <v>2361.0500000000002</v>
      </c>
      <c r="F91" s="90">
        <v>224.1</v>
      </c>
      <c r="G91" s="90">
        <v>177.6</v>
      </c>
      <c r="H91" s="90">
        <v>136</v>
      </c>
      <c r="I91" s="90">
        <v>178.8</v>
      </c>
      <c r="J91" s="90">
        <v>232.7</v>
      </c>
      <c r="K91" s="90">
        <v>180</v>
      </c>
      <c r="L91" s="90">
        <v>299.2</v>
      </c>
      <c r="M91" s="90">
        <v>300.14999999999998</v>
      </c>
      <c r="N91" s="90">
        <v>168</v>
      </c>
      <c r="O91" s="90">
        <v>157.69999999999999</v>
      </c>
      <c r="P91" s="90">
        <v>137.75</v>
      </c>
      <c r="Q91" s="90">
        <v>169.05</v>
      </c>
    </row>
    <row r="92" spans="1:17" hidden="1" x14ac:dyDescent="0.3">
      <c r="A92" s="78" t="str">
        <f>CONCATENATE(ota_rns[[#This Row],[채널]],ota_rns[[#This Row],[구분2]],ota_rns[[#This Row],[사업장]])</f>
        <v>INBOUNDRNS16</v>
      </c>
      <c r="B92" s="79" t="s">
        <v>238</v>
      </c>
      <c r="C92" s="79" t="s">
        <v>213</v>
      </c>
      <c r="D92" s="82" t="s">
        <v>55</v>
      </c>
      <c r="E92" s="88">
        <v>200</v>
      </c>
      <c r="F92" s="90">
        <v>0</v>
      </c>
      <c r="G92" s="90">
        <v>0</v>
      </c>
      <c r="H92" s="90">
        <v>0</v>
      </c>
      <c r="I92" s="90">
        <v>50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50</v>
      </c>
      <c r="P92" s="90">
        <v>100</v>
      </c>
      <c r="Q92" s="90">
        <v>0</v>
      </c>
    </row>
    <row r="93" spans="1:17" hidden="1" x14ac:dyDescent="0.3">
      <c r="A93" s="78" t="str">
        <f>CONCATENATE(ota_rns[[#This Row],[채널]],ota_rns[[#This Row],[구분2]],ota_rns[[#This Row],[사업장]])</f>
        <v>INBOUNDADR16</v>
      </c>
      <c r="B93" s="79" t="s">
        <v>238</v>
      </c>
      <c r="C93" s="79" t="s">
        <v>192</v>
      </c>
      <c r="D93" s="82" t="s">
        <v>55</v>
      </c>
      <c r="E93" s="88">
        <v>60</v>
      </c>
      <c r="F93" s="88">
        <v>0</v>
      </c>
      <c r="G93" s="88">
        <v>0</v>
      </c>
      <c r="H93" s="88">
        <v>0</v>
      </c>
      <c r="I93" s="88">
        <v>80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90">
        <v>80</v>
      </c>
      <c r="P93" s="90">
        <v>80</v>
      </c>
      <c r="Q93" s="90" t="s">
        <v>233</v>
      </c>
    </row>
    <row r="94" spans="1:17" hidden="1" x14ac:dyDescent="0.3">
      <c r="A94" s="78" t="str">
        <f>CONCATENATE(ota_rns[[#This Row],[채널]],ota_rns[[#This Row],[구분2]],ota_rns[[#This Row],[사업장]])</f>
        <v>INBOUNDREV16</v>
      </c>
      <c r="B94" s="79" t="s">
        <v>238</v>
      </c>
      <c r="C94" s="79" t="s">
        <v>193</v>
      </c>
      <c r="D94" s="82" t="s">
        <v>55</v>
      </c>
      <c r="E94" s="88">
        <v>12</v>
      </c>
      <c r="F94" s="90">
        <v>0</v>
      </c>
      <c r="G94" s="90">
        <v>0</v>
      </c>
      <c r="H94" s="90">
        <v>0</v>
      </c>
      <c r="I94" s="90">
        <v>1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4</v>
      </c>
      <c r="P94" s="90">
        <v>8</v>
      </c>
      <c r="Q94" s="90">
        <v>0</v>
      </c>
    </row>
    <row r="95" spans="1:17" hidden="1" x14ac:dyDescent="0.3">
      <c r="A95" s="94" t="str">
        <f>CONCATENATE(ota_rns[[#This Row],[채널]],ota_rns[[#This Row],[구분2]],ota_rns[[#This Row],[사업장]])</f>
        <v>OTARNS19</v>
      </c>
      <c r="B95" s="95" t="s">
        <v>66</v>
      </c>
      <c r="C95" s="95" t="s">
        <v>213</v>
      </c>
      <c r="D95" s="74" t="s">
        <v>218</v>
      </c>
      <c r="E95" s="106">
        <v>16100</v>
      </c>
      <c r="F95" s="114">
        <v>1450</v>
      </c>
      <c r="G95" s="114">
        <v>1500</v>
      </c>
      <c r="H95" s="114">
        <v>550</v>
      </c>
      <c r="I95" s="114">
        <v>870</v>
      </c>
      <c r="J95" s="114">
        <v>1000</v>
      </c>
      <c r="K95" s="114">
        <v>1300</v>
      </c>
      <c r="L95" s="114">
        <v>2080</v>
      </c>
      <c r="M95" s="114">
        <v>2400</v>
      </c>
      <c r="N95" s="114">
        <v>950</v>
      </c>
      <c r="O95" s="114">
        <v>1300</v>
      </c>
      <c r="P95" s="114">
        <v>900</v>
      </c>
      <c r="Q95" s="114">
        <v>1800</v>
      </c>
    </row>
    <row r="96" spans="1:17" hidden="1" x14ac:dyDescent="0.3">
      <c r="A96" s="94" t="str">
        <f>CONCATENATE(ota_rns[[#This Row],[채널]],ota_rns[[#This Row],[구분2]],ota_rns[[#This Row],[사업장]])</f>
        <v>OTAADR19</v>
      </c>
      <c r="B96" s="79" t="s">
        <v>66</v>
      </c>
      <c r="C96" s="79" t="s">
        <v>68</v>
      </c>
      <c r="D96" s="83" t="s">
        <v>218</v>
      </c>
      <c r="E96" s="84">
        <v>311.91595900621115</v>
      </c>
      <c r="F96" s="85">
        <v>375</v>
      </c>
      <c r="G96" s="85">
        <v>290</v>
      </c>
      <c r="H96" s="85">
        <v>313</v>
      </c>
      <c r="I96" s="85">
        <v>244.34599999999998</v>
      </c>
      <c r="J96" s="85">
        <v>281</v>
      </c>
      <c r="K96" s="85">
        <v>267</v>
      </c>
      <c r="L96" s="85">
        <v>332.72399999999999</v>
      </c>
      <c r="M96" s="85">
        <v>347</v>
      </c>
      <c r="N96" s="85">
        <v>280</v>
      </c>
      <c r="O96" s="85">
        <v>367</v>
      </c>
      <c r="P96" s="85">
        <v>265</v>
      </c>
      <c r="Q96" s="85">
        <v>291</v>
      </c>
    </row>
    <row r="97" spans="1:17" hidden="1" x14ac:dyDescent="0.3">
      <c r="A97" s="94" t="str">
        <f>CONCATENATE(ota_rns[[#This Row],[채널]],ota_rns[[#This Row],[구분2]],ota_rns[[#This Row],[사업장]])</f>
        <v>OTAREV19</v>
      </c>
      <c r="B97" s="79" t="s">
        <v>66</v>
      </c>
      <c r="C97" s="79" t="s">
        <v>69</v>
      </c>
      <c r="D97" s="83" t="s">
        <v>218</v>
      </c>
      <c r="E97" s="84">
        <v>5021.8469399999994</v>
      </c>
      <c r="F97" s="85">
        <v>543.75</v>
      </c>
      <c r="G97" s="85">
        <v>435</v>
      </c>
      <c r="H97" s="85">
        <v>172.15</v>
      </c>
      <c r="I97" s="85">
        <v>212.58102</v>
      </c>
      <c r="J97" s="85">
        <v>281</v>
      </c>
      <c r="K97" s="85">
        <v>347.1</v>
      </c>
      <c r="L97" s="85">
        <v>692.06591999999989</v>
      </c>
      <c r="M97" s="85">
        <v>832.8</v>
      </c>
      <c r="N97" s="85">
        <v>266</v>
      </c>
      <c r="O97" s="85">
        <v>477.1</v>
      </c>
      <c r="P97" s="85">
        <v>238.5</v>
      </c>
      <c r="Q97" s="85">
        <v>523.79999999999995</v>
      </c>
    </row>
    <row r="98" spans="1:17" hidden="1" x14ac:dyDescent="0.3">
      <c r="A98" s="78" t="str">
        <f>CONCATENATE(ota_rns[[#This Row],[채널]],ota_rns[[#This Row],[구분2]],ota_rns[[#This Row],[사업장]])</f>
        <v>GOTARNS19</v>
      </c>
      <c r="B98" s="79" t="s">
        <v>195</v>
      </c>
      <c r="C98" s="79" t="s">
        <v>191</v>
      </c>
      <c r="D98" s="83" t="s">
        <v>218</v>
      </c>
      <c r="E98" s="88">
        <v>11280</v>
      </c>
      <c r="F98" s="90">
        <v>1300</v>
      </c>
      <c r="G98" s="90">
        <v>1400</v>
      </c>
      <c r="H98" s="90">
        <v>400</v>
      </c>
      <c r="I98" s="90">
        <v>360</v>
      </c>
      <c r="J98" s="90">
        <v>800</v>
      </c>
      <c r="K98" s="90">
        <v>600</v>
      </c>
      <c r="L98" s="90">
        <v>1420</v>
      </c>
      <c r="M98" s="90">
        <v>1600</v>
      </c>
      <c r="N98" s="90">
        <v>700</v>
      </c>
      <c r="O98" s="90">
        <v>900</v>
      </c>
      <c r="P98" s="90">
        <v>500</v>
      </c>
      <c r="Q98" s="90">
        <v>1300</v>
      </c>
    </row>
    <row r="99" spans="1:17" hidden="1" x14ac:dyDescent="0.3">
      <c r="A99" s="78" t="str">
        <f>CONCATENATE(ota_rns[[#This Row],[채널]],ota_rns[[#This Row],[구분2]],ota_rns[[#This Row],[사업장]])</f>
        <v>GOTAADR19</v>
      </c>
      <c r="B99" s="79" t="s">
        <v>195</v>
      </c>
      <c r="C99" s="79" t="s">
        <v>192</v>
      </c>
      <c r="D99" s="83" t="s">
        <v>218</v>
      </c>
      <c r="E99" s="88">
        <v>320.32367198581562</v>
      </c>
      <c r="F99" s="90">
        <v>370</v>
      </c>
      <c r="G99" s="90">
        <v>290</v>
      </c>
      <c r="H99" s="90">
        <v>339</v>
      </c>
      <c r="I99" s="90">
        <v>258.60599999999999</v>
      </c>
      <c r="J99" s="90">
        <v>300</v>
      </c>
      <c r="K99" s="90">
        <v>290</v>
      </c>
      <c r="L99" s="90">
        <v>359.33300000000003</v>
      </c>
      <c r="M99" s="90">
        <v>344</v>
      </c>
      <c r="N99" s="90">
        <v>284</v>
      </c>
      <c r="O99" s="90">
        <v>361</v>
      </c>
      <c r="P99" s="90">
        <v>260</v>
      </c>
      <c r="Q99" s="90">
        <v>284</v>
      </c>
    </row>
    <row r="100" spans="1:17" hidden="1" x14ac:dyDescent="0.3">
      <c r="A100" s="78" t="str">
        <f>CONCATENATE(ota_rns[[#This Row],[채널]],ota_rns[[#This Row],[구분2]],ota_rns[[#This Row],[사업장]])</f>
        <v>GOTAREV19</v>
      </c>
      <c r="B100" s="79" t="s">
        <v>195</v>
      </c>
      <c r="C100" s="79" t="s">
        <v>193</v>
      </c>
      <c r="D100" s="81" t="s">
        <v>218</v>
      </c>
      <c r="E100" s="88">
        <v>3613.2510200000002</v>
      </c>
      <c r="F100" s="90">
        <v>481</v>
      </c>
      <c r="G100" s="90">
        <v>406</v>
      </c>
      <c r="H100" s="90">
        <v>135.6</v>
      </c>
      <c r="I100" s="90">
        <v>93.098160000000007</v>
      </c>
      <c r="J100" s="90">
        <v>240</v>
      </c>
      <c r="K100" s="90">
        <v>174</v>
      </c>
      <c r="L100" s="90">
        <v>510.25286000000006</v>
      </c>
      <c r="M100" s="90">
        <v>550.4</v>
      </c>
      <c r="N100" s="90">
        <v>198.8</v>
      </c>
      <c r="O100" s="90">
        <v>324.89999999999998</v>
      </c>
      <c r="P100" s="90">
        <v>130</v>
      </c>
      <c r="Q100" s="90">
        <v>369.2</v>
      </c>
    </row>
    <row r="101" spans="1:17" hidden="1" x14ac:dyDescent="0.3">
      <c r="A101" s="72" t="str">
        <f>CONCATENATE(ota_rns[[#This Row],[채널]],ota_rns[[#This Row],[구분2]],ota_rns[[#This Row],[사업장]])</f>
        <v>INBOUNDRNS19</v>
      </c>
      <c r="B101" s="76" t="s">
        <v>238</v>
      </c>
      <c r="C101" s="76" t="s">
        <v>213</v>
      </c>
      <c r="D101" s="83" t="s">
        <v>218</v>
      </c>
      <c r="E101" s="87">
        <v>0</v>
      </c>
      <c r="F101" s="87">
        <v>0</v>
      </c>
      <c r="G101" s="87">
        <v>0</v>
      </c>
      <c r="H101" s="87">
        <v>0</v>
      </c>
      <c r="I101" s="87">
        <v>0</v>
      </c>
      <c r="J101" s="87">
        <v>0</v>
      </c>
      <c r="K101" s="87">
        <v>0</v>
      </c>
      <c r="L101" s="87">
        <v>0</v>
      </c>
      <c r="M101" s="87">
        <v>0</v>
      </c>
      <c r="N101" s="87">
        <v>0</v>
      </c>
      <c r="O101" s="87">
        <v>0</v>
      </c>
      <c r="P101" s="87">
        <v>0</v>
      </c>
      <c r="Q101" s="87">
        <v>0</v>
      </c>
    </row>
    <row r="102" spans="1:17" hidden="1" x14ac:dyDescent="0.3">
      <c r="A102" s="78" t="str">
        <f>CONCATENATE(ota_rns[[#This Row],[채널]],ota_rns[[#This Row],[구분2]],ota_rns[[#This Row],[사업장]])</f>
        <v>INBOUNDADR19</v>
      </c>
      <c r="B102" s="79" t="s">
        <v>238</v>
      </c>
      <c r="C102" s="79" t="s">
        <v>192</v>
      </c>
      <c r="D102" s="83" t="s">
        <v>218</v>
      </c>
      <c r="E102" s="87">
        <v>0</v>
      </c>
      <c r="F102" s="87">
        <v>0</v>
      </c>
      <c r="G102" s="87">
        <v>0</v>
      </c>
      <c r="H102" s="87">
        <v>0</v>
      </c>
      <c r="I102" s="87">
        <v>0</v>
      </c>
      <c r="J102" s="87">
        <v>0</v>
      </c>
      <c r="K102" s="87">
        <v>0</v>
      </c>
      <c r="L102" s="87">
        <v>0</v>
      </c>
      <c r="M102" s="87">
        <v>0</v>
      </c>
      <c r="N102" s="87">
        <v>0</v>
      </c>
      <c r="O102" s="87">
        <v>0</v>
      </c>
      <c r="P102" s="87">
        <v>0</v>
      </c>
      <c r="Q102" s="87">
        <v>0</v>
      </c>
    </row>
    <row r="103" spans="1:17" hidden="1" x14ac:dyDescent="0.3">
      <c r="A103" s="78" t="str">
        <f>CONCATENATE(ota_rns[[#This Row],[채널]],ota_rns[[#This Row],[구분2]],ota_rns[[#This Row],[사업장]])</f>
        <v>INBOUNDREV19</v>
      </c>
      <c r="B103" s="79" t="s">
        <v>238</v>
      </c>
      <c r="C103" s="79" t="s">
        <v>193</v>
      </c>
      <c r="D103" s="83" t="s">
        <v>218</v>
      </c>
      <c r="E103" s="88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</row>
    <row r="104" spans="1:17" hidden="1" x14ac:dyDescent="0.3">
      <c r="A104" s="94" t="str">
        <f>CONCATENATE(ota_rns[[#This Row],[채널]],ota_rns[[#This Row],[구분2]],ota_rns[[#This Row],[사업장]])</f>
        <v>OTARNS22</v>
      </c>
      <c r="B104" s="94" t="s">
        <v>66</v>
      </c>
      <c r="C104" s="94" t="s">
        <v>213</v>
      </c>
      <c r="D104" s="73" t="s">
        <v>57</v>
      </c>
      <c r="E104" s="109">
        <v>8580</v>
      </c>
      <c r="F104" s="117">
        <v>800</v>
      </c>
      <c r="G104" s="117">
        <v>850</v>
      </c>
      <c r="H104" s="117">
        <v>700</v>
      </c>
      <c r="I104" s="117">
        <v>650</v>
      </c>
      <c r="J104" s="117">
        <v>600</v>
      </c>
      <c r="K104" s="117">
        <v>600</v>
      </c>
      <c r="L104" s="117">
        <v>550</v>
      </c>
      <c r="M104" s="117">
        <v>750</v>
      </c>
      <c r="N104" s="117">
        <v>500</v>
      </c>
      <c r="O104" s="117">
        <v>800</v>
      </c>
      <c r="P104" s="117">
        <v>880</v>
      </c>
      <c r="Q104" s="117">
        <v>900</v>
      </c>
    </row>
    <row r="105" spans="1:17" hidden="1" x14ac:dyDescent="0.3">
      <c r="A105" s="94" t="str">
        <f>CONCATENATE(ota_rns[[#This Row],[채널]],ota_rns[[#This Row],[구분2]],ota_rns[[#This Row],[사업장]])</f>
        <v>OTAADR22</v>
      </c>
      <c r="B105" s="79" t="s">
        <v>66</v>
      </c>
      <c r="C105" s="79" t="s">
        <v>68</v>
      </c>
      <c r="D105" s="82" t="s">
        <v>57</v>
      </c>
      <c r="E105" s="84">
        <v>275.78729603729602</v>
      </c>
      <c r="F105" s="85">
        <v>281</v>
      </c>
      <c r="G105" s="85">
        <v>262.5</v>
      </c>
      <c r="H105" s="85">
        <v>271</v>
      </c>
      <c r="I105" s="85">
        <v>261</v>
      </c>
      <c r="J105" s="85">
        <v>300</v>
      </c>
      <c r="K105" s="85">
        <v>273</v>
      </c>
      <c r="L105" s="85">
        <v>321</v>
      </c>
      <c r="M105" s="85">
        <v>333</v>
      </c>
      <c r="N105" s="85">
        <v>266</v>
      </c>
      <c r="O105" s="85">
        <v>271.3</v>
      </c>
      <c r="P105" s="85">
        <v>243</v>
      </c>
      <c r="Q105" s="85">
        <v>250</v>
      </c>
    </row>
    <row r="106" spans="1:17" hidden="1" x14ac:dyDescent="0.3">
      <c r="A106" s="94" t="str">
        <f>CONCATENATE(ota_rns[[#This Row],[채널]],ota_rns[[#This Row],[구분2]],ota_rns[[#This Row],[사업장]])</f>
        <v>OTAREV22</v>
      </c>
      <c r="B106" s="79" t="s">
        <v>66</v>
      </c>
      <c r="C106" s="79" t="s">
        <v>69</v>
      </c>
      <c r="D106" s="82" t="s">
        <v>57</v>
      </c>
      <c r="E106" s="84">
        <v>2366.2550000000001</v>
      </c>
      <c r="F106" s="85">
        <v>224.8</v>
      </c>
      <c r="G106" s="85">
        <v>223.125</v>
      </c>
      <c r="H106" s="85">
        <v>189.7</v>
      </c>
      <c r="I106" s="85">
        <v>169.65</v>
      </c>
      <c r="J106" s="85">
        <v>180</v>
      </c>
      <c r="K106" s="85">
        <v>163.80000000000001</v>
      </c>
      <c r="L106" s="85">
        <v>176.55</v>
      </c>
      <c r="M106" s="85">
        <v>249.75</v>
      </c>
      <c r="N106" s="85">
        <v>133</v>
      </c>
      <c r="O106" s="85">
        <v>217.04</v>
      </c>
      <c r="P106" s="85">
        <v>213.84</v>
      </c>
      <c r="Q106" s="85">
        <v>225</v>
      </c>
    </row>
    <row r="107" spans="1:17" hidden="1" x14ac:dyDescent="0.3">
      <c r="A107" s="78" t="str">
        <f>CONCATENATE(ota_rns[[#This Row],[채널]],ota_rns[[#This Row],[구분2]],ota_rns[[#This Row],[사업장]])</f>
        <v>GOTARNS22</v>
      </c>
      <c r="B107" s="79" t="s">
        <v>195</v>
      </c>
      <c r="C107" s="79" t="s">
        <v>191</v>
      </c>
      <c r="D107" s="82" t="s">
        <v>57</v>
      </c>
      <c r="E107" s="88">
        <v>9900</v>
      </c>
      <c r="F107" s="90">
        <v>900</v>
      </c>
      <c r="G107" s="90">
        <v>850</v>
      </c>
      <c r="H107" s="90">
        <v>750</v>
      </c>
      <c r="I107" s="90">
        <v>900</v>
      </c>
      <c r="J107" s="90">
        <v>700</v>
      </c>
      <c r="K107" s="90">
        <v>600</v>
      </c>
      <c r="L107" s="90">
        <v>800</v>
      </c>
      <c r="M107" s="90">
        <v>1000</v>
      </c>
      <c r="N107" s="90">
        <v>700</v>
      </c>
      <c r="O107" s="90">
        <v>900</v>
      </c>
      <c r="P107" s="90">
        <v>900</v>
      </c>
      <c r="Q107" s="90">
        <v>900</v>
      </c>
    </row>
    <row r="108" spans="1:17" hidden="1" x14ac:dyDescent="0.3">
      <c r="A108" s="78" t="str">
        <f>CONCATENATE(ota_rns[[#This Row],[채널]],ota_rns[[#This Row],[구분2]],ota_rns[[#This Row],[사업장]])</f>
        <v>GOTAADR22</v>
      </c>
      <c r="B108" s="79" t="s">
        <v>195</v>
      </c>
      <c r="C108" s="79" t="s">
        <v>192</v>
      </c>
      <c r="D108" s="82" t="s">
        <v>57</v>
      </c>
      <c r="E108" s="88">
        <v>268.45252525252528</v>
      </c>
      <c r="F108" s="90">
        <v>267</v>
      </c>
      <c r="G108" s="90">
        <v>240</v>
      </c>
      <c r="H108" s="90">
        <v>243</v>
      </c>
      <c r="I108" s="90">
        <v>243.5</v>
      </c>
      <c r="J108" s="90">
        <v>295.39999999999998</v>
      </c>
      <c r="K108" s="90">
        <v>266</v>
      </c>
      <c r="L108" s="90">
        <v>323</v>
      </c>
      <c r="M108" s="90">
        <v>333</v>
      </c>
      <c r="N108" s="90">
        <v>256</v>
      </c>
      <c r="O108" s="90">
        <v>262</v>
      </c>
      <c r="P108" s="90">
        <v>242</v>
      </c>
      <c r="Q108" s="90">
        <v>246</v>
      </c>
    </row>
    <row r="109" spans="1:17" hidden="1" x14ac:dyDescent="0.3">
      <c r="A109" s="78" t="str">
        <f>CONCATENATE(ota_rns[[#This Row],[채널]],ota_rns[[#This Row],[구분2]],ota_rns[[#This Row],[사업장]])</f>
        <v>GOTAREV22</v>
      </c>
      <c r="B109" s="79" t="s">
        <v>195</v>
      </c>
      <c r="C109" s="79" t="s">
        <v>193</v>
      </c>
      <c r="D109" s="82" t="s">
        <v>57</v>
      </c>
      <c r="E109" s="88">
        <v>2657.68</v>
      </c>
      <c r="F109" s="90">
        <v>240.3</v>
      </c>
      <c r="G109" s="90">
        <v>204</v>
      </c>
      <c r="H109" s="90">
        <v>182.25</v>
      </c>
      <c r="I109" s="90">
        <v>219.15</v>
      </c>
      <c r="J109" s="90">
        <v>206.77999999999997</v>
      </c>
      <c r="K109" s="90">
        <v>159.6</v>
      </c>
      <c r="L109" s="90">
        <v>258.39999999999998</v>
      </c>
      <c r="M109" s="90">
        <v>333</v>
      </c>
      <c r="N109" s="90">
        <v>179.2</v>
      </c>
      <c r="O109" s="90">
        <v>235.8</v>
      </c>
      <c r="P109" s="90">
        <v>217.8</v>
      </c>
      <c r="Q109" s="90">
        <v>221.4</v>
      </c>
    </row>
    <row r="110" spans="1:17" hidden="1" x14ac:dyDescent="0.3">
      <c r="A110" s="78" t="str">
        <f>CONCATENATE(ota_rns[[#This Row],[채널]],ota_rns[[#This Row],[구분2]],ota_rns[[#This Row],[사업장]])</f>
        <v>INBOUNDRNS22</v>
      </c>
      <c r="B110" s="79" t="s">
        <v>238</v>
      </c>
      <c r="C110" s="79" t="s">
        <v>213</v>
      </c>
      <c r="D110" s="82" t="s">
        <v>57</v>
      </c>
      <c r="E110" s="88">
        <v>1200</v>
      </c>
      <c r="F110" s="90">
        <v>0</v>
      </c>
      <c r="G110" s="90">
        <v>0</v>
      </c>
      <c r="H110" s="90">
        <v>200</v>
      </c>
      <c r="I110" s="90">
        <v>200</v>
      </c>
      <c r="J110" s="90">
        <v>150</v>
      </c>
      <c r="K110" s="90">
        <v>150</v>
      </c>
      <c r="L110" s="90">
        <v>0</v>
      </c>
      <c r="M110" s="90">
        <v>0</v>
      </c>
      <c r="N110" s="90">
        <v>190</v>
      </c>
      <c r="O110" s="90">
        <v>150</v>
      </c>
      <c r="P110" s="90">
        <v>160</v>
      </c>
      <c r="Q110" s="90">
        <v>0</v>
      </c>
    </row>
    <row r="111" spans="1:17" hidden="1" x14ac:dyDescent="0.3">
      <c r="A111" s="78" t="str">
        <f>CONCATENATE(ota_rns[[#This Row],[채널]],ota_rns[[#This Row],[구분2]],ota_rns[[#This Row],[사업장]])</f>
        <v>INBOUNDADR22</v>
      </c>
      <c r="B111" s="79" t="s">
        <v>238</v>
      </c>
      <c r="C111" s="79" t="s">
        <v>192</v>
      </c>
      <c r="D111" s="82" t="s">
        <v>57</v>
      </c>
      <c r="E111" s="88">
        <v>155.75</v>
      </c>
      <c r="F111" s="87">
        <v>0</v>
      </c>
      <c r="G111" s="87">
        <v>0</v>
      </c>
      <c r="H111" s="90">
        <v>147</v>
      </c>
      <c r="I111" s="90">
        <v>149</v>
      </c>
      <c r="J111" s="90">
        <v>151</v>
      </c>
      <c r="K111" s="90">
        <v>157</v>
      </c>
      <c r="L111" s="87">
        <v>0</v>
      </c>
      <c r="M111" s="87">
        <v>0</v>
      </c>
      <c r="N111" s="90">
        <v>145</v>
      </c>
      <c r="O111" s="90">
        <v>189</v>
      </c>
      <c r="P111" s="90">
        <v>160</v>
      </c>
      <c r="Q111" s="87">
        <v>0</v>
      </c>
    </row>
    <row r="112" spans="1:17" hidden="1" x14ac:dyDescent="0.3">
      <c r="A112" s="78" t="str">
        <f>CONCATENATE(ota_rns[[#This Row],[채널]],ota_rns[[#This Row],[구분2]],ota_rns[[#This Row],[사업장]])</f>
        <v>INBOUNDREV22</v>
      </c>
      <c r="B112" s="79" t="s">
        <v>238</v>
      </c>
      <c r="C112" s="79" t="s">
        <v>193</v>
      </c>
      <c r="D112" s="82" t="s">
        <v>57</v>
      </c>
      <c r="E112" s="88">
        <v>186.9</v>
      </c>
      <c r="F112" s="90">
        <v>0</v>
      </c>
      <c r="G112" s="90">
        <v>0</v>
      </c>
      <c r="H112" s="90">
        <v>29.4</v>
      </c>
      <c r="I112" s="90">
        <v>29.8</v>
      </c>
      <c r="J112" s="90">
        <v>22.65</v>
      </c>
      <c r="K112" s="90">
        <v>23.55</v>
      </c>
      <c r="L112" s="90">
        <v>0</v>
      </c>
      <c r="M112" s="90">
        <v>0</v>
      </c>
      <c r="N112" s="90">
        <v>27.55</v>
      </c>
      <c r="O112" s="90">
        <v>28.35</v>
      </c>
      <c r="P112" s="90">
        <v>25.6</v>
      </c>
      <c r="Q112" s="90">
        <v>0</v>
      </c>
    </row>
    <row r="113" spans="1:17" hidden="1" x14ac:dyDescent="0.3">
      <c r="A113" s="94" t="str">
        <f>CONCATENATE(ota_rns[[#This Row],[채널]],ota_rns[[#This Row],[구분2]],ota_rns[[#This Row],[사업장]])</f>
        <v>OTARNS24</v>
      </c>
      <c r="B113" s="95" t="s">
        <v>66</v>
      </c>
      <c r="C113" s="95" t="s">
        <v>213</v>
      </c>
      <c r="D113" s="74" t="s">
        <v>56</v>
      </c>
      <c r="E113" s="106">
        <v>19700</v>
      </c>
      <c r="F113" s="114">
        <v>1900</v>
      </c>
      <c r="G113" s="114">
        <v>2000</v>
      </c>
      <c r="H113" s="114">
        <v>1200</v>
      </c>
      <c r="I113" s="114">
        <v>1500</v>
      </c>
      <c r="J113" s="114">
        <v>1500</v>
      </c>
      <c r="K113" s="114">
        <v>1700</v>
      </c>
      <c r="L113" s="114">
        <v>2200</v>
      </c>
      <c r="M113" s="114">
        <v>2400</v>
      </c>
      <c r="N113" s="114">
        <v>1300</v>
      </c>
      <c r="O113" s="114">
        <v>1300</v>
      </c>
      <c r="P113" s="114">
        <v>1100</v>
      </c>
      <c r="Q113" s="114">
        <v>1600</v>
      </c>
    </row>
    <row r="114" spans="1:17" hidden="1" x14ac:dyDescent="0.3">
      <c r="A114" s="94" t="str">
        <f>CONCATENATE(ota_rns[[#This Row],[채널]],ota_rns[[#This Row],[구분2]],ota_rns[[#This Row],[사업장]])</f>
        <v>OTAADR24</v>
      </c>
      <c r="B114" s="79" t="s">
        <v>66</v>
      </c>
      <c r="C114" s="79" t="s">
        <v>68</v>
      </c>
      <c r="D114" s="83" t="s">
        <v>56</v>
      </c>
      <c r="E114" s="84">
        <v>230.77055837563452</v>
      </c>
      <c r="F114" s="85">
        <v>215</v>
      </c>
      <c r="G114" s="85">
        <v>191</v>
      </c>
      <c r="H114" s="85">
        <v>224.4</v>
      </c>
      <c r="I114" s="85">
        <v>208</v>
      </c>
      <c r="J114" s="85">
        <v>242</v>
      </c>
      <c r="K114" s="85">
        <v>215</v>
      </c>
      <c r="L114" s="85">
        <v>257</v>
      </c>
      <c r="M114" s="85">
        <v>285</v>
      </c>
      <c r="N114" s="85">
        <v>235</v>
      </c>
      <c r="O114" s="85">
        <v>226</v>
      </c>
      <c r="P114" s="85">
        <v>220</v>
      </c>
      <c r="Q114" s="85">
        <v>222</v>
      </c>
    </row>
    <row r="115" spans="1:17" hidden="1" x14ac:dyDescent="0.3">
      <c r="A115" s="94" t="str">
        <f>CONCATENATE(ota_rns[[#This Row],[채널]],ota_rns[[#This Row],[구분2]],ota_rns[[#This Row],[사업장]])</f>
        <v>OTAREV24</v>
      </c>
      <c r="B115" s="79" t="s">
        <v>66</v>
      </c>
      <c r="C115" s="79" t="s">
        <v>69</v>
      </c>
      <c r="D115" s="83" t="s">
        <v>56</v>
      </c>
      <c r="E115" s="84">
        <v>4546.18</v>
      </c>
      <c r="F115" s="85">
        <v>408.5</v>
      </c>
      <c r="G115" s="85">
        <v>382</v>
      </c>
      <c r="H115" s="85">
        <v>269.27999999999997</v>
      </c>
      <c r="I115" s="85">
        <v>312</v>
      </c>
      <c r="J115" s="85">
        <v>363</v>
      </c>
      <c r="K115" s="85">
        <v>365.5</v>
      </c>
      <c r="L115" s="85">
        <v>565.4</v>
      </c>
      <c r="M115" s="85">
        <v>684</v>
      </c>
      <c r="N115" s="85">
        <v>305.5</v>
      </c>
      <c r="O115" s="85">
        <v>293.8</v>
      </c>
      <c r="P115" s="85">
        <v>242</v>
      </c>
      <c r="Q115" s="85">
        <v>355.2</v>
      </c>
    </row>
    <row r="116" spans="1:17" hidden="1" x14ac:dyDescent="0.3">
      <c r="A116" s="78" t="str">
        <f>CONCATENATE(ota_rns[[#This Row],[채널]],ota_rns[[#This Row],[구분2]],ota_rns[[#This Row],[사업장]])</f>
        <v>GOTARNS24</v>
      </c>
      <c r="B116" s="79" t="s">
        <v>195</v>
      </c>
      <c r="C116" s="79" t="s">
        <v>191</v>
      </c>
      <c r="D116" s="83" t="s">
        <v>56</v>
      </c>
      <c r="E116" s="88">
        <v>14700</v>
      </c>
      <c r="F116" s="90">
        <v>1650</v>
      </c>
      <c r="G116" s="90">
        <v>1400</v>
      </c>
      <c r="H116" s="90">
        <v>750</v>
      </c>
      <c r="I116" s="90">
        <v>1000</v>
      </c>
      <c r="J116" s="90">
        <v>800</v>
      </c>
      <c r="K116" s="90">
        <v>1600</v>
      </c>
      <c r="L116" s="90">
        <v>1500</v>
      </c>
      <c r="M116" s="90">
        <v>1750</v>
      </c>
      <c r="N116" s="90">
        <v>1020</v>
      </c>
      <c r="O116" s="90">
        <v>1330</v>
      </c>
      <c r="P116" s="90">
        <v>900</v>
      </c>
      <c r="Q116" s="90">
        <v>1000</v>
      </c>
    </row>
    <row r="117" spans="1:17" hidden="1" x14ac:dyDescent="0.3">
      <c r="A117" s="78" t="str">
        <f>CONCATENATE(ota_rns[[#This Row],[채널]],ota_rns[[#This Row],[구분2]],ota_rns[[#This Row],[사업장]])</f>
        <v>GOTAADR24</v>
      </c>
      <c r="B117" s="79" t="s">
        <v>195</v>
      </c>
      <c r="C117" s="79" t="s">
        <v>192</v>
      </c>
      <c r="D117" s="83" t="s">
        <v>56</v>
      </c>
      <c r="E117" s="88">
        <v>222.61768707482995</v>
      </c>
      <c r="F117" s="90">
        <v>212</v>
      </c>
      <c r="G117" s="90">
        <v>189.75</v>
      </c>
      <c r="H117" s="90">
        <v>202</v>
      </c>
      <c r="I117" s="90">
        <v>206</v>
      </c>
      <c r="J117" s="90">
        <v>228</v>
      </c>
      <c r="K117" s="90">
        <v>203</v>
      </c>
      <c r="L117" s="90">
        <v>248</v>
      </c>
      <c r="M117" s="90">
        <v>279</v>
      </c>
      <c r="N117" s="90">
        <v>234</v>
      </c>
      <c r="O117" s="90">
        <v>218</v>
      </c>
      <c r="P117" s="90">
        <v>211</v>
      </c>
      <c r="Q117" s="90">
        <v>213.56</v>
      </c>
    </row>
    <row r="118" spans="1:17" hidden="1" x14ac:dyDescent="0.3">
      <c r="A118" s="78" t="str">
        <f>CONCATENATE(ota_rns[[#This Row],[채널]],ota_rns[[#This Row],[구분2]],ota_rns[[#This Row],[사업장]])</f>
        <v>GOTAREV24</v>
      </c>
      <c r="B118" s="79" t="s">
        <v>195</v>
      </c>
      <c r="C118" s="79" t="s">
        <v>193</v>
      </c>
      <c r="D118" s="83" t="s">
        <v>56</v>
      </c>
      <c r="E118" s="88">
        <v>3272.48</v>
      </c>
      <c r="F118" s="90">
        <v>349.8</v>
      </c>
      <c r="G118" s="90">
        <v>265.64999999999998</v>
      </c>
      <c r="H118" s="90">
        <v>151.5</v>
      </c>
      <c r="I118" s="90">
        <v>206</v>
      </c>
      <c r="J118" s="90">
        <v>182.4</v>
      </c>
      <c r="K118" s="90">
        <v>324.8</v>
      </c>
      <c r="L118" s="90">
        <v>372</v>
      </c>
      <c r="M118" s="90">
        <v>488.25</v>
      </c>
      <c r="N118" s="90">
        <v>238.68</v>
      </c>
      <c r="O118" s="90">
        <v>289.94</v>
      </c>
      <c r="P118" s="90">
        <v>189.9</v>
      </c>
      <c r="Q118" s="90">
        <v>213.56</v>
      </c>
    </row>
    <row r="119" spans="1:17" hidden="1" x14ac:dyDescent="0.3">
      <c r="A119" s="78" t="str">
        <f>CONCATENATE(ota_rns[[#This Row],[채널]],ota_rns[[#This Row],[구분2]],ota_rns[[#This Row],[사업장]])</f>
        <v>INBOUNDRNS24</v>
      </c>
      <c r="B119" s="79" t="s">
        <v>238</v>
      </c>
      <c r="C119" s="79" t="s">
        <v>213</v>
      </c>
      <c r="D119" s="83" t="s">
        <v>56</v>
      </c>
      <c r="E119" s="87">
        <v>0</v>
      </c>
      <c r="F119" s="87">
        <v>0</v>
      </c>
      <c r="G119" s="87">
        <v>0</v>
      </c>
      <c r="H119" s="87">
        <v>0</v>
      </c>
      <c r="I119" s="87">
        <v>0</v>
      </c>
      <c r="J119" s="87">
        <v>0</v>
      </c>
      <c r="K119" s="87">
        <v>0</v>
      </c>
      <c r="L119" s="87">
        <v>0</v>
      </c>
      <c r="M119" s="87">
        <v>0</v>
      </c>
      <c r="N119" s="87">
        <v>0</v>
      </c>
      <c r="O119" s="87">
        <v>0</v>
      </c>
      <c r="P119" s="87">
        <v>0</v>
      </c>
      <c r="Q119" s="87">
        <v>0</v>
      </c>
    </row>
    <row r="120" spans="1:17" hidden="1" x14ac:dyDescent="0.3">
      <c r="A120" s="78" t="str">
        <f>CONCATENATE(ota_rns[[#This Row],[채널]],ota_rns[[#This Row],[구분2]],ota_rns[[#This Row],[사업장]])</f>
        <v>INBOUNDADR24</v>
      </c>
      <c r="B120" s="79" t="s">
        <v>238</v>
      </c>
      <c r="C120" s="79" t="s">
        <v>192</v>
      </c>
      <c r="D120" s="83" t="s">
        <v>56</v>
      </c>
      <c r="E120" s="87">
        <v>0</v>
      </c>
      <c r="F120" s="87">
        <v>0</v>
      </c>
      <c r="G120" s="87">
        <v>0</v>
      </c>
      <c r="H120" s="87">
        <v>0</v>
      </c>
      <c r="I120" s="87">
        <v>0</v>
      </c>
      <c r="J120" s="87">
        <v>0</v>
      </c>
      <c r="K120" s="87">
        <v>0</v>
      </c>
      <c r="L120" s="87">
        <v>0</v>
      </c>
      <c r="M120" s="87">
        <v>0</v>
      </c>
      <c r="N120" s="87">
        <v>0</v>
      </c>
      <c r="O120" s="87">
        <v>0</v>
      </c>
      <c r="P120" s="87">
        <v>0</v>
      </c>
      <c r="Q120" s="87">
        <v>0</v>
      </c>
    </row>
    <row r="121" spans="1:17" hidden="1" x14ac:dyDescent="0.3">
      <c r="A121" s="78" t="str">
        <f>CONCATENATE(ota_rns[[#This Row],[채널]],ota_rns[[#This Row],[구분2]],ota_rns[[#This Row],[사업장]])</f>
        <v>INBOUNDREV24</v>
      </c>
      <c r="B121" s="79" t="s">
        <v>238</v>
      </c>
      <c r="C121" s="79" t="s">
        <v>193</v>
      </c>
      <c r="D121" s="81" t="s">
        <v>56</v>
      </c>
      <c r="E121" s="88">
        <v>0</v>
      </c>
      <c r="F121" s="90">
        <v>0</v>
      </c>
      <c r="G121" s="90">
        <v>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90">
        <v>0</v>
      </c>
      <c r="O121" s="90">
        <v>0</v>
      </c>
      <c r="P121" s="90">
        <v>0</v>
      </c>
      <c r="Q121" s="90">
        <v>0</v>
      </c>
    </row>
    <row r="122" spans="1:17" x14ac:dyDescent="0.3">
      <c r="A122" s="72" t="str">
        <f>CONCATENATE(ota_rns[[#This Row],[채널]],ota_rns[[#This Row],[구분2]],ota_rns[[#This Row],[사업장]])</f>
        <v>OTAADR46</v>
      </c>
      <c r="B122" s="76" t="s">
        <v>188</v>
      </c>
      <c r="C122" s="76" t="s">
        <v>234</v>
      </c>
      <c r="D122" s="86" t="s">
        <v>122</v>
      </c>
      <c r="E122" s="87">
        <v>341.63815789473682</v>
      </c>
      <c r="F122" s="89">
        <v>332</v>
      </c>
      <c r="G122" s="89">
        <v>320</v>
      </c>
      <c r="H122" s="89">
        <v>362</v>
      </c>
      <c r="I122" s="89">
        <v>327</v>
      </c>
      <c r="J122" s="89">
        <v>375</v>
      </c>
      <c r="K122" s="89">
        <v>329</v>
      </c>
      <c r="L122" s="89">
        <v>366</v>
      </c>
      <c r="M122" s="89">
        <v>398</v>
      </c>
      <c r="N122" s="89">
        <v>340</v>
      </c>
      <c r="O122" s="89">
        <v>335</v>
      </c>
      <c r="P122" s="89">
        <v>305</v>
      </c>
      <c r="Q122" s="89">
        <v>318</v>
      </c>
    </row>
    <row r="123" spans="1:17" x14ac:dyDescent="0.3">
      <c r="A123" s="78" t="str">
        <f>CONCATENATE(ota_rns[[#This Row],[채널]],ota_rns[[#This Row],[구분2]],ota_rns[[#This Row],[사업장]])</f>
        <v>GOTAADR46</v>
      </c>
      <c r="B123" s="76" t="s">
        <v>195</v>
      </c>
      <c r="C123" s="79" t="s">
        <v>234</v>
      </c>
      <c r="D123" s="86" t="s">
        <v>122</v>
      </c>
      <c r="E123" s="88">
        <v>308.52278481012661</v>
      </c>
      <c r="F123" s="90">
        <v>277</v>
      </c>
      <c r="G123" s="90">
        <v>300</v>
      </c>
      <c r="H123" s="90">
        <v>287</v>
      </c>
      <c r="I123" s="90">
        <v>277</v>
      </c>
      <c r="J123" s="90">
        <v>280</v>
      </c>
      <c r="K123" s="90">
        <v>292.86500000000001</v>
      </c>
      <c r="L123" s="90">
        <v>390</v>
      </c>
      <c r="M123" s="90">
        <v>340</v>
      </c>
      <c r="N123" s="90">
        <v>320</v>
      </c>
      <c r="O123" s="90">
        <v>320</v>
      </c>
      <c r="P123" s="90">
        <v>272</v>
      </c>
      <c r="Q123" s="90">
        <v>312.98</v>
      </c>
    </row>
    <row r="124" spans="1:17" x14ac:dyDescent="0.3">
      <c r="A124" s="78" t="str">
        <f>CONCATENATE(ota_rns[[#This Row],[채널]],ota_rns[[#This Row],[구분2]],ota_rns[[#This Row],[사업장]])</f>
        <v>INBOUNDADR46</v>
      </c>
      <c r="B124" s="76" t="s">
        <v>238</v>
      </c>
      <c r="C124" s="79" t="s">
        <v>234</v>
      </c>
      <c r="D124" s="86" t="s">
        <v>122</v>
      </c>
      <c r="E124" s="88">
        <v>0</v>
      </c>
      <c r="F124" s="90">
        <v>0</v>
      </c>
      <c r="G124" s="90">
        <v>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90">
        <v>0</v>
      </c>
      <c r="O124" s="90">
        <v>0</v>
      </c>
      <c r="P124" s="90">
        <v>0</v>
      </c>
      <c r="Q124" s="90">
        <v>0</v>
      </c>
    </row>
    <row r="125" spans="1:17" x14ac:dyDescent="0.3">
      <c r="A125" s="94" t="str">
        <f>CONCATENATE(ota_rns[[#This Row],[채널]],ota_rns[[#This Row],[구분2]],ota_rns[[#This Row],[사업장]])</f>
        <v>OTAADR70</v>
      </c>
      <c r="B125" s="76" t="s">
        <v>66</v>
      </c>
      <c r="C125" s="79" t="s">
        <v>68</v>
      </c>
      <c r="D125" s="120" t="s">
        <v>222</v>
      </c>
      <c r="E125" s="84">
        <v>264.51637164244823</v>
      </c>
      <c r="F125" s="85">
        <v>249.90442105263159</v>
      </c>
      <c r="G125" s="85">
        <v>252.12941176470588</v>
      </c>
      <c r="H125" s="85">
        <v>278.20428571428573</v>
      </c>
      <c r="I125" s="85">
        <v>245.8197424892704</v>
      </c>
      <c r="J125" s="85">
        <v>291.37404580152673</v>
      </c>
      <c r="K125" s="85">
        <v>255.95046439628484</v>
      </c>
      <c r="L125" s="85">
        <v>279.82758620689657</v>
      </c>
      <c r="M125" s="85">
        <v>287.59001782531192</v>
      </c>
      <c r="N125" s="85">
        <v>269.02666666666664</v>
      </c>
      <c r="O125" s="85">
        <v>252.66536964980546</v>
      </c>
      <c r="P125" s="85">
        <v>255.87878787878788</v>
      </c>
      <c r="Q125" s="85">
        <v>256.38961038961037</v>
      </c>
    </row>
    <row r="126" spans="1:17" x14ac:dyDescent="0.3">
      <c r="A126" s="78" t="str">
        <f>CONCATENATE(ota_rns[[#This Row],[채널]],ota_rns[[#This Row],[구분2]],ota_rns[[#This Row],[사업장]])</f>
        <v>GOTAADR70</v>
      </c>
      <c r="B126" s="76" t="s">
        <v>195</v>
      </c>
      <c r="C126" s="79" t="s">
        <v>192</v>
      </c>
      <c r="D126" s="120" t="s">
        <v>222</v>
      </c>
      <c r="E126" s="88">
        <v>242.98016153399186</v>
      </c>
      <c r="F126" s="90">
        <v>222.75223414634144</v>
      </c>
      <c r="G126" s="90">
        <v>253.48525469168902</v>
      </c>
      <c r="H126" s="90">
        <v>267.61497326203209</v>
      </c>
      <c r="I126" s="90">
        <v>246.02010050251258</v>
      </c>
      <c r="J126" s="90">
        <v>265.52521008403363</v>
      </c>
      <c r="K126" s="90">
        <v>241.23659090909089</v>
      </c>
      <c r="L126" s="90">
        <v>260.38147138964575</v>
      </c>
      <c r="M126" s="90">
        <v>250</v>
      </c>
      <c r="N126" s="90">
        <v>224.91724137931035</v>
      </c>
      <c r="O126" s="90">
        <v>232.59689922480621</v>
      </c>
      <c r="P126" s="90">
        <v>238.23318385650225</v>
      </c>
      <c r="Q126" s="90">
        <v>221.11726235741446</v>
      </c>
    </row>
    <row r="127" spans="1:17" x14ac:dyDescent="0.3">
      <c r="A127" s="78" t="str">
        <f>CONCATENATE(ota_rns[[#This Row],[채널]],ota_rns[[#This Row],[구분2]],ota_rns[[#This Row],[사업장]])</f>
        <v>INBOUNDADR70</v>
      </c>
      <c r="B127" s="76" t="s">
        <v>238</v>
      </c>
      <c r="C127" s="79" t="s">
        <v>192</v>
      </c>
      <c r="D127" s="120" t="s">
        <v>222</v>
      </c>
      <c r="E127" s="88">
        <v>85.551123595505615</v>
      </c>
      <c r="F127" s="90">
        <v>90</v>
      </c>
      <c r="G127" s="90">
        <v>75</v>
      </c>
      <c r="H127" s="90">
        <v>75</v>
      </c>
      <c r="I127" s="90">
        <v>70</v>
      </c>
      <c r="J127" s="90">
        <v>85</v>
      </c>
      <c r="K127" s="90">
        <v>80</v>
      </c>
      <c r="L127" s="90">
        <v>85</v>
      </c>
      <c r="M127" s="90">
        <v>117</v>
      </c>
      <c r="N127" s="90">
        <v>95</v>
      </c>
      <c r="O127" s="90">
        <v>95</v>
      </c>
      <c r="P127" s="90">
        <v>88</v>
      </c>
      <c r="Q127" s="90">
        <v>87.004999999999995</v>
      </c>
    </row>
    <row r="128" spans="1:17" x14ac:dyDescent="0.3">
      <c r="A128" s="78" t="str">
        <f>CONCATENATE(ota_rns[[#This Row],[채널]],ota_rns[[#This Row],[구분2]],ota_rns[[#This Row],[사업장]])</f>
        <v>OTAREV01</v>
      </c>
      <c r="B128" s="76" t="s">
        <v>188</v>
      </c>
      <c r="C128" s="79" t="s">
        <v>193</v>
      </c>
      <c r="D128" s="86" t="s">
        <v>75</v>
      </c>
      <c r="E128" s="88">
        <v>3251.5976000000001</v>
      </c>
      <c r="F128" s="90">
        <v>252.65</v>
      </c>
      <c r="G128" s="90">
        <v>222.75</v>
      </c>
      <c r="H128" s="90">
        <v>147.99760000000001</v>
      </c>
      <c r="I128" s="90">
        <v>120</v>
      </c>
      <c r="J128" s="90">
        <v>194</v>
      </c>
      <c r="K128" s="90">
        <v>218.4</v>
      </c>
      <c r="L128" s="90">
        <v>400</v>
      </c>
      <c r="M128" s="90">
        <v>619.5</v>
      </c>
      <c r="N128" s="90">
        <v>253.5</v>
      </c>
      <c r="O128" s="90">
        <v>370</v>
      </c>
      <c r="P128" s="90">
        <v>190.3</v>
      </c>
      <c r="Q128" s="90">
        <v>262.5</v>
      </c>
    </row>
    <row r="129" spans="1:17" x14ac:dyDescent="0.3">
      <c r="A129" s="78" t="str">
        <f>CONCATENATE(ota_rns[[#This Row],[채널]],ota_rns[[#This Row],[구분2]],ota_rns[[#This Row],[사업장]])</f>
        <v>GOTAREV01</v>
      </c>
      <c r="B129" s="76" t="s">
        <v>195</v>
      </c>
      <c r="C129" s="79" t="s">
        <v>193</v>
      </c>
      <c r="D129" s="86" t="s">
        <v>75</v>
      </c>
      <c r="E129" s="102">
        <v>2619.8841600000001</v>
      </c>
      <c r="F129" s="112">
        <v>252.08415999999997</v>
      </c>
      <c r="G129" s="112">
        <v>232</v>
      </c>
      <c r="H129" s="112">
        <v>102.7</v>
      </c>
      <c r="I129" s="112">
        <v>117.6</v>
      </c>
      <c r="J129" s="112">
        <v>195.8</v>
      </c>
      <c r="K129" s="112">
        <v>182.4</v>
      </c>
      <c r="L129" s="112">
        <v>357.2</v>
      </c>
      <c r="M129" s="112">
        <v>480.2</v>
      </c>
      <c r="N129" s="112">
        <v>227.5</v>
      </c>
      <c r="O129" s="112">
        <v>167</v>
      </c>
      <c r="P129" s="112">
        <v>113.4</v>
      </c>
      <c r="Q129" s="112">
        <v>192</v>
      </c>
    </row>
    <row r="130" spans="1:17" x14ac:dyDescent="0.3">
      <c r="A130" s="78" t="str">
        <f>CONCATENATE(ota_rns[[#This Row],[채널]],ota_rns[[#This Row],[구분2]],ota_rns[[#This Row],[사업장]])</f>
        <v>INBOUNDREV01</v>
      </c>
      <c r="B130" s="76" t="s">
        <v>238</v>
      </c>
      <c r="C130" s="79" t="s">
        <v>193</v>
      </c>
      <c r="D130" s="86" t="s">
        <v>75</v>
      </c>
      <c r="E130" s="87">
        <v>76.140500000000003</v>
      </c>
      <c r="F130" s="87">
        <v>1.8</v>
      </c>
      <c r="G130" s="87">
        <v>3.75</v>
      </c>
      <c r="H130" s="87">
        <v>7.5</v>
      </c>
      <c r="I130" s="87">
        <v>7</v>
      </c>
      <c r="J130" s="87">
        <v>4.25</v>
      </c>
      <c r="K130" s="87">
        <v>4</v>
      </c>
      <c r="L130" s="87">
        <v>4.25</v>
      </c>
      <c r="M130" s="87">
        <v>2.34</v>
      </c>
      <c r="N130" s="87">
        <v>4.75</v>
      </c>
      <c r="O130" s="87">
        <v>19</v>
      </c>
      <c r="P130" s="87">
        <v>8.8000000000000007</v>
      </c>
      <c r="Q130" s="87">
        <v>8.7004999999999999</v>
      </c>
    </row>
    <row r="131" spans="1:17" x14ac:dyDescent="0.3">
      <c r="A131" s="78" t="str">
        <f>CONCATENATE(ota_rns[[#This Row],[채널]],ota_rns[[#This Row],[구분2]],ota_rns[[#This Row],[사업장]])</f>
        <v>OTAREV25</v>
      </c>
      <c r="B131" s="76" t="s">
        <v>188</v>
      </c>
      <c r="C131" s="79" t="s">
        <v>193</v>
      </c>
      <c r="D131" s="86" t="s">
        <v>113</v>
      </c>
      <c r="E131" s="88">
        <v>2394.7560000000003</v>
      </c>
      <c r="F131" s="90">
        <v>253.65600000000001</v>
      </c>
      <c r="G131" s="90">
        <v>237.6</v>
      </c>
      <c r="H131" s="90">
        <v>141</v>
      </c>
      <c r="I131" s="90">
        <v>136.5</v>
      </c>
      <c r="J131" s="90">
        <v>151.19999999999999</v>
      </c>
      <c r="K131" s="90">
        <v>165</v>
      </c>
      <c r="L131" s="90">
        <v>218.7</v>
      </c>
      <c r="M131" s="90">
        <v>280.5</v>
      </c>
      <c r="N131" s="90">
        <v>192.85</v>
      </c>
      <c r="O131" s="90">
        <v>282.8</v>
      </c>
      <c r="P131" s="90">
        <v>121.55</v>
      </c>
      <c r="Q131" s="90">
        <v>213.4</v>
      </c>
    </row>
    <row r="132" spans="1:17" x14ac:dyDescent="0.3">
      <c r="A132" s="78" t="str">
        <f>CONCATENATE(ota_rns[[#This Row],[채널]],ota_rns[[#This Row],[구분2]],ota_rns[[#This Row],[사업장]])</f>
        <v>GOTAREV25</v>
      </c>
      <c r="B132" s="76" t="s">
        <v>195</v>
      </c>
      <c r="C132" s="79" t="s">
        <v>193</v>
      </c>
      <c r="D132" s="86" t="s">
        <v>113</v>
      </c>
      <c r="E132" s="102">
        <v>1355.6999999999998</v>
      </c>
      <c r="F132" s="112">
        <v>185</v>
      </c>
      <c r="G132" s="112">
        <v>122.2</v>
      </c>
      <c r="H132" s="112">
        <v>84</v>
      </c>
      <c r="I132" s="112">
        <v>54.9</v>
      </c>
      <c r="J132" s="112">
        <v>69.599999999999994</v>
      </c>
      <c r="K132" s="112">
        <v>72.099999999999994</v>
      </c>
      <c r="L132" s="112">
        <v>156.1</v>
      </c>
      <c r="M132" s="112">
        <v>148.80000000000001</v>
      </c>
      <c r="N132" s="112">
        <v>127.4</v>
      </c>
      <c r="O132" s="112">
        <v>97.5</v>
      </c>
      <c r="P132" s="112">
        <v>94.6</v>
      </c>
      <c r="Q132" s="112">
        <v>143.5</v>
      </c>
    </row>
    <row r="133" spans="1:17" x14ac:dyDescent="0.3">
      <c r="A133" s="78" t="str">
        <f>CONCATENATE(ota_rns[[#This Row],[채널]],ota_rns[[#This Row],[구분2]],ota_rns[[#This Row],[사업장]])</f>
        <v>INBOUNDREV25</v>
      </c>
      <c r="B133" s="76" t="s">
        <v>238</v>
      </c>
      <c r="C133" s="79" t="s">
        <v>193</v>
      </c>
      <c r="D133" s="86" t="s">
        <v>113</v>
      </c>
      <c r="E133" s="88">
        <v>0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</row>
    <row r="134" spans="1:17" x14ac:dyDescent="0.3">
      <c r="A134" s="78" t="str">
        <f>CONCATENATE(ota_rns[[#This Row],[채널]],ota_rns[[#This Row],[구분2]],ota_rns[[#This Row],[사업장]])</f>
        <v>OTAREV27</v>
      </c>
      <c r="B134" s="76" t="s">
        <v>188</v>
      </c>
      <c r="C134" s="79" t="s">
        <v>193</v>
      </c>
      <c r="D134" s="86" t="s">
        <v>117</v>
      </c>
      <c r="E134" s="88">
        <v>5329.4000000000005</v>
      </c>
      <c r="F134" s="90">
        <v>574.5</v>
      </c>
      <c r="G134" s="90">
        <v>515.20000000000005</v>
      </c>
      <c r="H134" s="90">
        <v>283.5</v>
      </c>
      <c r="I134" s="90">
        <v>273.75</v>
      </c>
      <c r="J134" s="90">
        <v>354.45</v>
      </c>
      <c r="K134" s="90">
        <v>367.65</v>
      </c>
      <c r="L134" s="90">
        <v>488.75</v>
      </c>
      <c r="M134" s="90">
        <v>590</v>
      </c>
      <c r="N134" s="90">
        <v>477.5</v>
      </c>
      <c r="O134" s="90">
        <v>532</v>
      </c>
      <c r="P134" s="90">
        <v>456.3</v>
      </c>
      <c r="Q134" s="90">
        <v>415.8</v>
      </c>
    </row>
    <row r="135" spans="1:17" x14ac:dyDescent="0.3">
      <c r="A135" s="78" t="str">
        <f>CONCATENATE(ota_rns[[#This Row],[채널]],ota_rns[[#This Row],[구분2]],ota_rns[[#This Row],[사업장]])</f>
        <v>GOTAREV27</v>
      </c>
      <c r="B135" s="76" t="s">
        <v>195</v>
      </c>
      <c r="C135" s="79" t="s">
        <v>193</v>
      </c>
      <c r="D135" s="86" t="s">
        <v>117</v>
      </c>
      <c r="E135" s="102">
        <v>4144.0599999999995</v>
      </c>
      <c r="F135" s="112">
        <v>448.5</v>
      </c>
      <c r="G135" s="112">
        <v>567.29999999999995</v>
      </c>
      <c r="H135" s="112">
        <v>308</v>
      </c>
      <c r="I135" s="112">
        <v>306</v>
      </c>
      <c r="J135" s="112">
        <v>358.15</v>
      </c>
      <c r="K135" s="112">
        <v>370.65</v>
      </c>
      <c r="L135" s="112">
        <v>415</v>
      </c>
      <c r="M135" s="112">
        <v>279</v>
      </c>
      <c r="N135" s="112">
        <v>258.95999999999998</v>
      </c>
      <c r="O135" s="112">
        <v>310</v>
      </c>
      <c r="P135" s="112">
        <v>301.5</v>
      </c>
      <c r="Q135" s="112">
        <v>221</v>
      </c>
    </row>
    <row r="136" spans="1:17" x14ac:dyDescent="0.3">
      <c r="A136" s="78" t="str">
        <f>CONCATENATE(ota_rns[[#This Row],[채널]],ota_rns[[#This Row],[구분2]],ota_rns[[#This Row],[사업장]])</f>
        <v>INBOUNDREV27</v>
      </c>
      <c r="B136" s="76" t="s">
        <v>238</v>
      </c>
      <c r="C136" s="79" t="s">
        <v>193</v>
      </c>
      <c r="D136" s="86" t="s">
        <v>117</v>
      </c>
      <c r="E136" s="88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</row>
    <row r="137" spans="1:17" x14ac:dyDescent="0.3">
      <c r="A137" s="78" t="str">
        <f>CONCATENATE(ota_rns[[#This Row],[채널]],ota_rns[[#This Row],[구분2]],ota_rns[[#This Row],[사업장]])</f>
        <v>OTAREV46</v>
      </c>
      <c r="B137" s="76" t="s">
        <v>188</v>
      </c>
      <c r="C137" s="79" t="s">
        <v>193</v>
      </c>
      <c r="D137" s="86" t="s">
        <v>122</v>
      </c>
      <c r="E137" s="88">
        <v>1038.58</v>
      </c>
      <c r="F137" s="90">
        <v>106.24</v>
      </c>
      <c r="G137" s="90">
        <v>96</v>
      </c>
      <c r="H137" s="90">
        <v>50.68</v>
      </c>
      <c r="I137" s="90">
        <v>42.51</v>
      </c>
      <c r="J137" s="90">
        <v>63.75</v>
      </c>
      <c r="K137" s="90">
        <v>75.67</v>
      </c>
      <c r="L137" s="90">
        <v>109.8</v>
      </c>
      <c r="M137" s="90">
        <v>123.38</v>
      </c>
      <c r="N137" s="90">
        <v>85</v>
      </c>
      <c r="O137" s="90">
        <v>113.9</v>
      </c>
      <c r="P137" s="90">
        <v>76.25</v>
      </c>
      <c r="Q137" s="90">
        <v>95.4</v>
      </c>
    </row>
    <row r="138" spans="1:17" x14ac:dyDescent="0.3">
      <c r="A138" s="78" t="str">
        <f>CONCATENATE(ota_rns[[#This Row],[채널]],ota_rns[[#This Row],[구분2]],ota_rns[[#This Row],[사업장]])</f>
        <v>GOTAREV46</v>
      </c>
      <c r="B138" s="76" t="s">
        <v>195</v>
      </c>
      <c r="C138" s="79" t="s">
        <v>193</v>
      </c>
      <c r="D138" s="86" t="s">
        <v>122</v>
      </c>
      <c r="E138" s="102">
        <v>243.733</v>
      </c>
      <c r="F138" s="112">
        <v>27.7</v>
      </c>
      <c r="G138" s="112">
        <v>24</v>
      </c>
      <c r="H138" s="112">
        <v>5.74</v>
      </c>
      <c r="I138" s="112">
        <v>11.08</v>
      </c>
      <c r="J138" s="112">
        <v>8.4</v>
      </c>
      <c r="K138" s="112">
        <v>11.714600000000001</v>
      </c>
      <c r="L138" s="112">
        <v>27.3</v>
      </c>
      <c r="M138" s="112">
        <v>17</v>
      </c>
      <c r="N138" s="112">
        <v>38.4</v>
      </c>
      <c r="O138" s="112">
        <v>25.6</v>
      </c>
      <c r="P138" s="112">
        <v>21.76</v>
      </c>
      <c r="Q138" s="112">
        <v>25.038400000000003</v>
      </c>
    </row>
    <row r="139" spans="1:17" x14ac:dyDescent="0.3">
      <c r="A139" s="78" t="str">
        <f>CONCATENATE(ota_rns[[#This Row],[채널]],ota_rns[[#This Row],[구분2]],ota_rns[[#This Row],[사업장]])</f>
        <v>INBOUNDREV46</v>
      </c>
      <c r="B139" s="76" t="s">
        <v>238</v>
      </c>
      <c r="C139" s="79" t="s">
        <v>193</v>
      </c>
      <c r="D139" s="86" t="s">
        <v>122</v>
      </c>
      <c r="E139" s="87">
        <v>0</v>
      </c>
      <c r="F139" s="87">
        <v>0</v>
      </c>
      <c r="G139" s="87">
        <v>0</v>
      </c>
      <c r="H139" s="87">
        <v>0</v>
      </c>
      <c r="I139" s="87">
        <v>0</v>
      </c>
      <c r="J139" s="87">
        <v>0</v>
      </c>
      <c r="K139" s="87">
        <v>0</v>
      </c>
      <c r="L139" s="87">
        <v>0</v>
      </c>
      <c r="M139" s="87">
        <v>0</v>
      </c>
      <c r="N139" s="87">
        <v>0</v>
      </c>
      <c r="O139" s="87">
        <v>0</v>
      </c>
      <c r="P139" s="87">
        <v>0</v>
      </c>
      <c r="Q139" s="87">
        <v>0</v>
      </c>
    </row>
    <row r="140" spans="1:17" hidden="1" x14ac:dyDescent="0.3">
      <c r="A140" s="94" t="str">
        <f>CONCATENATE(ota_rns[[#This Row],[채널]],ota_rns[[#This Row],[구분2]],ota_rns[[#This Row],[사업장]])</f>
        <v>OTARNS29</v>
      </c>
      <c r="B140" s="66" t="s">
        <v>66</v>
      </c>
      <c r="C140" s="95" t="s">
        <v>213</v>
      </c>
      <c r="D140" s="74" t="s">
        <v>61</v>
      </c>
      <c r="E140" s="106">
        <v>16000</v>
      </c>
      <c r="F140" s="114">
        <v>950</v>
      </c>
      <c r="G140" s="114">
        <v>1100</v>
      </c>
      <c r="H140" s="114">
        <v>1150</v>
      </c>
      <c r="I140" s="114">
        <v>1800</v>
      </c>
      <c r="J140" s="114">
        <v>1300</v>
      </c>
      <c r="K140" s="114">
        <v>1100</v>
      </c>
      <c r="L140" s="114">
        <v>1050</v>
      </c>
      <c r="M140" s="114">
        <v>1700</v>
      </c>
      <c r="N140" s="114">
        <v>1400</v>
      </c>
      <c r="O140" s="114">
        <v>1450</v>
      </c>
      <c r="P140" s="114">
        <v>1300</v>
      </c>
      <c r="Q140" s="114">
        <v>1700</v>
      </c>
    </row>
    <row r="141" spans="1:17" hidden="1" x14ac:dyDescent="0.3">
      <c r="A141" s="94" t="str">
        <f>CONCATENATE(ota_rns[[#This Row],[채널]],ota_rns[[#This Row],[구분2]],ota_rns[[#This Row],[사업장]])</f>
        <v>OTAADR29</v>
      </c>
      <c r="B141" s="76" t="s">
        <v>66</v>
      </c>
      <c r="C141" s="79" t="s">
        <v>68</v>
      </c>
      <c r="D141" s="83" t="s">
        <v>61</v>
      </c>
      <c r="E141" s="84">
        <v>180.18023749999998</v>
      </c>
      <c r="F141" s="85">
        <v>179.32499999999999</v>
      </c>
      <c r="G141" s="85">
        <v>185</v>
      </c>
      <c r="H141" s="85">
        <v>182</v>
      </c>
      <c r="I141" s="85">
        <v>176</v>
      </c>
      <c r="J141" s="85">
        <v>185</v>
      </c>
      <c r="K141" s="85">
        <v>192.1</v>
      </c>
      <c r="L141" s="85">
        <v>183.3</v>
      </c>
      <c r="M141" s="85">
        <v>189.5</v>
      </c>
      <c r="N141" s="85">
        <v>186</v>
      </c>
      <c r="O141" s="85">
        <v>171</v>
      </c>
      <c r="P141" s="85">
        <v>169</v>
      </c>
      <c r="Q141" s="85">
        <v>169.6765</v>
      </c>
    </row>
    <row r="142" spans="1:17" hidden="1" x14ac:dyDescent="0.3">
      <c r="A142" s="94" t="str">
        <f>CONCATENATE(ota_rns[[#This Row],[채널]],ota_rns[[#This Row],[구분2]],ota_rns[[#This Row],[사업장]])</f>
        <v>OTAREV29</v>
      </c>
      <c r="B142" s="76" t="s">
        <v>66</v>
      </c>
      <c r="C142" s="79" t="s">
        <v>69</v>
      </c>
      <c r="D142" s="81" t="s">
        <v>61</v>
      </c>
      <c r="E142" s="84">
        <v>2882.8837999999996</v>
      </c>
      <c r="F142" s="85">
        <v>170.35874999999999</v>
      </c>
      <c r="G142" s="85">
        <v>203.5</v>
      </c>
      <c r="H142" s="85">
        <v>209.3</v>
      </c>
      <c r="I142" s="85">
        <v>316.8</v>
      </c>
      <c r="J142" s="85">
        <v>240.5</v>
      </c>
      <c r="K142" s="85">
        <v>211.31</v>
      </c>
      <c r="L142" s="85">
        <v>192.465</v>
      </c>
      <c r="M142" s="85">
        <v>322.14999999999998</v>
      </c>
      <c r="N142" s="85">
        <v>260.39999999999998</v>
      </c>
      <c r="O142" s="85">
        <v>247.95</v>
      </c>
      <c r="P142" s="85">
        <v>219.7</v>
      </c>
      <c r="Q142" s="85">
        <v>288.45004999999998</v>
      </c>
    </row>
    <row r="143" spans="1:17" hidden="1" x14ac:dyDescent="0.3">
      <c r="A143" s="72" t="str">
        <f>CONCATENATE(ota_rns[[#This Row],[채널]],ota_rns[[#This Row],[구분2]],ota_rns[[#This Row],[사업장]])</f>
        <v>GOTARNS29</v>
      </c>
      <c r="B143" s="76" t="s">
        <v>195</v>
      </c>
      <c r="C143" s="76" t="s">
        <v>191</v>
      </c>
      <c r="D143" s="83" t="s">
        <v>61</v>
      </c>
      <c r="E143" s="87">
        <v>30100</v>
      </c>
      <c r="F143" s="89">
        <v>1150</v>
      </c>
      <c r="G143" s="89">
        <v>1650</v>
      </c>
      <c r="H143" s="89">
        <v>3000</v>
      </c>
      <c r="I143" s="89">
        <v>3100</v>
      </c>
      <c r="J143" s="89">
        <v>2300</v>
      </c>
      <c r="K143" s="89">
        <v>3800</v>
      </c>
      <c r="L143" s="89">
        <v>2700</v>
      </c>
      <c r="M143" s="89">
        <v>2500</v>
      </c>
      <c r="N143" s="89">
        <v>2800</v>
      </c>
      <c r="O143" s="89">
        <v>2600</v>
      </c>
      <c r="P143" s="89">
        <v>2200</v>
      </c>
      <c r="Q143" s="89">
        <v>2300</v>
      </c>
    </row>
    <row r="144" spans="1:17" hidden="1" x14ac:dyDescent="0.3">
      <c r="A144" s="78" t="str">
        <f>CONCATENATE(ota_rns[[#This Row],[채널]],ota_rns[[#This Row],[구분2]],ota_rns[[#This Row],[사업장]])</f>
        <v>GOTAADR29</v>
      </c>
      <c r="B144" s="76" t="s">
        <v>195</v>
      </c>
      <c r="C144" s="79" t="s">
        <v>192</v>
      </c>
      <c r="D144" s="83" t="s">
        <v>61</v>
      </c>
      <c r="E144" s="88">
        <v>180.90103986710963</v>
      </c>
      <c r="F144" s="90">
        <v>179.45</v>
      </c>
      <c r="G144" s="90">
        <v>198</v>
      </c>
      <c r="H144" s="90">
        <v>175</v>
      </c>
      <c r="I144" s="90">
        <v>176</v>
      </c>
      <c r="J144" s="90">
        <v>187</v>
      </c>
      <c r="K144" s="90">
        <v>190.50299999999999</v>
      </c>
      <c r="L144" s="90">
        <v>183.21199999999999</v>
      </c>
      <c r="M144" s="90">
        <v>188.5</v>
      </c>
      <c r="N144" s="90">
        <v>184</v>
      </c>
      <c r="O144" s="90">
        <v>168.5</v>
      </c>
      <c r="P144" s="90">
        <v>170</v>
      </c>
      <c r="Q144" s="90">
        <v>171.4</v>
      </c>
    </row>
    <row r="145" spans="1:17" hidden="1" x14ac:dyDescent="0.3">
      <c r="A145" s="78" t="str">
        <f>CONCATENATE(ota_rns[[#This Row],[채널]],ota_rns[[#This Row],[구분2]],ota_rns[[#This Row],[사업장]])</f>
        <v>GOTAREV29</v>
      </c>
      <c r="B145" s="76" t="s">
        <v>195</v>
      </c>
      <c r="C145" s="79" t="s">
        <v>193</v>
      </c>
      <c r="D145" s="83" t="s">
        <v>61</v>
      </c>
      <c r="E145" s="88">
        <v>5445.1212999999998</v>
      </c>
      <c r="F145" s="90">
        <v>206.36750000000001</v>
      </c>
      <c r="G145" s="90">
        <v>326.7</v>
      </c>
      <c r="H145" s="90">
        <v>525</v>
      </c>
      <c r="I145" s="90">
        <v>545.6</v>
      </c>
      <c r="J145" s="90">
        <v>430.1</v>
      </c>
      <c r="K145" s="90">
        <v>723.91139999999996</v>
      </c>
      <c r="L145" s="90">
        <v>494.67239999999998</v>
      </c>
      <c r="M145" s="90">
        <v>471.25</v>
      </c>
      <c r="N145" s="90">
        <v>515.20000000000005</v>
      </c>
      <c r="O145" s="90">
        <v>438.1</v>
      </c>
      <c r="P145" s="90">
        <v>374</v>
      </c>
      <c r="Q145" s="90">
        <v>394.22</v>
      </c>
    </row>
    <row r="146" spans="1:17" hidden="1" x14ac:dyDescent="0.3">
      <c r="A146" s="78" t="str">
        <f>CONCATENATE(ota_rns[[#This Row],[채널]],ota_rns[[#This Row],[구분2]],ota_rns[[#This Row],[사업장]])</f>
        <v>INBOUNDRNS29</v>
      </c>
      <c r="B146" s="76" t="s">
        <v>238</v>
      </c>
      <c r="C146" s="79" t="s">
        <v>213</v>
      </c>
      <c r="D146" s="83" t="s">
        <v>61</v>
      </c>
      <c r="E146" s="88">
        <v>35400</v>
      </c>
      <c r="F146" s="90">
        <v>2100</v>
      </c>
      <c r="G146" s="90">
        <v>2500</v>
      </c>
      <c r="H146" s="90">
        <v>2200</v>
      </c>
      <c r="I146" s="90">
        <v>3500</v>
      </c>
      <c r="J146" s="90">
        <v>3000</v>
      </c>
      <c r="K146" s="90">
        <v>3500</v>
      </c>
      <c r="L146" s="90">
        <v>3600</v>
      </c>
      <c r="M146" s="90">
        <v>3000</v>
      </c>
      <c r="N146" s="90">
        <v>3000</v>
      </c>
      <c r="O146" s="90">
        <v>3500</v>
      </c>
      <c r="P146" s="90">
        <v>3000</v>
      </c>
      <c r="Q146" s="90">
        <v>2500</v>
      </c>
    </row>
    <row r="147" spans="1:17" hidden="1" x14ac:dyDescent="0.3">
      <c r="A147" s="78" t="str">
        <f>CONCATENATE(ota_rns[[#This Row],[채널]],ota_rns[[#This Row],[구분2]],ota_rns[[#This Row],[사업장]])</f>
        <v>INBOUNDADR29</v>
      </c>
      <c r="B147" s="76" t="s">
        <v>238</v>
      </c>
      <c r="C147" s="79" t="s">
        <v>192</v>
      </c>
      <c r="D147" s="83" t="s">
        <v>61</v>
      </c>
      <c r="E147" s="88">
        <v>91</v>
      </c>
      <c r="F147" s="90">
        <v>92</v>
      </c>
      <c r="G147" s="90">
        <v>90</v>
      </c>
      <c r="H147" s="90">
        <v>90</v>
      </c>
      <c r="I147" s="90">
        <v>90</v>
      </c>
      <c r="J147" s="90">
        <v>90</v>
      </c>
      <c r="K147" s="90">
        <v>90</v>
      </c>
      <c r="L147" s="90">
        <v>92</v>
      </c>
      <c r="M147" s="90">
        <v>92</v>
      </c>
      <c r="N147" s="90">
        <v>92</v>
      </c>
      <c r="O147" s="90">
        <v>92</v>
      </c>
      <c r="P147" s="90">
        <v>90</v>
      </c>
      <c r="Q147" s="90">
        <v>92</v>
      </c>
    </row>
    <row r="148" spans="1:17" hidden="1" x14ac:dyDescent="0.3">
      <c r="A148" s="78" t="str">
        <f>CONCATENATE(ota_rns[[#This Row],[채널]],ota_rns[[#This Row],[구분2]],ota_rns[[#This Row],[사업장]])</f>
        <v>INBOUNDREV29</v>
      </c>
      <c r="B148" s="76" t="s">
        <v>238</v>
      </c>
      <c r="C148" s="79" t="s">
        <v>193</v>
      </c>
      <c r="D148" s="83" t="s">
        <v>61</v>
      </c>
      <c r="E148" s="88">
        <v>3221.4</v>
      </c>
      <c r="F148" s="90">
        <v>193.2</v>
      </c>
      <c r="G148" s="90">
        <v>225</v>
      </c>
      <c r="H148" s="90">
        <v>198</v>
      </c>
      <c r="I148" s="90">
        <v>315</v>
      </c>
      <c r="J148" s="90">
        <v>270</v>
      </c>
      <c r="K148" s="90">
        <v>315</v>
      </c>
      <c r="L148" s="90">
        <v>331.2</v>
      </c>
      <c r="M148" s="90">
        <v>276</v>
      </c>
      <c r="N148" s="90">
        <v>276</v>
      </c>
      <c r="O148" s="90">
        <v>322</v>
      </c>
      <c r="P148" s="90">
        <v>270</v>
      </c>
      <c r="Q148" s="90">
        <v>230</v>
      </c>
    </row>
    <row r="149" spans="1:17" x14ac:dyDescent="0.3">
      <c r="A149" s="94" t="str">
        <f>CONCATENATE(ota_rns[[#This Row],[채널]],ota_rns[[#This Row],[구분2]],ota_rns[[#This Row],[사업장]])</f>
        <v>OTAREV70</v>
      </c>
      <c r="B149" s="76" t="s">
        <v>66</v>
      </c>
      <c r="C149" s="79" t="s">
        <v>69</v>
      </c>
      <c r="D149" s="120" t="s">
        <v>222</v>
      </c>
      <c r="E149" s="84">
        <v>12014.3336</v>
      </c>
      <c r="F149" s="85">
        <v>1187.046</v>
      </c>
      <c r="G149" s="85">
        <v>1071.55</v>
      </c>
      <c r="H149" s="85">
        <v>623.17759999999998</v>
      </c>
      <c r="I149" s="85">
        <v>572.76</v>
      </c>
      <c r="J149" s="85">
        <v>763.4</v>
      </c>
      <c r="K149" s="85">
        <v>826.72</v>
      </c>
      <c r="L149" s="85">
        <v>1217.25</v>
      </c>
      <c r="M149" s="85">
        <v>1613.38</v>
      </c>
      <c r="N149" s="85">
        <v>1008.85</v>
      </c>
      <c r="O149" s="85">
        <v>1298.7</v>
      </c>
      <c r="P149" s="85">
        <v>844.4</v>
      </c>
      <c r="Q149" s="85">
        <v>987.1</v>
      </c>
    </row>
    <row r="150" spans="1:17" x14ac:dyDescent="0.3">
      <c r="A150" s="78" t="str">
        <f>CONCATENATE(ota_rns[[#This Row],[채널]],ota_rns[[#This Row],[구분2]],ota_rns[[#This Row],[사업장]])</f>
        <v>GOTAREV70</v>
      </c>
      <c r="B150" s="76" t="s">
        <v>195</v>
      </c>
      <c r="C150" s="79" t="s">
        <v>193</v>
      </c>
      <c r="D150" s="120" t="s">
        <v>222</v>
      </c>
      <c r="E150" s="88">
        <v>8363.37716</v>
      </c>
      <c r="F150" s="90">
        <v>913.28415999999993</v>
      </c>
      <c r="G150" s="90">
        <v>945.5</v>
      </c>
      <c r="H150" s="90">
        <v>500.44</v>
      </c>
      <c r="I150" s="90">
        <v>489.58</v>
      </c>
      <c r="J150" s="90">
        <v>631.95000000000005</v>
      </c>
      <c r="K150" s="90">
        <v>636.8646</v>
      </c>
      <c r="L150" s="90">
        <v>955.6</v>
      </c>
      <c r="M150" s="90">
        <v>925</v>
      </c>
      <c r="N150" s="90">
        <v>652.26</v>
      </c>
      <c r="O150" s="90">
        <v>600.1</v>
      </c>
      <c r="P150" s="90">
        <v>531.26</v>
      </c>
      <c r="Q150" s="90">
        <v>581.53840000000002</v>
      </c>
    </row>
    <row r="151" spans="1:17" x14ac:dyDescent="0.3">
      <c r="A151" s="78" t="str">
        <f>CONCATENATE(ota_rns[[#This Row],[채널]],ota_rns[[#This Row],[구분2]],ota_rns[[#This Row],[사업장]])</f>
        <v>INBOUNDREV70</v>
      </c>
      <c r="B151" s="76" t="s">
        <v>238</v>
      </c>
      <c r="C151" s="79" t="s">
        <v>193</v>
      </c>
      <c r="D151" s="120" t="s">
        <v>222</v>
      </c>
      <c r="E151" s="88">
        <v>76.140500000000003</v>
      </c>
      <c r="F151" s="90">
        <v>1.8</v>
      </c>
      <c r="G151" s="90">
        <v>3.75</v>
      </c>
      <c r="H151" s="90">
        <v>7.5</v>
      </c>
      <c r="I151" s="90">
        <v>7</v>
      </c>
      <c r="J151" s="90">
        <v>4.25</v>
      </c>
      <c r="K151" s="90">
        <v>4</v>
      </c>
      <c r="L151" s="90">
        <v>4.25</v>
      </c>
      <c r="M151" s="90">
        <v>2.34</v>
      </c>
      <c r="N151" s="90">
        <v>4.75</v>
      </c>
      <c r="O151" s="90">
        <v>19</v>
      </c>
      <c r="P151" s="90">
        <v>8.8000000000000007</v>
      </c>
      <c r="Q151" s="90">
        <v>8.7004999999999999</v>
      </c>
    </row>
    <row r="152" spans="1:17" x14ac:dyDescent="0.3">
      <c r="A152" s="78" t="str">
        <f>CONCATENATE(ota_rns[[#This Row],[채널]],ota_rns[[#This Row],[구분2]],ota_rns[[#This Row],[사업장]])</f>
        <v>OTARNS01</v>
      </c>
      <c r="B152" s="76" t="s">
        <v>188</v>
      </c>
      <c r="C152" s="79" t="s">
        <v>191</v>
      </c>
      <c r="D152" s="86" t="s">
        <v>75</v>
      </c>
      <c r="E152" s="121">
        <v>17680</v>
      </c>
      <c r="F152" s="105">
        <v>1630</v>
      </c>
      <c r="G152" s="105">
        <v>1350</v>
      </c>
      <c r="H152" s="105">
        <v>800</v>
      </c>
      <c r="I152" s="105">
        <v>750</v>
      </c>
      <c r="J152" s="105">
        <v>1000</v>
      </c>
      <c r="K152" s="105">
        <v>1300</v>
      </c>
      <c r="L152" s="105">
        <v>2000</v>
      </c>
      <c r="M152" s="105">
        <v>2950</v>
      </c>
      <c r="N152" s="105">
        <v>1300</v>
      </c>
      <c r="O152" s="105">
        <v>2000</v>
      </c>
      <c r="P152" s="105">
        <v>1100</v>
      </c>
      <c r="Q152" s="105">
        <v>1500</v>
      </c>
    </row>
    <row r="153" spans="1:17" x14ac:dyDescent="0.3">
      <c r="A153" s="78" t="str">
        <f>CONCATENATE(ota_rns[[#This Row],[채널]],ota_rns[[#This Row],[구분2]],ota_rns[[#This Row],[사업장]])</f>
        <v>GOTARNS01</v>
      </c>
      <c r="B153" s="76" t="s">
        <v>195</v>
      </c>
      <c r="C153" s="79" t="s">
        <v>191</v>
      </c>
      <c r="D153" s="86" t="s">
        <v>75</v>
      </c>
      <c r="E153" s="121">
        <v>15450</v>
      </c>
      <c r="F153" s="105">
        <v>1700</v>
      </c>
      <c r="G153" s="105">
        <v>1450</v>
      </c>
      <c r="H153" s="105">
        <v>650</v>
      </c>
      <c r="I153" s="105">
        <v>800</v>
      </c>
      <c r="J153" s="105">
        <v>1100</v>
      </c>
      <c r="K153" s="105">
        <v>1200</v>
      </c>
      <c r="L153" s="105">
        <v>1900</v>
      </c>
      <c r="M153" s="105">
        <v>2450</v>
      </c>
      <c r="N153" s="105">
        <v>1300</v>
      </c>
      <c r="O153" s="105">
        <v>1000</v>
      </c>
      <c r="P153" s="105">
        <v>700</v>
      </c>
      <c r="Q153" s="105">
        <v>1200</v>
      </c>
    </row>
    <row r="154" spans="1:17" x14ac:dyDescent="0.3">
      <c r="A154" s="78" t="str">
        <f>CONCATENATE(ota_rns[[#This Row],[채널]],ota_rns[[#This Row],[구분2]],ota_rns[[#This Row],[사업장]])</f>
        <v>INBOUNDRNS01</v>
      </c>
      <c r="B154" s="76" t="s">
        <v>238</v>
      </c>
      <c r="C154" s="79" t="s">
        <v>191</v>
      </c>
      <c r="D154" s="86" t="s">
        <v>75</v>
      </c>
      <c r="E154" s="121">
        <v>890</v>
      </c>
      <c r="F154" s="105">
        <v>20</v>
      </c>
      <c r="G154" s="105">
        <v>50</v>
      </c>
      <c r="H154" s="105">
        <v>100</v>
      </c>
      <c r="I154" s="105">
        <v>100</v>
      </c>
      <c r="J154" s="105">
        <v>50</v>
      </c>
      <c r="K154" s="105">
        <v>50</v>
      </c>
      <c r="L154" s="105">
        <v>50</v>
      </c>
      <c r="M154" s="105">
        <v>20</v>
      </c>
      <c r="N154" s="105">
        <v>50</v>
      </c>
      <c r="O154" s="105">
        <v>200</v>
      </c>
      <c r="P154" s="105">
        <v>100</v>
      </c>
      <c r="Q154" s="105">
        <v>100</v>
      </c>
    </row>
    <row r="155" spans="1:17" x14ac:dyDescent="0.3">
      <c r="A155" s="78" t="str">
        <f>CONCATENATE(ota_rns[[#This Row],[채널]],ota_rns[[#This Row],[구분2]],ota_rns[[#This Row],[사업장]])</f>
        <v>OTARNS25</v>
      </c>
      <c r="B155" s="76" t="s">
        <v>188</v>
      </c>
      <c r="C155" s="79" t="s">
        <v>191</v>
      </c>
      <c r="D155" s="86" t="s">
        <v>113</v>
      </c>
      <c r="E155" s="102">
        <v>11120</v>
      </c>
      <c r="F155" s="112">
        <v>1300</v>
      </c>
      <c r="G155" s="112">
        <v>1200</v>
      </c>
      <c r="H155" s="112">
        <v>600</v>
      </c>
      <c r="I155" s="112">
        <v>700</v>
      </c>
      <c r="J155" s="112">
        <v>600</v>
      </c>
      <c r="K155" s="112">
        <v>750</v>
      </c>
      <c r="L155" s="112">
        <v>900</v>
      </c>
      <c r="M155" s="112">
        <v>1100</v>
      </c>
      <c r="N155" s="112">
        <v>950</v>
      </c>
      <c r="O155" s="112">
        <v>1400</v>
      </c>
      <c r="P155" s="112">
        <v>650</v>
      </c>
      <c r="Q155" s="112">
        <v>970</v>
      </c>
    </row>
    <row r="156" spans="1:17" x14ac:dyDescent="0.3">
      <c r="A156" s="78" t="str">
        <f>CONCATENATE(ota_rns[[#This Row],[채널]],ota_rns[[#This Row],[구분2]],ota_rns[[#This Row],[사업장]])</f>
        <v>GOTARNS25</v>
      </c>
      <c r="B156" s="76" t="s">
        <v>195</v>
      </c>
      <c r="C156" s="79" t="s">
        <v>191</v>
      </c>
      <c r="D156" s="86" t="s">
        <v>113</v>
      </c>
      <c r="E156" s="88">
        <v>6750</v>
      </c>
      <c r="F156" s="90">
        <v>1000</v>
      </c>
      <c r="G156" s="90">
        <v>650</v>
      </c>
      <c r="H156" s="90">
        <v>400</v>
      </c>
      <c r="I156" s="90">
        <v>300</v>
      </c>
      <c r="J156" s="90">
        <v>300</v>
      </c>
      <c r="K156" s="90">
        <v>350</v>
      </c>
      <c r="L156" s="90">
        <v>700</v>
      </c>
      <c r="M156" s="90">
        <v>600</v>
      </c>
      <c r="N156" s="90">
        <v>700</v>
      </c>
      <c r="O156" s="90">
        <v>500</v>
      </c>
      <c r="P156" s="90">
        <v>550</v>
      </c>
      <c r="Q156" s="90">
        <v>700</v>
      </c>
    </row>
    <row r="157" spans="1:17" x14ac:dyDescent="0.3">
      <c r="A157" s="78" t="str">
        <f>CONCATENATE(ota_rns[[#This Row],[채널]],ota_rns[[#This Row],[구분2]],ota_rns[[#This Row],[사업장]])</f>
        <v>INBOUNDRNS25</v>
      </c>
      <c r="B157" s="76" t="s">
        <v>238</v>
      </c>
      <c r="C157" s="79" t="s">
        <v>191</v>
      </c>
      <c r="D157" s="86" t="s">
        <v>113</v>
      </c>
      <c r="E157" s="107">
        <v>0</v>
      </c>
      <c r="F157" s="107">
        <v>0</v>
      </c>
      <c r="G157" s="107">
        <v>0</v>
      </c>
      <c r="H157" s="107">
        <v>0</v>
      </c>
      <c r="I157" s="107">
        <v>0</v>
      </c>
      <c r="J157" s="107">
        <v>0</v>
      </c>
      <c r="K157" s="107">
        <v>0</v>
      </c>
      <c r="L157" s="107">
        <v>0</v>
      </c>
      <c r="M157" s="107">
        <v>0</v>
      </c>
      <c r="N157" s="107">
        <v>0</v>
      </c>
      <c r="O157" s="107">
        <v>0</v>
      </c>
      <c r="P157" s="107">
        <v>0</v>
      </c>
      <c r="Q157" s="107">
        <v>0</v>
      </c>
    </row>
    <row r="158" spans="1:17" hidden="1" x14ac:dyDescent="0.3">
      <c r="A158" s="94" t="str">
        <f>CONCATENATE(ota_rns[[#This Row],[채널]],ota_rns[[#This Row],[구분2]],ota_rns[[#This Row],[사업장]])</f>
        <v>OTARNS50</v>
      </c>
      <c r="B158" s="67" t="s">
        <v>66</v>
      </c>
      <c r="C158" s="96" t="s">
        <v>213</v>
      </c>
      <c r="D158" s="74" t="s">
        <v>220</v>
      </c>
      <c r="E158" s="104">
        <v>8150</v>
      </c>
      <c r="F158" s="68">
        <v>700</v>
      </c>
      <c r="G158" s="68">
        <v>600</v>
      </c>
      <c r="H158" s="68">
        <v>280</v>
      </c>
      <c r="I158" s="68">
        <v>520</v>
      </c>
      <c r="J158" s="68">
        <v>750</v>
      </c>
      <c r="K158" s="68">
        <v>900</v>
      </c>
      <c r="L158" s="68">
        <v>800</v>
      </c>
      <c r="M158" s="68">
        <v>1150</v>
      </c>
      <c r="N158" s="68">
        <v>600</v>
      </c>
      <c r="O158" s="68">
        <v>600</v>
      </c>
      <c r="P158" s="68">
        <v>500</v>
      </c>
      <c r="Q158" s="68">
        <v>750</v>
      </c>
    </row>
    <row r="159" spans="1:17" hidden="1" x14ac:dyDescent="0.3">
      <c r="A159" s="94" t="str">
        <f>CONCATENATE(ota_rns[[#This Row],[채널]],ota_rns[[#This Row],[구분2]],ota_rns[[#This Row],[사업장]])</f>
        <v>OTAADR50</v>
      </c>
      <c r="B159" s="76" t="s">
        <v>66</v>
      </c>
      <c r="C159" s="79" t="s">
        <v>68</v>
      </c>
      <c r="D159" s="82" t="s">
        <v>220</v>
      </c>
      <c r="E159" s="84">
        <v>353.31656441717797</v>
      </c>
      <c r="F159" s="85">
        <v>425</v>
      </c>
      <c r="G159" s="85">
        <v>368.4</v>
      </c>
      <c r="H159" s="85">
        <v>358</v>
      </c>
      <c r="I159" s="85">
        <v>285</v>
      </c>
      <c r="J159" s="85">
        <v>317</v>
      </c>
      <c r="K159" s="85">
        <v>301</v>
      </c>
      <c r="L159" s="85">
        <v>377</v>
      </c>
      <c r="M159" s="85">
        <v>392</v>
      </c>
      <c r="N159" s="85">
        <v>340</v>
      </c>
      <c r="O159" s="85">
        <v>385</v>
      </c>
      <c r="P159" s="85">
        <v>305</v>
      </c>
      <c r="Q159" s="85">
        <v>352</v>
      </c>
    </row>
    <row r="160" spans="1:17" hidden="1" x14ac:dyDescent="0.3">
      <c r="A160" s="94" t="str">
        <f>CONCATENATE(ota_rns[[#This Row],[채널]],ota_rns[[#This Row],[구분2]],ota_rns[[#This Row],[사업장]])</f>
        <v>OTAREV50</v>
      </c>
      <c r="B160" s="76" t="s">
        <v>66</v>
      </c>
      <c r="C160" s="79" t="s">
        <v>69</v>
      </c>
      <c r="D160" s="82" t="s">
        <v>220</v>
      </c>
      <c r="E160" s="84">
        <v>2879.53</v>
      </c>
      <c r="F160" s="85">
        <v>297.5</v>
      </c>
      <c r="G160" s="85">
        <v>221.04</v>
      </c>
      <c r="H160" s="85">
        <v>100.24</v>
      </c>
      <c r="I160" s="85">
        <v>148.19999999999999</v>
      </c>
      <c r="J160" s="85">
        <v>237.75</v>
      </c>
      <c r="K160" s="85">
        <v>270.89999999999998</v>
      </c>
      <c r="L160" s="85">
        <v>301.60000000000002</v>
      </c>
      <c r="M160" s="85">
        <v>450.8</v>
      </c>
      <c r="N160" s="85">
        <v>204</v>
      </c>
      <c r="O160" s="85">
        <v>231</v>
      </c>
      <c r="P160" s="85">
        <v>152.5</v>
      </c>
      <c r="Q160" s="85">
        <v>264</v>
      </c>
    </row>
    <row r="161" spans="1:17" hidden="1" x14ac:dyDescent="0.3">
      <c r="A161" s="78" t="str">
        <f>CONCATENATE(ota_rns[[#This Row],[채널]],ota_rns[[#This Row],[구분2]],ota_rns[[#This Row],[사업장]])</f>
        <v>GOTARNS50</v>
      </c>
      <c r="B161" s="76" t="s">
        <v>195</v>
      </c>
      <c r="C161" s="79" t="s">
        <v>191</v>
      </c>
      <c r="D161" s="82" t="s">
        <v>220</v>
      </c>
      <c r="E161" s="88">
        <v>5300</v>
      </c>
      <c r="F161" s="90">
        <v>550</v>
      </c>
      <c r="G161" s="90">
        <v>500</v>
      </c>
      <c r="H161" s="90">
        <v>200</v>
      </c>
      <c r="I161" s="90">
        <v>380</v>
      </c>
      <c r="J161" s="90">
        <v>400</v>
      </c>
      <c r="K161" s="90">
        <v>300</v>
      </c>
      <c r="L161" s="90">
        <v>600</v>
      </c>
      <c r="M161" s="90">
        <v>700</v>
      </c>
      <c r="N161" s="90">
        <v>420</v>
      </c>
      <c r="O161" s="90">
        <v>400</v>
      </c>
      <c r="P161" s="90">
        <v>300</v>
      </c>
      <c r="Q161" s="90">
        <v>550</v>
      </c>
    </row>
    <row r="162" spans="1:17" hidden="1" x14ac:dyDescent="0.3">
      <c r="A162" s="78" t="str">
        <f>CONCATENATE(ota_rns[[#This Row],[채널]],ota_rns[[#This Row],[구분2]],ota_rns[[#This Row],[사업장]])</f>
        <v>GOTAADR50</v>
      </c>
      <c r="B162" s="76" t="s">
        <v>195</v>
      </c>
      <c r="C162" s="79" t="s">
        <v>192</v>
      </c>
      <c r="D162" s="82" t="s">
        <v>220</v>
      </c>
      <c r="E162" s="88">
        <v>356.50188679245281</v>
      </c>
      <c r="F162" s="90">
        <v>423</v>
      </c>
      <c r="G162" s="90">
        <v>377</v>
      </c>
      <c r="H162" s="90">
        <v>380</v>
      </c>
      <c r="I162" s="90">
        <v>303</v>
      </c>
      <c r="J162" s="90">
        <v>325</v>
      </c>
      <c r="K162" s="90">
        <v>322</v>
      </c>
      <c r="L162" s="90">
        <v>391</v>
      </c>
      <c r="M162" s="90">
        <v>380</v>
      </c>
      <c r="N162" s="90">
        <v>336</v>
      </c>
      <c r="O162" s="90">
        <v>345</v>
      </c>
      <c r="P162" s="90">
        <v>285</v>
      </c>
      <c r="Q162" s="90">
        <v>337</v>
      </c>
    </row>
    <row r="163" spans="1:17" hidden="1" x14ac:dyDescent="0.3">
      <c r="A163" s="78" t="str">
        <f>CONCATENATE(ota_rns[[#This Row],[채널]],ota_rns[[#This Row],[구분2]],ota_rns[[#This Row],[사업장]])</f>
        <v>GOTAREV50</v>
      </c>
      <c r="B163" s="76" t="s">
        <v>195</v>
      </c>
      <c r="C163" s="79" t="s">
        <v>193</v>
      </c>
      <c r="D163" s="80" t="s">
        <v>220</v>
      </c>
      <c r="E163" s="88">
        <v>1889.46</v>
      </c>
      <c r="F163" s="90">
        <v>232.65</v>
      </c>
      <c r="G163" s="90">
        <v>188.5</v>
      </c>
      <c r="H163" s="90">
        <v>76</v>
      </c>
      <c r="I163" s="90">
        <v>115.14</v>
      </c>
      <c r="J163" s="90">
        <v>130</v>
      </c>
      <c r="K163" s="90">
        <v>96.6</v>
      </c>
      <c r="L163" s="90">
        <v>234.6</v>
      </c>
      <c r="M163" s="90">
        <v>266</v>
      </c>
      <c r="N163" s="90">
        <v>141.12</v>
      </c>
      <c r="O163" s="90">
        <v>138</v>
      </c>
      <c r="P163" s="90">
        <v>85.5</v>
      </c>
      <c r="Q163" s="90">
        <v>185.35</v>
      </c>
    </row>
    <row r="164" spans="1:17" hidden="1" x14ac:dyDescent="0.3">
      <c r="A164" s="72" t="str">
        <f>CONCATENATE(ota_rns[[#This Row],[채널]],ota_rns[[#This Row],[구분2]],ota_rns[[#This Row],[사업장]])</f>
        <v>INBOUNDRNS50</v>
      </c>
      <c r="B164" s="76" t="s">
        <v>238</v>
      </c>
      <c r="C164" s="76" t="s">
        <v>213</v>
      </c>
      <c r="D164" s="82" t="s">
        <v>220</v>
      </c>
      <c r="E164" s="87">
        <v>0</v>
      </c>
      <c r="F164" s="87">
        <v>0</v>
      </c>
      <c r="G164" s="87">
        <v>0</v>
      </c>
      <c r="H164" s="87">
        <v>0</v>
      </c>
      <c r="I164" s="87">
        <v>0</v>
      </c>
      <c r="J164" s="87">
        <v>0</v>
      </c>
      <c r="K164" s="87">
        <v>0</v>
      </c>
      <c r="L164" s="87">
        <v>0</v>
      </c>
      <c r="M164" s="87">
        <v>0</v>
      </c>
      <c r="N164" s="87">
        <v>0</v>
      </c>
      <c r="O164" s="87">
        <v>0</v>
      </c>
      <c r="P164" s="87">
        <v>0</v>
      </c>
      <c r="Q164" s="87">
        <v>0</v>
      </c>
    </row>
    <row r="165" spans="1:17" hidden="1" x14ac:dyDescent="0.3">
      <c r="A165" s="78" t="str">
        <f>CONCATENATE(ota_rns[[#This Row],[채널]],ota_rns[[#This Row],[구분2]],ota_rns[[#This Row],[사업장]])</f>
        <v>INBOUNDADR50</v>
      </c>
      <c r="B165" s="76" t="s">
        <v>238</v>
      </c>
      <c r="C165" s="79" t="s">
        <v>192</v>
      </c>
      <c r="D165" s="82" t="s">
        <v>220</v>
      </c>
      <c r="E165" s="87">
        <v>0</v>
      </c>
      <c r="F165" s="87">
        <v>0</v>
      </c>
      <c r="G165" s="87">
        <v>0</v>
      </c>
      <c r="H165" s="87">
        <v>0</v>
      </c>
      <c r="I165" s="87">
        <v>0</v>
      </c>
      <c r="J165" s="87">
        <v>0</v>
      </c>
      <c r="K165" s="87">
        <v>0</v>
      </c>
      <c r="L165" s="87">
        <v>0</v>
      </c>
      <c r="M165" s="87">
        <v>0</v>
      </c>
      <c r="N165" s="87">
        <v>0</v>
      </c>
      <c r="O165" s="87">
        <v>0</v>
      </c>
      <c r="P165" s="87">
        <v>0</v>
      </c>
      <c r="Q165" s="87">
        <v>0</v>
      </c>
    </row>
    <row r="166" spans="1:17" hidden="1" x14ac:dyDescent="0.3">
      <c r="A166" s="78" t="str">
        <f>CONCATENATE(ota_rns[[#This Row],[채널]],ota_rns[[#This Row],[구분2]],ota_rns[[#This Row],[사업장]])</f>
        <v>INBOUNDREV50</v>
      </c>
      <c r="B166" s="76" t="s">
        <v>238</v>
      </c>
      <c r="C166" s="79" t="s">
        <v>193</v>
      </c>
      <c r="D166" s="82" t="s">
        <v>220</v>
      </c>
      <c r="E166" s="88">
        <v>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</row>
    <row r="167" spans="1:17" hidden="1" x14ac:dyDescent="0.3">
      <c r="A167" s="94" t="str">
        <f>CONCATENATE(ota_rns[[#This Row],[채널]],ota_rns[[#This Row],[구분2]],ota_rns[[#This Row],[사업장]])</f>
        <v>OTARNS58</v>
      </c>
      <c r="B167" s="65" t="s">
        <v>66</v>
      </c>
      <c r="C167" s="94" t="s">
        <v>213</v>
      </c>
      <c r="D167" s="73" t="s">
        <v>63</v>
      </c>
      <c r="E167" s="109">
        <v>8000</v>
      </c>
      <c r="F167" s="117">
        <v>660</v>
      </c>
      <c r="G167" s="117">
        <v>600</v>
      </c>
      <c r="H167" s="117">
        <v>600</v>
      </c>
      <c r="I167" s="117">
        <v>500</v>
      </c>
      <c r="J167" s="117">
        <v>500</v>
      </c>
      <c r="K167" s="117">
        <v>700</v>
      </c>
      <c r="L167" s="117">
        <v>850</v>
      </c>
      <c r="M167" s="117">
        <v>800</v>
      </c>
      <c r="N167" s="117">
        <v>700</v>
      </c>
      <c r="O167" s="117">
        <v>810</v>
      </c>
      <c r="P167" s="117">
        <v>740</v>
      </c>
      <c r="Q167" s="117">
        <v>540</v>
      </c>
    </row>
    <row r="168" spans="1:17" hidden="1" x14ac:dyDescent="0.3">
      <c r="A168" s="94" t="str">
        <f>CONCATENATE(ota_rns[[#This Row],[채널]],ota_rns[[#This Row],[구분2]],ota_rns[[#This Row],[사업장]])</f>
        <v>OTAADR58</v>
      </c>
      <c r="B168" s="76" t="s">
        <v>66</v>
      </c>
      <c r="C168" s="79" t="s">
        <v>68</v>
      </c>
      <c r="D168" s="82" t="s">
        <v>63</v>
      </c>
      <c r="E168" s="84">
        <v>101.98875</v>
      </c>
      <c r="F168" s="85">
        <v>85</v>
      </c>
      <c r="G168" s="85">
        <v>83</v>
      </c>
      <c r="H168" s="85">
        <v>89.5</v>
      </c>
      <c r="I168" s="85">
        <v>85</v>
      </c>
      <c r="J168" s="85">
        <v>113</v>
      </c>
      <c r="K168" s="85">
        <v>107</v>
      </c>
      <c r="L168" s="85">
        <v>122</v>
      </c>
      <c r="M168" s="85">
        <v>133</v>
      </c>
      <c r="N168" s="85">
        <v>96</v>
      </c>
      <c r="O168" s="85">
        <v>105</v>
      </c>
      <c r="P168" s="85">
        <v>90</v>
      </c>
      <c r="Q168" s="85">
        <v>99</v>
      </c>
    </row>
    <row r="169" spans="1:17" hidden="1" x14ac:dyDescent="0.3">
      <c r="A169" s="94" t="str">
        <f>CONCATENATE(ota_rns[[#This Row],[채널]],ota_rns[[#This Row],[구분2]],ota_rns[[#This Row],[사업장]])</f>
        <v>OTAREV58</v>
      </c>
      <c r="B169" s="76" t="s">
        <v>66</v>
      </c>
      <c r="C169" s="79" t="s">
        <v>69</v>
      </c>
      <c r="D169" s="82" t="s">
        <v>63</v>
      </c>
      <c r="E169" s="84">
        <v>815.91</v>
      </c>
      <c r="F169" s="85">
        <v>56.1</v>
      </c>
      <c r="G169" s="85">
        <v>49.8</v>
      </c>
      <c r="H169" s="85">
        <v>53.7</v>
      </c>
      <c r="I169" s="85">
        <v>42.5</v>
      </c>
      <c r="J169" s="85">
        <v>56.5</v>
      </c>
      <c r="K169" s="85">
        <v>74.900000000000006</v>
      </c>
      <c r="L169" s="85">
        <v>103.7</v>
      </c>
      <c r="M169" s="85">
        <v>106.4</v>
      </c>
      <c r="N169" s="85">
        <v>67.2</v>
      </c>
      <c r="O169" s="85">
        <v>85.05</v>
      </c>
      <c r="P169" s="85">
        <v>66.599999999999994</v>
      </c>
      <c r="Q169" s="85">
        <v>53.46</v>
      </c>
    </row>
    <row r="170" spans="1:17" hidden="1" x14ac:dyDescent="0.3">
      <c r="A170" s="78" t="str">
        <f>CONCATENATE(ota_rns[[#This Row],[채널]],ota_rns[[#This Row],[구분2]],ota_rns[[#This Row],[사업장]])</f>
        <v>GOTARNS58</v>
      </c>
      <c r="B170" s="76" t="s">
        <v>195</v>
      </c>
      <c r="C170" s="79" t="s">
        <v>191</v>
      </c>
      <c r="D170" s="82" t="s">
        <v>63</v>
      </c>
      <c r="E170" s="88">
        <v>13200</v>
      </c>
      <c r="F170" s="90">
        <v>1000</v>
      </c>
      <c r="G170" s="90">
        <v>1100</v>
      </c>
      <c r="H170" s="90">
        <v>1000</v>
      </c>
      <c r="I170" s="90">
        <v>1000</v>
      </c>
      <c r="J170" s="90">
        <v>1100</v>
      </c>
      <c r="K170" s="90">
        <v>1000</v>
      </c>
      <c r="L170" s="90">
        <v>1200</v>
      </c>
      <c r="M170" s="90">
        <v>1500</v>
      </c>
      <c r="N170" s="90">
        <v>1100</v>
      </c>
      <c r="O170" s="90">
        <v>1000</v>
      </c>
      <c r="P170" s="90">
        <v>1200</v>
      </c>
      <c r="Q170" s="90">
        <v>1000</v>
      </c>
    </row>
    <row r="171" spans="1:17" hidden="1" x14ac:dyDescent="0.3">
      <c r="A171" s="78" t="str">
        <f>CONCATENATE(ota_rns[[#This Row],[채널]],ota_rns[[#This Row],[구분2]],ota_rns[[#This Row],[사업장]])</f>
        <v>GOTAADR58</v>
      </c>
      <c r="B171" s="76" t="s">
        <v>195</v>
      </c>
      <c r="C171" s="79" t="s">
        <v>192</v>
      </c>
      <c r="D171" s="82" t="s">
        <v>63</v>
      </c>
      <c r="E171" s="88">
        <v>98.9</v>
      </c>
      <c r="F171" s="90">
        <v>83</v>
      </c>
      <c r="G171" s="90">
        <v>82</v>
      </c>
      <c r="H171" s="90">
        <v>84</v>
      </c>
      <c r="I171" s="90">
        <v>81</v>
      </c>
      <c r="J171" s="90">
        <v>97</v>
      </c>
      <c r="K171" s="90">
        <v>100</v>
      </c>
      <c r="L171" s="90">
        <v>126</v>
      </c>
      <c r="M171" s="90">
        <v>133</v>
      </c>
      <c r="N171" s="90">
        <v>93</v>
      </c>
      <c r="O171" s="90">
        <v>102</v>
      </c>
      <c r="P171" s="90">
        <v>90.4</v>
      </c>
      <c r="Q171" s="90">
        <v>97.1</v>
      </c>
    </row>
    <row r="172" spans="1:17" hidden="1" x14ac:dyDescent="0.3">
      <c r="A172" s="78" t="str">
        <f>CONCATENATE(ota_rns[[#This Row],[채널]],ota_rns[[#This Row],[구분2]],ota_rns[[#This Row],[사업장]])</f>
        <v>GOTAREV58</v>
      </c>
      <c r="B172" s="76" t="s">
        <v>195</v>
      </c>
      <c r="C172" s="79" t="s">
        <v>193</v>
      </c>
      <c r="D172" s="82" t="s">
        <v>63</v>
      </c>
      <c r="E172" s="88">
        <v>1305.48</v>
      </c>
      <c r="F172" s="90">
        <v>83</v>
      </c>
      <c r="G172" s="90">
        <v>90.2</v>
      </c>
      <c r="H172" s="90">
        <v>84</v>
      </c>
      <c r="I172" s="90">
        <v>81</v>
      </c>
      <c r="J172" s="90">
        <v>106.7</v>
      </c>
      <c r="K172" s="90">
        <v>100</v>
      </c>
      <c r="L172" s="90">
        <v>151.19999999999999</v>
      </c>
      <c r="M172" s="90">
        <v>199.5</v>
      </c>
      <c r="N172" s="90">
        <v>102.3</v>
      </c>
      <c r="O172" s="90">
        <v>102</v>
      </c>
      <c r="P172" s="90">
        <v>108.48</v>
      </c>
      <c r="Q172" s="90">
        <v>97.1</v>
      </c>
    </row>
    <row r="173" spans="1:17" hidden="1" x14ac:dyDescent="0.3">
      <c r="A173" s="78" t="str">
        <f>CONCATENATE(ota_rns[[#This Row],[채널]],ota_rns[[#This Row],[구분2]],ota_rns[[#This Row],[사업장]])</f>
        <v>INBOUNDRNS58</v>
      </c>
      <c r="B173" s="76" t="s">
        <v>238</v>
      </c>
      <c r="C173" s="79" t="s">
        <v>213</v>
      </c>
      <c r="D173" s="82" t="s">
        <v>63</v>
      </c>
      <c r="E173" s="88">
        <v>8600</v>
      </c>
      <c r="F173" s="90">
        <v>500</v>
      </c>
      <c r="G173" s="90">
        <v>450</v>
      </c>
      <c r="H173" s="90">
        <v>800</v>
      </c>
      <c r="I173" s="90">
        <v>1000</v>
      </c>
      <c r="J173" s="90">
        <v>700</v>
      </c>
      <c r="K173" s="90">
        <v>800</v>
      </c>
      <c r="L173" s="90">
        <v>600</v>
      </c>
      <c r="M173" s="90">
        <v>700</v>
      </c>
      <c r="N173" s="90">
        <v>800</v>
      </c>
      <c r="O173" s="90">
        <v>800</v>
      </c>
      <c r="P173" s="90">
        <v>800</v>
      </c>
      <c r="Q173" s="90">
        <v>650</v>
      </c>
    </row>
    <row r="174" spans="1:17" hidden="1" x14ac:dyDescent="0.3">
      <c r="A174" s="78" t="str">
        <f>CONCATENATE(ota_rns[[#This Row],[채널]],ota_rns[[#This Row],[구분2]],ota_rns[[#This Row],[사업장]])</f>
        <v>INBOUNDADR58</v>
      </c>
      <c r="B174" s="76" t="s">
        <v>238</v>
      </c>
      <c r="C174" s="79" t="s">
        <v>192</v>
      </c>
      <c r="D174" s="82" t="s">
        <v>63</v>
      </c>
      <c r="E174" s="88">
        <v>68.058139534883722</v>
      </c>
      <c r="F174" s="90">
        <v>55</v>
      </c>
      <c r="G174" s="90">
        <v>80</v>
      </c>
      <c r="H174" s="90">
        <v>55</v>
      </c>
      <c r="I174" s="90">
        <v>55.6</v>
      </c>
      <c r="J174" s="90">
        <v>60</v>
      </c>
      <c r="K174" s="90">
        <v>61</v>
      </c>
      <c r="L174" s="90">
        <v>79</v>
      </c>
      <c r="M174" s="90">
        <v>87</v>
      </c>
      <c r="N174" s="90">
        <v>70</v>
      </c>
      <c r="O174" s="90">
        <v>77</v>
      </c>
      <c r="P174" s="90">
        <v>75</v>
      </c>
      <c r="Q174" s="90">
        <v>70</v>
      </c>
    </row>
    <row r="175" spans="1:17" hidden="1" x14ac:dyDescent="0.3">
      <c r="A175" s="78" t="str">
        <f>CONCATENATE(ota_rns[[#This Row],[채널]],ota_rns[[#This Row],[구분2]],ota_rns[[#This Row],[사업장]])</f>
        <v>INBOUNDREV58</v>
      </c>
      <c r="B175" s="76" t="s">
        <v>238</v>
      </c>
      <c r="C175" s="79" t="s">
        <v>193</v>
      </c>
      <c r="D175" s="82" t="s">
        <v>63</v>
      </c>
      <c r="E175" s="88">
        <v>585.29999999999995</v>
      </c>
      <c r="F175" s="90">
        <v>27.5</v>
      </c>
      <c r="G175" s="90">
        <v>36</v>
      </c>
      <c r="H175" s="90">
        <v>44</v>
      </c>
      <c r="I175" s="90">
        <v>55.6</v>
      </c>
      <c r="J175" s="90">
        <v>42</v>
      </c>
      <c r="K175" s="90">
        <v>48.8</v>
      </c>
      <c r="L175" s="90">
        <v>47.4</v>
      </c>
      <c r="M175" s="90">
        <v>60.9</v>
      </c>
      <c r="N175" s="90">
        <v>56</v>
      </c>
      <c r="O175" s="90">
        <v>61.6</v>
      </c>
      <c r="P175" s="90">
        <v>60</v>
      </c>
      <c r="Q175" s="90">
        <v>45.5</v>
      </c>
    </row>
    <row r="176" spans="1:17" hidden="1" x14ac:dyDescent="0.3">
      <c r="A176" s="94" t="str">
        <f>CONCATENATE(ota_rns[[#This Row],[채널]],ota_rns[[#This Row],[구분2]],ota_rns[[#This Row],[사업장]])</f>
        <v>OTARNS61</v>
      </c>
      <c r="B176" s="66" t="s">
        <v>66</v>
      </c>
      <c r="C176" s="95" t="s">
        <v>213</v>
      </c>
      <c r="D176" s="75" t="s">
        <v>50</v>
      </c>
      <c r="E176" s="106">
        <v>37800</v>
      </c>
      <c r="F176" s="114">
        <v>2900</v>
      </c>
      <c r="G176" s="114">
        <v>3100</v>
      </c>
      <c r="H176" s="114">
        <v>2100</v>
      </c>
      <c r="I176" s="114">
        <v>2800</v>
      </c>
      <c r="J176" s="114">
        <v>3300</v>
      </c>
      <c r="K176" s="114">
        <v>3800</v>
      </c>
      <c r="L176" s="114">
        <v>3500</v>
      </c>
      <c r="M176" s="114">
        <v>3000</v>
      </c>
      <c r="N176" s="114">
        <v>3600</v>
      </c>
      <c r="O176" s="114">
        <v>3500</v>
      </c>
      <c r="P176" s="114">
        <v>2700</v>
      </c>
      <c r="Q176" s="114">
        <v>3500</v>
      </c>
    </row>
    <row r="177" spans="1:17" hidden="1" x14ac:dyDescent="0.3">
      <c r="A177" s="94" t="str">
        <f>CONCATENATE(ota_rns[[#This Row],[채널]],ota_rns[[#This Row],[구분2]],ota_rns[[#This Row],[사업장]])</f>
        <v>OTAADR61</v>
      </c>
      <c r="B177" s="76" t="s">
        <v>66</v>
      </c>
      <c r="C177" s="79" t="s">
        <v>68</v>
      </c>
      <c r="D177" s="83" t="s">
        <v>50</v>
      </c>
      <c r="E177" s="84">
        <v>225.2890529100529</v>
      </c>
      <c r="F177" s="85">
        <v>217</v>
      </c>
      <c r="G177" s="85">
        <v>210</v>
      </c>
      <c r="H177" s="85">
        <v>225</v>
      </c>
      <c r="I177" s="85">
        <v>200</v>
      </c>
      <c r="J177" s="85">
        <v>232</v>
      </c>
      <c r="K177" s="85">
        <v>217.84899999999999</v>
      </c>
      <c r="L177" s="85">
        <v>250</v>
      </c>
      <c r="M177" s="85">
        <v>282</v>
      </c>
      <c r="N177" s="85">
        <v>222</v>
      </c>
      <c r="O177" s="85">
        <v>225</v>
      </c>
      <c r="P177" s="85">
        <v>210</v>
      </c>
      <c r="Q177" s="85">
        <v>210</v>
      </c>
    </row>
    <row r="178" spans="1:17" hidden="1" x14ac:dyDescent="0.3">
      <c r="A178" s="94" t="str">
        <f>CONCATENATE(ota_rns[[#This Row],[채널]],ota_rns[[#This Row],[구분2]],ota_rns[[#This Row],[사업장]])</f>
        <v>OTAREV61</v>
      </c>
      <c r="B178" s="76" t="s">
        <v>66</v>
      </c>
      <c r="C178" s="79" t="s">
        <v>69</v>
      </c>
      <c r="D178" s="83" t="s">
        <v>50</v>
      </c>
      <c r="E178" s="84">
        <v>8515.9261999999999</v>
      </c>
      <c r="F178" s="85">
        <v>629.29999999999995</v>
      </c>
      <c r="G178" s="85">
        <v>651</v>
      </c>
      <c r="H178" s="85">
        <v>472.5</v>
      </c>
      <c r="I178" s="85">
        <v>560</v>
      </c>
      <c r="J178" s="85">
        <v>765.6</v>
      </c>
      <c r="K178" s="85">
        <v>827.82619999999997</v>
      </c>
      <c r="L178" s="85">
        <v>875</v>
      </c>
      <c r="M178" s="85">
        <v>846</v>
      </c>
      <c r="N178" s="85">
        <v>799.2</v>
      </c>
      <c r="O178" s="85">
        <v>787.5</v>
      </c>
      <c r="P178" s="85">
        <v>567</v>
      </c>
      <c r="Q178" s="85">
        <v>735</v>
      </c>
    </row>
    <row r="179" spans="1:17" hidden="1" x14ac:dyDescent="0.3">
      <c r="A179" s="78" t="str">
        <f>CONCATENATE(ota_rns[[#This Row],[채널]],ota_rns[[#This Row],[구분2]],ota_rns[[#This Row],[사업장]])</f>
        <v>GOTARNS61</v>
      </c>
      <c r="B179" s="76" t="s">
        <v>195</v>
      </c>
      <c r="C179" s="79" t="s">
        <v>191</v>
      </c>
      <c r="D179" s="83" t="s">
        <v>50</v>
      </c>
      <c r="E179" s="88">
        <v>23500</v>
      </c>
      <c r="F179" s="90">
        <v>1700</v>
      </c>
      <c r="G179" s="90">
        <v>2100</v>
      </c>
      <c r="H179" s="90">
        <v>1100</v>
      </c>
      <c r="I179" s="90">
        <v>1600</v>
      </c>
      <c r="J179" s="90">
        <v>2100</v>
      </c>
      <c r="K179" s="90">
        <v>3300</v>
      </c>
      <c r="L179" s="90">
        <v>2900</v>
      </c>
      <c r="M179" s="90">
        <v>1400</v>
      </c>
      <c r="N179" s="90">
        <v>2400</v>
      </c>
      <c r="O179" s="90">
        <v>1600</v>
      </c>
      <c r="P179" s="90">
        <v>1800</v>
      </c>
      <c r="Q179" s="90">
        <v>1500</v>
      </c>
    </row>
    <row r="180" spans="1:17" hidden="1" x14ac:dyDescent="0.3">
      <c r="A180" s="78" t="str">
        <f>CONCATENATE(ota_rns[[#This Row],[채널]],ota_rns[[#This Row],[구분2]],ota_rns[[#This Row],[사업장]])</f>
        <v>GOTAADR61</v>
      </c>
      <c r="B180" s="76" t="s">
        <v>195</v>
      </c>
      <c r="C180" s="79" t="s">
        <v>192</v>
      </c>
      <c r="D180" s="83" t="s">
        <v>50</v>
      </c>
      <c r="E180" s="88">
        <v>212.37324255319149</v>
      </c>
      <c r="F180" s="90">
        <v>190</v>
      </c>
      <c r="G180" s="90">
        <v>212</v>
      </c>
      <c r="H180" s="90">
        <v>210</v>
      </c>
      <c r="I180" s="90">
        <v>195</v>
      </c>
      <c r="J180" s="90">
        <v>212</v>
      </c>
      <c r="K180" s="90">
        <v>202</v>
      </c>
      <c r="L180" s="90">
        <v>238</v>
      </c>
      <c r="M180" s="90">
        <v>280</v>
      </c>
      <c r="N180" s="90">
        <v>215</v>
      </c>
      <c r="O180" s="90">
        <v>206.982</v>
      </c>
      <c r="P180" s="90">
        <v>188</v>
      </c>
      <c r="Q180" s="90">
        <v>200</v>
      </c>
    </row>
    <row r="181" spans="1:17" hidden="1" x14ac:dyDescent="0.3">
      <c r="A181" s="78" t="str">
        <f>CONCATENATE(ota_rns[[#This Row],[채널]],ota_rns[[#This Row],[구분2]],ota_rns[[#This Row],[사업장]])</f>
        <v>GOTAREV61</v>
      </c>
      <c r="B181" s="76" t="s">
        <v>195</v>
      </c>
      <c r="C181" s="79" t="s">
        <v>193</v>
      </c>
      <c r="D181" s="83" t="s">
        <v>50</v>
      </c>
      <c r="E181" s="88">
        <v>4990.7712000000001</v>
      </c>
      <c r="F181" s="90">
        <v>323</v>
      </c>
      <c r="G181" s="90">
        <v>445.2</v>
      </c>
      <c r="H181" s="90">
        <v>231</v>
      </c>
      <c r="I181" s="90">
        <v>312</v>
      </c>
      <c r="J181" s="90">
        <v>445.2</v>
      </c>
      <c r="K181" s="90">
        <v>666.6</v>
      </c>
      <c r="L181" s="90">
        <v>690.2</v>
      </c>
      <c r="M181" s="90">
        <v>392</v>
      </c>
      <c r="N181" s="90">
        <v>516</v>
      </c>
      <c r="O181" s="90">
        <v>331.1712</v>
      </c>
      <c r="P181" s="90">
        <v>338.4</v>
      </c>
      <c r="Q181" s="90">
        <v>300</v>
      </c>
    </row>
    <row r="182" spans="1:17" hidden="1" x14ac:dyDescent="0.3">
      <c r="A182" s="78" t="str">
        <f>CONCATENATE(ota_rns[[#This Row],[채널]],ota_rns[[#This Row],[구분2]],ota_rns[[#This Row],[사업장]])</f>
        <v>INBOUNDRNS61</v>
      </c>
      <c r="B182" s="76" t="s">
        <v>238</v>
      </c>
      <c r="C182" s="79" t="s">
        <v>213</v>
      </c>
      <c r="D182" s="83" t="s">
        <v>50</v>
      </c>
      <c r="E182" s="87">
        <v>0</v>
      </c>
      <c r="F182" s="87">
        <v>0</v>
      </c>
      <c r="G182" s="87">
        <v>0</v>
      </c>
      <c r="H182" s="87">
        <v>0</v>
      </c>
      <c r="I182" s="87">
        <v>0</v>
      </c>
      <c r="J182" s="87">
        <v>0</v>
      </c>
      <c r="K182" s="87">
        <v>0</v>
      </c>
      <c r="L182" s="87">
        <v>0</v>
      </c>
      <c r="M182" s="87">
        <v>0</v>
      </c>
      <c r="N182" s="87">
        <v>0</v>
      </c>
      <c r="O182" s="87">
        <v>0</v>
      </c>
      <c r="P182" s="87">
        <v>0</v>
      </c>
      <c r="Q182" s="87">
        <v>0</v>
      </c>
    </row>
    <row r="183" spans="1:17" hidden="1" x14ac:dyDescent="0.3">
      <c r="A183" s="78" t="str">
        <f>CONCATENATE(ota_rns[[#This Row],[채널]],ota_rns[[#This Row],[구분2]],ota_rns[[#This Row],[사업장]])</f>
        <v>INBOUNDADR61</v>
      </c>
      <c r="B183" s="76" t="s">
        <v>238</v>
      </c>
      <c r="C183" s="79" t="s">
        <v>192</v>
      </c>
      <c r="D183" s="83" t="s">
        <v>50</v>
      </c>
      <c r="E183" s="87">
        <v>0</v>
      </c>
      <c r="F183" s="87">
        <v>0</v>
      </c>
      <c r="G183" s="87">
        <v>0</v>
      </c>
      <c r="H183" s="87">
        <v>0</v>
      </c>
      <c r="I183" s="87">
        <v>0</v>
      </c>
      <c r="J183" s="87">
        <v>0</v>
      </c>
      <c r="K183" s="87">
        <v>0</v>
      </c>
      <c r="L183" s="87">
        <v>0</v>
      </c>
      <c r="M183" s="87">
        <v>0</v>
      </c>
      <c r="N183" s="87">
        <v>0</v>
      </c>
      <c r="O183" s="87">
        <v>0</v>
      </c>
      <c r="P183" s="87">
        <v>0</v>
      </c>
      <c r="Q183" s="87">
        <v>0</v>
      </c>
    </row>
    <row r="184" spans="1:17" hidden="1" x14ac:dyDescent="0.3">
      <c r="A184" s="78" t="str">
        <f>CONCATENATE(ota_rns[[#This Row],[채널]],ota_rns[[#This Row],[구분2]],ota_rns[[#This Row],[사업장]])</f>
        <v>INBOUNDREV61</v>
      </c>
      <c r="B184" s="76" t="s">
        <v>238</v>
      </c>
      <c r="C184" s="79" t="s">
        <v>193</v>
      </c>
      <c r="D184" s="81" t="s">
        <v>50</v>
      </c>
      <c r="E184" s="87">
        <v>0</v>
      </c>
      <c r="F184" s="87">
        <v>0</v>
      </c>
      <c r="G184" s="87">
        <v>0</v>
      </c>
      <c r="H184" s="87">
        <v>0</v>
      </c>
      <c r="I184" s="87">
        <v>0</v>
      </c>
      <c r="J184" s="87">
        <v>0</v>
      </c>
      <c r="K184" s="87">
        <v>0</v>
      </c>
      <c r="L184" s="87">
        <v>0</v>
      </c>
      <c r="M184" s="87">
        <v>0</v>
      </c>
      <c r="N184" s="87">
        <v>0</v>
      </c>
      <c r="O184" s="87">
        <v>0</v>
      </c>
      <c r="P184" s="87">
        <v>0</v>
      </c>
      <c r="Q184" s="87">
        <v>0</v>
      </c>
    </row>
    <row r="185" spans="1:17" hidden="1" x14ac:dyDescent="0.3">
      <c r="A185" s="65" t="str">
        <f>CONCATENATE(ota_rns[[#This Row],[채널]],ota_rns[[#This Row],[구분2]],ota_rns[[#This Row],[사업장]])</f>
        <v>OTARNS66</v>
      </c>
      <c r="B185" s="66" t="s">
        <v>66</v>
      </c>
      <c r="C185" s="66" t="s">
        <v>213</v>
      </c>
      <c r="D185" s="97" t="s">
        <v>52</v>
      </c>
      <c r="E185" s="101">
        <v>14460</v>
      </c>
      <c r="F185" s="111">
        <v>1605</v>
      </c>
      <c r="G185" s="111">
        <v>1590</v>
      </c>
      <c r="H185" s="111">
        <v>860</v>
      </c>
      <c r="I185" s="111">
        <v>605</v>
      </c>
      <c r="J185" s="111">
        <v>815</v>
      </c>
      <c r="K185" s="111">
        <v>1070</v>
      </c>
      <c r="L185" s="111">
        <v>1165</v>
      </c>
      <c r="M185" s="111">
        <v>1175</v>
      </c>
      <c r="N185" s="111">
        <v>985</v>
      </c>
      <c r="O185" s="111">
        <v>1320</v>
      </c>
      <c r="P185" s="111">
        <v>1645</v>
      </c>
      <c r="Q185" s="111">
        <v>1625</v>
      </c>
    </row>
    <row r="186" spans="1:17" hidden="1" x14ac:dyDescent="0.3">
      <c r="A186" s="94" t="str">
        <f>CONCATENATE(ota_rns[[#This Row],[채널]],ota_rns[[#This Row],[구분2]],ota_rns[[#This Row],[사업장]])</f>
        <v>OTAADR66</v>
      </c>
      <c r="B186" s="79" t="s">
        <v>66</v>
      </c>
      <c r="C186" s="79" t="s">
        <v>68</v>
      </c>
      <c r="D186" s="81" t="s">
        <v>52</v>
      </c>
      <c r="E186" s="103">
        <v>172.38769017980636</v>
      </c>
      <c r="F186" s="113">
        <v>175.74143302180684</v>
      </c>
      <c r="G186" s="113">
        <v>173.36603773584906</v>
      </c>
      <c r="H186" s="113">
        <v>163.04651162790697</v>
      </c>
      <c r="I186" s="113">
        <v>148.47107438016528</v>
      </c>
      <c r="J186" s="113">
        <v>157.68711656441718</v>
      </c>
      <c r="K186" s="113">
        <v>155.3177570093458</v>
      </c>
      <c r="L186" s="113">
        <v>180.04721030042919</v>
      </c>
      <c r="M186" s="113">
        <v>201.97872340425531</v>
      </c>
      <c r="N186" s="113">
        <v>167.04974619289339</v>
      </c>
      <c r="O186" s="113">
        <v>194.89393939393941</v>
      </c>
      <c r="P186" s="113">
        <v>173.28267477203647</v>
      </c>
      <c r="Q186" s="113">
        <v>157.73846153846154</v>
      </c>
    </row>
    <row r="187" spans="1:17" hidden="1" x14ac:dyDescent="0.3">
      <c r="A187" s="94" t="str">
        <f>CONCATENATE(ota_rns[[#This Row],[채널]],ota_rns[[#This Row],[구분2]],ota_rns[[#This Row],[사업장]])</f>
        <v>OTAREV66</v>
      </c>
      <c r="B187" s="79" t="s">
        <v>66</v>
      </c>
      <c r="C187" s="79" t="s">
        <v>69</v>
      </c>
      <c r="D187" s="81" t="s">
        <v>52</v>
      </c>
      <c r="E187" s="103">
        <v>2492.7260000000001</v>
      </c>
      <c r="F187" s="113">
        <v>282.065</v>
      </c>
      <c r="G187" s="113">
        <v>275.65199999999999</v>
      </c>
      <c r="H187" s="113">
        <v>140.22</v>
      </c>
      <c r="I187" s="113">
        <v>89.825000000000003</v>
      </c>
      <c r="J187" s="113">
        <v>128.51499999999999</v>
      </c>
      <c r="K187" s="113">
        <v>166.19</v>
      </c>
      <c r="L187" s="113">
        <v>209.755</v>
      </c>
      <c r="M187" s="113">
        <v>237.32499999999999</v>
      </c>
      <c r="N187" s="113">
        <v>164.54400000000001</v>
      </c>
      <c r="O187" s="113">
        <v>257.26</v>
      </c>
      <c r="P187" s="113">
        <v>285.05</v>
      </c>
      <c r="Q187" s="113">
        <v>256.32499999999999</v>
      </c>
    </row>
    <row r="188" spans="1:17" hidden="1" x14ac:dyDescent="0.3">
      <c r="A188" s="78" t="str">
        <f>CONCATENATE(ota_rns[[#This Row],[채널]],ota_rns[[#This Row],[구분2]],ota_rns[[#This Row],[사업장]])</f>
        <v>GOTARNS66</v>
      </c>
      <c r="B188" s="79" t="s">
        <v>195</v>
      </c>
      <c r="C188" s="79" t="s">
        <v>191</v>
      </c>
      <c r="D188" s="81" t="s">
        <v>52</v>
      </c>
      <c r="E188" s="91">
        <v>8350</v>
      </c>
      <c r="F188" s="92">
        <v>1150</v>
      </c>
      <c r="G188" s="92">
        <v>1000</v>
      </c>
      <c r="H188" s="92">
        <v>450</v>
      </c>
      <c r="I188" s="92">
        <v>450</v>
      </c>
      <c r="J188" s="92">
        <v>470</v>
      </c>
      <c r="K188" s="92">
        <v>400</v>
      </c>
      <c r="L188" s="92">
        <v>600</v>
      </c>
      <c r="M188" s="92">
        <v>730</v>
      </c>
      <c r="N188" s="92">
        <v>600</v>
      </c>
      <c r="O188" s="92">
        <v>900</v>
      </c>
      <c r="P188" s="92">
        <v>700</v>
      </c>
      <c r="Q188" s="92">
        <v>900</v>
      </c>
    </row>
    <row r="189" spans="1:17" hidden="1" x14ac:dyDescent="0.3">
      <c r="A189" s="78" t="str">
        <f>CONCATENATE(ota_rns[[#This Row],[채널]],ota_rns[[#This Row],[구분2]],ota_rns[[#This Row],[사업장]])</f>
        <v>GOTAADR66</v>
      </c>
      <c r="B189" s="79" t="s">
        <v>195</v>
      </c>
      <c r="C189" s="79" t="s">
        <v>192</v>
      </c>
      <c r="D189" s="81" t="s">
        <v>52</v>
      </c>
      <c r="E189" s="91">
        <v>164.26011976047903</v>
      </c>
      <c r="F189" s="92">
        <v>174</v>
      </c>
      <c r="G189" s="92">
        <v>170</v>
      </c>
      <c r="H189" s="92">
        <v>153</v>
      </c>
      <c r="I189" s="92">
        <v>138</v>
      </c>
      <c r="J189" s="92">
        <v>148.6</v>
      </c>
      <c r="K189" s="92">
        <v>150</v>
      </c>
      <c r="L189" s="92">
        <v>186</v>
      </c>
      <c r="M189" s="92">
        <v>198</v>
      </c>
      <c r="N189" s="92">
        <v>154.4</v>
      </c>
      <c r="O189" s="92">
        <v>181</v>
      </c>
      <c r="P189" s="92">
        <v>142</v>
      </c>
      <c r="Q189" s="92">
        <v>144</v>
      </c>
    </row>
    <row r="190" spans="1:17" hidden="1" x14ac:dyDescent="0.3">
      <c r="A190" s="78" t="str">
        <f>CONCATENATE(ota_rns[[#This Row],[채널]],ota_rns[[#This Row],[구분2]],ota_rns[[#This Row],[사업장]])</f>
        <v>GOTAREV66</v>
      </c>
      <c r="B190" s="79" t="s">
        <v>195</v>
      </c>
      <c r="C190" s="79" t="s">
        <v>193</v>
      </c>
      <c r="D190" s="81" t="s">
        <v>52</v>
      </c>
      <c r="E190" s="91">
        <v>1371.5719999999999</v>
      </c>
      <c r="F190" s="92">
        <v>200.1</v>
      </c>
      <c r="G190" s="92">
        <v>170</v>
      </c>
      <c r="H190" s="92">
        <v>68.849999999999994</v>
      </c>
      <c r="I190" s="92">
        <v>62.1</v>
      </c>
      <c r="J190" s="92">
        <v>69.841999999999999</v>
      </c>
      <c r="K190" s="92">
        <v>60</v>
      </c>
      <c r="L190" s="92">
        <v>111.6</v>
      </c>
      <c r="M190" s="92">
        <v>144.54</v>
      </c>
      <c r="N190" s="92">
        <v>92.64</v>
      </c>
      <c r="O190" s="92">
        <v>162.9</v>
      </c>
      <c r="P190" s="92">
        <v>99.4</v>
      </c>
      <c r="Q190" s="92">
        <v>129.6</v>
      </c>
    </row>
    <row r="191" spans="1:17" hidden="1" x14ac:dyDescent="0.3">
      <c r="A191" s="78" t="str">
        <f>CONCATENATE(ota_rns[[#This Row],[채널]],ota_rns[[#This Row],[구분2]],ota_rns[[#This Row],[사업장]])</f>
        <v>INBOUNDRNS66</v>
      </c>
      <c r="B191" s="79" t="s">
        <v>238</v>
      </c>
      <c r="C191" s="79" t="s">
        <v>213</v>
      </c>
      <c r="D191" s="81" t="s">
        <v>52</v>
      </c>
      <c r="E191" s="91">
        <v>110</v>
      </c>
      <c r="F191" s="92">
        <v>0</v>
      </c>
      <c r="G191" s="92">
        <v>0</v>
      </c>
      <c r="H191" s="92">
        <v>0</v>
      </c>
      <c r="I191" s="92">
        <v>0</v>
      </c>
      <c r="J191" s="92">
        <v>10</v>
      </c>
      <c r="K191" s="92">
        <v>15</v>
      </c>
      <c r="L191" s="92">
        <v>20</v>
      </c>
      <c r="M191" s="92">
        <v>20</v>
      </c>
      <c r="N191" s="92">
        <v>0</v>
      </c>
      <c r="O191" s="92">
        <v>45</v>
      </c>
      <c r="P191" s="92">
        <v>0</v>
      </c>
      <c r="Q191" s="92">
        <v>0</v>
      </c>
    </row>
    <row r="192" spans="1:17" hidden="1" x14ac:dyDescent="0.3">
      <c r="A192" s="78" t="str">
        <f>CONCATENATE(ota_rns[[#This Row],[채널]],ota_rns[[#This Row],[구분2]],ota_rns[[#This Row],[사업장]])</f>
        <v>INBOUNDADR66</v>
      </c>
      <c r="B192" s="79" t="s">
        <v>238</v>
      </c>
      <c r="C192" s="79" t="s">
        <v>192</v>
      </c>
      <c r="D192" s="81" t="s">
        <v>52</v>
      </c>
      <c r="E192" s="91">
        <v>186.36363636363637</v>
      </c>
      <c r="F192" s="87">
        <v>0</v>
      </c>
      <c r="G192" s="87">
        <v>0</v>
      </c>
      <c r="H192" s="87">
        <v>0</v>
      </c>
      <c r="I192" s="87">
        <v>0</v>
      </c>
      <c r="J192" s="92">
        <v>130</v>
      </c>
      <c r="K192" s="92">
        <v>221</v>
      </c>
      <c r="L192" s="92">
        <v>222</v>
      </c>
      <c r="M192" s="92">
        <v>237</v>
      </c>
      <c r="N192" s="87">
        <v>0</v>
      </c>
      <c r="O192" s="92">
        <v>149</v>
      </c>
      <c r="P192" s="87">
        <v>0</v>
      </c>
      <c r="Q192" s="87">
        <v>0</v>
      </c>
    </row>
    <row r="193" spans="1:17" hidden="1" x14ac:dyDescent="0.3">
      <c r="A193" s="78" t="str">
        <f>CONCATENATE(ota_rns[[#This Row],[채널]],ota_rns[[#This Row],[구분2]],ota_rns[[#This Row],[사업장]])</f>
        <v>INBOUNDREV66</v>
      </c>
      <c r="B193" s="79" t="s">
        <v>238</v>
      </c>
      <c r="C193" s="79" t="s">
        <v>193</v>
      </c>
      <c r="D193" s="81" t="s">
        <v>52</v>
      </c>
      <c r="E193" s="91">
        <v>20.5</v>
      </c>
      <c r="F193" s="92">
        <v>0</v>
      </c>
      <c r="G193" s="92">
        <v>0</v>
      </c>
      <c r="H193" s="92">
        <v>0</v>
      </c>
      <c r="I193" s="92">
        <v>0</v>
      </c>
      <c r="J193" s="92">
        <v>1.3</v>
      </c>
      <c r="K193" s="92">
        <v>3.3149999999999999</v>
      </c>
      <c r="L193" s="92">
        <v>4.4400000000000004</v>
      </c>
      <c r="M193" s="92">
        <v>4.74</v>
      </c>
      <c r="N193" s="92">
        <v>0</v>
      </c>
      <c r="O193" s="92">
        <v>6.7050000000000001</v>
      </c>
      <c r="P193" s="92">
        <v>0</v>
      </c>
      <c r="Q193" s="92">
        <v>0</v>
      </c>
    </row>
    <row r="194" spans="1:17" x14ac:dyDescent="0.3">
      <c r="A194" s="78" t="str">
        <f>CONCATENATE(ota_rns[[#This Row],[채널]],ota_rns[[#This Row],[구분2]],ota_rns[[#This Row],[사업장]])</f>
        <v>OTARNS27</v>
      </c>
      <c r="B194" s="79" t="s">
        <v>188</v>
      </c>
      <c r="C194" s="79" t="s">
        <v>191</v>
      </c>
      <c r="D194" s="93" t="s">
        <v>117</v>
      </c>
      <c r="E194" s="122">
        <v>13580</v>
      </c>
      <c r="F194" s="123">
        <v>1500</v>
      </c>
      <c r="G194" s="123">
        <v>1400</v>
      </c>
      <c r="H194" s="123">
        <v>700</v>
      </c>
      <c r="I194" s="123">
        <v>750</v>
      </c>
      <c r="J194" s="123">
        <v>850</v>
      </c>
      <c r="K194" s="123">
        <v>950</v>
      </c>
      <c r="L194" s="123">
        <v>1150</v>
      </c>
      <c r="M194" s="123">
        <v>1250</v>
      </c>
      <c r="N194" s="123">
        <v>1250</v>
      </c>
      <c r="O194" s="123">
        <v>1400</v>
      </c>
      <c r="P194" s="123">
        <v>1300</v>
      </c>
      <c r="Q194" s="123">
        <v>1080</v>
      </c>
    </row>
    <row r="195" spans="1:17" x14ac:dyDescent="0.3">
      <c r="A195" s="78" t="str">
        <f>CONCATENATE(ota_rns[[#This Row],[채널]],ota_rns[[#This Row],[구분2]],ota_rns[[#This Row],[사업장]])</f>
        <v>GOTARNS27</v>
      </c>
      <c r="B195" s="79" t="s">
        <v>195</v>
      </c>
      <c r="C195" s="79" t="s">
        <v>191</v>
      </c>
      <c r="D195" s="93" t="s">
        <v>117</v>
      </c>
      <c r="E195" s="91">
        <v>11430</v>
      </c>
      <c r="F195" s="92">
        <v>1300</v>
      </c>
      <c r="G195" s="92">
        <v>1550</v>
      </c>
      <c r="H195" s="92">
        <v>800</v>
      </c>
      <c r="I195" s="92">
        <v>850</v>
      </c>
      <c r="J195" s="92">
        <v>950</v>
      </c>
      <c r="K195" s="92">
        <v>1050</v>
      </c>
      <c r="L195" s="92">
        <v>1000</v>
      </c>
      <c r="M195" s="92">
        <v>600</v>
      </c>
      <c r="N195" s="92">
        <v>780</v>
      </c>
      <c r="O195" s="92">
        <v>1000</v>
      </c>
      <c r="P195" s="92">
        <v>900</v>
      </c>
      <c r="Q195" s="92">
        <v>650</v>
      </c>
    </row>
    <row r="196" spans="1:17" x14ac:dyDescent="0.3">
      <c r="A196" s="78" t="str">
        <f>CONCATENATE(ota_rns[[#This Row],[채널]],ota_rns[[#This Row],[구분2]],ota_rns[[#This Row],[사업장]])</f>
        <v>INBOUNDRNS27</v>
      </c>
      <c r="B196" s="79" t="s">
        <v>238</v>
      </c>
      <c r="C196" s="79" t="s">
        <v>191</v>
      </c>
      <c r="D196" s="93" t="s">
        <v>117</v>
      </c>
      <c r="E196" s="122">
        <v>0</v>
      </c>
      <c r="F196" s="123">
        <v>0</v>
      </c>
      <c r="G196" s="123">
        <v>0</v>
      </c>
      <c r="H196" s="123">
        <v>0</v>
      </c>
      <c r="I196" s="123">
        <v>0</v>
      </c>
      <c r="J196" s="123">
        <v>0</v>
      </c>
      <c r="K196" s="123">
        <v>0</v>
      </c>
      <c r="L196" s="123">
        <v>0</v>
      </c>
      <c r="M196" s="123">
        <v>0</v>
      </c>
      <c r="N196" s="123">
        <v>0</v>
      </c>
      <c r="O196" s="123">
        <v>0</v>
      </c>
      <c r="P196" s="123">
        <v>0</v>
      </c>
      <c r="Q196" s="123">
        <v>0</v>
      </c>
    </row>
    <row r="197" spans="1:17" x14ac:dyDescent="0.3">
      <c r="A197" s="78" t="str">
        <f>CONCATENATE(ota_rns[[#This Row],[채널]],ota_rns[[#This Row],[구분2]],ota_rns[[#This Row],[사업장]])</f>
        <v>OTARNS46</v>
      </c>
      <c r="B197" s="79" t="s">
        <v>188</v>
      </c>
      <c r="C197" s="79" t="s">
        <v>191</v>
      </c>
      <c r="D197" s="93" t="s">
        <v>122</v>
      </c>
      <c r="E197" s="122">
        <v>3040</v>
      </c>
      <c r="F197" s="123">
        <v>320</v>
      </c>
      <c r="G197" s="123">
        <v>300</v>
      </c>
      <c r="H197" s="123">
        <v>140</v>
      </c>
      <c r="I197" s="123">
        <v>130</v>
      </c>
      <c r="J197" s="123">
        <v>170</v>
      </c>
      <c r="K197" s="123">
        <v>230</v>
      </c>
      <c r="L197" s="123">
        <v>300</v>
      </c>
      <c r="M197" s="123">
        <v>310</v>
      </c>
      <c r="N197" s="123">
        <v>250</v>
      </c>
      <c r="O197" s="123">
        <v>340</v>
      </c>
      <c r="P197" s="123">
        <v>250</v>
      </c>
      <c r="Q197" s="123">
        <v>300</v>
      </c>
    </row>
    <row r="198" spans="1:17" x14ac:dyDescent="0.3">
      <c r="A198" s="78" t="str">
        <f>CONCATENATE(ota_rns[[#This Row],[채널]],ota_rns[[#This Row],[구분2]],ota_rns[[#This Row],[사업장]])</f>
        <v>GOTARNS46</v>
      </c>
      <c r="B198" s="79" t="s">
        <v>195</v>
      </c>
      <c r="C198" s="79" t="s">
        <v>191</v>
      </c>
      <c r="D198" s="93" t="s">
        <v>122</v>
      </c>
      <c r="E198" s="91">
        <v>790</v>
      </c>
      <c r="F198" s="92">
        <v>100</v>
      </c>
      <c r="G198" s="92">
        <v>80</v>
      </c>
      <c r="H198" s="92">
        <v>20</v>
      </c>
      <c r="I198" s="92">
        <v>40</v>
      </c>
      <c r="J198" s="92">
        <v>30</v>
      </c>
      <c r="K198" s="92">
        <v>40</v>
      </c>
      <c r="L198" s="92">
        <v>70</v>
      </c>
      <c r="M198" s="92">
        <v>50</v>
      </c>
      <c r="N198" s="92">
        <v>120</v>
      </c>
      <c r="O198" s="92">
        <v>80</v>
      </c>
      <c r="P198" s="92">
        <v>80</v>
      </c>
      <c r="Q198" s="92">
        <v>80</v>
      </c>
    </row>
    <row r="199" spans="1:17" x14ac:dyDescent="0.3">
      <c r="A199" s="78" t="str">
        <f>CONCATENATE(ota_rns[[#This Row],[채널]],ota_rns[[#This Row],[구분2]],ota_rns[[#This Row],[사업장]])</f>
        <v>INBOUNDRNS46</v>
      </c>
      <c r="B199" s="79" t="s">
        <v>238</v>
      </c>
      <c r="C199" s="79" t="s">
        <v>191</v>
      </c>
      <c r="D199" s="93" t="s">
        <v>122</v>
      </c>
      <c r="E199" s="122">
        <v>0</v>
      </c>
      <c r="F199" s="123">
        <v>0</v>
      </c>
      <c r="G199" s="123">
        <v>0</v>
      </c>
      <c r="H199" s="123">
        <v>0</v>
      </c>
      <c r="I199" s="123">
        <v>0</v>
      </c>
      <c r="J199" s="123">
        <v>0</v>
      </c>
      <c r="K199" s="123">
        <v>0</v>
      </c>
      <c r="L199" s="123">
        <v>0</v>
      </c>
      <c r="M199" s="123">
        <v>0</v>
      </c>
      <c r="N199" s="123">
        <v>0</v>
      </c>
      <c r="O199" s="123">
        <v>0</v>
      </c>
      <c r="P199" s="123">
        <v>0</v>
      </c>
      <c r="Q199" s="123">
        <v>0</v>
      </c>
    </row>
    <row r="200" spans="1:17" x14ac:dyDescent="0.3">
      <c r="A200" s="94" t="str">
        <f>CONCATENATE(ota_rns[[#This Row],[채널]],ota_rns[[#This Row],[구분2]],ota_rns[[#This Row],[사업장]])</f>
        <v>OTARNS70</v>
      </c>
      <c r="B200" s="95" t="s">
        <v>66</v>
      </c>
      <c r="C200" s="95" t="s">
        <v>213</v>
      </c>
      <c r="D200" s="97" t="s">
        <v>221</v>
      </c>
      <c r="E200" s="101">
        <v>45420</v>
      </c>
      <c r="F200" s="111">
        <v>4750</v>
      </c>
      <c r="G200" s="111">
        <v>4250</v>
      </c>
      <c r="H200" s="111">
        <v>2240</v>
      </c>
      <c r="I200" s="111">
        <v>2330</v>
      </c>
      <c r="J200" s="111">
        <v>2620</v>
      </c>
      <c r="K200" s="111">
        <v>3230</v>
      </c>
      <c r="L200" s="111">
        <v>4350</v>
      </c>
      <c r="M200" s="111">
        <v>5610</v>
      </c>
      <c r="N200" s="111">
        <v>3750</v>
      </c>
      <c r="O200" s="111">
        <v>5140</v>
      </c>
      <c r="P200" s="111">
        <v>3300</v>
      </c>
      <c r="Q200" s="111">
        <v>3850</v>
      </c>
    </row>
    <row r="201" spans="1:17" x14ac:dyDescent="0.3">
      <c r="A201" s="78" t="str">
        <f>CONCATENATE(ota_rns[[#This Row],[채널]],ota_rns[[#This Row],[구분2]],ota_rns[[#This Row],[사업장]])</f>
        <v>GOTARNS70</v>
      </c>
      <c r="B201" s="79" t="s">
        <v>195</v>
      </c>
      <c r="C201" s="79" t="s">
        <v>191</v>
      </c>
      <c r="D201" s="98" t="s">
        <v>222</v>
      </c>
      <c r="E201" s="91">
        <v>34420</v>
      </c>
      <c r="F201" s="92">
        <v>4100</v>
      </c>
      <c r="G201" s="92">
        <v>3730</v>
      </c>
      <c r="H201" s="92">
        <v>1870</v>
      </c>
      <c r="I201" s="92">
        <v>1990</v>
      </c>
      <c r="J201" s="92">
        <v>2380</v>
      </c>
      <c r="K201" s="92">
        <v>2640</v>
      </c>
      <c r="L201" s="92">
        <v>3670</v>
      </c>
      <c r="M201" s="92">
        <v>3700</v>
      </c>
      <c r="N201" s="92">
        <v>2900</v>
      </c>
      <c r="O201" s="92">
        <v>2580</v>
      </c>
      <c r="P201" s="92">
        <v>2230</v>
      </c>
      <c r="Q201" s="92">
        <v>2630</v>
      </c>
    </row>
    <row r="202" spans="1:17" x14ac:dyDescent="0.3">
      <c r="A202" s="78" t="str">
        <f>CONCATENATE(ota_rns[[#This Row],[채널]],ota_rns[[#This Row],[구분2]],ota_rns[[#This Row],[사업장]])</f>
        <v>INBOUNDRNS70</v>
      </c>
      <c r="B202" s="79" t="s">
        <v>238</v>
      </c>
      <c r="C202" s="79" t="s">
        <v>213</v>
      </c>
      <c r="D202" s="98" t="s">
        <v>222</v>
      </c>
      <c r="E202" s="91">
        <v>890</v>
      </c>
      <c r="F202" s="92">
        <v>20</v>
      </c>
      <c r="G202" s="92">
        <v>50</v>
      </c>
      <c r="H202" s="92">
        <v>100</v>
      </c>
      <c r="I202" s="92">
        <v>100</v>
      </c>
      <c r="J202" s="92">
        <v>50</v>
      </c>
      <c r="K202" s="92">
        <v>50</v>
      </c>
      <c r="L202" s="92">
        <v>50</v>
      </c>
      <c r="M202" s="92">
        <v>20</v>
      </c>
      <c r="N202" s="92">
        <v>50</v>
      </c>
      <c r="O202" s="92">
        <v>200</v>
      </c>
      <c r="P202" s="92">
        <v>100</v>
      </c>
      <c r="Q202" s="92">
        <v>100</v>
      </c>
    </row>
    <row r="203" spans="1:17" hidden="1" x14ac:dyDescent="0.3">
      <c r="A203" s="94" t="str">
        <f>CONCATENATE(ota_rns[[#This Row],[채널]],ota_rns[[#This Row],[구분2]],ota_rns[[#This Row],[사업장]])</f>
        <v>OTARNS73</v>
      </c>
      <c r="B203" s="94" t="s">
        <v>66</v>
      </c>
      <c r="C203" s="94" t="s">
        <v>213</v>
      </c>
      <c r="D203" s="99" t="s">
        <v>54</v>
      </c>
      <c r="E203" s="108">
        <v>27100</v>
      </c>
      <c r="F203" s="116">
        <v>3450</v>
      </c>
      <c r="G203" s="116">
        <v>3450</v>
      </c>
      <c r="H203" s="116">
        <v>1350</v>
      </c>
      <c r="I203" s="116">
        <v>1650</v>
      </c>
      <c r="J203" s="116">
        <v>1700</v>
      </c>
      <c r="K203" s="116">
        <v>1950</v>
      </c>
      <c r="L203" s="116">
        <v>2750</v>
      </c>
      <c r="M203" s="116">
        <v>3450</v>
      </c>
      <c r="N203" s="116">
        <v>1650</v>
      </c>
      <c r="O203" s="116">
        <v>2250</v>
      </c>
      <c r="P203" s="116">
        <v>1400</v>
      </c>
      <c r="Q203" s="116">
        <v>2050</v>
      </c>
    </row>
    <row r="204" spans="1:17" hidden="1" x14ac:dyDescent="0.3">
      <c r="A204" s="94" t="str">
        <f>CONCATENATE(ota_rns[[#This Row],[채널]],ota_rns[[#This Row],[구분2]],ota_rns[[#This Row],[사업장]])</f>
        <v>OTAADR73</v>
      </c>
      <c r="B204" s="79" t="s">
        <v>66</v>
      </c>
      <c r="C204" s="79" t="s">
        <v>68</v>
      </c>
      <c r="D204" s="80" t="s">
        <v>54</v>
      </c>
      <c r="E204" s="103">
        <v>176.97232472324723</v>
      </c>
      <c r="F204" s="113">
        <v>156.82608695652175</v>
      </c>
      <c r="G204" s="113">
        <v>157.78260869565219</v>
      </c>
      <c r="H204" s="113">
        <v>167</v>
      </c>
      <c r="I204" s="113">
        <v>163.06060606060606</v>
      </c>
      <c r="J204" s="113">
        <v>185.55882352941177</v>
      </c>
      <c r="K204" s="113">
        <v>166.66666666666666</v>
      </c>
      <c r="L204" s="113">
        <v>199.45454545454547</v>
      </c>
      <c r="M204" s="113">
        <v>208.47826086956522</v>
      </c>
      <c r="N204" s="113">
        <v>187.45454545454547</v>
      </c>
      <c r="O204" s="113">
        <v>179.6</v>
      </c>
      <c r="P204" s="113">
        <v>176.17857142857142</v>
      </c>
      <c r="Q204" s="113">
        <v>169.65853658536585</v>
      </c>
    </row>
    <row r="205" spans="1:17" hidden="1" x14ac:dyDescent="0.3">
      <c r="A205" s="94" t="str">
        <f>CONCATENATE(ota_rns[[#This Row],[채널]],ota_rns[[#This Row],[구분2]],ota_rns[[#This Row],[사업장]])</f>
        <v>OTAREV73</v>
      </c>
      <c r="B205" s="79" t="s">
        <v>66</v>
      </c>
      <c r="C205" s="79" t="s">
        <v>69</v>
      </c>
      <c r="D205" s="80" t="s">
        <v>54</v>
      </c>
      <c r="E205" s="103">
        <v>4795.95</v>
      </c>
      <c r="F205" s="113">
        <v>541.04999999999995</v>
      </c>
      <c r="G205" s="113">
        <v>544.35</v>
      </c>
      <c r="H205" s="113">
        <v>225.45</v>
      </c>
      <c r="I205" s="113">
        <v>269.05</v>
      </c>
      <c r="J205" s="113">
        <v>315.45</v>
      </c>
      <c r="K205" s="113">
        <v>325</v>
      </c>
      <c r="L205" s="113">
        <v>548.5</v>
      </c>
      <c r="M205" s="113">
        <v>719.25</v>
      </c>
      <c r="N205" s="113">
        <v>309.3</v>
      </c>
      <c r="O205" s="113">
        <v>404.1</v>
      </c>
      <c r="P205" s="113">
        <v>246.65</v>
      </c>
      <c r="Q205" s="113">
        <v>347.8</v>
      </c>
    </row>
    <row r="206" spans="1:17" hidden="1" x14ac:dyDescent="0.3">
      <c r="A206" s="78" t="str">
        <f>CONCATENATE(ota_rns[[#This Row],[채널]],ota_rns[[#This Row],[구분2]],ota_rns[[#This Row],[사업장]])</f>
        <v>GOTARNS73</v>
      </c>
      <c r="B206" s="79" t="s">
        <v>195</v>
      </c>
      <c r="C206" s="79" t="s">
        <v>191</v>
      </c>
      <c r="D206" s="80" t="s">
        <v>54</v>
      </c>
      <c r="E206" s="91">
        <v>12350</v>
      </c>
      <c r="F206" s="92">
        <v>1700</v>
      </c>
      <c r="G206" s="92">
        <v>1300</v>
      </c>
      <c r="H206" s="92">
        <v>550</v>
      </c>
      <c r="I206" s="92">
        <v>450</v>
      </c>
      <c r="J206" s="92">
        <v>600</v>
      </c>
      <c r="K206" s="92">
        <v>900</v>
      </c>
      <c r="L206" s="92">
        <v>1400</v>
      </c>
      <c r="M206" s="92">
        <v>1500</v>
      </c>
      <c r="N206" s="92">
        <v>950</v>
      </c>
      <c r="O206" s="92">
        <v>1100</v>
      </c>
      <c r="P206" s="92">
        <v>750</v>
      </c>
      <c r="Q206" s="92">
        <v>1150</v>
      </c>
    </row>
    <row r="207" spans="1:17" hidden="1" x14ac:dyDescent="0.3">
      <c r="A207" s="78" t="str">
        <f>CONCATENATE(ota_rns[[#This Row],[채널]],ota_rns[[#This Row],[구분2]],ota_rns[[#This Row],[사업장]])</f>
        <v>GOTAADR73</v>
      </c>
      <c r="B207" s="79" t="s">
        <v>195</v>
      </c>
      <c r="C207" s="79" t="s">
        <v>192</v>
      </c>
      <c r="D207" s="80" t="s">
        <v>54</v>
      </c>
      <c r="E207" s="91">
        <v>176.09063967611334</v>
      </c>
      <c r="F207" s="92">
        <v>166.32647058823528</v>
      </c>
      <c r="G207" s="92">
        <v>159.61538461538461</v>
      </c>
      <c r="H207" s="92">
        <v>165.72727272727272</v>
      </c>
      <c r="I207" s="92">
        <v>160.24444444444444</v>
      </c>
      <c r="J207" s="92">
        <v>182.5</v>
      </c>
      <c r="K207" s="92">
        <v>164.3</v>
      </c>
      <c r="L207" s="92">
        <v>197.85714285714286</v>
      </c>
      <c r="M207" s="92">
        <v>204</v>
      </c>
      <c r="N207" s="92">
        <v>187.15789473684211</v>
      </c>
      <c r="O207" s="92">
        <v>173.72727272727272</v>
      </c>
      <c r="P207" s="92">
        <v>167.97919999999999</v>
      </c>
      <c r="Q207" s="92">
        <v>161.69565217391303</v>
      </c>
    </row>
    <row r="208" spans="1:17" hidden="1" x14ac:dyDescent="0.3">
      <c r="A208" s="78" t="str">
        <f>CONCATENATE(ota_rns[[#This Row],[채널]],ota_rns[[#This Row],[구분2]],ota_rns[[#This Row],[사업장]])</f>
        <v>GOTAREV73</v>
      </c>
      <c r="B208" s="79" t="s">
        <v>195</v>
      </c>
      <c r="C208" s="79" t="s">
        <v>193</v>
      </c>
      <c r="D208" s="80" t="s">
        <v>54</v>
      </c>
      <c r="E208" s="91">
        <v>2174.7194</v>
      </c>
      <c r="F208" s="92">
        <v>282.755</v>
      </c>
      <c r="G208" s="92">
        <v>207.5</v>
      </c>
      <c r="H208" s="92">
        <v>91.15</v>
      </c>
      <c r="I208" s="92">
        <v>72.11</v>
      </c>
      <c r="J208" s="92">
        <v>109.5</v>
      </c>
      <c r="K208" s="92">
        <v>147.87</v>
      </c>
      <c r="L208" s="92">
        <v>277</v>
      </c>
      <c r="M208" s="92">
        <v>306</v>
      </c>
      <c r="N208" s="92">
        <v>177.8</v>
      </c>
      <c r="O208" s="92">
        <v>191.1</v>
      </c>
      <c r="P208" s="92">
        <v>125.98439999999999</v>
      </c>
      <c r="Q208" s="92">
        <v>185.95</v>
      </c>
    </row>
    <row r="209" spans="1:17" hidden="1" x14ac:dyDescent="0.3">
      <c r="A209" s="78" t="str">
        <f>CONCATENATE(ota_rns[[#This Row],[채널]],ota_rns[[#This Row],[구분2]],ota_rns[[#This Row],[사업장]])</f>
        <v>INBOUNDRNS73</v>
      </c>
      <c r="B209" s="79" t="s">
        <v>238</v>
      </c>
      <c r="C209" s="79" t="s">
        <v>213</v>
      </c>
      <c r="D209" s="80" t="s">
        <v>54</v>
      </c>
      <c r="E209" s="91">
        <v>350</v>
      </c>
      <c r="F209" s="92">
        <v>0</v>
      </c>
      <c r="G209" s="92">
        <v>0</v>
      </c>
      <c r="H209" s="92">
        <v>100</v>
      </c>
      <c r="I209" s="92">
        <v>0</v>
      </c>
      <c r="J209" s="92">
        <v>0</v>
      </c>
      <c r="K209" s="92">
        <v>0</v>
      </c>
      <c r="L209" s="92">
        <v>0</v>
      </c>
      <c r="M209" s="92">
        <v>0</v>
      </c>
      <c r="N209" s="92">
        <v>0</v>
      </c>
      <c r="O209" s="92">
        <v>100</v>
      </c>
      <c r="P209" s="92">
        <v>150</v>
      </c>
      <c r="Q209" s="92">
        <v>0</v>
      </c>
    </row>
    <row r="210" spans="1:17" hidden="1" x14ac:dyDescent="0.3">
      <c r="A210" s="78" t="str">
        <f>CONCATENATE(ota_rns[[#This Row],[채널]],ota_rns[[#This Row],[구분2]],ota_rns[[#This Row],[사업장]])</f>
        <v>INBOUNDADR73</v>
      </c>
      <c r="B210" s="79" t="s">
        <v>238</v>
      </c>
      <c r="C210" s="79" t="s">
        <v>192</v>
      </c>
      <c r="D210" s="80" t="s">
        <v>54</v>
      </c>
      <c r="E210" s="91">
        <v>77.142857142857139</v>
      </c>
      <c r="F210" s="87">
        <v>0</v>
      </c>
      <c r="G210" s="87">
        <v>0</v>
      </c>
      <c r="H210" s="92">
        <v>70</v>
      </c>
      <c r="I210" s="87">
        <v>0</v>
      </c>
      <c r="J210" s="87">
        <v>0</v>
      </c>
      <c r="K210" s="87">
        <v>0</v>
      </c>
      <c r="L210" s="87">
        <v>0</v>
      </c>
      <c r="M210" s="87">
        <v>0</v>
      </c>
      <c r="N210" s="87">
        <v>0</v>
      </c>
      <c r="O210" s="92">
        <v>70</v>
      </c>
      <c r="P210" s="92">
        <v>86.666666666666671</v>
      </c>
      <c r="Q210" s="87">
        <v>0</v>
      </c>
    </row>
    <row r="211" spans="1:17" hidden="1" x14ac:dyDescent="0.3">
      <c r="A211" s="78" t="str">
        <f>CONCATENATE(ota_rns[[#This Row],[채널]],ota_rns[[#This Row],[구분2]],ota_rns[[#This Row],[사업장]])</f>
        <v>INBOUNDREV73</v>
      </c>
      <c r="B211" s="79" t="s">
        <v>238</v>
      </c>
      <c r="C211" s="79" t="s">
        <v>193</v>
      </c>
      <c r="D211" s="80" t="s">
        <v>54</v>
      </c>
      <c r="E211" s="91">
        <v>27</v>
      </c>
      <c r="F211" s="92">
        <v>0</v>
      </c>
      <c r="G211" s="92">
        <v>0</v>
      </c>
      <c r="H211" s="92">
        <v>7</v>
      </c>
      <c r="I211" s="92">
        <v>0</v>
      </c>
      <c r="J211" s="92">
        <v>0</v>
      </c>
      <c r="K211" s="92">
        <v>0</v>
      </c>
      <c r="L211" s="92">
        <v>0</v>
      </c>
      <c r="M211" s="92">
        <v>0</v>
      </c>
      <c r="N211" s="92">
        <v>0</v>
      </c>
      <c r="O211" s="92">
        <v>7</v>
      </c>
      <c r="P211" s="92">
        <v>13</v>
      </c>
      <c r="Q211" s="92">
        <v>0</v>
      </c>
    </row>
    <row r="212" spans="1:17" hidden="1" x14ac:dyDescent="0.3">
      <c r="A212" s="94" t="str">
        <f>CONCATENATE(ota_rns[[#This Row],[채널]],ota_rns[[#This Row],[구분2]],ota_rns[[#This Row],[사업장]])</f>
        <v>OTARNS77</v>
      </c>
      <c r="B212" s="95" t="s">
        <v>66</v>
      </c>
      <c r="C212" s="95" t="s">
        <v>213</v>
      </c>
      <c r="D212" s="97" t="s">
        <v>58</v>
      </c>
      <c r="E212" s="101">
        <v>33550</v>
      </c>
      <c r="F212" s="111">
        <v>3700</v>
      </c>
      <c r="G212" s="111">
        <v>3300</v>
      </c>
      <c r="H212" s="111">
        <v>1900</v>
      </c>
      <c r="I212" s="111">
        <v>2200</v>
      </c>
      <c r="J212" s="111">
        <v>2300</v>
      </c>
      <c r="K212" s="111">
        <v>2800</v>
      </c>
      <c r="L212" s="111">
        <v>3450</v>
      </c>
      <c r="M212" s="111">
        <v>3300</v>
      </c>
      <c r="N212" s="111">
        <v>2500</v>
      </c>
      <c r="O212" s="111">
        <v>2500</v>
      </c>
      <c r="P212" s="111">
        <v>2400</v>
      </c>
      <c r="Q212" s="111">
        <v>3200</v>
      </c>
    </row>
    <row r="213" spans="1:17" hidden="1" x14ac:dyDescent="0.3">
      <c r="A213" s="94" t="str">
        <f>CONCATENATE(ota_rns[[#This Row],[채널]],ota_rns[[#This Row],[구분2]],ota_rns[[#This Row],[사업장]])</f>
        <v>OTAADR77</v>
      </c>
      <c r="B213" s="79" t="s">
        <v>66</v>
      </c>
      <c r="C213" s="79" t="s">
        <v>68</v>
      </c>
      <c r="D213" s="81" t="s">
        <v>58</v>
      </c>
      <c r="E213" s="103">
        <v>217.42874649180328</v>
      </c>
      <c r="F213" s="113">
        <v>200</v>
      </c>
      <c r="G213" s="113">
        <v>185</v>
      </c>
      <c r="H213" s="113">
        <v>212</v>
      </c>
      <c r="I213" s="113">
        <v>193</v>
      </c>
      <c r="J213" s="113">
        <v>217</v>
      </c>
      <c r="K213" s="113">
        <v>205</v>
      </c>
      <c r="L213" s="113">
        <v>233</v>
      </c>
      <c r="M213" s="113">
        <v>270</v>
      </c>
      <c r="N213" s="113">
        <v>217</v>
      </c>
      <c r="O213" s="113">
        <v>233</v>
      </c>
      <c r="P213" s="113">
        <v>225.95185200000003</v>
      </c>
      <c r="Q213" s="113">
        <v>213</v>
      </c>
    </row>
    <row r="214" spans="1:17" hidden="1" x14ac:dyDescent="0.3">
      <c r="A214" s="94" t="str">
        <f>CONCATENATE(ota_rns[[#This Row],[채널]],ota_rns[[#This Row],[구분2]],ota_rns[[#This Row],[사업장]])</f>
        <v>OTAREV77</v>
      </c>
      <c r="B214" s="79" t="s">
        <v>66</v>
      </c>
      <c r="C214" s="79" t="s">
        <v>69</v>
      </c>
      <c r="D214" s="81" t="s">
        <v>58</v>
      </c>
      <c r="E214" s="103">
        <v>7294.7344447999994</v>
      </c>
      <c r="F214" s="113">
        <v>740</v>
      </c>
      <c r="G214" s="113">
        <v>610.5</v>
      </c>
      <c r="H214" s="113">
        <v>402.8</v>
      </c>
      <c r="I214" s="113">
        <v>424.6</v>
      </c>
      <c r="J214" s="113">
        <v>499.1</v>
      </c>
      <c r="K214" s="113">
        <v>574</v>
      </c>
      <c r="L214" s="113">
        <v>803.85</v>
      </c>
      <c r="M214" s="113">
        <v>891</v>
      </c>
      <c r="N214" s="113">
        <v>542.5</v>
      </c>
      <c r="O214" s="113">
        <v>582.5</v>
      </c>
      <c r="P214" s="113">
        <v>542.28444480000007</v>
      </c>
      <c r="Q214" s="113">
        <v>681.6</v>
      </c>
    </row>
    <row r="215" spans="1:17" hidden="1" x14ac:dyDescent="0.3">
      <c r="A215" s="78" t="str">
        <f>CONCATENATE(ota_rns[[#This Row],[채널]],ota_rns[[#This Row],[구분2]],ota_rns[[#This Row],[사업장]])</f>
        <v>GOTARNS77</v>
      </c>
      <c r="B215" s="79" t="s">
        <v>195</v>
      </c>
      <c r="C215" s="79" t="s">
        <v>191</v>
      </c>
      <c r="D215" s="81" t="s">
        <v>58</v>
      </c>
      <c r="E215" s="91">
        <v>21300</v>
      </c>
      <c r="F215" s="92">
        <v>2000</v>
      </c>
      <c r="G215" s="92">
        <v>1800</v>
      </c>
      <c r="H215" s="92">
        <v>1100</v>
      </c>
      <c r="I215" s="92">
        <v>1400</v>
      </c>
      <c r="J215" s="92">
        <v>1500</v>
      </c>
      <c r="K215" s="92">
        <v>2000</v>
      </c>
      <c r="L215" s="92">
        <v>2800</v>
      </c>
      <c r="M215" s="92">
        <v>2600</v>
      </c>
      <c r="N215" s="92">
        <v>1500</v>
      </c>
      <c r="O215" s="92">
        <v>1500</v>
      </c>
      <c r="P215" s="92">
        <v>1500</v>
      </c>
      <c r="Q215" s="92">
        <v>1600</v>
      </c>
    </row>
    <row r="216" spans="1:17" hidden="1" x14ac:dyDescent="0.3">
      <c r="A216" s="78" t="str">
        <f>CONCATENATE(ota_rns[[#This Row],[채널]],ota_rns[[#This Row],[구분2]],ota_rns[[#This Row],[사업장]])</f>
        <v>GOTAADR77</v>
      </c>
      <c r="B216" s="79" t="s">
        <v>195</v>
      </c>
      <c r="C216" s="79" t="s">
        <v>192</v>
      </c>
      <c r="D216" s="81" t="s">
        <v>58</v>
      </c>
      <c r="E216" s="91">
        <v>210.02112676056339</v>
      </c>
      <c r="F216" s="92">
        <v>190</v>
      </c>
      <c r="G216" s="92">
        <v>179</v>
      </c>
      <c r="H216" s="92">
        <v>191</v>
      </c>
      <c r="I216" s="92">
        <v>191</v>
      </c>
      <c r="J216" s="92">
        <v>211</v>
      </c>
      <c r="K216" s="92">
        <v>194</v>
      </c>
      <c r="L216" s="92">
        <v>224</v>
      </c>
      <c r="M216" s="92">
        <v>261.5</v>
      </c>
      <c r="N216" s="92">
        <v>199</v>
      </c>
      <c r="O216" s="92">
        <v>215</v>
      </c>
      <c r="P216" s="92">
        <v>222.1</v>
      </c>
      <c r="Q216" s="92">
        <v>205</v>
      </c>
    </row>
    <row r="217" spans="1:17" hidden="1" x14ac:dyDescent="0.3">
      <c r="A217" s="78" t="str">
        <f>CONCATENATE(ota_rns[[#This Row],[채널]],ota_rns[[#This Row],[구분2]],ota_rns[[#This Row],[사업장]])</f>
        <v>GOTAREV77</v>
      </c>
      <c r="B217" s="79" t="s">
        <v>195</v>
      </c>
      <c r="C217" s="79" t="s">
        <v>193</v>
      </c>
      <c r="D217" s="81" t="s">
        <v>58</v>
      </c>
      <c r="E217" s="91">
        <v>4473.45</v>
      </c>
      <c r="F217" s="92">
        <v>380</v>
      </c>
      <c r="G217" s="92">
        <v>322.2</v>
      </c>
      <c r="H217" s="92">
        <v>210.1</v>
      </c>
      <c r="I217" s="92">
        <v>267.39999999999998</v>
      </c>
      <c r="J217" s="92">
        <v>316.5</v>
      </c>
      <c r="K217" s="92">
        <v>388</v>
      </c>
      <c r="L217" s="92">
        <v>627.20000000000005</v>
      </c>
      <c r="M217" s="92">
        <v>679.9</v>
      </c>
      <c r="N217" s="92">
        <v>298.5</v>
      </c>
      <c r="O217" s="92">
        <v>322.5</v>
      </c>
      <c r="P217" s="92">
        <v>333.15</v>
      </c>
      <c r="Q217" s="92">
        <v>328</v>
      </c>
    </row>
    <row r="218" spans="1:17" hidden="1" x14ac:dyDescent="0.3">
      <c r="A218" s="78" t="str">
        <f>CONCATENATE(ota_rns[[#This Row],[채널]],ota_rns[[#This Row],[구분2]],ota_rns[[#This Row],[사업장]])</f>
        <v>INBOUNDRNS77</v>
      </c>
      <c r="B218" s="79" t="s">
        <v>238</v>
      </c>
      <c r="C218" s="79" t="s">
        <v>213</v>
      </c>
      <c r="D218" s="81" t="s">
        <v>58</v>
      </c>
      <c r="E218" s="87">
        <v>0</v>
      </c>
      <c r="F218" s="87">
        <v>0</v>
      </c>
      <c r="G218" s="87">
        <v>0</v>
      </c>
      <c r="H218" s="87">
        <v>0</v>
      </c>
      <c r="I218" s="87">
        <v>0</v>
      </c>
      <c r="J218" s="87">
        <v>0</v>
      </c>
      <c r="K218" s="87">
        <v>0</v>
      </c>
      <c r="L218" s="87">
        <v>0</v>
      </c>
      <c r="M218" s="87">
        <v>0</v>
      </c>
      <c r="N218" s="87">
        <v>0</v>
      </c>
      <c r="O218" s="87">
        <v>0</v>
      </c>
      <c r="P218" s="87">
        <v>0</v>
      </c>
      <c r="Q218" s="87">
        <v>0</v>
      </c>
    </row>
    <row r="219" spans="1:17" hidden="1" x14ac:dyDescent="0.3">
      <c r="A219" s="78" t="str">
        <f>CONCATENATE(ota_rns[[#This Row],[채널]],ota_rns[[#This Row],[구분2]],ota_rns[[#This Row],[사업장]])</f>
        <v>INBOUNDADR77</v>
      </c>
      <c r="B219" s="79" t="s">
        <v>238</v>
      </c>
      <c r="C219" s="79" t="s">
        <v>192</v>
      </c>
      <c r="D219" s="81" t="s">
        <v>58</v>
      </c>
      <c r="E219" s="87">
        <v>0</v>
      </c>
      <c r="F219" s="87">
        <v>0</v>
      </c>
      <c r="G219" s="87">
        <v>0</v>
      </c>
      <c r="H219" s="87">
        <v>0</v>
      </c>
      <c r="I219" s="87">
        <v>0</v>
      </c>
      <c r="J219" s="87">
        <v>0</v>
      </c>
      <c r="K219" s="87">
        <v>0</v>
      </c>
      <c r="L219" s="87">
        <v>0</v>
      </c>
      <c r="M219" s="87">
        <v>0</v>
      </c>
      <c r="N219" s="87">
        <v>0</v>
      </c>
      <c r="O219" s="87">
        <v>0</v>
      </c>
      <c r="P219" s="87">
        <v>0</v>
      </c>
      <c r="Q219" s="87">
        <v>0</v>
      </c>
    </row>
    <row r="220" spans="1:17" hidden="1" x14ac:dyDescent="0.3">
      <c r="A220" s="78" t="str">
        <f>CONCATENATE(ota_rns[[#This Row],[채널]],ota_rns[[#This Row],[구분2]],ota_rns[[#This Row],[사업장]])</f>
        <v>INBOUNDREV77</v>
      </c>
      <c r="B220" s="79" t="s">
        <v>238</v>
      </c>
      <c r="C220" s="79" t="s">
        <v>193</v>
      </c>
      <c r="D220" s="81" t="s">
        <v>58</v>
      </c>
      <c r="E220" s="91">
        <v>0</v>
      </c>
      <c r="F220" s="92">
        <v>0</v>
      </c>
      <c r="G220" s="92">
        <v>0</v>
      </c>
      <c r="H220" s="92">
        <v>0</v>
      </c>
      <c r="I220" s="92">
        <v>0</v>
      </c>
      <c r="J220" s="92">
        <v>0</v>
      </c>
      <c r="K220" s="92">
        <v>0</v>
      </c>
      <c r="L220" s="92">
        <v>0</v>
      </c>
      <c r="M220" s="92">
        <v>0</v>
      </c>
      <c r="N220" s="92">
        <v>0</v>
      </c>
      <c r="O220" s="92">
        <v>0</v>
      </c>
      <c r="P220" s="92">
        <v>0</v>
      </c>
      <c r="Q220" s="92">
        <v>0</v>
      </c>
    </row>
    <row r="221" spans="1:17" hidden="1" x14ac:dyDescent="0.3">
      <c r="A221" s="94" t="str">
        <f>CONCATENATE(ota_rns[[#This Row],[채널]],ota_rns[[#This Row],[구분2]],ota_rns[[#This Row],[사업장]])</f>
        <v>OTARNS85</v>
      </c>
      <c r="B221" s="95" t="s">
        <v>66</v>
      </c>
      <c r="C221" s="95" t="s">
        <v>213</v>
      </c>
      <c r="D221" s="97" t="s">
        <v>62</v>
      </c>
      <c r="E221" s="101">
        <v>22180</v>
      </c>
      <c r="F221" s="111">
        <v>1900</v>
      </c>
      <c r="G221" s="111">
        <v>1730</v>
      </c>
      <c r="H221" s="111">
        <v>1830</v>
      </c>
      <c r="I221" s="111">
        <v>1950</v>
      </c>
      <c r="J221" s="111">
        <v>1900</v>
      </c>
      <c r="K221" s="111">
        <v>1850</v>
      </c>
      <c r="L221" s="111">
        <v>1930</v>
      </c>
      <c r="M221" s="111">
        <v>1860</v>
      </c>
      <c r="N221" s="111">
        <v>1780</v>
      </c>
      <c r="O221" s="111">
        <v>1790</v>
      </c>
      <c r="P221" s="111">
        <v>1740</v>
      </c>
      <c r="Q221" s="111">
        <v>1920</v>
      </c>
    </row>
    <row r="222" spans="1:17" hidden="1" x14ac:dyDescent="0.3">
      <c r="A222" s="94" t="str">
        <f>CONCATENATE(ota_rns[[#This Row],[채널]],ota_rns[[#This Row],[구분2]],ota_rns[[#This Row],[사업장]])</f>
        <v>OTAADR85</v>
      </c>
      <c r="B222" s="79" t="s">
        <v>66</v>
      </c>
      <c r="C222" s="79" t="s">
        <v>68</v>
      </c>
      <c r="D222" s="97" t="s">
        <v>62</v>
      </c>
      <c r="E222" s="103">
        <v>355.72995142383428</v>
      </c>
      <c r="F222" s="113">
        <v>325.76315789473682</v>
      </c>
      <c r="G222" s="113">
        <v>340.99421965317919</v>
      </c>
      <c r="H222" s="113">
        <v>330.13114754098359</v>
      </c>
      <c r="I222" s="113">
        <v>332.93333333333334</v>
      </c>
      <c r="J222" s="113">
        <v>361.68947368421055</v>
      </c>
      <c r="K222" s="113">
        <v>345.97837837837835</v>
      </c>
      <c r="L222" s="113">
        <v>388.45077720207252</v>
      </c>
      <c r="M222" s="113">
        <v>425.29032258064518</v>
      </c>
      <c r="N222" s="113">
        <v>357.84269662921349</v>
      </c>
      <c r="O222" s="113">
        <v>361.32402234636874</v>
      </c>
      <c r="P222" s="113">
        <v>347.91397849462362</v>
      </c>
      <c r="Q222" s="113">
        <v>349.34375</v>
      </c>
    </row>
    <row r="223" spans="1:17" hidden="1" x14ac:dyDescent="0.3">
      <c r="A223" s="94" t="str">
        <f>CONCATENATE(ota_rns[[#This Row],[채널]],ota_rns[[#This Row],[구분2]],ota_rns[[#This Row],[사업장]])</f>
        <v>OTAREV85</v>
      </c>
      <c r="B223" s="79" t="s">
        <v>66</v>
      </c>
      <c r="C223" s="79" t="s">
        <v>69</v>
      </c>
      <c r="D223" s="97" t="s">
        <v>62</v>
      </c>
      <c r="E223" s="103">
        <v>7890.0903225806451</v>
      </c>
      <c r="F223" s="113">
        <v>618.95000000000005</v>
      </c>
      <c r="G223" s="113">
        <v>589.91999999999996</v>
      </c>
      <c r="H223" s="113">
        <v>604.14</v>
      </c>
      <c r="I223" s="113">
        <v>649.22</v>
      </c>
      <c r="J223" s="113">
        <v>687.21</v>
      </c>
      <c r="K223" s="113">
        <v>640.05999999999995</v>
      </c>
      <c r="L223" s="113">
        <v>749.71</v>
      </c>
      <c r="M223" s="113">
        <v>791.04</v>
      </c>
      <c r="N223" s="113">
        <v>636.96</v>
      </c>
      <c r="O223" s="113">
        <v>646.77</v>
      </c>
      <c r="P223" s="113">
        <v>605.37032258064505</v>
      </c>
      <c r="Q223" s="113">
        <v>670.74</v>
      </c>
    </row>
    <row r="224" spans="1:17" hidden="1" x14ac:dyDescent="0.3">
      <c r="A224" s="78" t="str">
        <f>CONCATENATE(ota_rns[[#This Row],[채널]],ota_rns[[#This Row],[구분2]],ota_rns[[#This Row],[사업장]])</f>
        <v>GOTARNS85</v>
      </c>
      <c r="B224" s="79" t="s">
        <v>195</v>
      </c>
      <c r="C224" s="79" t="s">
        <v>191</v>
      </c>
      <c r="D224" s="97" t="s">
        <v>62</v>
      </c>
      <c r="E224" s="91">
        <v>11370</v>
      </c>
      <c r="F224" s="92">
        <v>960</v>
      </c>
      <c r="G224" s="92">
        <v>870</v>
      </c>
      <c r="H224" s="92">
        <v>820</v>
      </c>
      <c r="I224" s="92">
        <v>960</v>
      </c>
      <c r="J224" s="92">
        <v>1030</v>
      </c>
      <c r="K224" s="92">
        <v>910</v>
      </c>
      <c r="L224" s="92">
        <v>1040</v>
      </c>
      <c r="M224" s="92">
        <v>980</v>
      </c>
      <c r="N224" s="92">
        <v>970</v>
      </c>
      <c r="O224" s="92">
        <v>900</v>
      </c>
      <c r="P224" s="92">
        <v>900</v>
      </c>
      <c r="Q224" s="92">
        <v>1030</v>
      </c>
    </row>
    <row r="225" spans="1:17" hidden="1" x14ac:dyDescent="0.3">
      <c r="A225" s="78" t="str">
        <f>CONCATENATE(ota_rns[[#This Row],[채널]],ota_rns[[#This Row],[구분2]],ota_rns[[#This Row],[사업장]])</f>
        <v>GOTAADR85</v>
      </c>
      <c r="B225" s="79" t="s">
        <v>195</v>
      </c>
      <c r="C225" s="79" t="s">
        <v>192</v>
      </c>
      <c r="D225" s="97" t="s">
        <v>62</v>
      </c>
      <c r="E225" s="91">
        <v>354.94283201407211</v>
      </c>
      <c r="F225" s="92">
        <v>331.08333333333331</v>
      </c>
      <c r="G225" s="92">
        <v>331.58620689655174</v>
      </c>
      <c r="H225" s="92">
        <v>313.3780487804878</v>
      </c>
      <c r="I225" s="92">
        <v>326.33333333333331</v>
      </c>
      <c r="J225" s="92">
        <v>360.33980582524271</v>
      </c>
      <c r="K225" s="92">
        <v>342.41758241758242</v>
      </c>
      <c r="L225" s="92">
        <v>396.26923076923077</v>
      </c>
      <c r="M225" s="92">
        <v>421.20408163265307</v>
      </c>
      <c r="N225" s="92">
        <v>360.63917525773195</v>
      </c>
      <c r="O225" s="92">
        <v>362.24444444444447</v>
      </c>
      <c r="P225" s="92">
        <v>351.33333333333331</v>
      </c>
      <c r="Q225" s="92">
        <v>348.97087378640776</v>
      </c>
    </row>
    <row r="226" spans="1:17" hidden="1" x14ac:dyDescent="0.3">
      <c r="A226" s="78" t="str">
        <f>CONCATENATE(ota_rns[[#This Row],[채널]],ota_rns[[#This Row],[구분2]],ota_rns[[#This Row],[사업장]])</f>
        <v>GOTAREV85</v>
      </c>
      <c r="B226" s="79" t="s">
        <v>195</v>
      </c>
      <c r="C226" s="79" t="s">
        <v>193</v>
      </c>
      <c r="D226" s="97" t="s">
        <v>62</v>
      </c>
      <c r="E226" s="91">
        <v>4035.7</v>
      </c>
      <c r="F226" s="92">
        <v>317.83999999999997</v>
      </c>
      <c r="G226" s="92">
        <v>288.48</v>
      </c>
      <c r="H226" s="92">
        <v>256.97000000000003</v>
      </c>
      <c r="I226" s="92">
        <v>313.27999999999997</v>
      </c>
      <c r="J226" s="92">
        <v>371.15</v>
      </c>
      <c r="K226" s="92">
        <v>311.60000000000002</v>
      </c>
      <c r="L226" s="92">
        <v>412.12</v>
      </c>
      <c r="M226" s="92">
        <v>412.78</v>
      </c>
      <c r="N226" s="92">
        <v>349.82</v>
      </c>
      <c r="O226" s="92">
        <v>326.02</v>
      </c>
      <c r="P226" s="92">
        <v>316.2</v>
      </c>
      <c r="Q226" s="92">
        <v>359.44</v>
      </c>
    </row>
    <row r="227" spans="1:17" hidden="1" x14ac:dyDescent="0.3">
      <c r="A227" s="78" t="str">
        <f>CONCATENATE(ota_rns[[#This Row],[채널]],ota_rns[[#This Row],[구분2]],ota_rns[[#This Row],[사업장]])</f>
        <v>INBOUNDRNS85</v>
      </c>
      <c r="B227" s="79" t="s">
        <v>238</v>
      </c>
      <c r="C227" s="79" t="s">
        <v>213</v>
      </c>
      <c r="D227" s="97" t="s">
        <v>62</v>
      </c>
      <c r="E227" s="87">
        <v>0</v>
      </c>
      <c r="F227" s="87">
        <v>0</v>
      </c>
      <c r="G227" s="87">
        <v>0</v>
      </c>
      <c r="H227" s="87">
        <v>0</v>
      </c>
      <c r="I227" s="87">
        <v>0</v>
      </c>
      <c r="J227" s="87">
        <v>0</v>
      </c>
      <c r="K227" s="87">
        <v>0</v>
      </c>
      <c r="L227" s="87">
        <v>0</v>
      </c>
      <c r="M227" s="87">
        <v>0</v>
      </c>
      <c r="N227" s="87">
        <v>0</v>
      </c>
      <c r="O227" s="87">
        <v>0</v>
      </c>
      <c r="P227" s="87">
        <v>0</v>
      </c>
      <c r="Q227" s="87">
        <v>0</v>
      </c>
    </row>
    <row r="228" spans="1:17" hidden="1" x14ac:dyDescent="0.3">
      <c r="A228" s="78" t="str">
        <f>CONCATENATE(ota_rns[[#This Row],[채널]],ota_rns[[#This Row],[구분2]],ota_rns[[#This Row],[사업장]])</f>
        <v>INBOUNDADR85</v>
      </c>
      <c r="B228" s="79" t="s">
        <v>238</v>
      </c>
      <c r="C228" s="79" t="s">
        <v>192</v>
      </c>
      <c r="D228" s="97" t="s">
        <v>62</v>
      </c>
      <c r="E228" s="87">
        <v>0</v>
      </c>
      <c r="F228" s="87">
        <v>0</v>
      </c>
      <c r="G228" s="87">
        <v>0</v>
      </c>
      <c r="H228" s="87">
        <v>0</v>
      </c>
      <c r="I228" s="87">
        <v>0</v>
      </c>
      <c r="J228" s="87">
        <v>0</v>
      </c>
      <c r="K228" s="87">
        <v>0</v>
      </c>
      <c r="L228" s="87">
        <v>0</v>
      </c>
      <c r="M228" s="87">
        <v>0</v>
      </c>
      <c r="N228" s="87">
        <v>0</v>
      </c>
      <c r="O228" s="87">
        <v>0</v>
      </c>
      <c r="P228" s="87">
        <v>0</v>
      </c>
      <c r="Q228" s="87">
        <v>0</v>
      </c>
    </row>
    <row r="229" spans="1:17" hidden="1" x14ac:dyDescent="0.3">
      <c r="A229" s="78" t="str">
        <f>CONCATENATE(ota_rns[[#This Row],[채널]],ota_rns[[#This Row],[구분2]],ota_rns[[#This Row],[사업장]])</f>
        <v>INBOUNDREV85</v>
      </c>
      <c r="B229" s="79" t="s">
        <v>238</v>
      </c>
      <c r="C229" s="79" t="s">
        <v>193</v>
      </c>
      <c r="D229" s="97" t="s">
        <v>62</v>
      </c>
      <c r="E229" s="91">
        <v>0</v>
      </c>
      <c r="F229" s="92">
        <v>0</v>
      </c>
      <c r="G229" s="92">
        <v>0</v>
      </c>
      <c r="H229" s="92">
        <v>0</v>
      </c>
      <c r="I229" s="92">
        <v>0</v>
      </c>
      <c r="J229" s="92">
        <v>0</v>
      </c>
      <c r="K229" s="92">
        <v>0</v>
      </c>
      <c r="L229" s="92">
        <v>0</v>
      </c>
      <c r="M229" s="92">
        <v>0</v>
      </c>
      <c r="N229" s="92">
        <v>0</v>
      </c>
      <c r="O229" s="92">
        <v>0</v>
      </c>
      <c r="P229" s="92">
        <v>0</v>
      </c>
      <c r="Q229" s="92">
        <v>0</v>
      </c>
    </row>
    <row r="230" spans="1:17" hidden="1" x14ac:dyDescent="0.3">
      <c r="A230" s="94" t="str">
        <f>CONCATENATE(ota_rns[[#This Row],[채널]],ota_rns[[#This Row],[구분2]],ota_rns[[#This Row],[사업장]])</f>
        <v>OTARNS87</v>
      </c>
      <c r="B230" s="95" t="s">
        <v>66</v>
      </c>
      <c r="C230" s="95" t="s">
        <v>213</v>
      </c>
      <c r="D230" s="97" t="s">
        <v>59</v>
      </c>
      <c r="E230" s="101">
        <v>7070</v>
      </c>
      <c r="F230" s="111">
        <v>500</v>
      </c>
      <c r="G230" s="111">
        <v>570</v>
      </c>
      <c r="H230" s="111">
        <v>480</v>
      </c>
      <c r="I230" s="111">
        <v>600</v>
      </c>
      <c r="J230" s="111">
        <v>680</v>
      </c>
      <c r="K230" s="111">
        <v>580</v>
      </c>
      <c r="L230" s="111">
        <v>580</v>
      </c>
      <c r="M230" s="111">
        <v>570</v>
      </c>
      <c r="N230" s="111">
        <v>650</v>
      </c>
      <c r="O230" s="111">
        <v>760</v>
      </c>
      <c r="P230" s="111">
        <v>520</v>
      </c>
      <c r="Q230" s="111">
        <v>580</v>
      </c>
    </row>
    <row r="231" spans="1:17" hidden="1" x14ac:dyDescent="0.3">
      <c r="A231" s="94" t="str">
        <f>CONCATENATE(ota_rns[[#This Row],[채널]],ota_rns[[#This Row],[구분2]],ota_rns[[#This Row],[사업장]])</f>
        <v>OTAADR87</v>
      </c>
      <c r="B231" s="79" t="s">
        <v>66</v>
      </c>
      <c r="C231" s="79" t="s">
        <v>68</v>
      </c>
      <c r="D231" s="81" t="s">
        <v>59</v>
      </c>
      <c r="E231" s="103">
        <v>256.74115983026871</v>
      </c>
      <c r="F231" s="113">
        <v>219.6</v>
      </c>
      <c r="G231" s="113">
        <v>230.57894736842104</v>
      </c>
      <c r="H231" s="113">
        <v>262.66666666666669</v>
      </c>
      <c r="I231" s="113">
        <v>253</v>
      </c>
      <c r="J231" s="113">
        <v>253.70588235294119</v>
      </c>
      <c r="K231" s="113">
        <v>242.68965517241378</v>
      </c>
      <c r="L231" s="113">
        <v>260.24137931034483</v>
      </c>
      <c r="M231" s="113">
        <v>293.05263157894734</v>
      </c>
      <c r="N231" s="113">
        <v>250.07692307692307</v>
      </c>
      <c r="O231" s="113">
        <v>257.94736842105266</v>
      </c>
      <c r="P231" s="113">
        <v>280.46153846153845</v>
      </c>
      <c r="Q231" s="113">
        <v>276.48275862068965</v>
      </c>
    </row>
    <row r="232" spans="1:17" hidden="1" x14ac:dyDescent="0.3">
      <c r="A232" s="94" t="str">
        <f>CONCATENATE(ota_rns[[#This Row],[채널]],ota_rns[[#This Row],[구분2]],ota_rns[[#This Row],[사업장]])</f>
        <v>OTAREV87</v>
      </c>
      <c r="B232" s="79" t="s">
        <v>66</v>
      </c>
      <c r="C232" s="79" t="s">
        <v>69</v>
      </c>
      <c r="D232" s="81" t="s">
        <v>59</v>
      </c>
      <c r="E232" s="103">
        <v>1815.16</v>
      </c>
      <c r="F232" s="113">
        <v>109.8</v>
      </c>
      <c r="G232" s="113">
        <v>131.43</v>
      </c>
      <c r="H232" s="113">
        <v>126.08</v>
      </c>
      <c r="I232" s="113">
        <v>151.80000000000001</v>
      </c>
      <c r="J232" s="113">
        <v>172.52</v>
      </c>
      <c r="K232" s="113">
        <v>140.76</v>
      </c>
      <c r="L232" s="113">
        <v>150.94</v>
      </c>
      <c r="M232" s="113">
        <v>167.04</v>
      </c>
      <c r="N232" s="113">
        <v>162.55000000000001</v>
      </c>
      <c r="O232" s="113">
        <v>196.04</v>
      </c>
      <c r="P232" s="113">
        <v>145.84</v>
      </c>
      <c r="Q232" s="113">
        <v>160.36000000000001</v>
      </c>
    </row>
    <row r="233" spans="1:17" hidden="1" x14ac:dyDescent="0.3">
      <c r="A233" s="78" t="str">
        <f>CONCATENATE(ota_rns[[#This Row],[채널]],ota_rns[[#This Row],[구분2]],ota_rns[[#This Row],[사업장]])</f>
        <v>GOTARNS87</v>
      </c>
      <c r="B233" s="79" t="s">
        <v>195</v>
      </c>
      <c r="C233" s="79" t="s">
        <v>191</v>
      </c>
      <c r="D233" s="81" t="s">
        <v>59</v>
      </c>
      <c r="E233" s="91">
        <v>8560</v>
      </c>
      <c r="F233" s="92">
        <v>650</v>
      </c>
      <c r="G233" s="92">
        <v>730</v>
      </c>
      <c r="H233" s="92">
        <v>620</v>
      </c>
      <c r="I233" s="92">
        <v>770</v>
      </c>
      <c r="J233" s="92">
        <v>770</v>
      </c>
      <c r="K233" s="92">
        <v>720</v>
      </c>
      <c r="L233" s="92">
        <v>690</v>
      </c>
      <c r="M233" s="92">
        <v>680</v>
      </c>
      <c r="N233" s="92">
        <v>710</v>
      </c>
      <c r="O233" s="92">
        <v>870</v>
      </c>
      <c r="P233" s="92">
        <v>680</v>
      </c>
      <c r="Q233" s="92">
        <v>670</v>
      </c>
    </row>
    <row r="234" spans="1:17" hidden="1" x14ac:dyDescent="0.3">
      <c r="A234" s="78" t="str">
        <f>CONCATENATE(ota_rns[[#This Row],[채널]],ota_rns[[#This Row],[구분2]],ota_rns[[#This Row],[사업장]])</f>
        <v>GOTAADR87</v>
      </c>
      <c r="B234" s="79" t="s">
        <v>195</v>
      </c>
      <c r="C234" s="79" t="s">
        <v>192</v>
      </c>
      <c r="D234" s="81" t="s">
        <v>59</v>
      </c>
      <c r="E234" s="91">
        <v>245.33820093457945</v>
      </c>
      <c r="F234" s="92">
        <v>220.46153846153845</v>
      </c>
      <c r="G234" s="92">
        <v>237.01369863013699</v>
      </c>
      <c r="H234" s="92">
        <v>249.25806451612902</v>
      </c>
      <c r="I234" s="92">
        <v>236.05194805194805</v>
      </c>
      <c r="J234" s="92">
        <v>249.67532467532467</v>
      </c>
      <c r="K234" s="92">
        <v>222.83333333333334</v>
      </c>
      <c r="L234" s="92">
        <v>244.71739130434781</v>
      </c>
      <c r="M234" s="92">
        <v>283.75</v>
      </c>
      <c r="N234" s="92">
        <v>245.25352112676057</v>
      </c>
      <c r="O234" s="92">
        <v>246.32183908045977</v>
      </c>
      <c r="P234" s="92">
        <v>253.48529411764707</v>
      </c>
      <c r="Q234" s="92">
        <v>256.9850746268657</v>
      </c>
    </row>
    <row r="235" spans="1:17" hidden="1" x14ac:dyDescent="0.3">
      <c r="A235" s="78" t="str">
        <f>CONCATENATE(ota_rns[[#This Row],[채널]],ota_rns[[#This Row],[구분2]],ota_rns[[#This Row],[사업장]])</f>
        <v>GOTAREV87</v>
      </c>
      <c r="B235" s="79" t="s">
        <v>195</v>
      </c>
      <c r="C235" s="79" t="s">
        <v>193</v>
      </c>
      <c r="D235" s="81" t="s">
        <v>59</v>
      </c>
      <c r="E235" s="91">
        <v>2100.0949999999998</v>
      </c>
      <c r="F235" s="92">
        <v>143.30000000000001</v>
      </c>
      <c r="G235" s="92">
        <v>173.02</v>
      </c>
      <c r="H235" s="92">
        <v>154.54</v>
      </c>
      <c r="I235" s="92">
        <v>181.76</v>
      </c>
      <c r="J235" s="92">
        <v>192.25</v>
      </c>
      <c r="K235" s="92">
        <v>160.44</v>
      </c>
      <c r="L235" s="92">
        <v>168.85499999999999</v>
      </c>
      <c r="M235" s="92">
        <v>192.95</v>
      </c>
      <c r="N235" s="92">
        <v>174.13</v>
      </c>
      <c r="O235" s="92">
        <v>214.3</v>
      </c>
      <c r="P235" s="92">
        <v>172.37</v>
      </c>
      <c r="Q235" s="92">
        <v>172.18</v>
      </c>
    </row>
    <row r="236" spans="1:17" hidden="1" x14ac:dyDescent="0.3">
      <c r="A236" s="78" t="str">
        <f>CONCATENATE(ota_rns[[#This Row],[채널]],ota_rns[[#This Row],[구분2]],ota_rns[[#This Row],[사업장]])</f>
        <v>INBOUNDRNS87</v>
      </c>
      <c r="B236" s="79" t="s">
        <v>238</v>
      </c>
      <c r="C236" s="79" t="s">
        <v>213</v>
      </c>
      <c r="D236" s="81" t="s">
        <v>59</v>
      </c>
      <c r="E236" s="87">
        <v>0</v>
      </c>
      <c r="F236" s="87">
        <v>0</v>
      </c>
      <c r="G236" s="87">
        <v>0</v>
      </c>
      <c r="H236" s="87">
        <v>0</v>
      </c>
      <c r="I236" s="87">
        <v>0</v>
      </c>
      <c r="J236" s="87">
        <v>0</v>
      </c>
      <c r="K236" s="87">
        <v>0</v>
      </c>
      <c r="L236" s="87">
        <v>0</v>
      </c>
      <c r="M236" s="87">
        <v>0</v>
      </c>
      <c r="N236" s="87">
        <v>0</v>
      </c>
      <c r="O236" s="87">
        <v>0</v>
      </c>
      <c r="P236" s="87">
        <v>0</v>
      </c>
      <c r="Q236" s="87">
        <v>0</v>
      </c>
    </row>
    <row r="237" spans="1:17" hidden="1" x14ac:dyDescent="0.3">
      <c r="A237" s="78" t="str">
        <f>CONCATENATE(ota_rns[[#This Row],[채널]],ota_rns[[#This Row],[구분2]],ota_rns[[#This Row],[사업장]])</f>
        <v>INBOUNDADR87</v>
      </c>
      <c r="B237" s="79" t="s">
        <v>238</v>
      </c>
      <c r="C237" s="79" t="s">
        <v>192</v>
      </c>
      <c r="D237" s="81" t="s">
        <v>59</v>
      </c>
      <c r="E237" s="87">
        <v>0</v>
      </c>
      <c r="F237" s="87">
        <v>0</v>
      </c>
      <c r="G237" s="87">
        <v>0</v>
      </c>
      <c r="H237" s="87">
        <v>0</v>
      </c>
      <c r="I237" s="87">
        <v>0</v>
      </c>
      <c r="J237" s="87">
        <v>0</v>
      </c>
      <c r="K237" s="87">
        <v>0</v>
      </c>
      <c r="L237" s="87">
        <v>0</v>
      </c>
      <c r="M237" s="87">
        <v>0</v>
      </c>
      <c r="N237" s="87">
        <v>0</v>
      </c>
      <c r="O237" s="87">
        <v>0</v>
      </c>
      <c r="P237" s="87">
        <v>0</v>
      </c>
      <c r="Q237" s="87">
        <v>0</v>
      </c>
    </row>
    <row r="238" spans="1:17" hidden="1" x14ac:dyDescent="0.3">
      <c r="A238" s="78" t="str">
        <f>CONCATENATE(ota_rns[[#This Row],[채널]],ota_rns[[#This Row],[구분2]],ota_rns[[#This Row],[사업장]])</f>
        <v>INBOUNDREV87</v>
      </c>
      <c r="B238" s="79" t="s">
        <v>238</v>
      </c>
      <c r="C238" s="79" t="s">
        <v>193</v>
      </c>
      <c r="D238" s="81" t="s">
        <v>59</v>
      </c>
      <c r="E238" s="91">
        <v>0</v>
      </c>
      <c r="F238" s="92">
        <v>0</v>
      </c>
      <c r="G238" s="92">
        <v>0</v>
      </c>
      <c r="H238" s="92">
        <v>0</v>
      </c>
      <c r="I238" s="92">
        <v>0</v>
      </c>
      <c r="J238" s="92">
        <v>0</v>
      </c>
      <c r="K238" s="92">
        <v>0</v>
      </c>
      <c r="L238" s="92">
        <v>0</v>
      </c>
      <c r="M238" s="92">
        <v>0</v>
      </c>
      <c r="N238" s="92">
        <v>0</v>
      </c>
      <c r="O238" s="92">
        <v>0</v>
      </c>
      <c r="P238" s="92">
        <v>0</v>
      </c>
      <c r="Q238" s="92">
        <v>0</v>
      </c>
    </row>
    <row r="239" spans="1:17" hidden="1" x14ac:dyDescent="0.3">
      <c r="A239" s="94" t="str">
        <f>CONCATENATE(ota_rns[[#This Row],[채널]],ota_rns[[#This Row],[구분2]],ota_rns[[#This Row],[사업장]])</f>
        <v>OTARNS94</v>
      </c>
      <c r="B239" s="94" t="s">
        <v>66</v>
      </c>
      <c r="C239" s="94" t="s">
        <v>213</v>
      </c>
      <c r="D239" s="99" t="s">
        <v>64</v>
      </c>
      <c r="E239" s="108">
        <v>6870</v>
      </c>
      <c r="F239" s="116">
        <v>600</v>
      </c>
      <c r="G239" s="116">
        <v>510</v>
      </c>
      <c r="H239" s="116">
        <v>385</v>
      </c>
      <c r="I239" s="116">
        <v>500</v>
      </c>
      <c r="J239" s="116">
        <v>600</v>
      </c>
      <c r="K239" s="116">
        <v>525</v>
      </c>
      <c r="L239" s="116">
        <v>700</v>
      </c>
      <c r="M239" s="116">
        <v>800</v>
      </c>
      <c r="N239" s="116">
        <v>500</v>
      </c>
      <c r="O239" s="116">
        <v>580</v>
      </c>
      <c r="P239" s="116">
        <v>520</v>
      </c>
      <c r="Q239" s="116">
        <v>650</v>
      </c>
    </row>
    <row r="240" spans="1:17" hidden="1" x14ac:dyDescent="0.3">
      <c r="A240" s="94" t="str">
        <f>CONCATENATE(ota_rns[[#This Row],[채널]],ota_rns[[#This Row],[구분2]],ota_rns[[#This Row],[사업장]])</f>
        <v>OTAADR94</v>
      </c>
      <c r="B240" s="79" t="s">
        <v>66</v>
      </c>
      <c r="C240" s="79" t="s">
        <v>68</v>
      </c>
      <c r="D240" s="80" t="s">
        <v>64</v>
      </c>
      <c r="E240" s="103">
        <v>270.94593813682678</v>
      </c>
      <c r="F240" s="113">
        <v>216.5</v>
      </c>
      <c r="G240" s="113">
        <v>266.2</v>
      </c>
      <c r="H240" s="113">
        <v>207</v>
      </c>
      <c r="I240" s="113">
        <v>202.10410999999999</v>
      </c>
      <c r="J240" s="113">
        <v>269</v>
      </c>
      <c r="K240" s="113">
        <v>257</v>
      </c>
      <c r="L240" s="113">
        <v>343.5</v>
      </c>
      <c r="M240" s="113">
        <v>379.5</v>
      </c>
      <c r="N240" s="113">
        <v>273</v>
      </c>
      <c r="O240" s="113">
        <v>269</v>
      </c>
      <c r="P240" s="113">
        <v>224.99199999999999</v>
      </c>
      <c r="Q240" s="113">
        <v>253.99799999999996</v>
      </c>
    </row>
    <row r="241" spans="1:17" hidden="1" x14ac:dyDescent="0.3">
      <c r="A241" s="94" t="str">
        <f>CONCATENATE(ota_rns[[#This Row],[채널]],ota_rns[[#This Row],[구분2]],ota_rns[[#This Row],[사업장]])</f>
        <v>OTAREV94</v>
      </c>
      <c r="B241" s="79" t="s">
        <v>66</v>
      </c>
      <c r="C241" s="79" t="s">
        <v>69</v>
      </c>
      <c r="D241" s="80" t="s">
        <v>64</v>
      </c>
      <c r="E241" s="103">
        <v>1861.3985949999999</v>
      </c>
      <c r="F241" s="113">
        <v>129.9</v>
      </c>
      <c r="G241" s="113">
        <v>135.762</v>
      </c>
      <c r="H241" s="113">
        <v>79.694999999999993</v>
      </c>
      <c r="I241" s="113">
        <v>101.052055</v>
      </c>
      <c r="J241" s="113">
        <v>161.4</v>
      </c>
      <c r="K241" s="113">
        <v>134.92500000000001</v>
      </c>
      <c r="L241" s="113">
        <v>240.45</v>
      </c>
      <c r="M241" s="113">
        <v>303.60000000000002</v>
      </c>
      <c r="N241" s="113">
        <v>136.5</v>
      </c>
      <c r="O241" s="113">
        <v>156.02000000000001</v>
      </c>
      <c r="P241" s="113">
        <v>116.99584</v>
      </c>
      <c r="Q241" s="113">
        <v>165.09869999999998</v>
      </c>
    </row>
    <row r="242" spans="1:17" hidden="1" x14ac:dyDescent="0.3">
      <c r="A242" s="78" t="str">
        <f>CONCATENATE(ota_rns[[#This Row],[채널]],ota_rns[[#This Row],[구분2]],ota_rns[[#This Row],[사업장]])</f>
        <v>GOTARNS94</v>
      </c>
      <c r="B242" s="79" t="s">
        <v>195</v>
      </c>
      <c r="C242" s="79" t="s">
        <v>191</v>
      </c>
      <c r="D242" s="80" t="s">
        <v>64</v>
      </c>
      <c r="E242" s="91">
        <v>4625</v>
      </c>
      <c r="F242" s="92">
        <v>380</v>
      </c>
      <c r="G242" s="92">
        <v>350</v>
      </c>
      <c r="H242" s="92">
        <v>250</v>
      </c>
      <c r="I242" s="92">
        <v>350</v>
      </c>
      <c r="J242" s="92">
        <v>350</v>
      </c>
      <c r="K242" s="92">
        <v>425</v>
      </c>
      <c r="L242" s="92">
        <v>530</v>
      </c>
      <c r="M242" s="92">
        <v>550</v>
      </c>
      <c r="N242" s="92">
        <v>355</v>
      </c>
      <c r="O242" s="92">
        <v>365</v>
      </c>
      <c r="P242" s="92">
        <v>320</v>
      </c>
      <c r="Q242" s="92">
        <v>400</v>
      </c>
    </row>
    <row r="243" spans="1:17" hidden="1" x14ac:dyDescent="0.3">
      <c r="A243" s="78" t="str">
        <f>CONCATENATE(ota_rns[[#This Row],[채널]],ota_rns[[#This Row],[구분2]],ota_rns[[#This Row],[사업장]])</f>
        <v>GOTAADR94</v>
      </c>
      <c r="B243" s="79" t="s">
        <v>195</v>
      </c>
      <c r="C243" s="79" t="s">
        <v>192</v>
      </c>
      <c r="D243" s="80" t="s">
        <v>64</v>
      </c>
      <c r="E243" s="91">
        <v>273.10059459459461</v>
      </c>
      <c r="F243" s="92">
        <v>218</v>
      </c>
      <c r="G243" s="92">
        <v>266.2</v>
      </c>
      <c r="H243" s="92">
        <v>208</v>
      </c>
      <c r="I243" s="92">
        <v>204.27099999999999</v>
      </c>
      <c r="J243" s="92">
        <v>268</v>
      </c>
      <c r="K243" s="92">
        <v>259</v>
      </c>
      <c r="L243" s="92">
        <v>343</v>
      </c>
      <c r="M243" s="92">
        <v>381</v>
      </c>
      <c r="N243" s="92">
        <v>272</v>
      </c>
      <c r="O243" s="92">
        <v>268</v>
      </c>
      <c r="P243" s="92">
        <v>227.46999999999997</v>
      </c>
      <c r="Q243" s="92">
        <v>253</v>
      </c>
    </row>
    <row r="244" spans="1:17" hidden="1" x14ac:dyDescent="0.3">
      <c r="A244" s="78" t="str">
        <f>CONCATENATE(ota_rns[[#This Row],[채널]],ota_rns[[#This Row],[구분2]],ota_rns[[#This Row],[사업장]])</f>
        <v>GOTAREV94</v>
      </c>
      <c r="B244" s="79" t="s">
        <v>195</v>
      </c>
      <c r="C244" s="79" t="s">
        <v>193</v>
      </c>
      <c r="D244" s="80" t="s">
        <v>64</v>
      </c>
      <c r="E244" s="91">
        <v>1263.09025</v>
      </c>
      <c r="F244" s="92">
        <v>82.84</v>
      </c>
      <c r="G244" s="92">
        <v>93.17</v>
      </c>
      <c r="H244" s="92">
        <v>52</v>
      </c>
      <c r="I244" s="92">
        <v>71.494849999999985</v>
      </c>
      <c r="J244" s="92">
        <v>93.8</v>
      </c>
      <c r="K244" s="92">
        <v>110.075</v>
      </c>
      <c r="L244" s="92">
        <v>181.79</v>
      </c>
      <c r="M244" s="92">
        <v>209.55</v>
      </c>
      <c r="N244" s="92">
        <v>96.56</v>
      </c>
      <c r="O244" s="92">
        <v>97.82</v>
      </c>
      <c r="P244" s="92">
        <v>72.790399999999991</v>
      </c>
      <c r="Q244" s="92">
        <v>101.2</v>
      </c>
    </row>
    <row r="245" spans="1:17" hidden="1" x14ac:dyDescent="0.3">
      <c r="A245" s="78" t="str">
        <f>CONCATENATE(ota_rns[[#This Row],[채널]],ota_rns[[#This Row],[구분2]],ota_rns[[#This Row],[사업장]])</f>
        <v>INBOUNDRNS94</v>
      </c>
      <c r="B245" s="79" t="s">
        <v>238</v>
      </c>
      <c r="C245" s="79" t="s">
        <v>213</v>
      </c>
      <c r="D245" s="80" t="s">
        <v>64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</row>
    <row r="246" spans="1:17" hidden="1" x14ac:dyDescent="0.3">
      <c r="A246" s="78" t="str">
        <f>CONCATENATE(ota_rns[[#This Row],[채널]],ota_rns[[#This Row],[구분2]],ota_rns[[#This Row],[사업장]])</f>
        <v>INBOUNDADR94</v>
      </c>
      <c r="B246" s="79" t="s">
        <v>238</v>
      </c>
      <c r="C246" s="79" t="s">
        <v>192</v>
      </c>
      <c r="D246" s="80" t="s">
        <v>64</v>
      </c>
      <c r="E246" s="87">
        <v>0</v>
      </c>
      <c r="F246" s="87">
        <v>0</v>
      </c>
      <c r="G246" s="87">
        <v>0</v>
      </c>
      <c r="H246" s="87">
        <v>0</v>
      </c>
      <c r="I246" s="87">
        <v>0</v>
      </c>
      <c r="J246" s="87">
        <v>0</v>
      </c>
      <c r="K246" s="87">
        <v>0</v>
      </c>
      <c r="L246" s="87">
        <v>0</v>
      </c>
      <c r="M246" s="87">
        <v>0</v>
      </c>
      <c r="N246" s="87">
        <v>0</v>
      </c>
      <c r="O246" s="87">
        <v>0</v>
      </c>
      <c r="P246" s="87">
        <v>0</v>
      </c>
      <c r="Q246" s="87">
        <v>0</v>
      </c>
    </row>
    <row r="247" spans="1:17" hidden="1" x14ac:dyDescent="0.3">
      <c r="A247" s="78" t="str">
        <f>CONCATENATE(ota_rns[[#This Row],[채널]],ota_rns[[#This Row],[구분2]],ota_rns[[#This Row],[사업장]])</f>
        <v>INBOUNDREV94</v>
      </c>
      <c r="B247" s="79" t="s">
        <v>238</v>
      </c>
      <c r="C247" s="79" t="s">
        <v>193</v>
      </c>
      <c r="D247" s="82" t="s">
        <v>64</v>
      </c>
      <c r="E247" s="87">
        <v>0</v>
      </c>
      <c r="F247" s="89">
        <v>0</v>
      </c>
      <c r="G247" s="89">
        <v>0</v>
      </c>
      <c r="H247" s="89">
        <v>0</v>
      </c>
      <c r="I247" s="89">
        <v>0</v>
      </c>
      <c r="J247" s="89">
        <v>0</v>
      </c>
      <c r="K247" s="89">
        <v>0</v>
      </c>
      <c r="L247" s="89">
        <v>0</v>
      </c>
      <c r="M247" s="89">
        <v>0</v>
      </c>
      <c r="N247" s="89">
        <v>0</v>
      </c>
      <c r="O247" s="89">
        <v>0</v>
      </c>
      <c r="P247" s="89">
        <v>0</v>
      </c>
      <c r="Q247" s="89">
        <v>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42"/>
  <sheetViews>
    <sheetView topLeftCell="A7" workbookViewId="0">
      <selection activeCell="G19" sqref="G19:G20"/>
    </sheetView>
  </sheetViews>
  <sheetFormatPr defaultRowHeight="16.5" x14ac:dyDescent="0.3"/>
  <cols>
    <col min="8" max="8" width="32.25" customWidth="1"/>
  </cols>
  <sheetData>
    <row r="2" spans="3:13" x14ac:dyDescent="0.3">
      <c r="C2" t="s">
        <v>71</v>
      </c>
      <c r="D2" t="s">
        <v>72</v>
      </c>
      <c r="G2" s="19" t="s">
        <v>71</v>
      </c>
      <c r="H2" s="20" t="s">
        <v>73</v>
      </c>
      <c r="I2" s="21" t="s">
        <v>74</v>
      </c>
      <c r="L2" t="s">
        <v>74</v>
      </c>
      <c r="M2" t="s">
        <v>161</v>
      </c>
    </row>
    <row r="3" spans="3:13" x14ac:dyDescent="0.3">
      <c r="C3" s="1" t="s">
        <v>38</v>
      </c>
      <c r="D3">
        <v>6</v>
      </c>
      <c r="G3" s="22" t="s">
        <v>75</v>
      </c>
      <c r="H3" s="23" t="s">
        <v>76</v>
      </c>
      <c r="I3" s="24" t="s">
        <v>77</v>
      </c>
      <c r="L3" s="1" t="s">
        <v>77</v>
      </c>
      <c r="M3" t="s">
        <v>162</v>
      </c>
    </row>
    <row r="4" spans="3:13" x14ac:dyDescent="0.3">
      <c r="C4" s="1" t="s">
        <v>39</v>
      </c>
      <c r="D4">
        <v>7</v>
      </c>
      <c r="G4" s="25" t="s">
        <v>78</v>
      </c>
      <c r="H4" s="26" t="s">
        <v>79</v>
      </c>
      <c r="I4" s="27" t="s">
        <v>80</v>
      </c>
      <c r="L4" s="1" t="s">
        <v>80</v>
      </c>
      <c r="M4" t="s">
        <v>163</v>
      </c>
    </row>
    <row r="5" spans="3:13" x14ac:dyDescent="0.3">
      <c r="C5" s="1" t="s">
        <v>40</v>
      </c>
      <c r="D5">
        <v>8</v>
      </c>
      <c r="G5" s="22" t="s">
        <v>81</v>
      </c>
      <c r="H5" s="23" t="s">
        <v>82</v>
      </c>
      <c r="I5" s="24" t="s">
        <v>83</v>
      </c>
      <c r="L5" s="1" t="s">
        <v>83</v>
      </c>
      <c r="M5" t="s">
        <v>164</v>
      </c>
    </row>
    <row r="6" spans="3:13" x14ac:dyDescent="0.3">
      <c r="C6" s="1" t="s">
        <v>41</v>
      </c>
      <c r="D6">
        <v>9</v>
      </c>
      <c r="G6" s="25" t="s">
        <v>84</v>
      </c>
      <c r="H6" s="26" t="s">
        <v>85</v>
      </c>
      <c r="I6" s="27" t="s">
        <v>53</v>
      </c>
      <c r="L6" s="1" t="s">
        <v>51</v>
      </c>
      <c r="M6" t="s">
        <v>160</v>
      </c>
    </row>
    <row r="7" spans="3:13" x14ac:dyDescent="0.3">
      <c r="C7" s="1" t="s">
        <v>42</v>
      </c>
      <c r="D7">
        <v>10</v>
      </c>
      <c r="G7" s="22" t="s">
        <v>86</v>
      </c>
      <c r="H7" s="23" t="s">
        <v>87</v>
      </c>
      <c r="I7" s="24" t="s">
        <v>80</v>
      </c>
      <c r="L7" s="1" t="s">
        <v>53</v>
      </c>
      <c r="M7" t="s">
        <v>165</v>
      </c>
    </row>
    <row r="8" spans="3:13" x14ac:dyDescent="0.3">
      <c r="C8" s="1" t="s">
        <v>43</v>
      </c>
      <c r="D8">
        <v>11</v>
      </c>
      <c r="G8" s="25" t="s">
        <v>88</v>
      </c>
      <c r="H8" s="26" t="s">
        <v>89</v>
      </c>
      <c r="I8" s="27" t="s">
        <v>80</v>
      </c>
      <c r="L8" s="1" t="s">
        <v>49</v>
      </c>
      <c r="M8" t="s">
        <v>166</v>
      </c>
    </row>
    <row r="9" spans="3:13" x14ac:dyDescent="0.3">
      <c r="C9" s="1" t="s">
        <v>44</v>
      </c>
      <c r="D9">
        <v>12</v>
      </c>
      <c r="G9" s="22" t="s">
        <v>90</v>
      </c>
      <c r="H9" s="23" t="s">
        <v>91</v>
      </c>
      <c r="I9" s="24" t="s">
        <v>80</v>
      </c>
      <c r="L9" s="1" t="s">
        <v>98</v>
      </c>
      <c r="M9" t="s">
        <v>167</v>
      </c>
    </row>
    <row r="10" spans="3:13" x14ac:dyDescent="0.3">
      <c r="C10" s="1" t="s">
        <v>45</v>
      </c>
      <c r="D10">
        <v>13</v>
      </c>
      <c r="G10" s="22" t="s">
        <v>92</v>
      </c>
      <c r="H10" s="23" t="s">
        <v>93</v>
      </c>
      <c r="I10" s="27" t="s">
        <v>49</v>
      </c>
      <c r="L10" s="1" t="s">
        <v>55</v>
      </c>
      <c r="M10" t="s">
        <v>168</v>
      </c>
    </row>
    <row r="11" spans="3:13" x14ac:dyDescent="0.3">
      <c r="C11" s="1" t="s">
        <v>46</v>
      </c>
      <c r="D11">
        <v>14</v>
      </c>
      <c r="G11" s="22" t="s">
        <v>94</v>
      </c>
      <c r="H11" s="23" t="s">
        <v>95</v>
      </c>
      <c r="I11" s="24" t="s">
        <v>49</v>
      </c>
      <c r="L11" s="1" t="s">
        <v>109</v>
      </c>
      <c r="M11" t="s">
        <v>169</v>
      </c>
    </row>
    <row r="12" spans="3:13" x14ac:dyDescent="0.3">
      <c r="C12" s="1" t="s">
        <v>47</v>
      </c>
      <c r="D12">
        <v>15</v>
      </c>
      <c r="G12" s="22" t="s">
        <v>96</v>
      </c>
      <c r="H12" s="23" t="s">
        <v>97</v>
      </c>
      <c r="I12" s="27" t="s">
        <v>98</v>
      </c>
      <c r="L12" s="1" t="s">
        <v>112</v>
      </c>
      <c r="M12" t="s">
        <v>170</v>
      </c>
    </row>
    <row r="13" spans="3:13" x14ac:dyDescent="0.3">
      <c r="C13" s="1" t="s">
        <v>48</v>
      </c>
      <c r="D13">
        <v>16</v>
      </c>
      <c r="G13" s="22" t="s">
        <v>99</v>
      </c>
      <c r="H13" s="23" t="s">
        <v>100</v>
      </c>
      <c r="I13" s="24" t="s">
        <v>55</v>
      </c>
      <c r="L13" s="1" t="s">
        <v>121</v>
      </c>
      <c r="M13" t="s">
        <v>171</v>
      </c>
    </row>
    <row r="14" spans="3:13" x14ac:dyDescent="0.3">
      <c r="C14" s="1" t="s">
        <v>49</v>
      </c>
      <c r="D14">
        <v>17</v>
      </c>
      <c r="G14" s="25" t="s">
        <v>101</v>
      </c>
      <c r="H14" s="26" t="s">
        <v>102</v>
      </c>
      <c r="I14" s="27" t="s">
        <v>55</v>
      </c>
      <c r="L14" s="1" t="s">
        <v>56</v>
      </c>
      <c r="M14" t="s">
        <v>172</v>
      </c>
    </row>
    <row r="15" spans="3:13" x14ac:dyDescent="0.3">
      <c r="C15" s="1" t="s">
        <v>50</v>
      </c>
      <c r="D15">
        <v>18</v>
      </c>
      <c r="G15" s="22" t="s">
        <v>103</v>
      </c>
      <c r="H15" s="23" t="s">
        <v>104</v>
      </c>
      <c r="I15" s="24" t="s">
        <v>55</v>
      </c>
      <c r="L15" s="1" t="s">
        <v>65</v>
      </c>
      <c r="M15" t="s">
        <v>173</v>
      </c>
    </row>
    <row r="16" spans="3:13" x14ac:dyDescent="0.3">
      <c r="C16" s="1" t="s">
        <v>51</v>
      </c>
      <c r="D16">
        <v>19</v>
      </c>
      <c r="G16" s="25" t="s">
        <v>105</v>
      </c>
      <c r="H16" s="26" t="s">
        <v>106</v>
      </c>
      <c r="I16" s="27" t="s">
        <v>80</v>
      </c>
      <c r="L16" s="1" t="s">
        <v>149</v>
      </c>
      <c r="M16" t="s">
        <v>174</v>
      </c>
    </row>
    <row r="17" spans="3:13" x14ac:dyDescent="0.3">
      <c r="C17" s="1" t="s">
        <v>52</v>
      </c>
      <c r="D17">
        <v>20</v>
      </c>
      <c r="G17" s="22" t="s">
        <v>107</v>
      </c>
      <c r="H17" s="23" t="s">
        <v>108</v>
      </c>
      <c r="I17" s="24" t="s">
        <v>109</v>
      </c>
      <c r="L17" s="1" t="s">
        <v>54</v>
      </c>
      <c r="M17" t="s">
        <v>175</v>
      </c>
    </row>
    <row r="18" spans="3:13" x14ac:dyDescent="0.3">
      <c r="C18" s="1" t="s">
        <v>53</v>
      </c>
      <c r="D18">
        <v>21</v>
      </c>
      <c r="G18" s="25" t="s">
        <v>110</v>
      </c>
      <c r="H18" s="26" t="s">
        <v>111</v>
      </c>
      <c r="I18" s="27" t="s">
        <v>112</v>
      </c>
      <c r="L18" s="1" t="s">
        <v>159</v>
      </c>
      <c r="M18" t="s">
        <v>176</v>
      </c>
    </row>
    <row r="19" spans="3:13" x14ac:dyDescent="0.3">
      <c r="C19" s="1" t="s">
        <v>54</v>
      </c>
      <c r="D19">
        <v>22</v>
      </c>
      <c r="G19" s="22" t="s">
        <v>113</v>
      </c>
      <c r="H19" s="23" t="s">
        <v>114</v>
      </c>
      <c r="I19" s="24" t="s">
        <v>77</v>
      </c>
      <c r="L19" s="1" t="s">
        <v>130</v>
      </c>
      <c r="M19" t="s">
        <v>31</v>
      </c>
    </row>
    <row r="20" spans="3:13" x14ac:dyDescent="0.3">
      <c r="C20" s="1" t="s">
        <v>55</v>
      </c>
      <c r="D20">
        <v>23</v>
      </c>
      <c r="G20" s="25" t="s">
        <v>115</v>
      </c>
      <c r="H20" s="26" t="s">
        <v>116</v>
      </c>
      <c r="I20" s="27" t="s">
        <v>77</v>
      </c>
      <c r="L20" s="1" t="s">
        <v>154</v>
      </c>
      <c r="M20" t="s">
        <v>177</v>
      </c>
    </row>
    <row r="21" spans="3:13" x14ac:dyDescent="0.3">
      <c r="C21" s="1" t="s">
        <v>56</v>
      </c>
      <c r="D21">
        <v>24</v>
      </c>
      <c r="G21" s="22" t="s">
        <v>117</v>
      </c>
      <c r="H21" s="23" t="s">
        <v>118</v>
      </c>
      <c r="I21" s="24" t="s">
        <v>77</v>
      </c>
      <c r="L21" s="1" t="s">
        <v>64</v>
      </c>
      <c r="M21" t="s">
        <v>32</v>
      </c>
    </row>
    <row r="22" spans="3:13" x14ac:dyDescent="0.3">
      <c r="C22" s="1" t="s">
        <v>57</v>
      </c>
      <c r="D22">
        <v>25</v>
      </c>
      <c r="G22" s="25" t="s">
        <v>119</v>
      </c>
      <c r="H22" s="26" t="s">
        <v>120</v>
      </c>
      <c r="I22" s="27" t="s">
        <v>121</v>
      </c>
    </row>
    <row r="23" spans="3:13" x14ac:dyDescent="0.3">
      <c r="C23" s="1" t="s">
        <v>58</v>
      </c>
      <c r="D23">
        <v>26</v>
      </c>
      <c r="G23" s="22" t="s">
        <v>122</v>
      </c>
      <c r="H23" s="23" t="s">
        <v>123</v>
      </c>
      <c r="I23" s="24" t="s">
        <v>77</v>
      </c>
    </row>
    <row r="24" spans="3:13" x14ac:dyDescent="0.3">
      <c r="C24" s="1" t="s">
        <v>59</v>
      </c>
      <c r="D24">
        <v>27</v>
      </c>
      <c r="G24" s="22" t="s">
        <v>124</v>
      </c>
      <c r="H24" s="23" t="s">
        <v>125</v>
      </c>
      <c r="I24" s="27" t="s">
        <v>80</v>
      </c>
    </row>
    <row r="25" spans="3:13" x14ac:dyDescent="0.3">
      <c r="C25" s="1" t="s">
        <v>60</v>
      </c>
      <c r="D25">
        <v>28</v>
      </c>
      <c r="G25" s="22" t="s">
        <v>126</v>
      </c>
      <c r="H25" s="23" t="s">
        <v>127</v>
      </c>
      <c r="I25" s="24" t="s">
        <v>80</v>
      </c>
    </row>
    <row r="26" spans="3:13" x14ac:dyDescent="0.3">
      <c r="C26" s="1" t="s">
        <v>61</v>
      </c>
      <c r="D26">
        <v>29</v>
      </c>
      <c r="G26" s="25" t="s">
        <v>128</v>
      </c>
      <c r="H26" s="26" t="s">
        <v>129</v>
      </c>
      <c r="I26" s="27" t="s">
        <v>130</v>
      </c>
    </row>
    <row r="27" spans="3:13" x14ac:dyDescent="0.3">
      <c r="C27" s="1" t="s">
        <v>62</v>
      </c>
      <c r="D27">
        <v>30</v>
      </c>
      <c r="G27" s="22" t="s">
        <v>131</v>
      </c>
      <c r="H27" s="23" t="s">
        <v>132</v>
      </c>
      <c r="I27" s="24" t="s">
        <v>56</v>
      </c>
    </row>
    <row r="28" spans="3:13" x14ac:dyDescent="0.3">
      <c r="C28" s="1" t="s">
        <v>63</v>
      </c>
      <c r="D28">
        <v>31</v>
      </c>
      <c r="G28" s="25" t="s">
        <v>133</v>
      </c>
      <c r="H28" s="26" t="s">
        <v>134</v>
      </c>
      <c r="I28" s="27" t="s">
        <v>56</v>
      </c>
    </row>
    <row r="29" spans="3:13" x14ac:dyDescent="0.3">
      <c r="C29" s="1" t="s">
        <v>64</v>
      </c>
      <c r="D29">
        <v>32</v>
      </c>
      <c r="G29" s="22" t="s">
        <v>135</v>
      </c>
      <c r="H29" s="23" t="s">
        <v>136</v>
      </c>
      <c r="I29" s="24" t="s">
        <v>56</v>
      </c>
    </row>
    <row r="30" spans="3:13" x14ac:dyDescent="0.3">
      <c r="G30" s="22" t="s">
        <v>137</v>
      </c>
      <c r="H30" s="23" t="s">
        <v>138</v>
      </c>
      <c r="I30" s="27" t="s">
        <v>65</v>
      </c>
    </row>
    <row r="31" spans="3:13" x14ac:dyDescent="0.3">
      <c r="G31" s="22" t="s">
        <v>139</v>
      </c>
      <c r="H31" s="23" t="s">
        <v>140</v>
      </c>
      <c r="I31" s="24" t="s">
        <v>65</v>
      </c>
    </row>
    <row r="32" spans="3:13" x14ac:dyDescent="0.3">
      <c r="G32" s="25" t="s">
        <v>141</v>
      </c>
      <c r="H32" s="26" t="s">
        <v>142</v>
      </c>
      <c r="I32" s="27" t="s">
        <v>77</v>
      </c>
    </row>
    <row r="33" spans="7:9" x14ac:dyDescent="0.3">
      <c r="G33" s="22" t="s">
        <v>143</v>
      </c>
      <c r="H33" s="23" t="s">
        <v>144</v>
      </c>
      <c r="I33" s="24" t="s">
        <v>54</v>
      </c>
    </row>
    <row r="34" spans="7:9" x14ac:dyDescent="0.3">
      <c r="G34" s="25" t="s">
        <v>145</v>
      </c>
      <c r="H34" s="26" t="s">
        <v>146</v>
      </c>
      <c r="I34" s="27" t="s">
        <v>54</v>
      </c>
    </row>
    <row r="35" spans="7:9" x14ac:dyDescent="0.3">
      <c r="G35" s="22" t="s">
        <v>147</v>
      </c>
      <c r="H35" s="23" t="s">
        <v>148</v>
      </c>
      <c r="I35" s="24" t="s">
        <v>149</v>
      </c>
    </row>
    <row r="36" spans="7:9" x14ac:dyDescent="0.3">
      <c r="G36" s="25" t="s">
        <v>150</v>
      </c>
      <c r="H36" s="26" t="s">
        <v>151</v>
      </c>
      <c r="I36" s="27" t="s">
        <v>149</v>
      </c>
    </row>
    <row r="37" spans="7:9" x14ac:dyDescent="0.3">
      <c r="G37" s="22" t="s">
        <v>152</v>
      </c>
      <c r="H37" s="23" t="s">
        <v>153</v>
      </c>
      <c r="I37" s="24" t="s">
        <v>154</v>
      </c>
    </row>
    <row r="38" spans="7:9" x14ac:dyDescent="0.3">
      <c r="G38" s="25" t="s">
        <v>155</v>
      </c>
      <c r="H38" s="26" t="s">
        <v>156</v>
      </c>
      <c r="I38" s="27" t="s">
        <v>53</v>
      </c>
    </row>
    <row r="39" spans="7:9" x14ac:dyDescent="0.3">
      <c r="G39" s="22" t="s">
        <v>157</v>
      </c>
      <c r="H39" s="23" t="s">
        <v>158</v>
      </c>
      <c r="I39" s="24" t="s">
        <v>159</v>
      </c>
    </row>
    <row r="40" spans="7:9" x14ac:dyDescent="0.3">
      <c r="G40" s="28" t="s">
        <v>51</v>
      </c>
      <c r="H40" s="29" t="s">
        <v>160</v>
      </c>
      <c r="I40" s="27" t="s">
        <v>51</v>
      </c>
    </row>
    <row r="41" spans="7:9" x14ac:dyDescent="0.3">
      <c r="G41" s="33" t="s">
        <v>179</v>
      </c>
      <c r="H41" s="30" t="s">
        <v>32</v>
      </c>
      <c r="I41" s="24" t="s">
        <v>64</v>
      </c>
    </row>
    <row r="42" spans="7:9" x14ac:dyDescent="0.3">
      <c r="G42">
        <v>83</v>
      </c>
      <c r="H42" t="s">
        <v>194</v>
      </c>
      <c r="I42">
        <v>83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1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12" sqref="D12"/>
    </sheetView>
  </sheetViews>
  <sheetFormatPr defaultRowHeight="14.25" x14ac:dyDescent="0.3"/>
  <cols>
    <col min="1" max="1" width="17.5" style="17" customWidth="1"/>
    <col min="2" max="2" width="9" style="8"/>
    <col min="3" max="3" width="10.625" style="2" customWidth="1"/>
    <col min="4" max="4" width="15.875" style="17" bestFit="1" customWidth="1"/>
    <col min="5" max="28" width="9" style="2"/>
    <col min="29" max="29" width="9" style="18"/>
    <col min="30" max="16384" width="9" style="2"/>
  </cols>
  <sheetData>
    <row r="1" spans="1:35" x14ac:dyDescent="0.3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</row>
    <row r="2" spans="1:35" ht="15" thickBot="1" x14ac:dyDescent="0.35">
      <c r="A2" s="2"/>
      <c r="B2" s="2"/>
      <c r="D2" s="2"/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5" t="s">
        <v>31</v>
      </c>
      <c r="AF2" s="5" t="s">
        <v>32</v>
      </c>
    </row>
    <row r="3" spans="1:35" ht="15" thickTop="1" x14ac:dyDescent="0.3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6" t="s">
        <v>38</v>
      </c>
      <c r="G3" s="6" t="s">
        <v>39</v>
      </c>
      <c r="H3" s="6" t="s">
        <v>40</v>
      </c>
      <c r="I3" s="6" t="s">
        <v>41</v>
      </c>
      <c r="J3" s="6" t="s">
        <v>42</v>
      </c>
      <c r="K3" s="6" t="s">
        <v>43</v>
      </c>
      <c r="L3" s="6" t="s">
        <v>44</v>
      </c>
      <c r="M3" s="6" t="s">
        <v>45</v>
      </c>
      <c r="N3" s="6" t="s">
        <v>46</v>
      </c>
      <c r="O3" s="6" t="s">
        <v>47</v>
      </c>
      <c r="P3" s="6" t="s">
        <v>48</v>
      </c>
      <c r="Q3" s="6" t="s">
        <v>49</v>
      </c>
      <c r="R3" s="6" t="s">
        <v>50</v>
      </c>
      <c r="S3" s="6" t="s">
        <v>51</v>
      </c>
      <c r="T3" s="6" t="s">
        <v>52</v>
      </c>
      <c r="U3" s="6" t="s">
        <v>53</v>
      </c>
      <c r="V3" s="6" t="s">
        <v>54</v>
      </c>
      <c r="W3" s="6" t="s">
        <v>55</v>
      </c>
      <c r="X3" s="6" t="s">
        <v>56</v>
      </c>
      <c r="Y3" s="6" t="s">
        <v>57</v>
      </c>
      <c r="Z3" s="6" t="s">
        <v>58</v>
      </c>
      <c r="AA3" s="6" t="s">
        <v>59</v>
      </c>
      <c r="AB3" s="6" t="s">
        <v>60</v>
      </c>
      <c r="AC3" s="6" t="s">
        <v>61</v>
      </c>
      <c r="AD3" s="6" t="s">
        <v>62</v>
      </c>
      <c r="AE3" s="6" t="s">
        <v>63</v>
      </c>
      <c r="AF3" s="6" t="s">
        <v>64</v>
      </c>
    </row>
    <row r="4" spans="1:35" ht="16.5" x14ac:dyDescent="0.3">
      <c r="A4" s="7" t="str">
        <f>buda[[#This Row],[month]]&amp;buda[[#This Row],[chanel]]&amp;buda[[#This Row],[category]]</f>
        <v>1OTARNs</v>
      </c>
      <c r="B4" s="8" t="s">
        <v>66</v>
      </c>
      <c r="C4" s="2" t="s">
        <v>67</v>
      </c>
      <c r="D4" s="9" t="s">
        <v>196</v>
      </c>
      <c r="E4" s="10">
        <v>34370</v>
      </c>
      <c r="F4" s="34">
        <v>6300</v>
      </c>
      <c r="G4" s="34">
        <v>1200</v>
      </c>
      <c r="H4" s="34">
        <v>1250</v>
      </c>
      <c r="I4" s="34">
        <v>450</v>
      </c>
      <c r="J4" s="34">
        <v>500</v>
      </c>
      <c r="K4" s="34">
        <v>350</v>
      </c>
      <c r="L4" s="34">
        <v>1500</v>
      </c>
      <c r="M4" s="34"/>
      <c r="N4" s="34">
        <v>1200</v>
      </c>
      <c r="O4" s="34">
        <v>250</v>
      </c>
      <c r="P4" s="34">
        <v>900</v>
      </c>
      <c r="Q4" s="34">
        <v>1470</v>
      </c>
      <c r="R4" s="34">
        <v>3150</v>
      </c>
      <c r="S4" s="34"/>
      <c r="T4" s="34">
        <v>1250</v>
      </c>
      <c r="U4" s="34">
        <v>2500</v>
      </c>
      <c r="V4" s="34">
        <v>3450</v>
      </c>
      <c r="W4" s="34">
        <v>1400</v>
      </c>
      <c r="X4" s="34">
        <v>1350</v>
      </c>
      <c r="Y4" s="34">
        <v>600</v>
      </c>
      <c r="Z4" s="34">
        <v>3050</v>
      </c>
      <c r="AA4" s="34">
        <v>300</v>
      </c>
      <c r="AB4" s="34">
        <v>300</v>
      </c>
      <c r="AC4" s="35">
        <v>850</v>
      </c>
      <c r="AD4" s="34"/>
      <c r="AE4" s="34">
        <v>800</v>
      </c>
      <c r="AF4" s="36"/>
      <c r="AI4" s="11"/>
    </row>
    <row r="5" spans="1:35" ht="16.5" x14ac:dyDescent="0.3">
      <c r="A5" s="7" t="str">
        <f>buda[[#This Row],[month]]&amp;buda[[#This Row],[chanel]]&amp;buda[[#This Row],[category]]</f>
        <v>1OTAADR</v>
      </c>
      <c r="B5" s="8" t="s">
        <v>66</v>
      </c>
      <c r="C5" s="2" t="s">
        <v>68</v>
      </c>
      <c r="D5" s="9" t="s">
        <v>196</v>
      </c>
      <c r="E5" s="10">
        <v>197</v>
      </c>
      <c r="F5" s="34">
        <v>201</v>
      </c>
      <c r="G5" s="34">
        <v>309</v>
      </c>
      <c r="H5" s="34">
        <v>352</v>
      </c>
      <c r="I5" s="34">
        <v>410</v>
      </c>
      <c r="J5" s="34">
        <v>376</v>
      </c>
      <c r="K5" s="34">
        <v>139</v>
      </c>
      <c r="L5" s="34">
        <v>139</v>
      </c>
      <c r="M5" s="34"/>
      <c r="N5" s="34">
        <v>185</v>
      </c>
      <c r="O5" s="34">
        <v>310</v>
      </c>
      <c r="P5" s="34">
        <v>335</v>
      </c>
      <c r="Q5" s="34">
        <v>180</v>
      </c>
      <c r="R5" s="34">
        <v>198</v>
      </c>
      <c r="S5" s="34"/>
      <c r="T5" s="34">
        <v>154</v>
      </c>
      <c r="U5" s="34">
        <v>104</v>
      </c>
      <c r="V5" s="34">
        <v>158</v>
      </c>
      <c r="W5" s="34">
        <v>163</v>
      </c>
      <c r="X5" s="34">
        <v>197</v>
      </c>
      <c r="Y5" s="34">
        <v>264</v>
      </c>
      <c r="Z5" s="34">
        <v>198</v>
      </c>
      <c r="AA5" s="34">
        <v>161</v>
      </c>
      <c r="AB5" s="34">
        <v>179</v>
      </c>
      <c r="AC5" s="37">
        <v>156</v>
      </c>
      <c r="AD5" s="34"/>
      <c r="AE5" s="34">
        <v>82</v>
      </c>
      <c r="AF5" s="36"/>
      <c r="AI5" s="12"/>
    </row>
    <row r="6" spans="1:35" ht="16.5" x14ac:dyDescent="0.3">
      <c r="A6" s="7" t="str">
        <f>buda[[#This Row],[month]]&amp;buda[[#This Row],[chanel]]&amp;buda[[#This Row],[category]]</f>
        <v>1OTAREV</v>
      </c>
      <c r="B6" s="8" t="s">
        <v>66</v>
      </c>
      <c r="C6" s="2" t="s">
        <v>69</v>
      </c>
      <c r="D6" s="9" t="s">
        <v>196</v>
      </c>
      <c r="E6" s="10">
        <v>6754</v>
      </c>
      <c r="F6" s="34">
        <v>1266</v>
      </c>
      <c r="G6" s="34">
        <v>371</v>
      </c>
      <c r="H6" s="34">
        <v>440</v>
      </c>
      <c r="I6" s="34">
        <v>185</v>
      </c>
      <c r="J6" s="34">
        <v>188</v>
      </c>
      <c r="K6" s="34">
        <v>49</v>
      </c>
      <c r="L6" s="34">
        <v>209</v>
      </c>
      <c r="M6" s="34"/>
      <c r="N6" s="34">
        <v>222</v>
      </c>
      <c r="O6" s="34">
        <v>78</v>
      </c>
      <c r="P6" s="34">
        <v>302</v>
      </c>
      <c r="Q6" s="34">
        <v>265</v>
      </c>
      <c r="R6" s="34">
        <v>624</v>
      </c>
      <c r="S6" s="34"/>
      <c r="T6" s="34">
        <v>192</v>
      </c>
      <c r="U6" s="34">
        <v>261</v>
      </c>
      <c r="V6" s="34">
        <v>547</v>
      </c>
      <c r="W6" s="34">
        <v>228</v>
      </c>
      <c r="X6" s="34">
        <v>267</v>
      </c>
      <c r="Y6" s="34">
        <v>158</v>
      </c>
      <c r="Z6" s="34">
        <v>604</v>
      </c>
      <c r="AA6" s="34">
        <v>48</v>
      </c>
      <c r="AB6" s="34">
        <v>54</v>
      </c>
      <c r="AC6" s="35">
        <v>133</v>
      </c>
      <c r="AD6" s="34"/>
      <c r="AE6" s="34">
        <v>66</v>
      </c>
      <c r="AF6" s="36"/>
      <c r="AI6" s="11"/>
    </row>
    <row r="7" spans="1:35" ht="16.5" x14ac:dyDescent="0.3">
      <c r="A7" s="7" t="str">
        <f>buda[[#This Row],[month]]&amp;buda[[#This Row],[chanel]]&amp;buda[[#This Row],[category]]</f>
        <v>1GOTARNs</v>
      </c>
      <c r="B7" s="8" t="s">
        <v>195</v>
      </c>
      <c r="C7" s="2" t="s">
        <v>67</v>
      </c>
      <c r="D7" s="9" t="s">
        <v>196</v>
      </c>
      <c r="E7" s="10">
        <v>21040</v>
      </c>
      <c r="F7" s="34">
        <v>3050</v>
      </c>
      <c r="G7" s="34">
        <v>900</v>
      </c>
      <c r="H7" s="34">
        <v>850</v>
      </c>
      <c r="I7" s="34">
        <v>300</v>
      </c>
      <c r="J7" s="34">
        <v>550</v>
      </c>
      <c r="K7" s="34">
        <v>250</v>
      </c>
      <c r="L7" s="34">
        <v>1100</v>
      </c>
      <c r="M7" s="34"/>
      <c r="N7" s="34">
        <v>600</v>
      </c>
      <c r="O7" s="34">
        <v>50</v>
      </c>
      <c r="P7" s="34">
        <v>700</v>
      </c>
      <c r="Q7" s="34">
        <v>1050</v>
      </c>
      <c r="R7" s="34">
        <v>1550</v>
      </c>
      <c r="S7" s="34"/>
      <c r="T7" s="34">
        <v>700</v>
      </c>
      <c r="U7" s="34">
        <v>1100</v>
      </c>
      <c r="V7" s="34">
        <v>1380</v>
      </c>
      <c r="W7" s="34">
        <v>750</v>
      </c>
      <c r="X7" s="34">
        <v>1000</v>
      </c>
      <c r="Y7" s="34">
        <v>900</v>
      </c>
      <c r="Z7" s="34">
        <v>1460</v>
      </c>
      <c r="AA7" s="34">
        <v>400</v>
      </c>
      <c r="AB7" s="34">
        <v>350</v>
      </c>
      <c r="AC7" s="37">
        <v>1050</v>
      </c>
      <c r="AD7" s="34"/>
      <c r="AE7" s="34">
        <v>1000</v>
      </c>
      <c r="AF7" s="36"/>
      <c r="AI7" s="12"/>
    </row>
    <row r="8" spans="1:35" ht="16.5" x14ac:dyDescent="0.3">
      <c r="A8" s="7" t="str">
        <f>buda[[#This Row],[month]]&amp;buda[[#This Row],[chanel]]&amp;buda[[#This Row],[category]]</f>
        <v>1GOTAADR</v>
      </c>
      <c r="B8" s="8" t="s">
        <v>195</v>
      </c>
      <c r="C8" s="2" t="s">
        <v>68</v>
      </c>
      <c r="D8" s="9" t="s">
        <v>196</v>
      </c>
      <c r="E8" s="10">
        <v>191</v>
      </c>
      <c r="F8" s="34">
        <v>197</v>
      </c>
      <c r="G8" s="34">
        <v>268</v>
      </c>
      <c r="H8" s="34">
        <v>332</v>
      </c>
      <c r="I8" s="34">
        <v>380</v>
      </c>
      <c r="J8" s="34">
        <v>367</v>
      </c>
      <c r="K8" s="34">
        <v>122</v>
      </c>
      <c r="L8" s="34">
        <v>133</v>
      </c>
      <c r="M8" s="34"/>
      <c r="N8" s="34">
        <v>179</v>
      </c>
      <c r="O8" s="34">
        <v>282</v>
      </c>
      <c r="P8" s="34">
        <v>319</v>
      </c>
      <c r="Q8" s="34">
        <v>172</v>
      </c>
      <c r="R8" s="34">
        <v>185</v>
      </c>
      <c r="S8" s="34"/>
      <c r="T8" s="34">
        <v>146</v>
      </c>
      <c r="U8" s="34">
        <v>108</v>
      </c>
      <c r="V8" s="34">
        <v>155</v>
      </c>
      <c r="W8" s="34">
        <v>150</v>
      </c>
      <c r="X8" s="34">
        <v>194</v>
      </c>
      <c r="Y8" s="34">
        <v>238</v>
      </c>
      <c r="Z8" s="34">
        <v>192</v>
      </c>
      <c r="AA8" s="34">
        <v>141</v>
      </c>
      <c r="AB8" s="34">
        <v>163</v>
      </c>
      <c r="AC8" s="35">
        <v>153</v>
      </c>
      <c r="AD8" s="34"/>
      <c r="AE8" s="34">
        <v>81</v>
      </c>
      <c r="AF8" s="36"/>
      <c r="AI8" s="11"/>
    </row>
    <row r="9" spans="1:35" ht="16.5" x14ac:dyDescent="0.3">
      <c r="A9" s="7" t="str">
        <f>buda[[#This Row],[month]]&amp;buda[[#This Row],[chanel]]&amp;buda[[#This Row],[category]]</f>
        <v>1GOTAREV</v>
      </c>
      <c r="B9" s="8" t="s">
        <v>195</v>
      </c>
      <c r="C9" s="2" t="s">
        <v>69</v>
      </c>
      <c r="D9" s="9" t="s">
        <v>196</v>
      </c>
      <c r="E9" s="10">
        <v>4020</v>
      </c>
      <c r="F9" s="34">
        <v>601</v>
      </c>
      <c r="G9" s="34">
        <v>241</v>
      </c>
      <c r="H9" s="34">
        <v>282</v>
      </c>
      <c r="I9" s="34">
        <v>114</v>
      </c>
      <c r="J9" s="34">
        <v>202</v>
      </c>
      <c r="K9" s="34">
        <v>31</v>
      </c>
      <c r="L9" s="34">
        <v>146</v>
      </c>
      <c r="M9" s="34"/>
      <c r="N9" s="34">
        <v>107</v>
      </c>
      <c r="O9" s="34">
        <v>14</v>
      </c>
      <c r="P9" s="34">
        <v>223</v>
      </c>
      <c r="Q9" s="34">
        <v>181</v>
      </c>
      <c r="R9" s="34">
        <v>287</v>
      </c>
      <c r="S9" s="34"/>
      <c r="T9" s="34">
        <v>102</v>
      </c>
      <c r="U9" s="34">
        <v>119</v>
      </c>
      <c r="V9" s="34">
        <v>214</v>
      </c>
      <c r="W9" s="34">
        <v>113</v>
      </c>
      <c r="X9" s="34">
        <v>194</v>
      </c>
      <c r="Y9" s="34">
        <v>214</v>
      </c>
      <c r="Z9" s="34">
        <v>280</v>
      </c>
      <c r="AA9" s="34">
        <v>56</v>
      </c>
      <c r="AB9" s="34">
        <v>57</v>
      </c>
      <c r="AC9" s="37">
        <v>161</v>
      </c>
      <c r="AD9" s="34"/>
      <c r="AE9" s="34">
        <v>81</v>
      </c>
      <c r="AF9" s="36"/>
      <c r="AI9" s="12"/>
    </row>
    <row r="10" spans="1:35" ht="16.5" x14ac:dyDescent="0.3">
      <c r="A10" s="7" t="str">
        <f>buda[[#This Row],[month]]&amp;buda[[#This Row],[chanel]]&amp;buda[[#This Row],[category]]</f>
        <v>1IBRNs</v>
      </c>
      <c r="B10" s="8" t="s">
        <v>205</v>
      </c>
      <c r="C10" s="2" t="s">
        <v>67</v>
      </c>
      <c r="D10" s="9" t="s">
        <v>196</v>
      </c>
      <c r="E10" s="10">
        <v>5700</v>
      </c>
      <c r="F10" s="34">
        <v>1200</v>
      </c>
      <c r="G10" s="34">
        <v>0</v>
      </c>
      <c r="H10" s="34">
        <v>0</v>
      </c>
      <c r="I10" s="34">
        <v>0</v>
      </c>
      <c r="J10" s="34">
        <v>0</v>
      </c>
      <c r="K10" s="34">
        <v>300</v>
      </c>
      <c r="L10" s="34">
        <v>100</v>
      </c>
      <c r="M10" s="34"/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/>
      <c r="T10" s="34">
        <v>0</v>
      </c>
      <c r="U10" s="34">
        <v>300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5">
        <v>3300</v>
      </c>
      <c r="AD10" s="34"/>
      <c r="AE10" s="34">
        <v>500</v>
      </c>
      <c r="AF10" s="36"/>
      <c r="AI10" s="11"/>
    </row>
    <row r="11" spans="1:35" ht="16.5" x14ac:dyDescent="0.3">
      <c r="A11" s="7" t="str">
        <f>buda[[#This Row],[month]]&amp;buda[[#This Row],[chanel]]&amp;buda[[#This Row],[category]]</f>
        <v>1IBADR</v>
      </c>
      <c r="B11" s="8" t="s">
        <v>205</v>
      </c>
      <c r="C11" s="2" t="s">
        <v>68</v>
      </c>
      <c r="D11" s="9" t="s">
        <v>196</v>
      </c>
      <c r="E11" s="10">
        <v>95</v>
      </c>
      <c r="F11" s="34">
        <v>158</v>
      </c>
      <c r="G11" s="34">
        <v>0</v>
      </c>
      <c r="H11" s="34">
        <v>0</v>
      </c>
      <c r="I11" s="34">
        <v>0</v>
      </c>
      <c r="J11" s="34">
        <v>0</v>
      </c>
      <c r="K11" s="34">
        <v>73</v>
      </c>
      <c r="L11" s="34">
        <v>90</v>
      </c>
      <c r="M11" s="34"/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/>
      <c r="T11" s="34">
        <v>0</v>
      </c>
      <c r="U11" s="34">
        <v>93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7">
        <v>80</v>
      </c>
      <c r="AD11" s="34"/>
      <c r="AE11" s="34">
        <v>60</v>
      </c>
      <c r="AF11" s="36"/>
      <c r="AI11" s="12"/>
    </row>
    <row r="12" spans="1:35" ht="16.5" x14ac:dyDescent="0.3">
      <c r="A12" s="7" t="str">
        <f>buda[[#This Row],[month]]&amp;buda[[#This Row],[chanel]]&amp;buda[[#This Row],[category]]</f>
        <v>1IBREV</v>
      </c>
      <c r="B12" s="8" t="s">
        <v>205</v>
      </c>
      <c r="C12" s="2" t="s">
        <v>69</v>
      </c>
      <c r="D12" s="9" t="s">
        <v>196</v>
      </c>
      <c r="E12" s="10">
        <v>542</v>
      </c>
      <c r="F12" s="34">
        <v>190</v>
      </c>
      <c r="G12" s="34">
        <v>0</v>
      </c>
      <c r="H12" s="34">
        <v>0</v>
      </c>
      <c r="I12" s="34">
        <v>0</v>
      </c>
      <c r="J12" s="34">
        <v>0</v>
      </c>
      <c r="K12" s="34">
        <v>22</v>
      </c>
      <c r="L12" s="34">
        <v>9</v>
      </c>
      <c r="M12" s="34"/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/>
      <c r="T12" s="34">
        <v>0</v>
      </c>
      <c r="U12" s="34">
        <v>28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5">
        <v>264</v>
      </c>
      <c r="AD12" s="34"/>
      <c r="AE12" s="34">
        <v>30</v>
      </c>
      <c r="AF12" s="36"/>
      <c r="AI12" s="11"/>
    </row>
    <row r="13" spans="1:35" ht="16.5" x14ac:dyDescent="0.3">
      <c r="A13" s="7" t="str">
        <f>buda[[#This Row],[month]]&amp;buda[[#This Row],[chanel]]&amp;buda[[#This Row],[category]]</f>
        <v>2OTARNs</v>
      </c>
      <c r="B13" s="8" t="s">
        <v>66</v>
      </c>
      <c r="C13" s="2" t="s">
        <v>67</v>
      </c>
      <c r="D13" s="9" t="s">
        <v>197</v>
      </c>
      <c r="E13" s="10">
        <v>34590</v>
      </c>
      <c r="F13" s="38">
        <v>6000</v>
      </c>
      <c r="G13" s="38">
        <v>930</v>
      </c>
      <c r="H13" s="38">
        <v>1400</v>
      </c>
      <c r="I13" s="38">
        <v>400</v>
      </c>
      <c r="J13" s="38">
        <v>450</v>
      </c>
      <c r="K13" s="38">
        <v>300</v>
      </c>
      <c r="L13" s="38">
        <v>1450</v>
      </c>
      <c r="M13" s="38"/>
      <c r="N13" s="38">
        <v>1050</v>
      </c>
      <c r="O13" s="38">
        <v>200</v>
      </c>
      <c r="P13" s="38">
        <v>730</v>
      </c>
      <c r="Q13" s="38">
        <v>1500</v>
      </c>
      <c r="R13" s="38">
        <v>3200</v>
      </c>
      <c r="S13" s="38"/>
      <c r="T13" s="38">
        <v>1320</v>
      </c>
      <c r="U13" s="38">
        <v>4300</v>
      </c>
      <c r="V13" s="38">
        <v>2770</v>
      </c>
      <c r="W13" s="38">
        <v>1500</v>
      </c>
      <c r="X13" s="38">
        <v>1500</v>
      </c>
      <c r="Y13" s="38">
        <v>550</v>
      </c>
      <c r="Z13" s="38">
        <v>3000</v>
      </c>
      <c r="AA13" s="38">
        <v>250</v>
      </c>
      <c r="AB13" s="38">
        <v>300</v>
      </c>
      <c r="AC13" s="39">
        <v>890</v>
      </c>
      <c r="AD13" s="38"/>
      <c r="AE13" s="38">
        <v>600</v>
      </c>
      <c r="AF13" s="36"/>
      <c r="AI13" s="12"/>
    </row>
    <row r="14" spans="1:35" ht="16.5" x14ac:dyDescent="0.3">
      <c r="A14" s="7" t="str">
        <f>buda[[#This Row],[month]]&amp;buda[[#This Row],[chanel]]&amp;buda[[#This Row],[category]]</f>
        <v>2OTAADR</v>
      </c>
      <c r="B14" s="8" t="s">
        <v>66</v>
      </c>
      <c r="C14" s="2" t="s">
        <v>68</v>
      </c>
      <c r="D14" s="9" t="s">
        <v>197</v>
      </c>
      <c r="E14" s="10">
        <v>179</v>
      </c>
      <c r="F14" s="34">
        <v>166</v>
      </c>
      <c r="G14" s="34">
        <v>250</v>
      </c>
      <c r="H14" s="34">
        <v>293</v>
      </c>
      <c r="I14" s="34">
        <v>340</v>
      </c>
      <c r="J14" s="34">
        <v>311</v>
      </c>
      <c r="K14" s="34">
        <v>120</v>
      </c>
      <c r="L14" s="34">
        <v>140</v>
      </c>
      <c r="M14" s="34"/>
      <c r="N14" s="34">
        <v>196</v>
      </c>
      <c r="O14" s="34">
        <v>310</v>
      </c>
      <c r="P14" s="34">
        <v>334</v>
      </c>
      <c r="Q14" s="34">
        <v>193</v>
      </c>
      <c r="R14" s="34">
        <v>203</v>
      </c>
      <c r="S14" s="34"/>
      <c r="T14" s="34">
        <v>150</v>
      </c>
      <c r="U14" s="34">
        <v>93</v>
      </c>
      <c r="V14" s="34">
        <v>156</v>
      </c>
      <c r="W14" s="34">
        <v>158</v>
      </c>
      <c r="X14" s="34">
        <v>180</v>
      </c>
      <c r="Y14" s="34">
        <v>238</v>
      </c>
      <c r="Z14" s="34">
        <v>219</v>
      </c>
      <c r="AA14" s="34">
        <v>160</v>
      </c>
      <c r="AB14" s="34">
        <v>169</v>
      </c>
      <c r="AC14" s="35">
        <v>151</v>
      </c>
      <c r="AD14" s="34"/>
      <c r="AE14" s="34">
        <v>77</v>
      </c>
      <c r="AF14" s="36"/>
      <c r="AI14" s="11"/>
    </row>
    <row r="15" spans="1:35" ht="16.5" x14ac:dyDescent="0.3">
      <c r="A15" s="7" t="str">
        <f>buda[[#This Row],[month]]&amp;buda[[#This Row],[chanel]]&amp;buda[[#This Row],[category]]</f>
        <v>2OTAREV</v>
      </c>
      <c r="B15" s="8" t="s">
        <v>66</v>
      </c>
      <c r="C15" s="2" t="s">
        <v>69</v>
      </c>
      <c r="D15" s="9" t="s">
        <v>197</v>
      </c>
      <c r="E15" s="10">
        <v>6201</v>
      </c>
      <c r="F15" s="34">
        <v>996</v>
      </c>
      <c r="G15" s="34">
        <v>232</v>
      </c>
      <c r="H15" s="34">
        <v>410</v>
      </c>
      <c r="I15" s="34">
        <v>136</v>
      </c>
      <c r="J15" s="34">
        <v>140</v>
      </c>
      <c r="K15" s="34">
        <v>36</v>
      </c>
      <c r="L15" s="34">
        <v>203</v>
      </c>
      <c r="M15" s="34"/>
      <c r="N15" s="34">
        <v>206</v>
      </c>
      <c r="O15" s="34">
        <v>62</v>
      </c>
      <c r="P15" s="34">
        <v>244</v>
      </c>
      <c r="Q15" s="34">
        <v>290</v>
      </c>
      <c r="R15" s="34">
        <v>650</v>
      </c>
      <c r="S15" s="34"/>
      <c r="T15" s="34">
        <v>198</v>
      </c>
      <c r="U15" s="34">
        <v>400</v>
      </c>
      <c r="V15" s="34">
        <v>432</v>
      </c>
      <c r="W15" s="34">
        <v>237</v>
      </c>
      <c r="X15" s="34">
        <v>270</v>
      </c>
      <c r="Y15" s="34">
        <v>131</v>
      </c>
      <c r="Z15" s="34">
        <v>657</v>
      </c>
      <c r="AA15" s="34">
        <v>40</v>
      </c>
      <c r="AB15" s="34">
        <v>51</v>
      </c>
      <c r="AC15" s="37">
        <v>135</v>
      </c>
      <c r="AD15" s="34"/>
      <c r="AE15" s="34">
        <v>46</v>
      </c>
      <c r="AF15" s="36"/>
      <c r="AI15" s="12"/>
    </row>
    <row r="16" spans="1:35" ht="16.5" x14ac:dyDescent="0.3">
      <c r="A16" s="7" t="str">
        <f>buda[[#This Row],[month]]&amp;buda[[#This Row],[chanel]]&amp;buda[[#This Row],[category]]</f>
        <v>2GOTARNs</v>
      </c>
      <c r="B16" s="8" t="s">
        <v>195</v>
      </c>
      <c r="C16" s="2" t="s">
        <v>67</v>
      </c>
      <c r="D16" s="9" t="s">
        <v>197</v>
      </c>
      <c r="E16" s="10">
        <v>20290</v>
      </c>
      <c r="F16" s="38">
        <v>2960</v>
      </c>
      <c r="G16" s="38">
        <v>500</v>
      </c>
      <c r="H16" s="38">
        <v>1000</v>
      </c>
      <c r="I16" s="38">
        <v>250</v>
      </c>
      <c r="J16" s="38">
        <v>450</v>
      </c>
      <c r="K16" s="38">
        <v>200</v>
      </c>
      <c r="L16" s="38">
        <v>1200</v>
      </c>
      <c r="M16" s="38"/>
      <c r="N16" s="38">
        <v>550</v>
      </c>
      <c r="O16" s="38">
        <v>50</v>
      </c>
      <c r="P16" s="38">
        <v>600</v>
      </c>
      <c r="Q16" s="38">
        <v>1150</v>
      </c>
      <c r="R16" s="38">
        <v>1600</v>
      </c>
      <c r="S16" s="38"/>
      <c r="T16" s="38">
        <v>780</v>
      </c>
      <c r="U16" s="38">
        <v>1250</v>
      </c>
      <c r="V16" s="38">
        <v>1100</v>
      </c>
      <c r="W16" s="38">
        <v>750</v>
      </c>
      <c r="X16" s="38">
        <v>900</v>
      </c>
      <c r="Y16" s="38">
        <v>750</v>
      </c>
      <c r="Z16" s="38">
        <v>1400</v>
      </c>
      <c r="AA16" s="38">
        <v>350</v>
      </c>
      <c r="AB16" s="38">
        <v>350</v>
      </c>
      <c r="AC16" s="39">
        <v>1350</v>
      </c>
      <c r="AD16" s="38"/>
      <c r="AE16" s="38">
        <v>800</v>
      </c>
      <c r="AF16" s="36"/>
      <c r="AI16" s="11"/>
    </row>
    <row r="17" spans="1:35" ht="16.5" x14ac:dyDescent="0.3">
      <c r="A17" s="7" t="str">
        <f>buda[[#This Row],[month]]&amp;buda[[#This Row],[chanel]]&amp;buda[[#This Row],[category]]</f>
        <v>2GOTAADR</v>
      </c>
      <c r="B17" s="8" t="s">
        <v>195</v>
      </c>
      <c r="C17" s="2" t="s">
        <v>68</v>
      </c>
      <c r="D17" s="9" t="s">
        <v>197</v>
      </c>
      <c r="E17" s="10">
        <v>178</v>
      </c>
      <c r="F17" s="34">
        <v>167</v>
      </c>
      <c r="G17" s="34">
        <v>237</v>
      </c>
      <c r="H17" s="34">
        <v>283</v>
      </c>
      <c r="I17" s="34">
        <v>325</v>
      </c>
      <c r="J17" s="34">
        <v>321</v>
      </c>
      <c r="K17" s="34">
        <v>115</v>
      </c>
      <c r="L17" s="34">
        <v>135</v>
      </c>
      <c r="M17" s="34"/>
      <c r="N17" s="34">
        <v>187</v>
      </c>
      <c r="O17" s="34">
        <v>274</v>
      </c>
      <c r="P17" s="34">
        <v>315</v>
      </c>
      <c r="Q17" s="34">
        <v>185</v>
      </c>
      <c r="R17" s="34">
        <v>195</v>
      </c>
      <c r="S17" s="34"/>
      <c r="T17" s="34">
        <v>144</v>
      </c>
      <c r="U17" s="34">
        <v>100</v>
      </c>
      <c r="V17" s="34">
        <v>150</v>
      </c>
      <c r="W17" s="34">
        <v>147</v>
      </c>
      <c r="X17" s="34">
        <v>177</v>
      </c>
      <c r="Y17" s="34">
        <v>233</v>
      </c>
      <c r="Z17" s="34">
        <v>185</v>
      </c>
      <c r="AA17" s="34">
        <v>135</v>
      </c>
      <c r="AB17" s="34">
        <v>156</v>
      </c>
      <c r="AC17" s="37">
        <v>150</v>
      </c>
      <c r="AD17" s="34"/>
      <c r="AE17" s="34">
        <v>76</v>
      </c>
      <c r="AF17" s="36"/>
      <c r="AI17" s="12"/>
    </row>
    <row r="18" spans="1:35" ht="16.5" x14ac:dyDescent="0.3">
      <c r="A18" s="7" t="str">
        <f>buda[[#This Row],[month]]&amp;buda[[#This Row],[chanel]]&amp;buda[[#This Row],[category]]</f>
        <v>2GOTAREV</v>
      </c>
      <c r="B18" s="8" t="s">
        <v>195</v>
      </c>
      <c r="C18" s="2" t="s">
        <v>69</v>
      </c>
      <c r="D18" s="9" t="s">
        <v>197</v>
      </c>
      <c r="E18" s="10">
        <v>3607</v>
      </c>
      <c r="F18" s="34">
        <v>493</v>
      </c>
      <c r="G18" s="34">
        <v>119</v>
      </c>
      <c r="H18" s="34">
        <v>283</v>
      </c>
      <c r="I18" s="34">
        <v>81</v>
      </c>
      <c r="J18" s="34">
        <v>144</v>
      </c>
      <c r="K18" s="34">
        <v>23</v>
      </c>
      <c r="L18" s="34">
        <v>162</v>
      </c>
      <c r="M18" s="34"/>
      <c r="N18" s="34">
        <v>103</v>
      </c>
      <c r="O18" s="34">
        <v>14</v>
      </c>
      <c r="P18" s="34">
        <v>189</v>
      </c>
      <c r="Q18" s="34">
        <v>213</v>
      </c>
      <c r="R18" s="34">
        <v>312</v>
      </c>
      <c r="S18" s="34"/>
      <c r="T18" s="34">
        <v>112</v>
      </c>
      <c r="U18" s="34">
        <v>125</v>
      </c>
      <c r="V18" s="34">
        <v>166</v>
      </c>
      <c r="W18" s="34">
        <v>110</v>
      </c>
      <c r="X18" s="34">
        <v>159</v>
      </c>
      <c r="Y18" s="34">
        <v>175</v>
      </c>
      <c r="Z18" s="34">
        <v>259</v>
      </c>
      <c r="AA18" s="34">
        <v>47</v>
      </c>
      <c r="AB18" s="34">
        <v>55</v>
      </c>
      <c r="AC18" s="35">
        <v>203</v>
      </c>
      <c r="AD18" s="34"/>
      <c r="AE18" s="34">
        <v>61</v>
      </c>
      <c r="AF18" s="36"/>
      <c r="AI18" s="11"/>
    </row>
    <row r="19" spans="1:35" ht="16.5" x14ac:dyDescent="0.3">
      <c r="A19" s="7" t="str">
        <f>buda[[#This Row],[month]]&amp;buda[[#This Row],[chanel]]&amp;buda[[#This Row],[category]]</f>
        <v>2IBRNs</v>
      </c>
      <c r="B19" s="8" t="s">
        <v>205</v>
      </c>
      <c r="C19" s="2" t="s">
        <v>67</v>
      </c>
      <c r="D19" s="9" t="s">
        <v>197</v>
      </c>
      <c r="E19" s="10">
        <v>4750</v>
      </c>
      <c r="F19" s="34">
        <v>1600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100</v>
      </c>
      <c r="M19" s="34"/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/>
      <c r="T19" s="34">
        <v>0</v>
      </c>
      <c r="U19" s="34">
        <v>250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7">
        <v>2500</v>
      </c>
      <c r="AD19" s="34"/>
      <c r="AE19" s="34">
        <v>300</v>
      </c>
      <c r="AF19" s="36"/>
      <c r="AI19" s="12"/>
    </row>
    <row r="20" spans="1:35" ht="16.5" x14ac:dyDescent="0.3">
      <c r="A20" s="7" t="str">
        <f>buda[[#This Row],[month]]&amp;buda[[#This Row],[chanel]]&amp;buda[[#This Row],[category]]</f>
        <v>2IBADR</v>
      </c>
      <c r="B20" s="8" t="s">
        <v>205</v>
      </c>
      <c r="C20" s="2" t="s">
        <v>68</v>
      </c>
      <c r="D20" s="9" t="s">
        <v>197</v>
      </c>
      <c r="E20" s="10">
        <v>90</v>
      </c>
      <c r="F20" s="34">
        <v>110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75</v>
      </c>
      <c r="M20" s="34"/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/>
      <c r="T20" s="34">
        <v>0</v>
      </c>
      <c r="U20" s="34">
        <v>73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5">
        <v>83</v>
      </c>
      <c r="AD20" s="34"/>
      <c r="AE20" s="34">
        <v>53</v>
      </c>
      <c r="AF20" s="36"/>
      <c r="AI20" s="11"/>
    </row>
    <row r="21" spans="1:35" ht="17.25" thickBot="1" x14ac:dyDescent="0.35">
      <c r="A21" s="13" t="str">
        <f>buda[[#This Row],[month]]&amp;buda[[#This Row],[chanel]]&amp;buda[[#This Row],[category]]</f>
        <v>2IBREV</v>
      </c>
      <c r="B21" s="14" t="s">
        <v>205</v>
      </c>
      <c r="C21" s="15" t="s">
        <v>69</v>
      </c>
      <c r="D21" s="9" t="s">
        <v>197</v>
      </c>
      <c r="E21" s="16">
        <v>425</v>
      </c>
      <c r="F21" s="40">
        <v>176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8</v>
      </c>
      <c r="M21" s="40"/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/>
      <c r="T21" s="40">
        <v>0</v>
      </c>
      <c r="U21" s="40">
        <v>18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1">
        <v>208</v>
      </c>
      <c r="AD21" s="40"/>
      <c r="AE21" s="40">
        <v>16</v>
      </c>
      <c r="AF21" s="36"/>
      <c r="AI21" s="12"/>
    </row>
    <row r="22" spans="1:35" ht="17.25" thickTop="1" x14ac:dyDescent="0.3">
      <c r="A22" s="7" t="str">
        <f>buda[[#This Row],[month]]&amp;buda[[#This Row],[chanel]]&amp;buda[[#This Row],[category]]</f>
        <v>3OTARNs</v>
      </c>
      <c r="B22" s="8" t="s">
        <v>66</v>
      </c>
      <c r="C22" s="2" t="s">
        <v>67</v>
      </c>
      <c r="D22" s="9" t="s">
        <v>198</v>
      </c>
      <c r="E22" s="10">
        <v>17530</v>
      </c>
      <c r="F22" s="34">
        <v>1300</v>
      </c>
      <c r="G22" s="34">
        <v>700</v>
      </c>
      <c r="H22" s="34">
        <v>350</v>
      </c>
      <c r="I22" s="34">
        <v>350</v>
      </c>
      <c r="J22" s="34">
        <v>450</v>
      </c>
      <c r="K22" s="34">
        <v>250</v>
      </c>
      <c r="L22" s="34">
        <v>750</v>
      </c>
      <c r="M22" s="34"/>
      <c r="N22" s="34">
        <v>350</v>
      </c>
      <c r="O22" s="34">
        <v>90</v>
      </c>
      <c r="P22" s="34">
        <v>700</v>
      </c>
      <c r="Q22" s="34">
        <v>900</v>
      </c>
      <c r="R22" s="34">
        <v>1800</v>
      </c>
      <c r="S22" s="34"/>
      <c r="T22" s="34">
        <v>570</v>
      </c>
      <c r="U22" s="34">
        <v>1850</v>
      </c>
      <c r="V22" s="34">
        <v>720</v>
      </c>
      <c r="W22" s="34">
        <v>950</v>
      </c>
      <c r="X22" s="34">
        <v>900</v>
      </c>
      <c r="Y22" s="34">
        <v>500</v>
      </c>
      <c r="Z22" s="34">
        <v>1650</v>
      </c>
      <c r="AA22" s="34">
        <v>300</v>
      </c>
      <c r="AB22" s="34">
        <v>350</v>
      </c>
      <c r="AC22" s="35">
        <v>1050</v>
      </c>
      <c r="AD22" s="34"/>
      <c r="AE22" s="34">
        <v>700</v>
      </c>
      <c r="AF22" s="36"/>
      <c r="AI22" s="11"/>
    </row>
    <row r="23" spans="1:35" ht="16.5" x14ac:dyDescent="0.3">
      <c r="A23" s="7" t="str">
        <f>buda[[#This Row],[month]]&amp;buda[[#This Row],[chanel]]&amp;buda[[#This Row],[category]]</f>
        <v>3OTAADR</v>
      </c>
      <c r="B23" s="8" t="s">
        <v>66</v>
      </c>
      <c r="C23" s="2" t="s">
        <v>68</v>
      </c>
      <c r="D23" s="9" t="s">
        <v>198</v>
      </c>
      <c r="E23" s="10">
        <v>188</v>
      </c>
      <c r="F23" s="34">
        <v>169</v>
      </c>
      <c r="G23" s="34">
        <v>230</v>
      </c>
      <c r="H23" s="34">
        <v>270</v>
      </c>
      <c r="I23" s="34">
        <v>281</v>
      </c>
      <c r="J23" s="34">
        <v>292</v>
      </c>
      <c r="K23" s="34">
        <v>132</v>
      </c>
      <c r="L23" s="34">
        <v>153</v>
      </c>
      <c r="M23" s="34"/>
      <c r="N23" s="34">
        <v>210</v>
      </c>
      <c r="O23" s="34">
        <v>315</v>
      </c>
      <c r="P23" s="34">
        <v>340</v>
      </c>
      <c r="Q23" s="34">
        <v>207</v>
      </c>
      <c r="R23" s="34">
        <v>219</v>
      </c>
      <c r="S23" s="34"/>
      <c r="T23" s="34">
        <v>160</v>
      </c>
      <c r="U23" s="34">
        <v>120</v>
      </c>
      <c r="V23" s="34">
        <v>167</v>
      </c>
      <c r="W23" s="34">
        <v>158</v>
      </c>
      <c r="X23" s="34">
        <v>208</v>
      </c>
      <c r="Y23" s="34">
        <v>254</v>
      </c>
      <c r="Z23" s="34">
        <v>191</v>
      </c>
      <c r="AA23" s="34">
        <v>159</v>
      </c>
      <c r="AB23" s="34">
        <v>165</v>
      </c>
      <c r="AC23" s="37">
        <v>144</v>
      </c>
      <c r="AD23" s="34"/>
      <c r="AE23" s="34">
        <v>80</v>
      </c>
      <c r="AF23" s="36"/>
      <c r="AI23" s="12"/>
    </row>
    <row r="24" spans="1:35" ht="16.5" x14ac:dyDescent="0.3">
      <c r="A24" s="7" t="str">
        <f>buda[[#This Row],[month]]&amp;buda[[#This Row],[chanel]]&amp;buda[[#This Row],[category]]</f>
        <v>3OTAREV</v>
      </c>
      <c r="B24" s="8" t="s">
        <v>66</v>
      </c>
      <c r="C24" s="2" t="s">
        <v>69</v>
      </c>
      <c r="D24" s="9" t="s">
        <v>198</v>
      </c>
      <c r="E24" s="10">
        <v>3298</v>
      </c>
      <c r="F24" s="34">
        <v>219</v>
      </c>
      <c r="G24" s="34">
        <v>161</v>
      </c>
      <c r="H24" s="34">
        <v>95</v>
      </c>
      <c r="I24" s="34">
        <v>98</v>
      </c>
      <c r="J24" s="34">
        <v>131</v>
      </c>
      <c r="K24" s="34">
        <v>33</v>
      </c>
      <c r="L24" s="34">
        <v>115</v>
      </c>
      <c r="M24" s="34"/>
      <c r="N24" s="34">
        <v>74</v>
      </c>
      <c r="O24" s="34">
        <v>28</v>
      </c>
      <c r="P24" s="34">
        <v>238</v>
      </c>
      <c r="Q24" s="34">
        <v>186</v>
      </c>
      <c r="R24" s="34">
        <v>394</v>
      </c>
      <c r="S24" s="34"/>
      <c r="T24" s="34">
        <v>91</v>
      </c>
      <c r="U24" s="34">
        <v>222</v>
      </c>
      <c r="V24" s="34">
        <v>120</v>
      </c>
      <c r="W24" s="34">
        <v>150</v>
      </c>
      <c r="X24" s="34">
        <v>187</v>
      </c>
      <c r="Y24" s="34">
        <v>127</v>
      </c>
      <c r="Z24" s="34">
        <v>315</v>
      </c>
      <c r="AA24" s="34">
        <v>48</v>
      </c>
      <c r="AB24" s="34">
        <v>58</v>
      </c>
      <c r="AC24" s="35">
        <v>151</v>
      </c>
      <c r="AD24" s="34"/>
      <c r="AE24" s="34">
        <v>56</v>
      </c>
      <c r="AF24" s="36"/>
      <c r="AI24" s="11"/>
    </row>
    <row r="25" spans="1:35" ht="16.5" x14ac:dyDescent="0.3">
      <c r="A25" s="7" t="str">
        <f>buda[[#This Row],[month]]&amp;buda[[#This Row],[chanel]]&amp;buda[[#This Row],[category]]</f>
        <v>3GOTARNs</v>
      </c>
      <c r="B25" s="8" t="s">
        <v>195</v>
      </c>
      <c r="C25" s="2" t="s">
        <v>67</v>
      </c>
      <c r="D25" s="9" t="s">
        <v>198</v>
      </c>
      <c r="E25" s="10">
        <v>13470</v>
      </c>
      <c r="F25" s="34">
        <v>550</v>
      </c>
      <c r="G25" s="34">
        <v>500</v>
      </c>
      <c r="H25" s="34">
        <v>300</v>
      </c>
      <c r="I25" s="34">
        <v>150</v>
      </c>
      <c r="J25" s="34">
        <v>300</v>
      </c>
      <c r="K25" s="34">
        <v>200</v>
      </c>
      <c r="L25" s="34">
        <v>700</v>
      </c>
      <c r="M25" s="34"/>
      <c r="N25" s="34">
        <v>220</v>
      </c>
      <c r="O25" s="34">
        <v>40</v>
      </c>
      <c r="P25" s="34">
        <v>500</v>
      </c>
      <c r="Q25" s="34">
        <v>800</v>
      </c>
      <c r="R25" s="34">
        <v>1150</v>
      </c>
      <c r="S25" s="34"/>
      <c r="T25" s="34">
        <v>450</v>
      </c>
      <c r="U25" s="34">
        <v>500</v>
      </c>
      <c r="V25" s="34">
        <v>600</v>
      </c>
      <c r="W25" s="34">
        <v>600</v>
      </c>
      <c r="X25" s="34">
        <v>700</v>
      </c>
      <c r="Y25" s="34">
        <v>700</v>
      </c>
      <c r="Z25" s="34">
        <v>1310</v>
      </c>
      <c r="AA25" s="34">
        <v>350</v>
      </c>
      <c r="AB25" s="34">
        <v>400</v>
      </c>
      <c r="AC25" s="37">
        <v>1550</v>
      </c>
      <c r="AD25" s="34"/>
      <c r="AE25" s="34">
        <v>900</v>
      </c>
      <c r="AF25" s="36"/>
      <c r="AI25" s="12"/>
    </row>
    <row r="26" spans="1:35" ht="16.5" x14ac:dyDescent="0.3">
      <c r="A26" s="7" t="str">
        <f>buda[[#This Row],[month]]&amp;buda[[#This Row],[chanel]]&amp;buda[[#This Row],[category]]</f>
        <v>3GOTAADR</v>
      </c>
      <c r="B26" s="8" t="s">
        <v>195</v>
      </c>
      <c r="C26" s="2" t="s">
        <v>68</v>
      </c>
      <c r="D26" s="9" t="s">
        <v>198</v>
      </c>
      <c r="E26" s="10">
        <v>183</v>
      </c>
      <c r="F26" s="34">
        <v>195</v>
      </c>
      <c r="G26" s="34">
        <v>224</v>
      </c>
      <c r="H26" s="34">
        <v>283</v>
      </c>
      <c r="I26" s="34">
        <v>323</v>
      </c>
      <c r="J26" s="34">
        <v>297</v>
      </c>
      <c r="K26" s="34">
        <v>118</v>
      </c>
      <c r="L26" s="34">
        <v>138</v>
      </c>
      <c r="M26" s="34"/>
      <c r="N26" s="34">
        <v>205</v>
      </c>
      <c r="O26" s="34">
        <v>275</v>
      </c>
      <c r="P26" s="34">
        <v>330</v>
      </c>
      <c r="Q26" s="34">
        <v>200</v>
      </c>
      <c r="R26" s="34">
        <v>214</v>
      </c>
      <c r="S26" s="34"/>
      <c r="T26" s="34">
        <v>168</v>
      </c>
      <c r="U26" s="34">
        <v>122</v>
      </c>
      <c r="V26" s="34">
        <v>152</v>
      </c>
      <c r="W26" s="34">
        <v>145</v>
      </c>
      <c r="X26" s="34">
        <v>195</v>
      </c>
      <c r="Y26" s="34">
        <v>229</v>
      </c>
      <c r="Z26" s="34">
        <v>186</v>
      </c>
      <c r="AA26" s="34">
        <v>142</v>
      </c>
      <c r="AB26" s="34">
        <v>154</v>
      </c>
      <c r="AC26" s="35">
        <v>149</v>
      </c>
      <c r="AD26" s="34"/>
      <c r="AE26" s="34">
        <v>79</v>
      </c>
      <c r="AF26" s="36"/>
      <c r="AI26" s="11"/>
    </row>
    <row r="27" spans="1:35" ht="16.5" x14ac:dyDescent="0.3">
      <c r="A27" s="7" t="str">
        <f>buda[[#This Row],[month]]&amp;buda[[#This Row],[chanel]]&amp;buda[[#This Row],[category]]</f>
        <v>3GOTAREV</v>
      </c>
      <c r="B27" s="8" t="s">
        <v>195</v>
      </c>
      <c r="C27" s="2" t="s">
        <v>69</v>
      </c>
      <c r="D27" s="9" t="s">
        <v>198</v>
      </c>
      <c r="E27" s="10">
        <v>2459</v>
      </c>
      <c r="F27" s="38">
        <v>107</v>
      </c>
      <c r="G27" s="38">
        <v>112</v>
      </c>
      <c r="H27" s="38">
        <v>86</v>
      </c>
      <c r="I27" s="38">
        <v>49</v>
      </c>
      <c r="J27" s="38">
        <v>89</v>
      </c>
      <c r="K27" s="38">
        <v>24</v>
      </c>
      <c r="L27" s="38">
        <v>97</v>
      </c>
      <c r="M27" s="38"/>
      <c r="N27" s="38">
        <v>45</v>
      </c>
      <c r="O27" s="38">
        <v>11</v>
      </c>
      <c r="P27" s="38">
        <v>165</v>
      </c>
      <c r="Q27" s="38">
        <v>160</v>
      </c>
      <c r="R27" s="38">
        <v>246</v>
      </c>
      <c r="S27" s="38"/>
      <c r="T27" s="38">
        <v>76</v>
      </c>
      <c r="U27" s="38">
        <v>61</v>
      </c>
      <c r="V27" s="38">
        <v>91</v>
      </c>
      <c r="W27" s="38">
        <v>87</v>
      </c>
      <c r="X27" s="38">
        <v>137</v>
      </c>
      <c r="Y27" s="38">
        <v>160</v>
      </c>
      <c r="Z27" s="38">
        <v>244</v>
      </c>
      <c r="AA27" s="38">
        <v>50</v>
      </c>
      <c r="AB27" s="38">
        <v>62</v>
      </c>
      <c r="AC27" s="39">
        <v>231</v>
      </c>
      <c r="AD27" s="38"/>
      <c r="AE27" s="38">
        <v>71</v>
      </c>
      <c r="AF27" s="36"/>
      <c r="AI27" s="12"/>
    </row>
    <row r="28" spans="1:35" ht="16.5" x14ac:dyDescent="0.3">
      <c r="A28" s="7" t="str">
        <f>buda[[#This Row],[month]]&amp;buda[[#This Row],[chanel]]&amp;buda[[#This Row],[category]]</f>
        <v>3IBRNs</v>
      </c>
      <c r="B28" s="8" t="s">
        <v>205</v>
      </c>
      <c r="C28" s="2" t="s">
        <v>67</v>
      </c>
      <c r="D28" s="9" t="s">
        <v>198</v>
      </c>
      <c r="E28" s="10">
        <v>3700</v>
      </c>
      <c r="F28" s="34">
        <v>300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200</v>
      </c>
      <c r="M28" s="34"/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/>
      <c r="T28" s="34">
        <v>0</v>
      </c>
      <c r="U28" s="34">
        <v>200</v>
      </c>
      <c r="V28" s="34">
        <v>0</v>
      </c>
      <c r="W28" s="34">
        <v>0</v>
      </c>
      <c r="X28" s="34">
        <v>0</v>
      </c>
      <c r="Y28" s="34">
        <v>100</v>
      </c>
      <c r="Z28" s="34">
        <v>0</v>
      </c>
      <c r="AA28" s="34">
        <v>0</v>
      </c>
      <c r="AB28" s="34">
        <v>0</v>
      </c>
      <c r="AC28" s="35">
        <v>2500</v>
      </c>
      <c r="AD28" s="34"/>
      <c r="AE28" s="34">
        <v>400</v>
      </c>
      <c r="AF28" s="36"/>
      <c r="AI28" s="11"/>
    </row>
    <row r="29" spans="1:35" ht="16.5" x14ac:dyDescent="0.3">
      <c r="A29" s="7" t="str">
        <f>buda[[#This Row],[month]]&amp;buda[[#This Row],[chanel]]&amp;buda[[#This Row],[category]]</f>
        <v>3IBADR</v>
      </c>
      <c r="B29" s="8" t="s">
        <v>205</v>
      </c>
      <c r="C29" s="2" t="s">
        <v>68</v>
      </c>
      <c r="D29" s="9" t="s">
        <v>198</v>
      </c>
      <c r="E29" s="10">
        <v>79</v>
      </c>
      <c r="F29" s="34">
        <v>80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74</v>
      </c>
      <c r="M29" s="34"/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/>
      <c r="T29" s="34">
        <v>0</v>
      </c>
      <c r="U29" s="34">
        <v>70</v>
      </c>
      <c r="V29" s="34">
        <v>0</v>
      </c>
      <c r="W29" s="34">
        <v>0</v>
      </c>
      <c r="X29" s="34">
        <v>0</v>
      </c>
      <c r="Y29" s="34">
        <v>136</v>
      </c>
      <c r="Z29" s="34">
        <v>0</v>
      </c>
      <c r="AA29" s="34">
        <v>0</v>
      </c>
      <c r="AB29" s="34">
        <v>0</v>
      </c>
      <c r="AC29" s="37">
        <v>82</v>
      </c>
      <c r="AD29" s="34"/>
      <c r="AE29" s="34">
        <v>53</v>
      </c>
      <c r="AF29" s="36"/>
      <c r="AI29" s="12"/>
    </row>
    <row r="30" spans="1:35" ht="16.5" x14ac:dyDescent="0.3">
      <c r="A30" s="7" t="str">
        <f>buda[[#This Row],[month]]&amp;buda[[#This Row],[chanel]]&amp;buda[[#This Row],[category]]</f>
        <v>3IBREV</v>
      </c>
      <c r="B30" s="8" t="s">
        <v>205</v>
      </c>
      <c r="C30" s="2" t="s">
        <v>69</v>
      </c>
      <c r="D30" s="9" t="s">
        <v>198</v>
      </c>
      <c r="E30" s="10">
        <v>293</v>
      </c>
      <c r="F30" s="34">
        <v>24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15</v>
      </c>
      <c r="M30" s="34"/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/>
      <c r="T30" s="34">
        <v>0</v>
      </c>
      <c r="U30" s="34">
        <v>14</v>
      </c>
      <c r="V30" s="34">
        <v>0</v>
      </c>
      <c r="W30" s="34">
        <v>0</v>
      </c>
      <c r="X30" s="34">
        <v>0</v>
      </c>
      <c r="Y30" s="34">
        <v>14</v>
      </c>
      <c r="Z30" s="34">
        <v>0</v>
      </c>
      <c r="AA30" s="34">
        <v>0</v>
      </c>
      <c r="AB30" s="34">
        <v>0</v>
      </c>
      <c r="AC30" s="35">
        <v>205</v>
      </c>
      <c r="AD30" s="34"/>
      <c r="AE30" s="34">
        <v>21</v>
      </c>
      <c r="AF30" s="36"/>
      <c r="AI30" s="11"/>
    </row>
    <row r="31" spans="1:35" ht="16.5" x14ac:dyDescent="0.3">
      <c r="A31" s="7" t="str">
        <f>buda[[#This Row],[month]]&amp;buda[[#This Row],[chanel]]&amp;buda[[#This Row],[category]]</f>
        <v>4OTARNs</v>
      </c>
      <c r="B31" s="8" t="s">
        <v>66</v>
      </c>
      <c r="C31" s="2" t="s">
        <v>67</v>
      </c>
      <c r="D31" s="9" t="s">
        <v>199</v>
      </c>
      <c r="E31" s="10">
        <v>25370</v>
      </c>
      <c r="F31" s="34">
        <v>2200</v>
      </c>
      <c r="G31" s="34">
        <v>950</v>
      </c>
      <c r="H31" s="34">
        <v>700</v>
      </c>
      <c r="I31" s="34">
        <v>550</v>
      </c>
      <c r="J31" s="34">
        <v>650</v>
      </c>
      <c r="K31" s="34">
        <v>350</v>
      </c>
      <c r="L31" s="34">
        <v>950</v>
      </c>
      <c r="M31" s="34"/>
      <c r="N31" s="34">
        <v>650</v>
      </c>
      <c r="O31" s="34">
        <v>110</v>
      </c>
      <c r="P31" s="34">
        <v>750</v>
      </c>
      <c r="Q31" s="34">
        <v>1200</v>
      </c>
      <c r="R31" s="34">
        <v>3050</v>
      </c>
      <c r="S31" s="34"/>
      <c r="T31" s="34">
        <v>540</v>
      </c>
      <c r="U31" s="34">
        <v>2800</v>
      </c>
      <c r="V31" s="34">
        <v>1320</v>
      </c>
      <c r="W31" s="34">
        <v>1250</v>
      </c>
      <c r="X31" s="34">
        <v>1150</v>
      </c>
      <c r="Y31" s="34">
        <v>600</v>
      </c>
      <c r="Z31" s="34">
        <v>2500</v>
      </c>
      <c r="AA31" s="34">
        <v>350</v>
      </c>
      <c r="AB31" s="34">
        <v>350</v>
      </c>
      <c r="AC31" s="37">
        <v>1600</v>
      </c>
      <c r="AD31" s="34"/>
      <c r="AE31" s="34">
        <v>800</v>
      </c>
      <c r="AF31" s="36"/>
      <c r="AI31" s="12"/>
    </row>
    <row r="32" spans="1:35" ht="16.5" x14ac:dyDescent="0.3">
      <c r="A32" s="7" t="str">
        <f>buda[[#This Row],[month]]&amp;buda[[#This Row],[chanel]]&amp;buda[[#This Row],[category]]</f>
        <v>4OTAADR</v>
      </c>
      <c r="B32" s="8" t="s">
        <v>66</v>
      </c>
      <c r="C32" s="2" t="s">
        <v>68</v>
      </c>
      <c r="D32" s="9" t="s">
        <v>199</v>
      </c>
      <c r="E32" s="10">
        <v>176</v>
      </c>
      <c r="F32" s="34">
        <v>128</v>
      </c>
      <c r="G32" s="34">
        <v>237</v>
      </c>
      <c r="H32" s="34">
        <v>245</v>
      </c>
      <c r="I32" s="34">
        <v>263</v>
      </c>
      <c r="J32" s="34">
        <v>266</v>
      </c>
      <c r="K32" s="34">
        <v>116</v>
      </c>
      <c r="L32" s="34">
        <v>158</v>
      </c>
      <c r="M32" s="34"/>
      <c r="N32" s="34">
        <v>185</v>
      </c>
      <c r="O32" s="34">
        <v>315</v>
      </c>
      <c r="P32" s="34">
        <v>367</v>
      </c>
      <c r="Q32" s="34">
        <v>195</v>
      </c>
      <c r="R32" s="34">
        <v>200</v>
      </c>
      <c r="S32" s="34"/>
      <c r="T32" s="34">
        <v>145</v>
      </c>
      <c r="U32" s="34">
        <v>93</v>
      </c>
      <c r="V32" s="34">
        <v>154</v>
      </c>
      <c r="W32" s="34">
        <v>155</v>
      </c>
      <c r="X32" s="34">
        <v>210</v>
      </c>
      <c r="Y32" s="34">
        <v>240</v>
      </c>
      <c r="Z32" s="34">
        <v>182</v>
      </c>
      <c r="AA32" s="34">
        <v>168</v>
      </c>
      <c r="AB32" s="34">
        <v>185</v>
      </c>
      <c r="AC32" s="35">
        <v>149</v>
      </c>
      <c r="AD32" s="34"/>
      <c r="AE32" s="34">
        <v>83</v>
      </c>
      <c r="AF32" s="36"/>
      <c r="AI32" s="11"/>
    </row>
    <row r="33" spans="1:35" ht="16.5" x14ac:dyDescent="0.3">
      <c r="A33" s="7" t="str">
        <f>buda[[#This Row],[month]]&amp;buda[[#This Row],[chanel]]&amp;buda[[#This Row],[category]]</f>
        <v>4OTAREV</v>
      </c>
      <c r="B33" s="8" t="s">
        <v>66</v>
      </c>
      <c r="C33" s="2" t="s">
        <v>69</v>
      </c>
      <c r="D33" s="9" t="s">
        <v>199</v>
      </c>
      <c r="E33" s="10">
        <v>4466</v>
      </c>
      <c r="F33" s="34">
        <v>283</v>
      </c>
      <c r="G33" s="34">
        <v>225</v>
      </c>
      <c r="H33" s="34">
        <v>171</v>
      </c>
      <c r="I33" s="34">
        <v>144</v>
      </c>
      <c r="J33" s="34">
        <v>173</v>
      </c>
      <c r="K33" s="34">
        <v>41</v>
      </c>
      <c r="L33" s="34">
        <v>150</v>
      </c>
      <c r="M33" s="34"/>
      <c r="N33" s="34">
        <v>120</v>
      </c>
      <c r="O33" s="34">
        <v>35</v>
      </c>
      <c r="P33" s="34">
        <v>275</v>
      </c>
      <c r="Q33" s="34">
        <v>234</v>
      </c>
      <c r="R33" s="34">
        <v>610</v>
      </c>
      <c r="S33" s="34"/>
      <c r="T33" s="34">
        <v>78</v>
      </c>
      <c r="U33" s="34">
        <v>260</v>
      </c>
      <c r="V33" s="34">
        <v>204</v>
      </c>
      <c r="W33" s="34">
        <v>194</v>
      </c>
      <c r="X33" s="34">
        <v>241</v>
      </c>
      <c r="Y33" s="34">
        <v>144</v>
      </c>
      <c r="Z33" s="34">
        <v>455</v>
      </c>
      <c r="AA33" s="34">
        <v>59</v>
      </c>
      <c r="AB33" s="34">
        <v>65</v>
      </c>
      <c r="AC33" s="37">
        <v>238</v>
      </c>
      <c r="AD33" s="34"/>
      <c r="AE33" s="34">
        <v>66</v>
      </c>
      <c r="AF33" s="36"/>
      <c r="AI33" s="12"/>
    </row>
    <row r="34" spans="1:35" ht="16.5" x14ac:dyDescent="0.3">
      <c r="A34" s="7" t="str">
        <f>buda[[#This Row],[month]]&amp;buda[[#This Row],[chanel]]&amp;buda[[#This Row],[category]]</f>
        <v>4GOTARNs</v>
      </c>
      <c r="B34" s="8" t="s">
        <v>195</v>
      </c>
      <c r="C34" s="2" t="s">
        <v>67</v>
      </c>
      <c r="D34" s="9" t="s">
        <v>199</v>
      </c>
      <c r="E34" s="10">
        <v>17690</v>
      </c>
      <c r="F34" s="34">
        <v>650</v>
      </c>
      <c r="G34" s="34">
        <v>650</v>
      </c>
      <c r="H34" s="34">
        <v>400</v>
      </c>
      <c r="I34" s="34">
        <v>200</v>
      </c>
      <c r="J34" s="34">
        <v>450</v>
      </c>
      <c r="K34" s="34">
        <v>200</v>
      </c>
      <c r="L34" s="34">
        <v>850</v>
      </c>
      <c r="M34" s="34"/>
      <c r="N34" s="34">
        <v>430</v>
      </c>
      <c r="O34" s="34">
        <v>50</v>
      </c>
      <c r="P34" s="34">
        <v>550</v>
      </c>
      <c r="Q34" s="34">
        <v>950</v>
      </c>
      <c r="R34" s="34">
        <v>1550</v>
      </c>
      <c r="S34" s="34"/>
      <c r="T34" s="34">
        <v>410</v>
      </c>
      <c r="U34" s="34">
        <v>650</v>
      </c>
      <c r="V34" s="34">
        <v>780</v>
      </c>
      <c r="W34" s="34">
        <v>750</v>
      </c>
      <c r="X34" s="34">
        <v>850</v>
      </c>
      <c r="Y34" s="34">
        <v>950</v>
      </c>
      <c r="Z34" s="34">
        <v>1820</v>
      </c>
      <c r="AA34" s="34">
        <v>400</v>
      </c>
      <c r="AB34" s="34">
        <v>450</v>
      </c>
      <c r="AC34" s="35">
        <v>2700</v>
      </c>
      <c r="AD34" s="34"/>
      <c r="AE34" s="34">
        <v>1000</v>
      </c>
      <c r="AF34" s="36"/>
      <c r="AI34" s="11"/>
    </row>
    <row r="35" spans="1:35" ht="16.5" x14ac:dyDescent="0.3">
      <c r="A35" s="7" t="str">
        <f>buda[[#This Row],[month]]&amp;buda[[#This Row],[chanel]]&amp;buda[[#This Row],[category]]</f>
        <v>4GOTAADR</v>
      </c>
      <c r="B35" s="8" t="s">
        <v>195</v>
      </c>
      <c r="C35" s="2" t="s">
        <v>68</v>
      </c>
      <c r="D35" s="9" t="s">
        <v>199</v>
      </c>
      <c r="E35" s="10">
        <v>175</v>
      </c>
      <c r="F35" s="34">
        <v>143</v>
      </c>
      <c r="G35" s="34">
        <v>232</v>
      </c>
      <c r="H35" s="34">
        <v>257</v>
      </c>
      <c r="I35" s="34">
        <v>255</v>
      </c>
      <c r="J35" s="34">
        <v>278</v>
      </c>
      <c r="K35" s="34">
        <v>112</v>
      </c>
      <c r="L35" s="34">
        <v>145</v>
      </c>
      <c r="M35" s="34"/>
      <c r="N35" s="34">
        <v>171</v>
      </c>
      <c r="O35" s="34">
        <v>279</v>
      </c>
      <c r="P35" s="34">
        <v>350</v>
      </c>
      <c r="Q35" s="34">
        <v>181</v>
      </c>
      <c r="R35" s="34">
        <v>185</v>
      </c>
      <c r="S35" s="34"/>
      <c r="T35" s="34">
        <v>146</v>
      </c>
      <c r="U35" s="34">
        <v>110</v>
      </c>
      <c r="V35" s="34">
        <v>147</v>
      </c>
      <c r="W35" s="34">
        <v>147</v>
      </c>
      <c r="X35" s="34">
        <v>180</v>
      </c>
      <c r="Y35" s="34">
        <v>227</v>
      </c>
      <c r="Z35" s="34">
        <v>181</v>
      </c>
      <c r="AA35" s="34">
        <v>147</v>
      </c>
      <c r="AB35" s="34">
        <v>163</v>
      </c>
      <c r="AC35" s="37">
        <v>155</v>
      </c>
      <c r="AD35" s="34"/>
      <c r="AE35" s="34">
        <v>82</v>
      </c>
      <c r="AF35" s="36"/>
      <c r="AI35" s="12"/>
    </row>
    <row r="36" spans="1:35" ht="16.5" x14ac:dyDescent="0.3">
      <c r="A36" s="7" t="str">
        <f>buda[[#This Row],[month]]&amp;buda[[#This Row],[chanel]]&amp;buda[[#This Row],[category]]</f>
        <v>4GOTAREV</v>
      </c>
      <c r="B36" s="8" t="s">
        <v>195</v>
      </c>
      <c r="C36" s="2" t="s">
        <v>69</v>
      </c>
      <c r="D36" s="9" t="s">
        <v>199</v>
      </c>
      <c r="E36" s="10">
        <v>3094</v>
      </c>
      <c r="F36" s="34">
        <v>93</v>
      </c>
      <c r="G36" s="34">
        <v>151</v>
      </c>
      <c r="H36" s="34">
        <v>103</v>
      </c>
      <c r="I36" s="34">
        <v>51</v>
      </c>
      <c r="J36" s="34">
        <v>125</v>
      </c>
      <c r="K36" s="34">
        <v>22</v>
      </c>
      <c r="L36" s="34">
        <v>123</v>
      </c>
      <c r="M36" s="34"/>
      <c r="N36" s="34">
        <v>73</v>
      </c>
      <c r="O36" s="34">
        <v>14</v>
      </c>
      <c r="P36" s="34">
        <v>193</v>
      </c>
      <c r="Q36" s="34">
        <v>172</v>
      </c>
      <c r="R36" s="34">
        <v>287</v>
      </c>
      <c r="S36" s="34"/>
      <c r="T36" s="34">
        <v>60</v>
      </c>
      <c r="U36" s="34">
        <v>72</v>
      </c>
      <c r="V36" s="34">
        <v>114</v>
      </c>
      <c r="W36" s="34">
        <v>110</v>
      </c>
      <c r="X36" s="34">
        <v>153</v>
      </c>
      <c r="Y36" s="34">
        <v>216</v>
      </c>
      <c r="Z36" s="34">
        <v>329</v>
      </c>
      <c r="AA36" s="34">
        <v>59</v>
      </c>
      <c r="AB36" s="34">
        <v>74</v>
      </c>
      <c r="AC36" s="35">
        <v>419</v>
      </c>
      <c r="AD36" s="34"/>
      <c r="AE36" s="34">
        <v>82</v>
      </c>
      <c r="AF36" s="36"/>
      <c r="AI36" s="11"/>
    </row>
    <row r="37" spans="1:35" ht="16.5" x14ac:dyDescent="0.3">
      <c r="A37" s="7" t="str">
        <f>buda[[#This Row],[month]]&amp;buda[[#This Row],[chanel]]&amp;buda[[#This Row],[category]]</f>
        <v>4IBRNs</v>
      </c>
      <c r="B37" s="8" t="s">
        <v>205</v>
      </c>
      <c r="C37" s="2" t="s">
        <v>67</v>
      </c>
      <c r="D37" s="9" t="s">
        <v>199</v>
      </c>
      <c r="E37" s="10">
        <v>5000</v>
      </c>
      <c r="F37" s="34">
        <v>300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200</v>
      </c>
      <c r="M37" s="34"/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/>
      <c r="T37" s="34">
        <v>0</v>
      </c>
      <c r="U37" s="34">
        <v>200</v>
      </c>
      <c r="V37" s="34">
        <v>150</v>
      </c>
      <c r="W37" s="34">
        <v>50</v>
      </c>
      <c r="X37" s="34">
        <v>0</v>
      </c>
      <c r="Y37" s="34">
        <v>200</v>
      </c>
      <c r="Z37" s="34">
        <v>0</v>
      </c>
      <c r="AA37" s="34">
        <v>0</v>
      </c>
      <c r="AB37" s="34">
        <v>0</v>
      </c>
      <c r="AC37" s="37">
        <v>3400</v>
      </c>
      <c r="AD37" s="34"/>
      <c r="AE37" s="34">
        <v>500</v>
      </c>
      <c r="AF37" s="36"/>
      <c r="AI37" s="12"/>
    </row>
    <row r="38" spans="1:35" ht="16.5" x14ac:dyDescent="0.3">
      <c r="A38" s="7" t="str">
        <f>buda[[#This Row],[month]]&amp;buda[[#This Row],[chanel]]&amp;buda[[#This Row],[category]]</f>
        <v>4IBADR</v>
      </c>
      <c r="B38" s="8" t="s">
        <v>205</v>
      </c>
      <c r="C38" s="2" t="s">
        <v>68</v>
      </c>
      <c r="D38" s="9" t="s">
        <v>199</v>
      </c>
      <c r="E38" s="10">
        <v>80</v>
      </c>
      <c r="F38" s="34">
        <v>70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65</v>
      </c>
      <c r="M38" s="34"/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/>
      <c r="T38" s="34">
        <v>0</v>
      </c>
      <c r="U38" s="34">
        <v>65</v>
      </c>
      <c r="V38" s="34">
        <v>81</v>
      </c>
      <c r="W38" s="34">
        <v>85</v>
      </c>
      <c r="X38" s="34">
        <v>0</v>
      </c>
      <c r="Y38" s="34">
        <v>136</v>
      </c>
      <c r="Z38" s="34">
        <v>0</v>
      </c>
      <c r="AA38" s="34">
        <v>0</v>
      </c>
      <c r="AB38" s="34">
        <v>0</v>
      </c>
      <c r="AC38" s="35">
        <v>83</v>
      </c>
      <c r="AD38" s="34"/>
      <c r="AE38" s="34">
        <v>53</v>
      </c>
      <c r="AF38" s="36"/>
      <c r="AI38" s="11"/>
    </row>
    <row r="39" spans="1:35" ht="16.5" x14ac:dyDescent="0.3">
      <c r="A39" s="7" t="str">
        <f>buda[[#This Row],[month]]&amp;buda[[#This Row],[chanel]]&amp;buda[[#This Row],[category]]</f>
        <v>4IBREV</v>
      </c>
      <c r="B39" s="8" t="s">
        <v>205</v>
      </c>
      <c r="C39" s="2" t="s">
        <v>69</v>
      </c>
      <c r="D39" s="9" t="s">
        <v>199</v>
      </c>
      <c r="E39" s="10">
        <v>399</v>
      </c>
      <c r="F39" s="34">
        <v>21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13</v>
      </c>
      <c r="M39" s="34"/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/>
      <c r="T39" s="34">
        <v>0</v>
      </c>
      <c r="U39" s="34">
        <v>13</v>
      </c>
      <c r="V39" s="34">
        <v>12</v>
      </c>
      <c r="W39" s="34">
        <v>4</v>
      </c>
      <c r="X39" s="34">
        <v>0</v>
      </c>
      <c r="Y39" s="34">
        <v>27</v>
      </c>
      <c r="Z39" s="34">
        <v>0</v>
      </c>
      <c r="AA39" s="34">
        <v>0</v>
      </c>
      <c r="AB39" s="34">
        <v>0</v>
      </c>
      <c r="AC39" s="37">
        <v>282</v>
      </c>
      <c r="AD39" s="34"/>
      <c r="AE39" s="34">
        <v>27</v>
      </c>
      <c r="AF39" s="36"/>
      <c r="AI39" s="12"/>
    </row>
    <row r="40" spans="1:35" ht="16.5" x14ac:dyDescent="0.3">
      <c r="A40" s="7" t="str">
        <f>buda[[#This Row],[month]]&amp;buda[[#This Row],[chanel]]&amp;buda[[#This Row],[category]]</f>
        <v>5OTARNs</v>
      </c>
      <c r="B40" s="8" t="s">
        <v>66</v>
      </c>
      <c r="C40" s="2" t="s">
        <v>67</v>
      </c>
      <c r="D40" s="9" t="s">
        <v>200</v>
      </c>
      <c r="E40" s="10">
        <v>29280</v>
      </c>
      <c r="F40" s="36">
        <v>4000</v>
      </c>
      <c r="G40" s="36">
        <v>900</v>
      </c>
      <c r="H40" s="36">
        <v>700</v>
      </c>
      <c r="I40" s="36">
        <v>400</v>
      </c>
      <c r="J40" s="36">
        <v>850</v>
      </c>
      <c r="K40" s="36">
        <v>350</v>
      </c>
      <c r="L40" s="36">
        <v>1050</v>
      </c>
      <c r="M40" s="36"/>
      <c r="N40" s="36">
        <v>900</v>
      </c>
      <c r="O40" s="36">
        <v>120</v>
      </c>
      <c r="P40" s="36">
        <v>1000</v>
      </c>
      <c r="Q40" s="36">
        <v>1600</v>
      </c>
      <c r="R40" s="36">
        <v>3600</v>
      </c>
      <c r="S40" s="36"/>
      <c r="T40" s="36">
        <v>510</v>
      </c>
      <c r="U40" s="36">
        <v>1600</v>
      </c>
      <c r="V40" s="36">
        <v>1700</v>
      </c>
      <c r="W40" s="36">
        <v>1300</v>
      </c>
      <c r="X40" s="36">
        <v>1350</v>
      </c>
      <c r="Y40" s="36">
        <v>650</v>
      </c>
      <c r="Z40" s="36">
        <v>3250</v>
      </c>
      <c r="AA40" s="36">
        <v>300</v>
      </c>
      <c r="AB40" s="36">
        <v>550</v>
      </c>
      <c r="AC40" s="42">
        <v>1600</v>
      </c>
      <c r="AD40" s="36"/>
      <c r="AE40" s="36">
        <v>1000</v>
      </c>
      <c r="AF40" s="36"/>
      <c r="AI40" s="11"/>
    </row>
    <row r="41" spans="1:35" ht="16.5" x14ac:dyDescent="0.3">
      <c r="A41" s="7" t="str">
        <f>buda[[#This Row],[month]]&amp;buda[[#This Row],[chanel]]&amp;buda[[#This Row],[category]]</f>
        <v>5OTAADR</v>
      </c>
      <c r="B41" s="8" t="s">
        <v>66</v>
      </c>
      <c r="C41" s="2" t="s">
        <v>68</v>
      </c>
      <c r="D41" s="9" t="s">
        <v>200</v>
      </c>
      <c r="E41" s="10">
        <v>183</v>
      </c>
      <c r="F41" s="36">
        <v>130</v>
      </c>
      <c r="G41" s="36">
        <v>271</v>
      </c>
      <c r="H41" s="36">
        <v>269</v>
      </c>
      <c r="I41" s="36">
        <v>284</v>
      </c>
      <c r="J41" s="36">
        <v>268</v>
      </c>
      <c r="K41" s="36">
        <v>133</v>
      </c>
      <c r="L41" s="36">
        <v>157</v>
      </c>
      <c r="M41" s="36"/>
      <c r="N41" s="36">
        <v>190</v>
      </c>
      <c r="O41" s="36">
        <v>320</v>
      </c>
      <c r="P41" s="36">
        <v>365</v>
      </c>
      <c r="Q41" s="36">
        <v>195</v>
      </c>
      <c r="R41" s="36">
        <v>204</v>
      </c>
      <c r="S41" s="36"/>
      <c r="T41" s="36">
        <v>160</v>
      </c>
      <c r="U41" s="36">
        <v>115</v>
      </c>
      <c r="V41" s="36">
        <v>146</v>
      </c>
      <c r="W41" s="36">
        <v>153</v>
      </c>
      <c r="X41" s="36">
        <v>203</v>
      </c>
      <c r="Y41" s="36">
        <v>249</v>
      </c>
      <c r="Z41" s="36">
        <v>187</v>
      </c>
      <c r="AA41" s="36">
        <v>177</v>
      </c>
      <c r="AB41" s="36">
        <v>190</v>
      </c>
      <c r="AC41" s="43">
        <v>146</v>
      </c>
      <c r="AD41" s="36"/>
      <c r="AE41" s="36">
        <v>88</v>
      </c>
      <c r="AF41" s="36"/>
      <c r="AI41" s="12"/>
    </row>
    <row r="42" spans="1:35" ht="16.5" x14ac:dyDescent="0.3">
      <c r="A42" s="7" t="str">
        <f>buda[[#This Row],[month]]&amp;buda[[#This Row],[chanel]]&amp;buda[[#This Row],[category]]</f>
        <v>5OTAREV</v>
      </c>
      <c r="B42" s="8" t="s">
        <v>66</v>
      </c>
      <c r="C42" s="2" t="s">
        <v>69</v>
      </c>
      <c r="D42" s="9" t="s">
        <v>200</v>
      </c>
      <c r="E42" s="10">
        <v>5363</v>
      </c>
      <c r="F42" s="36">
        <v>522</v>
      </c>
      <c r="G42" s="36">
        <v>244</v>
      </c>
      <c r="H42" s="36">
        <v>188</v>
      </c>
      <c r="I42" s="34">
        <v>114</v>
      </c>
      <c r="J42" s="36">
        <v>278</v>
      </c>
      <c r="K42" s="34">
        <v>47</v>
      </c>
      <c r="L42" s="36">
        <v>165</v>
      </c>
      <c r="M42" s="36"/>
      <c r="N42" s="36">
        <v>171</v>
      </c>
      <c r="O42" s="36">
        <v>38</v>
      </c>
      <c r="P42" s="36">
        <v>365</v>
      </c>
      <c r="Q42" s="36">
        <v>312</v>
      </c>
      <c r="R42" s="36">
        <v>734</v>
      </c>
      <c r="S42" s="36"/>
      <c r="T42" s="36">
        <v>81</v>
      </c>
      <c r="U42" s="36">
        <v>184</v>
      </c>
      <c r="V42" s="36">
        <v>248</v>
      </c>
      <c r="W42" s="36">
        <v>199</v>
      </c>
      <c r="X42" s="36">
        <v>274</v>
      </c>
      <c r="Y42" s="36">
        <v>162</v>
      </c>
      <c r="Z42" s="36">
        <v>608</v>
      </c>
      <c r="AA42" s="36">
        <v>53</v>
      </c>
      <c r="AB42" s="36">
        <v>105</v>
      </c>
      <c r="AC42" s="42">
        <v>234</v>
      </c>
      <c r="AD42" s="36"/>
      <c r="AE42" s="36">
        <v>88</v>
      </c>
      <c r="AF42" s="36"/>
      <c r="AI42" s="11"/>
    </row>
    <row r="43" spans="1:35" ht="16.5" x14ac:dyDescent="0.3">
      <c r="A43" s="7" t="str">
        <f>buda[[#This Row],[month]]&amp;buda[[#This Row],[chanel]]&amp;buda[[#This Row],[category]]</f>
        <v>5GOTARNs</v>
      </c>
      <c r="B43" s="8" t="s">
        <v>195</v>
      </c>
      <c r="C43" s="2" t="s">
        <v>67</v>
      </c>
      <c r="D43" s="9" t="s">
        <v>200</v>
      </c>
      <c r="E43" s="10">
        <v>19640</v>
      </c>
      <c r="F43" s="36">
        <v>1300</v>
      </c>
      <c r="G43" s="36">
        <v>800</v>
      </c>
      <c r="H43" s="36">
        <v>600</v>
      </c>
      <c r="I43" s="36">
        <v>250</v>
      </c>
      <c r="J43" s="36">
        <v>650</v>
      </c>
      <c r="K43" s="36">
        <v>250</v>
      </c>
      <c r="L43" s="36">
        <v>1000</v>
      </c>
      <c r="M43" s="36"/>
      <c r="N43" s="36">
        <v>550</v>
      </c>
      <c r="O43" s="36">
        <v>60</v>
      </c>
      <c r="P43" s="36">
        <v>700</v>
      </c>
      <c r="Q43" s="36">
        <v>1050</v>
      </c>
      <c r="R43" s="36">
        <v>1600</v>
      </c>
      <c r="S43" s="36"/>
      <c r="T43" s="36">
        <v>420</v>
      </c>
      <c r="U43" s="36">
        <v>850</v>
      </c>
      <c r="V43" s="36">
        <v>960</v>
      </c>
      <c r="W43" s="36">
        <v>700</v>
      </c>
      <c r="X43" s="36">
        <v>850</v>
      </c>
      <c r="Y43" s="36">
        <v>1000</v>
      </c>
      <c r="Z43" s="36">
        <v>1800</v>
      </c>
      <c r="AA43" s="36">
        <v>350</v>
      </c>
      <c r="AB43" s="36">
        <v>450</v>
      </c>
      <c r="AC43" s="43">
        <v>2250</v>
      </c>
      <c r="AD43" s="36"/>
      <c r="AE43" s="36">
        <v>1200</v>
      </c>
      <c r="AF43" s="36"/>
      <c r="AI43" s="12"/>
    </row>
    <row r="44" spans="1:35" ht="16.5" x14ac:dyDescent="0.3">
      <c r="A44" s="7" t="str">
        <f>buda[[#This Row],[month]]&amp;buda[[#This Row],[chanel]]&amp;buda[[#This Row],[category]]</f>
        <v>5GOTAADR</v>
      </c>
      <c r="B44" s="8" t="s">
        <v>195</v>
      </c>
      <c r="C44" s="2" t="s">
        <v>68</v>
      </c>
      <c r="D44" s="9" t="s">
        <v>200</v>
      </c>
      <c r="E44" s="10">
        <v>180</v>
      </c>
      <c r="F44" s="36">
        <v>159</v>
      </c>
      <c r="G44" s="36">
        <v>286</v>
      </c>
      <c r="H44" s="36">
        <v>264</v>
      </c>
      <c r="I44" s="36">
        <v>284</v>
      </c>
      <c r="J44" s="36">
        <v>283</v>
      </c>
      <c r="K44" s="36">
        <v>110</v>
      </c>
      <c r="L44" s="36">
        <v>144</v>
      </c>
      <c r="M44" s="36"/>
      <c r="N44" s="36">
        <v>179</v>
      </c>
      <c r="O44" s="36">
        <v>290</v>
      </c>
      <c r="P44" s="36">
        <v>330</v>
      </c>
      <c r="Q44" s="36">
        <v>175</v>
      </c>
      <c r="R44" s="36">
        <v>188</v>
      </c>
      <c r="S44" s="36"/>
      <c r="T44" s="36">
        <v>150</v>
      </c>
      <c r="U44" s="36">
        <v>106</v>
      </c>
      <c r="V44" s="36">
        <v>143</v>
      </c>
      <c r="W44" s="36">
        <v>143</v>
      </c>
      <c r="X44" s="36">
        <v>190</v>
      </c>
      <c r="Y44" s="36">
        <v>233</v>
      </c>
      <c r="Z44" s="36">
        <v>180</v>
      </c>
      <c r="AA44" s="36">
        <v>165</v>
      </c>
      <c r="AB44" s="36">
        <v>186</v>
      </c>
      <c r="AC44" s="42">
        <v>149</v>
      </c>
      <c r="AD44" s="36"/>
      <c r="AE44" s="36">
        <v>87</v>
      </c>
      <c r="AF44" s="36"/>
      <c r="AI44" s="11"/>
    </row>
    <row r="45" spans="1:35" ht="16.5" x14ac:dyDescent="0.3">
      <c r="A45" s="7" t="str">
        <f>buda[[#This Row],[month]]&amp;buda[[#This Row],[chanel]]&amp;buda[[#This Row],[category]]</f>
        <v>5GOTAREV</v>
      </c>
      <c r="B45" s="8" t="s">
        <v>195</v>
      </c>
      <c r="C45" s="2" t="s">
        <v>69</v>
      </c>
      <c r="D45" s="9" t="s">
        <v>200</v>
      </c>
      <c r="E45" s="10">
        <v>3542</v>
      </c>
      <c r="F45" s="36">
        <v>207</v>
      </c>
      <c r="G45" s="36">
        <v>229</v>
      </c>
      <c r="H45" s="36">
        <v>158</v>
      </c>
      <c r="I45" s="36">
        <v>71</v>
      </c>
      <c r="J45" s="36">
        <v>184</v>
      </c>
      <c r="K45" s="36">
        <v>27</v>
      </c>
      <c r="L45" s="36">
        <v>144</v>
      </c>
      <c r="M45" s="36"/>
      <c r="N45" s="36">
        <v>98</v>
      </c>
      <c r="O45" s="36">
        <v>17</v>
      </c>
      <c r="P45" s="36">
        <v>231</v>
      </c>
      <c r="Q45" s="36">
        <v>184</v>
      </c>
      <c r="R45" s="36">
        <v>301</v>
      </c>
      <c r="S45" s="36"/>
      <c r="T45" s="36">
        <v>63</v>
      </c>
      <c r="U45" s="36">
        <v>90</v>
      </c>
      <c r="V45" s="36">
        <v>137</v>
      </c>
      <c r="W45" s="36">
        <v>100</v>
      </c>
      <c r="X45" s="36">
        <v>162</v>
      </c>
      <c r="Y45" s="36">
        <v>233</v>
      </c>
      <c r="Z45" s="36">
        <v>324</v>
      </c>
      <c r="AA45" s="36">
        <v>58</v>
      </c>
      <c r="AB45" s="36">
        <v>84</v>
      </c>
      <c r="AC45" s="43">
        <v>335</v>
      </c>
      <c r="AD45" s="36"/>
      <c r="AE45" s="36">
        <v>105</v>
      </c>
      <c r="AF45" s="36"/>
      <c r="AI45" s="12"/>
    </row>
    <row r="46" spans="1:35" ht="16.5" x14ac:dyDescent="0.3">
      <c r="A46" s="7" t="str">
        <f>buda[[#This Row],[month]]&amp;buda[[#This Row],[chanel]]&amp;buda[[#This Row],[category]]</f>
        <v>5IBRNs</v>
      </c>
      <c r="B46" s="8" t="s">
        <v>205</v>
      </c>
      <c r="C46" s="2" t="s">
        <v>67</v>
      </c>
      <c r="D46" s="9" t="s">
        <v>200</v>
      </c>
      <c r="E46" s="10">
        <v>4550</v>
      </c>
      <c r="F46" s="36">
        <v>200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36">
        <v>100</v>
      </c>
      <c r="M46" s="36"/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/>
      <c r="T46" s="36">
        <v>0</v>
      </c>
      <c r="U46" s="36">
        <v>200</v>
      </c>
      <c r="V46" s="36">
        <v>110</v>
      </c>
      <c r="W46" s="36">
        <v>40</v>
      </c>
      <c r="X46" s="36">
        <v>300</v>
      </c>
      <c r="Y46" s="36">
        <v>200</v>
      </c>
      <c r="Z46" s="36">
        <v>0</v>
      </c>
      <c r="AA46" s="36">
        <v>0</v>
      </c>
      <c r="AB46" s="36">
        <v>0</v>
      </c>
      <c r="AC46" s="42">
        <v>3000</v>
      </c>
      <c r="AD46" s="36"/>
      <c r="AE46" s="36">
        <v>400</v>
      </c>
      <c r="AF46" s="36"/>
      <c r="AI46" s="11"/>
    </row>
    <row r="47" spans="1:35" ht="16.5" x14ac:dyDescent="0.3">
      <c r="A47" s="7" t="str">
        <f>buda[[#This Row],[month]]&amp;buda[[#This Row],[chanel]]&amp;buda[[#This Row],[category]]</f>
        <v>5IBADR</v>
      </c>
      <c r="B47" s="8" t="s">
        <v>205</v>
      </c>
      <c r="C47" s="2" t="s">
        <v>68</v>
      </c>
      <c r="D47" s="9" t="s">
        <v>200</v>
      </c>
      <c r="E47" s="10">
        <v>87</v>
      </c>
      <c r="F47" s="36">
        <v>70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65</v>
      </c>
      <c r="M47" s="36"/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/>
      <c r="T47" s="36">
        <v>0</v>
      </c>
      <c r="U47" s="36">
        <v>65</v>
      </c>
      <c r="V47" s="36">
        <v>89</v>
      </c>
      <c r="W47" s="36">
        <v>90</v>
      </c>
      <c r="X47" s="36">
        <v>150</v>
      </c>
      <c r="Y47" s="36">
        <v>136</v>
      </c>
      <c r="Z47" s="36">
        <v>0</v>
      </c>
      <c r="AA47" s="36">
        <v>0</v>
      </c>
      <c r="AB47" s="36">
        <v>0</v>
      </c>
      <c r="AC47" s="43">
        <v>85</v>
      </c>
      <c r="AD47" s="36"/>
      <c r="AE47" s="36">
        <v>53</v>
      </c>
      <c r="AF47" s="36"/>
      <c r="AI47" s="12"/>
    </row>
    <row r="48" spans="1:35" ht="16.5" x14ac:dyDescent="0.3">
      <c r="A48" s="7" t="str">
        <f>buda[[#This Row],[month]]&amp;buda[[#This Row],[chanel]]&amp;buda[[#This Row],[category]]</f>
        <v>5IBREV</v>
      </c>
      <c r="B48" s="8" t="s">
        <v>205</v>
      </c>
      <c r="C48" s="2" t="s">
        <v>69</v>
      </c>
      <c r="D48" s="9" t="s">
        <v>200</v>
      </c>
      <c r="E48" s="10">
        <v>395</v>
      </c>
      <c r="F48" s="36">
        <v>14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7</v>
      </c>
      <c r="M48" s="36"/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/>
      <c r="T48" s="36">
        <v>0</v>
      </c>
      <c r="U48" s="36">
        <v>13</v>
      </c>
      <c r="V48" s="36">
        <v>10</v>
      </c>
      <c r="W48" s="36">
        <v>4</v>
      </c>
      <c r="X48" s="36">
        <v>45</v>
      </c>
      <c r="Y48" s="36">
        <v>27</v>
      </c>
      <c r="Z48" s="36">
        <v>0</v>
      </c>
      <c r="AA48" s="36">
        <v>0</v>
      </c>
      <c r="AB48" s="36">
        <v>0</v>
      </c>
      <c r="AC48" s="42">
        <v>255</v>
      </c>
      <c r="AD48" s="36"/>
      <c r="AE48" s="36">
        <v>21</v>
      </c>
      <c r="AF48" s="36"/>
      <c r="AI48" s="11"/>
    </row>
    <row r="49" spans="1:35" ht="16.5" x14ac:dyDescent="0.3">
      <c r="A49" s="7" t="str">
        <f>buda[[#This Row],[month]]&amp;buda[[#This Row],[chanel]]&amp;buda[[#This Row],[category]]</f>
        <v>6OTARNs</v>
      </c>
      <c r="B49" s="8" t="s">
        <v>66</v>
      </c>
      <c r="C49" s="2" t="s">
        <v>67</v>
      </c>
      <c r="D49" s="9" t="s">
        <v>201</v>
      </c>
      <c r="E49" s="10">
        <v>37410</v>
      </c>
      <c r="F49" s="36">
        <v>7100</v>
      </c>
      <c r="G49" s="36">
        <v>1000</v>
      </c>
      <c r="H49" s="36">
        <v>1100</v>
      </c>
      <c r="I49" s="36">
        <v>600</v>
      </c>
      <c r="J49" s="36">
        <v>850</v>
      </c>
      <c r="K49" s="36">
        <v>400</v>
      </c>
      <c r="L49" s="36">
        <v>1550</v>
      </c>
      <c r="M49" s="36"/>
      <c r="N49" s="36">
        <v>830</v>
      </c>
      <c r="O49" s="36">
        <v>250</v>
      </c>
      <c r="P49" s="36">
        <v>880</v>
      </c>
      <c r="Q49" s="36">
        <v>2000</v>
      </c>
      <c r="R49" s="36">
        <v>4500</v>
      </c>
      <c r="S49" s="36"/>
      <c r="T49" s="36">
        <v>720</v>
      </c>
      <c r="U49" s="36">
        <v>2800</v>
      </c>
      <c r="V49" s="36">
        <v>2280</v>
      </c>
      <c r="W49" s="36">
        <v>1450</v>
      </c>
      <c r="X49" s="36">
        <v>1850</v>
      </c>
      <c r="Y49" s="36">
        <v>600</v>
      </c>
      <c r="Z49" s="36">
        <v>3650</v>
      </c>
      <c r="AA49" s="36">
        <v>350</v>
      </c>
      <c r="AB49" s="36">
        <v>400</v>
      </c>
      <c r="AC49" s="43">
        <v>1250</v>
      </c>
      <c r="AD49" s="36"/>
      <c r="AE49" s="36">
        <v>1000</v>
      </c>
      <c r="AF49" s="36"/>
      <c r="AI49" s="12"/>
    </row>
    <row r="50" spans="1:35" ht="16.5" x14ac:dyDescent="0.3">
      <c r="A50" s="7" t="str">
        <f>buda[[#This Row],[month]]&amp;buda[[#This Row],[chanel]]&amp;buda[[#This Row],[category]]</f>
        <v>6OTAADR</v>
      </c>
      <c r="B50" s="8" t="s">
        <v>66</v>
      </c>
      <c r="C50" s="2" t="s">
        <v>68</v>
      </c>
      <c r="D50" s="9" t="s">
        <v>201</v>
      </c>
      <c r="E50" s="10">
        <v>180</v>
      </c>
      <c r="F50" s="36">
        <v>133</v>
      </c>
      <c r="G50" s="36">
        <v>247</v>
      </c>
      <c r="H50" s="36">
        <v>246</v>
      </c>
      <c r="I50" s="36">
        <v>306</v>
      </c>
      <c r="J50" s="36">
        <v>279</v>
      </c>
      <c r="K50" s="36">
        <v>136</v>
      </c>
      <c r="L50" s="36">
        <v>137</v>
      </c>
      <c r="M50" s="36"/>
      <c r="N50" s="36">
        <v>188</v>
      </c>
      <c r="O50" s="36">
        <v>313</v>
      </c>
      <c r="P50" s="36">
        <v>378</v>
      </c>
      <c r="Q50" s="36">
        <v>205</v>
      </c>
      <c r="R50" s="36">
        <v>215</v>
      </c>
      <c r="S50" s="36"/>
      <c r="T50" s="36">
        <v>167</v>
      </c>
      <c r="U50" s="36">
        <v>129</v>
      </c>
      <c r="V50" s="36">
        <v>143</v>
      </c>
      <c r="W50" s="36">
        <v>155</v>
      </c>
      <c r="X50" s="36">
        <v>196</v>
      </c>
      <c r="Y50" s="36">
        <v>254</v>
      </c>
      <c r="Z50" s="36">
        <v>188</v>
      </c>
      <c r="AA50" s="36">
        <v>180</v>
      </c>
      <c r="AB50" s="36">
        <v>188</v>
      </c>
      <c r="AC50" s="42">
        <v>155</v>
      </c>
      <c r="AD50" s="36"/>
      <c r="AE50" s="36">
        <v>84</v>
      </c>
      <c r="AF50" s="36"/>
      <c r="AI50" s="11"/>
    </row>
    <row r="51" spans="1:35" ht="16.5" x14ac:dyDescent="0.3">
      <c r="A51" s="7" t="str">
        <f>buda[[#This Row],[month]]&amp;buda[[#This Row],[chanel]]&amp;buda[[#This Row],[category]]</f>
        <v>6OTAREV</v>
      </c>
      <c r="B51" s="8" t="s">
        <v>66</v>
      </c>
      <c r="C51" s="2" t="s">
        <v>69</v>
      </c>
      <c r="D51" s="9" t="s">
        <v>201</v>
      </c>
      <c r="E51" s="10">
        <v>6742</v>
      </c>
      <c r="F51" s="36">
        <v>943</v>
      </c>
      <c r="G51" s="36">
        <v>247</v>
      </c>
      <c r="H51" s="36">
        <v>271</v>
      </c>
      <c r="I51" s="36">
        <v>183</v>
      </c>
      <c r="J51" s="36">
        <v>237</v>
      </c>
      <c r="K51" s="36">
        <v>54</v>
      </c>
      <c r="L51" s="36">
        <v>212</v>
      </c>
      <c r="M51" s="36"/>
      <c r="N51" s="36">
        <v>156</v>
      </c>
      <c r="O51" s="36">
        <v>78</v>
      </c>
      <c r="P51" s="36">
        <v>333</v>
      </c>
      <c r="Q51" s="36">
        <v>410</v>
      </c>
      <c r="R51" s="36">
        <v>968</v>
      </c>
      <c r="S51" s="36"/>
      <c r="T51" s="36">
        <v>121</v>
      </c>
      <c r="U51" s="36">
        <v>362</v>
      </c>
      <c r="V51" s="36">
        <v>326</v>
      </c>
      <c r="W51" s="36">
        <v>225</v>
      </c>
      <c r="X51" s="36">
        <v>362</v>
      </c>
      <c r="Y51" s="36">
        <v>152</v>
      </c>
      <c r="Z51" s="36">
        <v>686</v>
      </c>
      <c r="AA51" s="36">
        <v>63</v>
      </c>
      <c r="AB51" s="36">
        <v>75</v>
      </c>
      <c r="AC51" s="43">
        <v>194</v>
      </c>
      <c r="AD51" s="36"/>
      <c r="AE51" s="36">
        <v>84</v>
      </c>
      <c r="AF51" s="36"/>
      <c r="AI51" s="12"/>
    </row>
    <row r="52" spans="1:35" ht="16.5" x14ac:dyDescent="0.3">
      <c r="A52" s="7" t="str">
        <f>buda[[#This Row],[month]]&amp;buda[[#This Row],[chanel]]&amp;buda[[#This Row],[category]]</f>
        <v>6GOTARNs</v>
      </c>
      <c r="B52" s="8" t="s">
        <v>195</v>
      </c>
      <c r="C52" s="2" t="s">
        <v>67</v>
      </c>
      <c r="D52" s="9" t="s">
        <v>201</v>
      </c>
      <c r="E52" s="10">
        <v>20760</v>
      </c>
      <c r="F52" s="36">
        <v>1500</v>
      </c>
      <c r="G52" s="36">
        <v>800</v>
      </c>
      <c r="H52" s="36">
        <v>810</v>
      </c>
      <c r="I52" s="36">
        <v>350</v>
      </c>
      <c r="J52" s="36">
        <v>650</v>
      </c>
      <c r="K52" s="36">
        <v>250</v>
      </c>
      <c r="L52" s="36">
        <v>1000</v>
      </c>
      <c r="M52" s="36"/>
      <c r="N52" s="36">
        <v>350</v>
      </c>
      <c r="O52" s="36">
        <v>60</v>
      </c>
      <c r="P52" s="36">
        <v>750</v>
      </c>
      <c r="Q52" s="36">
        <v>1100</v>
      </c>
      <c r="R52" s="36">
        <v>1900</v>
      </c>
      <c r="S52" s="36"/>
      <c r="T52" s="36">
        <v>350</v>
      </c>
      <c r="U52" s="36">
        <v>600</v>
      </c>
      <c r="V52" s="36">
        <v>1000</v>
      </c>
      <c r="W52" s="36">
        <v>650</v>
      </c>
      <c r="X52" s="36">
        <v>950</v>
      </c>
      <c r="Y52" s="36">
        <v>850</v>
      </c>
      <c r="Z52" s="36">
        <v>1840</v>
      </c>
      <c r="AA52" s="36">
        <v>400</v>
      </c>
      <c r="AB52" s="36">
        <v>450</v>
      </c>
      <c r="AC52" s="42">
        <v>2850</v>
      </c>
      <c r="AD52" s="36"/>
      <c r="AE52" s="36">
        <v>1300</v>
      </c>
      <c r="AF52" s="36"/>
      <c r="AI52" s="11"/>
    </row>
    <row r="53" spans="1:35" ht="16.5" x14ac:dyDescent="0.3">
      <c r="A53" s="7" t="str">
        <f>buda[[#This Row],[month]]&amp;buda[[#This Row],[chanel]]&amp;buda[[#This Row],[category]]</f>
        <v>6GOTAADR</v>
      </c>
      <c r="B53" s="8" t="s">
        <v>195</v>
      </c>
      <c r="C53" s="2" t="s">
        <v>68</v>
      </c>
      <c r="D53" s="9" t="s">
        <v>201</v>
      </c>
      <c r="E53" s="10">
        <v>180</v>
      </c>
      <c r="F53" s="36">
        <v>148</v>
      </c>
      <c r="G53" s="36">
        <v>257</v>
      </c>
      <c r="H53" s="36">
        <v>246</v>
      </c>
      <c r="I53" s="36">
        <v>293</v>
      </c>
      <c r="J53" s="36">
        <v>265</v>
      </c>
      <c r="K53" s="36">
        <v>115</v>
      </c>
      <c r="L53" s="36">
        <v>142</v>
      </c>
      <c r="M53" s="36"/>
      <c r="N53" s="36">
        <v>185</v>
      </c>
      <c r="O53" s="36">
        <v>292</v>
      </c>
      <c r="P53" s="36">
        <v>335</v>
      </c>
      <c r="Q53" s="36">
        <v>174</v>
      </c>
      <c r="R53" s="36">
        <v>199</v>
      </c>
      <c r="S53" s="36"/>
      <c r="T53" s="36">
        <v>159</v>
      </c>
      <c r="U53" s="36">
        <v>124</v>
      </c>
      <c r="V53" s="36">
        <v>140</v>
      </c>
      <c r="W53" s="36">
        <v>142</v>
      </c>
      <c r="X53" s="36">
        <v>179</v>
      </c>
      <c r="Y53" s="36">
        <v>236</v>
      </c>
      <c r="Z53" s="36">
        <v>184</v>
      </c>
      <c r="AA53" s="36">
        <v>168</v>
      </c>
      <c r="AB53" s="36">
        <v>182</v>
      </c>
      <c r="AC53" s="43">
        <v>154</v>
      </c>
      <c r="AD53" s="36"/>
      <c r="AE53" s="36">
        <v>83</v>
      </c>
      <c r="AF53" s="36"/>
      <c r="AI53" s="12"/>
    </row>
    <row r="54" spans="1:35" ht="16.5" x14ac:dyDescent="0.3">
      <c r="A54" s="7" t="str">
        <f>buda[[#This Row],[month]]&amp;buda[[#This Row],[chanel]]&amp;buda[[#This Row],[category]]</f>
        <v>6GOTAREV</v>
      </c>
      <c r="B54" s="8" t="s">
        <v>195</v>
      </c>
      <c r="C54" s="2" t="s">
        <v>69</v>
      </c>
      <c r="D54" s="9" t="s">
        <v>201</v>
      </c>
      <c r="E54" s="10">
        <v>3743</v>
      </c>
      <c r="F54" s="36">
        <v>222</v>
      </c>
      <c r="G54" s="36">
        <v>206</v>
      </c>
      <c r="H54" s="36">
        <v>199</v>
      </c>
      <c r="I54" s="36">
        <v>102</v>
      </c>
      <c r="J54" s="36">
        <v>172</v>
      </c>
      <c r="K54" s="36">
        <v>29</v>
      </c>
      <c r="L54" s="36">
        <v>142</v>
      </c>
      <c r="M54" s="36"/>
      <c r="N54" s="36">
        <v>65</v>
      </c>
      <c r="O54" s="36">
        <v>18</v>
      </c>
      <c r="P54" s="36">
        <v>251</v>
      </c>
      <c r="Q54" s="36">
        <v>191</v>
      </c>
      <c r="R54" s="36">
        <v>378</v>
      </c>
      <c r="S54" s="36"/>
      <c r="T54" s="36">
        <v>56</v>
      </c>
      <c r="U54" s="36">
        <v>74</v>
      </c>
      <c r="V54" s="36">
        <v>140</v>
      </c>
      <c r="W54" s="36">
        <v>92</v>
      </c>
      <c r="X54" s="36">
        <v>170</v>
      </c>
      <c r="Y54" s="36">
        <v>201</v>
      </c>
      <c r="Z54" s="36">
        <v>339</v>
      </c>
      <c r="AA54" s="36">
        <v>67</v>
      </c>
      <c r="AB54" s="36">
        <v>82</v>
      </c>
      <c r="AC54" s="42">
        <v>439</v>
      </c>
      <c r="AD54" s="36"/>
      <c r="AE54" s="36">
        <v>108</v>
      </c>
      <c r="AF54" s="36"/>
      <c r="AI54" s="11"/>
    </row>
    <row r="55" spans="1:35" ht="16.5" x14ac:dyDescent="0.3">
      <c r="A55" s="7" t="str">
        <f>buda[[#This Row],[month]]&amp;buda[[#This Row],[chanel]]&amp;buda[[#This Row],[category]]</f>
        <v>6IBRNs</v>
      </c>
      <c r="B55" s="8" t="s">
        <v>205</v>
      </c>
      <c r="C55" s="2" t="s">
        <v>67</v>
      </c>
      <c r="D55" s="9" t="s">
        <v>201</v>
      </c>
      <c r="E55" s="10">
        <v>4670</v>
      </c>
      <c r="F55" s="36">
        <v>200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100</v>
      </c>
      <c r="M55" s="36"/>
      <c r="N55" s="36"/>
      <c r="O55" s="36">
        <v>0</v>
      </c>
      <c r="P55" s="36">
        <v>0</v>
      </c>
      <c r="Q55" s="36">
        <v>0</v>
      </c>
      <c r="R55" s="36">
        <v>0</v>
      </c>
      <c r="S55" s="36"/>
      <c r="T55" s="36">
        <v>0</v>
      </c>
      <c r="U55" s="36">
        <v>200</v>
      </c>
      <c r="V55" s="36">
        <v>20</v>
      </c>
      <c r="W55" s="36">
        <v>50</v>
      </c>
      <c r="X55" s="36">
        <v>0</v>
      </c>
      <c r="Y55" s="36">
        <v>200</v>
      </c>
      <c r="Z55" s="36">
        <v>0</v>
      </c>
      <c r="AA55" s="36">
        <v>0</v>
      </c>
      <c r="AB55" s="36">
        <v>0</v>
      </c>
      <c r="AC55" s="43">
        <v>3500</v>
      </c>
      <c r="AD55" s="36"/>
      <c r="AE55" s="36">
        <v>400</v>
      </c>
      <c r="AF55" s="36"/>
      <c r="AI55" s="12"/>
    </row>
    <row r="56" spans="1:35" ht="16.5" x14ac:dyDescent="0.3">
      <c r="A56" s="7" t="str">
        <f>buda[[#This Row],[month]]&amp;buda[[#This Row],[chanel]]&amp;buda[[#This Row],[category]]</f>
        <v>6IBADR</v>
      </c>
      <c r="B56" s="8" t="s">
        <v>205</v>
      </c>
      <c r="C56" s="2" t="s">
        <v>68</v>
      </c>
      <c r="D56" s="9" t="s">
        <v>201</v>
      </c>
      <c r="E56" s="10">
        <v>83</v>
      </c>
      <c r="F56" s="36">
        <v>70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65</v>
      </c>
      <c r="M56" s="36"/>
      <c r="N56" s="36"/>
      <c r="O56" s="36">
        <v>0</v>
      </c>
      <c r="P56" s="36">
        <v>0</v>
      </c>
      <c r="Q56" s="36">
        <v>0</v>
      </c>
      <c r="R56" s="36">
        <v>0</v>
      </c>
      <c r="S56" s="36"/>
      <c r="T56" s="36">
        <v>0</v>
      </c>
      <c r="U56" s="36">
        <v>65</v>
      </c>
      <c r="V56" s="36">
        <v>95</v>
      </c>
      <c r="W56" s="36">
        <v>110</v>
      </c>
      <c r="X56" s="36">
        <v>0</v>
      </c>
      <c r="Y56" s="36">
        <v>136</v>
      </c>
      <c r="Z56" s="36">
        <v>0</v>
      </c>
      <c r="AA56" s="36">
        <v>0</v>
      </c>
      <c r="AB56" s="36">
        <v>0</v>
      </c>
      <c r="AC56" s="42">
        <v>85</v>
      </c>
      <c r="AD56" s="36"/>
      <c r="AE56" s="36">
        <v>53</v>
      </c>
      <c r="AF56" s="36"/>
    </row>
    <row r="57" spans="1:35" ht="16.5" x14ac:dyDescent="0.3">
      <c r="A57" s="7" t="str">
        <f>buda[[#This Row],[month]]&amp;buda[[#This Row],[chanel]]&amp;buda[[#This Row],[category]]</f>
        <v>6IBREV</v>
      </c>
      <c r="B57" s="8" t="s">
        <v>205</v>
      </c>
      <c r="C57" s="2" t="s">
        <v>69</v>
      </c>
      <c r="D57" s="9" t="s">
        <v>201</v>
      </c>
      <c r="E57" s="10">
        <v>387</v>
      </c>
      <c r="F57" s="36">
        <v>14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>
        <v>7</v>
      </c>
      <c r="M57" s="36"/>
      <c r="N57" s="36">
        <v>0</v>
      </c>
      <c r="O57" s="36">
        <v>0</v>
      </c>
      <c r="P57" s="36">
        <v>0</v>
      </c>
      <c r="Q57" s="36">
        <v>0</v>
      </c>
      <c r="R57" s="36">
        <v>0</v>
      </c>
      <c r="S57" s="36"/>
      <c r="T57" s="36">
        <v>0</v>
      </c>
      <c r="U57" s="36">
        <v>13</v>
      </c>
      <c r="V57" s="36">
        <v>2</v>
      </c>
      <c r="W57" s="36">
        <v>6</v>
      </c>
      <c r="X57" s="36">
        <v>0</v>
      </c>
      <c r="Y57" s="36">
        <v>27</v>
      </c>
      <c r="Z57" s="36">
        <v>0</v>
      </c>
      <c r="AA57" s="36">
        <v>0</v>
      </c>
      <c r="AB57" s="36">
        <v>0</v>
      </c>
      <c r="AC57" s="43">
        <v>298</v>
      </c>
      <c r="AD57" s="36"/>
      <c r="AE57" s="36">
        <v>21</v>
      </c>
      <c r="AF57" s="36"/>
    </row>
    <row r="58" spans="1:35" x14ac:dyDescent="0.3">
      <c r="A58" s="7" t="str">
        <f>buda[[#This Row],[month]]&amp;buda[[#This Row],[chanel]]&amp;buda[[#This Row],[category]]</f>
        <v>7OTARNs</v>
      </c>
      <c r="B58" s="8" t="s">
        <v>66</v>
      </c>
      <c r="C58" s="2" t="s">
        <v>67</v>
      </c>
      <c r="D58" s="9" t="s">
        <v>202</v>
      </c>
      <c r="E58" s="2">
        <v>45120</v>
      </c>
      <c r="F58" s="36">
        <v>7700</v>
      </c>
      <c r="G58" s="36">
        <v>1350</v>
      </c>
      <c r="H58" s="36">
        <v>1900</v>
      </c>
      <c r="I58" s="36">
        <v>650</v>
      </c>
      <c r="J58" s="36">
        <v>1000</v>
      </c>
      <c r="K58" s="44">
        <v>450</v>
      </c>
      <c r="L58" s="36">
        <v>2400</v>
      </c>
      <c r="M58" s="36"/>
      <c r="N58" s="36">
        <v>1000</v>
      </c>
      <c r="O58" s="36">
        <v>220</v>
      </c>
      <c r="P58" s="36">
        <v>850</v>
      </c>
      <c r="Q58" s="36">
        <v>2650</v>
      </c>
      <c r="R58" s="36">
        <v>4600</v>
      </c>
      <c r="S58" s="36"/>
      <c r="T58" s="36">
        <v>530</v>
      </c>
      <c r="U58" s="36">
        <v>3950</v>
      </c>
      <c r="V58" s="36">
        <v>2950</v>
      </c>
      <c r="W58" s="36">
        <v>1850</v>
      </c>
      <c r="X58" s="36">
        <v>2300</v>
      </c>
      <c r="Y58" s="36">
        <v>650</v>
      </c>
      <c r="Z58" s="36">
        <v>3450</v>
      </c>
      <c r="AA58" s="36">
        <v>300</v>
      </c>
      <c r="AB58" s="36">
        <v>600</v>
      </c>
      <c r="AC58" s="42">
        <v>1300</v>
      </c>
      <c r="AD58" s="42">
        <v>1370</v>
      </c>
      <c r="AE58" s="36">
        <v>1100</v>
      </c>
      <c r="AF58" s="36"/>
    </row>
    <row r="59" spans="1:35" x14ac:dyDescent="0.3">
      <c r="A59" s="7" t="str">
        <f>buda[[#This Row],[month]]&amp;buda[[#This Row],[chanel]]&amp;buda[[#This Row],[category]]</f>
        <v>7OTAADR</v>
      </c>
      <c r="B59" s="8" t="s">
        <v>66</v>
      </c>
      <c r="C59" s="2" t="s">
        <v>68</v>
      </c>
      <c r="D59" s="9" t="s">
        <v>202</v>
      </c>
      <c r="E59" s="2">
        <v>204</v>
      </c>
      <c r="F59" s="36">
        <v>153</v>
      </c>
      <c r="G59" s="36">
        <v>262</v>
      </c>
      <c r="H59" s="36">
        <v>273</v>
      </c>
      <c r="I59" s="36">
        <v>323</v>
      </c>
      <c r="J59" s="36">
        <v>305</v>
      </c>
      <c r="K59" s="36">
        <v>151</v>
      </c>
      <c r="L59" s="36">
        <v>175</v>
      </c>
      <c r="M59" s="36"/>
      <c r="N59" s="36">
        <v>214</v>
      </c>
      <c r="O59" s="36">
        <v>320</v>
      </c>
      <c r="P59" s="36">
        <v>417</v>
      </c>
      <c r="Q59" s="36">
        <v>220</v>
      </c>
      <c r="R59" s="36">
        <v>277</v>
      </c>
      <c r="S59" s="36"/>
      <c r="T59" s="36">
        <v>179</v>
      </c>
      <c r="U59" s="36">
        <v>152</v>
      </c>
      <c r="V59" s="36">
        <v>162</v>
      </c>
      <c r="W59" s="36">
        <v>175</v>
      </c>
      <c r="X59" s="36">
        <v>214</v>
      </c>
      <c r="Y59" s="36">
        <v>268</v>
      </c>
      <c r="Z59" s="36">
        <v>224</v>
      </c>
      <c r="AA59" s="36">
        <v>199</v>
      </c>
      <c r="AB59" s="36">
        <v>218</v>
      </c>
      <c r="AC59" s="43">
        <v>166</v>
      </c>
      <c r="AD59" s="43">
        <v>319</v>
      </c>
      <c r="AE59" s="36">
        <v>110</v>
      </c>
      <c r="AF59" s="36"/>
    </row>
    <row r="60" spans="1:35" x14ac:dyDescent="0.3">
      <c r="A60" s="7" t="str">
        <f>buda[[#This Row],[month]]&amp;buda[[#This Row],[chanel]]&amp;buda[[#This Row],[category]]</f>
        <v>7OTAREV</v>
      </c>
      <c r="B60" s="8" t="s">
        <v>66</v>
      </c>
      <c r="C60" s="2" t="s">
        <v>69</v>
      </c>
      <c r="D60" s="9" t="s">
        <v>202</v>
      </c>
      <c r="E60" s="2">
        <v>9214</v>
      </c>
      <c r="F60" s="36">
        <v>1178</v>
      </c>
      <c r="G60" s="36">
        <v>354</v>
      </c>
      <c r="H60" s="36">
        <v>519</v>
      </c>
      <c r="I60" s="36">
        <v>210</v>
      </c>
      <c r="J60" s="36">
        <v>305</v>
      </c>
      <c r="K60" s="36">
        <v>68</v>
      </c>
      <c r="L60" s="36">
        <v>420</v>
      </c>
      <c r="M60" s="36"/>
      <c r="N60" s="36">
        <v>214</v>
      </c>
      <c r="O60" s="36">
        <v>70</v>
      </c>
      <c r="P60" s="36">
        <v>354</v>
      </c>
      <c r="Q60" s="36">
        <v>583</v>
      </c>
      <c r="R60" s="36">
        <v>1044</v>
      </c>
      <c r="S60" s="36"/>
      <c r="T60" s="36">
        <v>95</v>
      </c>
      <c r="U60" s="36">
        <v>600</v>
      </c>
      <c r="V60" s="36">
        <v>477</v>
      </c>
      <c r="W60" s="36">
        <v>324</v>
      </c>
      <c r="X60" s="36">
        <v>492</v>
      </c>
      <c r="Y60" s="36">
        <v>174</v>
      </c>
      <c r="Z60" s="36">
        <v>773</v>
      </c>
      <c r="AA60" s="36">
        <v>60</v>
      </c>
      <c r="AB60" s="36">
        <v>131</v>
      </c>
      <c r="AC60" s="42">
        <v>216</v>
      </c>
      <c r="AD60" s="42">
        <v>437</v>
      </c>
      <c r="AE60" s="36">
        <v>121</v>
      </c>
      <c r="AF60" s="36"/>
    </row>
    <row r="61" spans="1:35" x14ac:dyDescent="0.3">
      <c r="A61" s="7" t="str">
        <f>buda[[#This Row],[month]]&amp;buda[[#This Row],[chanel]]&amp;buda[[#This Row],[category]]</f>
        <v>7GOTARNs</v>
      </c>
      <c r="B61" s="8" t="s">
        <v>195</v>
      </c>
      <c r="C61" s="2" t="s">
        <v>67</v>
      </c>
      <c r="D61" s="9" t="s">
        <v>202</v>
      </c>
      <c r="E61" s="2">
        <v>26525</v>
      </c>
      <c r="F61" s="36">
        <v>2900</v>
      </c>
      <c r="G61" s="36">
        <v>750</v>
      </c>
      <c r="H61" s="36">
        <v>1200</v>
      </c>
      <c r="I61" s="36">
        <v>600</v>
      </c>
      <c r="J61" s="36">
        <v>950</v>
      </c>
      <c r="K61" s="36">
        <v>250</v>
      </c>
      <c r="L61" s="36">
        <v>1400</v>
      </c>
      <c r="M61" s="36"/>
      <c r="N61" s="36">
        <v>580</v>
      </c>
      <c r="O61" s="36">
        <v>80</v>
      </c>
      <c r="P61" s="36">
        <v>1000</v>
      </c>
      <c r="Q61" s="36">
        <v>1130</v>
      </c>
      <c r="R61" s="36">
        <v>1350</v>
      </c>
      <c r="S61" s="36"/>
      <c r="T61" s="36">
        <v>450</v>
      </c>
      <c r="U61" s="36">
        <v>1400</v>
      </c>
      <c r="V61" s="36">
        <v>1290</v>
      </c>
      <c r="W61" s="36">
        <v>1100</v>
      </c>
      <c r="X61" s="36">
        <v>1300</v>
      </c>
      <c r="Y61" s="36">
        <v>850</v>
      </c>
      <c r="Z61" s="36">
        <v>2050</v>
      </c>
      <c r="AA61" s="36">
        <v>450</v>
      </c>
      <c r="AB61" s="36">
        <v>750</v>
      </c>
      <c r="AC61" s="43">
        <v>2100</v>
      </c>
      <c r="AD61" s="43">
        <v>1195</v>
      </c>
      <c r="AE61" s="36">
        <v>1400</v>
      </c>
      <c r="AF61" s="36"/>
    </row>
    <row r="62" spans="1:35" x14ac:dyDescent="0.3">
      <c r="A62" s="7" t="str">
        <f>buda[[#This Row],[month]]&amp;buda[[#This Row],[chanel]]&amp;buda[[#This Row],[category]]</f>
        <v>7GOTAADR</v>
      </c>
      <c r="B62" s="8" t="s">
        <v>195</v>
      </c>
      <c r="C62" s="2" t="s">
        <v>68</v>
      </c>
      <c r="D62" s="9" t="s">
        <v>202</v>
      </c>
      <c r="E62" s="2">
        <v>219</v>
      </c>
      <c r="F62" s="36">
        <v>172</v>
      </c>
      <c r="G62" s="36">
        <v>282</v>
      </c>
      <c r="H62" s="36">
        <v>317</v>
      </c>
      <c r="I62" s="36">
        <v>346</v>
      </c>
      <c r="J62" s="36">
        <v>322</v>
      </c>
      <c r="K62" s="36">
        <v>134</v>
      </c>
      <c r="L62" s="36">
        <v>183</v>
      </c>
      <c r="M62" s="36"/>
      <c r="N62" s="36">
        <v>215</v>
      </c>
      <c r="O62" s="36">
        <v>316</v>
      </c>
      <c r="P62" s="36">
        <v>392</v>
      </c>
      <c r="Q62" s="36">
        <v>195</v>
      </c>
      <c r="R62" s="36">
        <v>200</v>
      </c>
      <c r="S62" s="36"/>
      <c r="T62" s="36">
        <v>197</v>
      </c>
      <c r="U62" s="36">
        <v>186</v>
      </c>
      <c r="V62" s="36">
        <v>164</v>
      </c>
      <c r="W62" s="36">
        <v>176</v>
      </c>
      <c r="X62" s="36">
        <v>220</v>
      </c>
      <c r="Y62" s="36">
        <v>286</v>
      </c>
      <c r="Z62" s="36">
        <v>217</v>
      </c>
      <c r="AA62" s="36">
        <v>190</v>
      </c>
      <c r="AB62" s="36">
        <v>216</v>
      </c>
      <c r="AC62" s="42">
        <v>180</v>
      </c>
      <c r="AD62" s="42">
        <v>313</v>
      </c>
      <c r="AE62" s="36">
        <v>108</v>
      </c>
      <c r="AF62" s="36"/>
    </row>
    <row r="63" spans="1:35" x14ac:dyDescent="0.3">
      <c r="A63" s="7" t="str">
        <f>buda[[#This Row],[month]]&amp;buda[[#This Row],[chanel]]&amp;buda[[#This Row],[category]]</f>
        <v>7GOTAREV</v>
      </c>
      <c r="B63" s="8" t="s">
        <v>195</v>
      </c>
      <c r="C63" s="2" t="s">
        <v>69</v>
      </c>
      <c r="D63" s="9" t="s">
        <v>202</v>
      </c>
      <c r="E63" s="2">
        <v>5802</v>
      </c>
      <c r="F63" s="36">
        <v>499</v>
      </c>
      <c r="G63" s="36">
        <v>212</v>
      </c>
      <c r="H63" s="36">
        <v>381</v>
      </c>
      <c r="I63" s="36">
        <v>208</v>
      </c>
      <c r="J63" s="36">
        <v>306</v>
      </c>
      <c r="K63" s="36">
        <v>33</v>
      </c>
      <c r="L63" s="36">
        <v>256</v>
      </c>
      <c r="M63" s="36"/>
      <c r="N63" s="36">
        <v>125</v>
      </c>
      <c r="O63" s="36">
        <v>25</v>
      </c>
      <c r="P63" s="36">
        <v>392</v>
      </c>
      <c r="Q63" s="36">
        <v>220</v>
      </c>
      <c r="R63" s="36">
        <v>270</v>
      </c>
      <c r="S63" s="36"/>
      <c r="T63" s="36">
        <v>89</v>
      </c>
      <c r="U63" s="36">
        <v>260</v>
      </c>
      <c r="V63" s="36">
        <v>212</v>
      </c>
      <c r="W63" s="36">
        <v>194</v>
      </c>
      <c r="X63" s="36">
        <v>286</v>
      </c>
      <c r="Y63" s="36">
        <v>243</v>
      </c>
      <c r="Z63" s="36">
        <v>445</v>
      </c>
      <c r="AA63" s="36">
        <v>86</v>
      </c>
      <c r="AB63" s="36">
        <v>162</v>
      </c>
      <c r="AC63" s="43">
        <v>378</v>
      </c>
      <c r="AD63" s="43">
        <v>375</v>
      </c>
      <c r="AE63" s="36">
        <v>152</v>
      </c>
      <c r="AF63" s="36"/>
    </row>
    <row r="64" spans="1:35" x14ac:dyDescent="0.3">
      <c r="A64" s="7" t="str">
        <f>buda[[#This Row],[month]]&amp;buda[[#This Row],[chanel]]&amp;buda[[#This Row],[category]]</f>
        <v>7IBRNs</v>
      </c>
      <c r="B64" s="8" t="s">
        <v>205</v>
      </c>
      <c r="C64" s="2" t="s">
        <v>67</v>
      </c>
      <c r="D64" s="9" t="s">
        <v>202</v>
      </c>
      <c r="E64" s="2">
        <v>5390</v>
      </c>
      <c r="F64" s="36">
        <v>250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100</v>
      </c>
      <c r="M64" s="36"/>
      <c r="N64" s="36">
        <v>0</v>
      </c>
      <c r="O64" s="36">
        <v>0</v>
      </c>
      <c r="P64" s="36">
        <v>0</v>
      </c>
      <c r="Q64" s="36">
        <v>0</v>
      </c>
      <c r="R64" s="36">
        <v>0</v>
      </c>
      <c r="S64" s="36"/>
      <c r="T64" s="36">
        <v>0</v>
      </c>
      <c r="U64" s="36">
        <v>100</v>
      </c>
      <c r="V64" s="36">
        <v>40</v>
      </c>
      <c r="W64" s="36">
        <v>0</v>
      </c>
      <c r="X64" s="36">
        <v>0</v>
      </c>
      <c r="Y64" s="36">
        <v>0</v>
      </c>
      <c r="Z64" s="36">
        <v>0</v>
      </c>
      <c r="AA64" s="36">
        <v>0</v>
      </c>
      <c r="AB64" s="36">
        <v>0</v>
      </c>
      <c r="AC64" s="42">
        <v>4700</v>
      </c>
      <c r="AD64" s="42">
        <v>0</v>
      </c>
      <c r="AE64" s="36">
        <v>200</v>
      </c>
      <c r="AF64" s="36"/>
    </row>
    <row r="65" spans="1:32" x14ac:dyDescent="0.3">
      <c r="A65" s="7" t="str">
        <f>buda[[#This Row],[month]]&amp;buda[[#This Row],[chanel]]&amp;buda[[#This Row],[category]]</f>
        <v>7IBADR</v>
      </c>
      <c r="B65" s="8" t="s">
        <v>205</v>
      </c>
      <c r="C65" s="2" t="s">
        <v>68</v>
      </c>
      <c r="D65" s="9" t="s">
        <v>202</v>
      </c>
      <c r="E65" s="2">
        <v>90</v>
      </c>
      <c r="F65" s="36">
        <v>125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75</v>
      </c>
      <c r="M65" s="36"/>
      <c r="N65" s="36">
        <v>0</v>
      </c>
      <c r="O65" s="36">
        <v>0</v>
      </c>
      <c r="P65" s="36">
        <v>0</v>
      </c>
      <c r="Q65" s="36">
        <v>0</v>
      </c>
      <c r="R65" s="36">
        <v>0</v>
      </c>
      <c r="S65" s="36"/>
      <c r="T65" s="36">
        <v>0</v>
      </c>
      <c r="U65" s="36">
        <v>97</v>
      </c>
      <c r="V65" s="36">
        <v>130</v>
      </c>
      <c r="W65" s="36">
        <v>0</v>
      </c>
      <c r="X65" s="36">
        <v>0</v>
      </c>
      <c r="Y65" s="36">
        <v>0</v>
      </c>
      <c r="Z65" s="36">
        <v>0</v>
      </c>
      <c r="AA65" s="36">
        <v>0</v>
      </c>
      <c r="AB65" s="36">
        <v>0</v>
      </c>
      <c r="AC65" s="43">
        <v>87</v>
      </c>
      <c r="AD65" s="43">
        <v>0</v>
      </c>
      <c r="AE65" s="36">
        <v>85</v>
      </c>
      <c r="AF65" s="36"/>
    </row>
    <row r="66" spans="1:32" x14ac:dyDescent="0.3">
      <c r="A66" s="7" t="str">
        <f>buda[[#This Row],[month]]&amp;buda[[#This Row],[chanel]]&amp;buda[[#This Row],[category]]</f>
        <v>7IBREV</v>
      </c>
      <c r="B66" s="8" t="s">
        <v>205</v>
      </c>
      <c r="C66" s="2" t="s">
        <v>69</v>
      </c>
      <c r="D66" s="9" t="s">
        <v>202</v>
      </c>
      <c r="E66" s="2">
        <v>480</v>
      </c>
      <c r="F66" s="36">
        <v>31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8</v>
      </c>
      <c r="M66" s="36"/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/>
      <c r="T66" s="36">
        <v>0</v>
      </c>
      <c r="U66" s="36">
        <v>10</v>
      </c>
      <c r="V66" s="36">
        <v>5</v>
      </c>
      <c r="W66" s="36">
        <v>0</v>
      </c>
      <c r="X66" s="36">
        <v>0</v>
      </c>
      <c r="Y66" s="36">
        <v>0</v>
      </c>
      <c r="Z66" s="36">
        <v>0</v>
      </c>
      <c r="AA66" s="36">
        <v>0</v>
      </c>
      <c r="AB66" s="36">
        <v>0</v>
      </c>
      <c r="AC66" s="42">
        <v>409</v>
      </c>
      <c r="AD66" s="42">
        <v>0</v>
      </c>
      <c r="AE66" s="36">
        <v>17</v>
      </c>
      <c r="AF66" s="36"/>
    </row>
    <row r="67" spans="1:32" x14ac:dyDescent="0.3">
      <c r="A67" s="7" t="str">
        <f>buda[[#This Row],[month]]&amp;buda[[#This Row],[chanel]]&amp;buda[[#This Row],[category]]</f>
        <v>8OTARNs</v>
      </c>
      <c r="B67" s="8" t="s">
        <v>66</v>
      </c>
      <c r="C67" s="2" t="s">
        <v>67</v>
      </c>
      <c r="D67" s="9" t="s">
        <v>203</v>
      </c>
      <c r="E67" s="60">
        <v>48160</v>
      </c>
      <c r="F67" s="61">
        <v>9000</v>
      </c>
      <c r="G67" s="61">
        <v>1700</v>
      </c>
      <c r="H67" s="61">
        <v>1900</v>
      </c>
      <c r="I67" s="61">
        <v>780</v>
      </c>
      <c r="J67" s="61">
        <v>1200</v>
      </c>
      <c r="K67" s="61">
        <v>450</v>
      </c>
      <c r="L67" s="61">
        <v>2700</v>
      </c>
      <c r="M67" s="61"/>
      <c r="N67" s="61">
        <v>950</v>
      </c>
      <c r="O67" s="61">
        <v>180</v>
      </c>
      <c r="P67" s="61">
        <v>1100</v>
      </c>
      <c r="Q67" s="61">
        <v>1900</v>
      </c>
      <c r="R67" s="61">
        <v>3500</v>
      </c>
      <c r="S67" s="61"/>
      <c r="T67" s="61">
        <v>900</v>
      </c>
      <c r="U67" s="61">
        <v>5000</v>
      </c>
      <c r="V67" s="61">
        <v>2950</v>
      </c>
      <c r="W67" s="61">
        <v>2250</v>
      </c>
      <c r="X67" s="61">
        <v>2200</v>
      </c>
      <c r="Y67" s="61">
        <v>800</v>
      </c>
      <c r="Z67" s="61">
        <v>2900</v>
      </c>
      <c r="AA67" s="61">
        <v>600</v>
      </c>
      <c r="AB67" s="61">
        <v>700</v>
      </c>
      <c r="AC67" s="62">
        <v>1450</v>
      </c>
      <c r="AD67" s="62">
        <v>1600</v>
      </c>
      <c r="AE67" s="61">
        <v>1200</v>
      </c>
      <c r="AF67" s="61">
        <v>250</v>
      </c>
    </row>
    <row r="68" spans="1:32" ht="16.5" x14ac:dyDescent="0.3">
      <c r="A68" s="7" t="str">
        <f>buda[[#This Row],[month]]&amp;buda[[#This Row],[chanel]]&amp;buda[[#This Row],[category]]</f>
        <v>8OTAADR</v>
      </c>
      <c r="B68" s="8" t="s">
        <v>66</v>
      </c>
      <c r="C68" s="2" t="s">
        <v>68</v>
      </c>
      <c r="D68" s="9" t="s">
        <v>203</v>
      </c>
      <c r="E68" s="10">
        <v>233</v>
      </c>
      <c r="F68" s="36">
        <v>177</v>
      </c>
      <c r="G68" s="36">
        <v>299</v>
      </c>
      <c r="H68" s="36">
        <v>334</v>
      </c>
      <c r="I68" s="36">
        <v>383</v>
      </c>
      <c r="J68" s="36">
        <v>368</v>
      </c>
      <c r="K68" s="36">
        <v>187</v>
      </c>
      <c r="L68" s="36">
        <v>200</v>
      </c>
      <c r="M68" s="36"/>
      <c r="N68" s="36">
        <v>246</v>
      </c>
      <c r="O68" s="36">
        <v>375</v>
      </c>
      <c r="P68" s="36">
        <v>432</v>
      </c>
      <c r="Q68" s="36">
        <v>267</v>
      </c>
      <c r="R68" s="36">
        <v>277</v>
      </c>
      <c r="S68" s="36"/>
      <c r="T68" s="36">
        <v>205</v>
      </c>
      <c r="U68" s="36">
        <v>168</v>
      </c>
      <c r="V68" s="36">
        <v>182</v>
      </c>
      <c r="W68" s="36">
        <v>195</v>
      </c>
      <c r="X68" s="36">
        <v>252</v>
      </c>
      <c r="Y68" s="36">
        <v>299</v>
      </c>
      <c r="Z68" s="36">
        <v>268</v>
      </c>
      <c r="AA68" s="36">
        <v>180</v>
      </c>
      <c r="AB68" s="36">
        <v>250</v>
      </c>
      <c r="AC68" s="42">
        <v>155</v>
      </c>
      <c r="AD68" s="42">
        <v>377</v>
      </c>
      <c r="AE68" s="36">
        <v>123</v>
      </c>
      <c r="AF68" s="36">
        <v>253</v>
      </c>
    </row>
    <row r="69" spans="1:32" x14ac:dyDescent="0.3">
      <c r="A69" s="7" t="str">
        <f>buda[[#This Row],[month]]&amp;buda[[#This Row],[chanel]]&amp;buda[[#This Row],[category]]</f>
        <v>8OTAREV</v>
      </c>
      <c r="B69" s="8" t="s">
        <v>66</v>
      </c>
      <c r="C69" s="2" t="s">
        <v>69</v>
      </c>
      <c r="D69" s="9" t="s">
        <v>203</v>
      </c>
      <c r="E69" s="2">
        <v>11234</v>
      </c>
      <c r="F69" s="36">
        <v>1593</v>
      </c>
      <c r="G69" s="36">
        <v>508</v>
      </c>
      <c r="H69" s="36">
        <v>634</v>
      </c>
      <c r="I69" s="36">
        <v>298</v>
      </c>
      <c r="J69" s="36">
        <v>442</v>
      </c>
      <c r="K69" s="36">
        <v>84</v>
      </c>
      <c r="L69" s="36">
        <v>540</v>
      </c>
      <c r="M69" s="36"/>
      <c r="N69" s="36">
        <v>234</v>
      </c>
      <c r="O69" s="36">
        <v>68</v>
      </c>
      <c r="P69" s="36">
        <v>475</v>
      </c>
      <c r="Q69" s="36">
        <v>507</v>
      </c>
      <c r="R69" s="36">
        <v>970</v>
      </c>
      <c r="S69" s="36"/>
      <c r="T69" s="36">
        <v>184</v>
      </c>
      <c r="U69" s="36">
        <v>840</v>
      </c>
      <c r="V69" s="36">
        <v>537</v>
      </c>
      <c r="W69" s="36">
        <v>439</v>
      </c>
      <c r="X69" s="36">
        <v>554</v>
      </c>
      <c r="Y69" s="36">
        <v>239</v>
      </c>
      <c r="Z69" s="36">
        <v>777</v>
      </c>
      <c r="AA69" s="36">
        <v>108</v>
      </c>
      <c r="AB69" s="36">
        <v>175</v>
      </c>
      <c r="AC69" s="43">
        <v>225</v>
      </c>
      <c r="AD69" s="43">
        <v>592</v>
      </c>
      <c r="AE69" s="36">
        <v>148</v>
      </c>
      <c r="AF69" s="36">
        <v>63</v>
      </c>
    </row>
    <row r="70" spans="1:32" x14ac:dyDescent="0.3">
      <c r="A70" s="7" t="str">
        <f>buda[[#This Row],[month]]&amp;buda[[#This Row],[chanel]]&amp;buda[[#This Row],[category]]</f>
        <v>8GOTARNs</v>
      </c>
      <c r="B70" s="8" t="s">
        <v>195</v>
      </c>
      <c r="C70" s="2" t="s">
        <v>67</v>
      </c>
      <c r="D70" s="9" t="s">
        <v>203</v>
      </c>
      <c r="E70" s="2">
        <v>29275</v>
      </c>
      <c r="F70" s="36">
        <v>3200</v>
      </c>
      <c r="G70" s="36">
        <v>900</v>
      </c>
      <c r="H70" s="36">
        <v>1400</v>
      </c>
      <c r="I70" s="36">
        <v>750</v>
      </c>
      <c r="J70" s="36">
        <v>1100</v>
      </c>
      <c r="K70" s="36">
        <v>300</v>
      </c>
      <c r="L70" s="36">
        <v>1800</v>
      </c>
      <c r="M70" s="36"/>
      <c r="N70" s="36">
        <v>470</v>
      </c>
      <c r="O70" s="36">
        <v>60</v>
      </c>
      <c r="P70" s="36">
        <v>1000</v>
      </c>
      <c r="Q70" s="36">
        <v>920</v>
      </c>
      <c r="R70" s="36">
        <v>950</v>
      </c>
      <c r="S70" s="36"/>
      <c r="T70" s="36">
        <v>700</v>
      </c>
      <c r="U70" s="36">
        <v>2550</v>
      </c>
      <c r="V70" s="36">
        <v>1150</v>
      </c>
      <c r="W70" s="36">
        <v>1280</v>
      </c>
      <c r="X70" s="36">
        <v>1100</v>
      </c>
      <c r="Y70" s="36">
        <v>1000</v>
      </c>
      <c r="Z70" s="36">
        <v>2000</v>
      </c>
      <c r="AA70" s="36">
        <v>700</v>
      </c>
      <c r="AB70" s="36">
        <v>900</v>
      </c>
      <c r="AC70" s="42">
        <v>1800</v>
      </c>
      <c r="AD70" s="42">
        <v>1395</v>
      </c>
      <c r="AE70" s="36">
        <v>1500</v>
      </c>
      <c r="AF70" s="36">
        <v>350</v>
      </c>
    </row>
    <row r="71" spans="1:32" ht="16.5" x14ac:dyDescent="0.3">
      <c r="A71" s="7" t="str">
        <f>buda[[#This Row],[month]]&amp;buda[[#This Row],[chanel]]&amp;buda[[#This Row],[category]]</f>
        <v>8GOTAADR</v>
      </c>
      <c r="B71" s="8" t="s">
        <v>195</v>
      </c>
      <c r="C71" s="2" t="s">
        <v>68</v>
      </c>
      <c r="D71" s="9" t="s">
        <v>203</v>
      </c>
      <c r="E71" s="10">
        <v>233.57813834329633</v>
      </c>
      <c r="F71" s="36">
        <v>185</v>
      </c>
      <c r="G71" s="36">
        <v>317</v>
      </c>
      <c r="H71" s="36">
        <v>325</v>
      </c>
      <c r="I71" s="36">
        <v>352</v>
      </c>
      <c r="J71" s="36">
        <v>360</v>
      </c>
      <c r="K71" s="36">
        <v>160</v>
      </c>
      <c r="L71" s="36">
        <v>187</v>
      </c>
      <c r="M71" s="36"/>
      <c r="N71" s="36">
        <v>229</v>
      </c>
      <c r="O71" s="36">
        <v>325</v>
      </c>
      <c r="P71" s="36">
        <v>410</v>
      </c>
      <c r="Q71" s="36">
        <v>225</v>
      </c>
      <c r="R71" s="36">
        <v>230</v>
      </c>
      <c r="S71" s="36"/>
      <c r="T71" s="36">
        <v>188</v>
      </c>
      <c r="U71" s="36">
        <v>164</v>
      </c>
      <c r="V71" s="36">
        <v>184</v>
      </c>
      <c r="W71" s="36">
        <v>181</v>
      </c>
      <c r="X71" s="36">
        <v>230</v>
      </c>
      <c r="Y71" s="36">
        <v>290</v>
      </c>
      <c r="Z71" s="36">
        <v>247</v>
      </c>
      <c r="AA71" s="36">
        <v>165</v>
      </c>
      <c r="AB71" s="36">
        <v>230</v>
      </c>
      <c r="AC71" s="43">
        <v>166</v>
      </c>
      <c r="AD71" s="43">
        <v>371</v>
      </c>
      <c r="AE71" s="36">
        <v>122</v>
      </c>
      <c r="AF71" s="36">
        <v>415</v>
      </c>
    </row>
    <row r="72" spans="1:32" x14ac:dyDescent="0.3">
      <c r="A72" s="7" t="str">
        <f>buda[[#This Row],[month]]&amp;buda[[#This Row],[chanel]]&amp;buda[[#This Row],[category]]</f>
        <v>8GOTAREV</v>
      </c>
      <c r="B72" s="8" t="s">
        <v>195</v>
      </c>
      <c r="C72" s="2" t="s">
        <v>69</v>
      </c>
      <c r="D72" s="9" t="s">
        <v>203</v>
      </c>
      <c r="E72" s="2">
        <v>6838</v>
      </c>
      <c r="F72" s="36">
        <v>592</v>
      </c>
      <c r="G72" s="36">
        <v>285</v>
      </c>
      <c r="H72" s="36">
        <v>456</v>
      </c>
      <c r="I72" s="36">
        <v>264</v>
      </c>
      <c r="J72" s="36">
        <v>396</v>
      </c>
      <c r="K72" s="36">
        <v>48</v>
      </c>
      <c r="L72" s="36">
        <v>336</v>
      </c>
      <c r="M72" s="36"/>
      <c r="N72" s="36">
        <v>108</v>
      </c>
      <c r="O72" s="36">
        <v>20</v>
      </c>
      <c r="P72" s="36">
        <v>410</v>
      </c>
      <c r="Q72" s="36">
        <v>207</v>
      </c>
      <c r="R72" s="36">
        <v>219</v>
      </c>
      <c r="S72" s="36"/>
      <c r="T72" s="36">
        <v>132</v>
      </c>
      <c r="U72" s="36">
        <v>418</v>
      </c>
      <c r="V72" s="36">
        <v>211</v>
      </c>
      <c r="W72" s="36">
        <v>232</v>
      </c>
      <c r="X72" s="36">
        <v>253</v>
      </c>
      <c r="Y72" s="36">
        <v>290</v>
      </c>
      <c r="Z72" s="36">
        <v>494</v>
      </c>
      <c r="AA72" s="36">
        <v>116</v>
      </c>
      <c r="AB72" s="36">
        <v>207</v>
      </c>
      <c r="AC72" s="42">
        <v>299</v>
      </c>
      <c r="AD72" s="42">
        <v>518</v>
      </c>
      <c r="AE72" s="36">
        <v>182</v>
      </c>
      <c r="AF72" s="36">
        <v>145</v>
      </c>
    </row>
    <row r="73" spans="1:32" x14ac:dyDescent="0.3">
      <c r="A73" s="7" t="str">
        <f>buda[[#This Row],[month]]&amp;buda[[#This Row],[chanel]]&amp;buda[[#This Row],[category]]</f>
        <v>8IBRNs</v>
      </c>
      <c r="B73" s="8" t="s">
        <v>205</v>
      </c>
      <c r="C73" s="2" t="s">
        <v>67</v>
      </c>
      <c r="D73" s="9" t="s">
        <v>203</v>
      </c>
      <c r="E73" s="2">
        <v>3450</v>
      </c>
      <c r="F73" s="36">
        <v>250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/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/>
      <c r="T73" s="36">
        <v>0</v>
      </c>
      <c r="U73" s="36">
        <v>100</v>
      </c>
      <c r="V73" s="36">
        <v>0</v>
      </c>
      <c r="W73" s="36">
        <v>0</v>
      </c>
      <c r="X73" s="36">
        <v>0</v>
      </c>
      <c r="Y73" s="36">
        <v>0</v>
      </c>
      <c r="Z73" s="36">
        <v>0</v>
      </c>
      <c r="AA73" s="36">
        <v>0</v>
      </c>
      <c r="AB73" s="36">
        <v>0</v>
      </c>
      <c r="AC73" s="43">
        <v>3000</v>
      </c>
      <c r="AD73" s="43">
        <v>0</v>
      </c>
      <c r="AE73" s="36">
        <v>100</v>
      </c>
      <c r="AF73" s="36"/>
    </row>
    <row r="74" spans="1:32" ht="16.5" x14ac:dyDescent="0.3">
      <c r="A74" s="7" t="str">
        <f>buda[[#This Row],[month]]&amp;buda[[#This Row],[chanel]]&amp;buda[[#This Row],[category]]</f>
        <v>8IBADR</v>
      </c>
      <c r="B74" s="8" t="s">
        <v>205</v>
      </c>
      <c r="C74" s="2" t="s">
        <v>68</v>
      </c>
      <c r="D74" s="9" t="s">
        <v>203</v>
      </c>
      <c r="E74" s="10">
        <v>91.884057971014499</v>
      </c>
      <c r="F74" s="36">
        <v>125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/>
      <c r="N74" s="36">
        <v>0</v>
      </c>
      <c r="O74" s="36">
        <v>0</v>
      </c>
      <c r="P74" s="36">
        <v>0</v>
      </c>
      <c r="Q74" s="36">
        <v>0</v>
      </c>
      <c r="R74" s="36">
        <v>0</v>
      </c>
      <c r="S74" s="36"/>
      <c r="T74" s="36">
        <v>0</v>
      </c>
      <c r="U74" s="36">
        <v>104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  <c r="AB74" s="36">
        <v>0</v>
      </c>
      <c r="AC74" s="42">
        <v>90</v>
      </c>
      <c r="AD74" s="42">
        <v>0</v>
      </c>
      <c r="AE74" s="36">
        <v>60</v>
      </c>
      <c r="AF74" s="36"/>
    </row>
    <row r="75" spans="1:32" x14ac:dyDescent="0.3">
      <c r="A75" s="7" t="str">
        <f>buda[[#This Row],[month]]&amp;buda[[#This Row],[chanel]]&amp;buda[[#This Row],[category]]</f>
        <v>8IBREV</v>
      </c>
      <c r="B75" s="8" t="s">
        <v>205</v>
      </c>
      <c r="C75" s="2" t="s">
        <v>69</v>
      </c>
      <c r="D75" s="9" t="s">
        <v>203</v>
      </c>
      <c r="E75" s="2">
        <v>317</v>
      </c>
      <c r="F75" s="36">
        <v>31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/>
      <c r="N75" s="36">
        <v>0</v>
      </c>
      <c r="O75" s="36">
        <v>0</v>
      </c>
      <c r="P75" s="36">
        <v>0</v>
      </c>
      <c r="Q75" s="36">
        <v>0</v>
      </c>
      <c r="R75" s="36">
        <v>0</v>
      </c>
      <c r="S75" s="36"/>
      <c r="T75" s="36">
        <v>0</v>
      </c>
      <c r="U75" s="36">
        <v>10</v>
      </c>
      <c r="V75" s="36">
        <v>0</v>
      </c>
      <c r="W75" s="36">
        <v>0</v>
      </c>
      <c r="X75" s="36">
        <v>0</v>
      </c>
      <c r="Y75" s="36">
        <v>0</v>
      </c>
      <c r="Z75" s="36">
        <v>0</v>
      </c>
      <c r="AA75" s="36">
        <v>0</v>
      </c>
      <c r="AB75" s="36">
        <v>0</v>
      </c>
      <c r="AC75" s="43">
        <v>270</v>
      </c>
      <c r="AD75" s="43">
        <v>0</v>
      </c>
      <c r="AE75" s="36">
        <v>6</v>
      </c>
      <c r="AF75" s="36"/>
    </row>
    <row r="76" spans="1:32" x14ac:dyDescent="0.3">
      <c r="A76" s="7" t="str">
        <f>buda[[#This Row],[month]]&amp;buda[[#This Row],[chanel]]&amp;buda[[#This Row],[category]]</f>
        <v>9OTARNs</v>
      </c>
      <c r="B76" s="8" t="s">
        <v>66</v>
      </c>
      <c r="C76" s="2" t="s">
        <v>67</v>
      </c>
      <c r="D76" s="9" t="s">
        <v>204</v>
      </c>
      <c r="E76" s="2">
        <v>31850</v>
      </c>
      <c r="F76" s="36">
        <v>4250</v>
      </c>
      <c r="G76" s="36">
        <v>810</v>
      </c>
      <c r="H76" s="36">
        <v>1000</v>
      </c>
      <c r="I76" s="36">
        <v>400</v>
      </c>
      <c r="J76" s="36">
        <v>750</v>
      </c>
      <c r="K76" s="36">
        <v>300</v>
      </c>
      <c r="L76" s="36">
        <v>1250</v>
      </c>
      <c r="M76" s="36"/>
      <c r="N76" s="36">
        <v>900</v>
      </c>
      <c r="O76" s="36">
        <v>100</v>
      </c>
      <c r="P76" s="36">
        <v>900</v>
      </c>
      <c r="Q76" s="36">
        <v>1550</v>
      </c>
      <c r="R76" s="36">
        <v>3350</v>
      </c>
      <c r="S76" s="36"/>
      <c r="T76" s="36">
        <v>650</v>
      </c>
      <c r="U76" s="36">
        <v>3550</v>
      </c>
      <c r="V76" s="36">
        <v>2000</v>
      </c>
      <c r="W76" s="36">
        <v>1350</v>
      </c>
      <c r="X76" s="36">
        <v>1000</v>
      </c>
      <c r="Y76" s="36">
        <v>600</v>
      </c>
      <c r="Z76" s="36">
        <v>2400</v>
      </c>
      <c r="AA76" s="36">
        <v>350</v>
      </c>
      <c r="AB76" s="36">
        <v>400</v>
      </c>
      <c r="AC76" s="42">
        <v>1250</v>
      </c>
      <c r="AD76" s="42">
        <v>1290</v>
      </c>
      <c r="AE76" s="36">
        <v>1100</v>
      </c>
      <c r="AF76" s="36">
        <v>350</v>
      </c>
    </row>
    <row r="77" spans="1:32" ht="16.5" x14ac:dyDescent="0.3">
      <c r="A77" s="7" t="str">
        <f>buda[[#This Row],[month]]&amp;buda[[#This Row],[chanel]]&amp;buda[[#This Row],[category]]</f>
        <v>9OTAADR</v>
      </c>
      <c r="B77" s="8" t="s">
        <v>66</v>
      </c>
      <c r="C77" s="2" t="s">
        <v>68</v>
      </c>
      <c r="D77" s="9" t="s">
        <v>204</v>
      </c>
      <c r="E77" s="10">
        <v>200.72213500784929</v>
      </c>
      <c r="F77" s="36">
        <v>152</v>
      </c>
      <c r="G77" s="36">
        <v>252</v>
      </c>
      <c r="H77" s="36">
        <v>282</v>
      </c>
      <c r="I77" s="36">
        <v>331</v>
      </c>
      <c r="J77" s="36">
        <v>331</v>
      </c>
      <c r="K77" s="36">
        <v>145</v>
      </c>
      <c r="L77" s="36">
        <v>185</v>
      </c>
      <c r="M77" s="36"/>
      <c r="N77" s="36">
        <v>179</v>
      </c>
      <c r="O77" s="36">
        <v>309</v>
      </c>
      <c r="P77" s="36">
        <v>383</v>
      </c>
      <c r="Q77" s="36">
        <v>223</v>
      </c>
      <c r="R77" s="36">
        <v>231</v>
      </c>
      <c r="S77" s="36"/>
      <c r="T77" s="36">
        <v>172</v>
      </c>
      <c r="U77" s="36">
        <v>135</v>
      </c>
      <c r="V77" s="36">
        <v>161</v>
      </c>
      <c r="W77" s="36">
        <v>170</v>
      </c>
      <c r="X77" s="36">
        <v>212</v>
      </c>
      <c r="Y77" s="36">
        <v>250</v>
      </c>
      <c r="Z77" s="36">
        <v>217</v>
      </c>
      <c r="AA77" s="36">
        <v>183</v>
      </c>
      <c r="AB77" s="36">
        <v>225</v>
      </c>
      <c r="AC77" s="43">
        <v>166</v>
      </c>
      <c r="AD77" s="43">
        <v>294</v>
      </c>
      <c r="AE77" s="36">
        <v>87</v>
      </c>
      <c r="AF77" s="36">
        <v>251</v>
      </c>
    </row>
    <row r="78" spans="1:32" x14ac:dyDescent="0.3">
      <c r="A78" s="7" t="str">
        <f>buda[[#This Row],[month]]&amp;buda[[#This Row],[chanel]]&amp;buda[[#This Row],[category]]</f>
        <v>9OTAREV</v>
      </c>
      <c r="B78" s="8" t="s">
        <v>66</v>
      </c>
      <c r="C78" s="2" t="s">
        <v>69</v>
      </c>
      <c r="D78" s="9" t="s">
        <v>204</v>
      </c>
      <c r="E78" s="2">
        <v>6393</v>
      </c>
      <c r="F78" s="36">
        <v>646</v>
      </c>
      <c r="G78" s="36">
        <v>204</v>
      </c>
      <c r="H78" s="36">
        <v>282</v>
      </c>
      <c r="I78" s="36">
        <v>132</v>
      </c>
      <c r="J78" s="36">
        <v>248</v>
      </c>
      <c r="K78" s="36">
        <v>44</v>
      </c>
      <c r="L78" s="36">
        <v>231</v>
      </c>
      <c r="M78" s="36"/>
      <c r="N78" s="36">
        <v>161</v>
      </c>
      <c r="O78" s="36">
        <v>31</v>
      </c>
      <c r="P78" s="36">
        <v>344</v>
      </c>
      <c r="Q78" s="36">
        <v>346</v>
      </c>
      <c r="R78" s="36">
        <v>774</v>
      </c>
      <c r="S78" s="36"/>
      <c r="T78" s="36">
        <v>112</v>
      </c>
      <c r="U78" s="36">
        <v>479</v>
      </c>
      <c r="V78" s="36">
        <v>321</v>
      </c>
      <c r="W78" s="36">
        <v>230</v>
      </c>
      <c r="X78" s="36">
        <v>212</v>
      </c>
      <c r="Y78" s="36">
        <v>150</v>
      </c>
      <c r="Z78" s="36">
        <v>521</v>
      </c>
      <c r="AA78" s="36">
        <v>64</v>
      </c>
      <c r="AB78" s="36">
        <v>90</v>
      </c>
      <c r="AC78" s="42">
        <v>208</v>
      </c>
      <c r="AD78" s="42">
        <v>379</v>
      </c>
      <c r="AE78" s="36">
        <v>96</v>
      </c>
      <c r="AF78" s="36">
        <v>88</v>
      </c>
    </row>
    <row r="79" spans="1:32" x14ac:dyDescent="0.3">
      <c r="A79" s="7" t="str">
        <f>buda[[#This Row],[month]]&amp;buda[[#This Row],[chanel]]&amp;buda[[#This Row],[category]]</f>
        <v>9GOTARNs</v>
      </c>
      <c r="B79" s="8" t="s">
        <v>195</v>
      </c>
      <c r="C79" s="2" t="s">
        <v>67</v>
      </c>
      <c r="D79" s="9" t="s">
        <v>204</v>
      </c>
      <c r="E79" s="2">
        <v>21655</v>
      </c>
      <c r="F79" s="36">
        <v>1250</v>
      </c>
      <c r="G79" s="36">
        <v>400</v>
      </c>
      <c r="H79" s="36">
        <v>600</v>
      </c>
      <c r="I79" s="36">
        <v>400</v>
      </c>
      <c r="J79" s="36">
        <v>550</v>
      </c>
      <c r="K79" s="36">
        <v>200</v>
      </c>
      <c r="L79" s="36">
        <v>1010</v>
      </c>
      <c r="M79" s="36"/>
      <c r="N79" s="36">
        <v>600</v>
      </c>
      <c r="O79" s="36">
        <v>50</v>
      </c>
      <c r="P79" s="36">
        <v>730</v>
      </c>
      <c r="Q79" s="36">
        <v>1200</v>
      </c>
      <c r="R79" s="36">
        <v>1550</v>
      </c>
      <c r="S79" s="36"/>
      <c r="T79" s="36">
        <v>450</v>
      </c>
      <c r="U79" s="36">
        <v>1750</v>
      </c>
      <c r="V79" s="36">
        <v>800</v>
      </c>
      <c r="W79" s="36">
        <v>800</v>
      </c>
      <c r="X79" s="36">
        <v>750</v>
      </c>
      <c r="Y79" s="36">
        <v>800</v>
      </c>
      <c r="Z79" s="36">
        <v>2000</v>
      </c>
      <c r="AA79" s="36">
        <v>400</v>
      </c>
      <c r="AB79" s="36">
        <v>450</v>
      </c>
      <c r="AC79" s="43">
        <v>2150</v>
      </c>
      <c r="AD79" s="43">
        <v>1115</v>
      </c>
      <c r="AE79" s="36">
        <v>1400</v>
      </c>
      <c r="AF79" s="36">
        <v>250</v>
      </c>
    </row>
    <row r="80" spans="1:32" ht="16.5" x14ac:dyDescent="0.3">
      <c r="A80" s="7" t="str">
        <f>buda[[#This Row],[month]]&amp;buda[[#This Row],[chanel]]&amp;buda[[#This Row],[category]]</f>
        <v>9GOTAADR</v>
      </c>
      <c r="B80" s="8" t="s">
        <v>195</v>
      </c>
      <c r="C80" s="2" t="s">
        <v>68</v>
      </c>
      <c r="D80" s="9" t="s">
        <v>204</v>
      </c>
      <c r="E80" s="10">
        <v>198.01431540060031</v>
      </c>
      <c r="F80" s="36">
        <v>177</v>
      </c>
      <c r="G80" s="36">
        <v>264</v>
      </c>
      <c r="H80" s="36">
        <v>298</v>
      </c>
      <c r="I80" s="36">
        <v>308</v>
      </c>
      <c r="J80" s="36">
        <v>328</v>
      </c>
      <c r="K80" s="36">
        <v>123</v>
      </c>
      <c r="L80" s="36">
        <v>170</v>
      </c>
      <c r="M80" s="36"/>
      <c r="N80" s="36">
        <v>177</v>
      </c>
      <c r="O80" s="36">
        <v>288</v>
      </c>
      <c r="P80" s="36">
        <v>332</v>
      </c>
      <c r="Q80" s="36">
        <v>204</v>
      </c>
      <c r="R80" s="36">
        <v>211</v>
      </c>
      <c r="S80" s="36"/>
      <c r="T80" s="36">
        <v>153</v>
      </c>
      <c r="U80" s="36">
        <v>133</v>
      </c>
      <c r="V80" s="36">
        <v>158</v>
      </c>
      <c r="W80" s="36">
        <v>162</v>
      </c>
      <c r="X80" s="36">
        <v>219</v>
      </c>
      <c r="Y80" s="36">
        <v>230</v>
      </c>
      <c r="Z80" s="36">
        <v>211</v>
      </c>
      <c r="AA80" s="36">
        <v>173</v>
      </c>
      <c r="AB80" s="36">
        <v>204</v>
      </c>
      <c r="AC80" s="42">
        <v>164</v>
      </c>
      <c r="AD80" s="42">
        <v>289</v>
      </c>
      <c r="AE80" s="36">
        <v>86</v>
      </c>
      <c r="AF80" s="36">
        <v>251</v>
      </c>
    </row>
    <row r="81" spans="1:32" x14ac:dyDescent="0.3">
      <c r="A81" s="7" t="str">
        <f>buda[[#This Row],[month]]&amp;buda[[#This Row],[chanel]]&amp;buda[[#This Row],[category]]</f>
        <v>9GOTAREV</v>
      </c>
      <c r="B81" s="8" t="s">
        <v>195</v>
      </c>
      <c r="C81" s="2" t="s">
        <v>69</v>
      </c>
      <c r="D81" s="9" t="s">
        <v>204</v>
      </c>
      <c r="E81" s="2">
        <v>4288</v>
      </c>
      <c r="F81" s="36">
        <v>221</v>
      </c>
      <c r="G81" s="36">
        <v>105</v>
      </c>
      <c r="H81" s="36">
        <v>179</v>
      </c>
      <c r="I81" s="36">
        <v>123</v>
      </c>
      <c r="J81" s="36">
        <v>181</v>
      </c>
      <c r="K81" s="36">
        <v>25</v>
      </c>
      <c r="L81" s="36">
        <v>172</v>
      </c>
      <c r="M81" s="36"/>
      <c r="N81" s="36">
        <v>106</v>
      </c>
      <c r="O81" s="36">
        <v>14</v>
      </c>
      <c r="P81" s="36">
        <v>242</v>
      </c>
      <c r="Q81" s="36">
        <v>245</v>
      </c>
      <c r="R81" s="36">
        <v>327</v>
      </c>
      <c r="S81" s="36"/>
      <c r="T81" s="36">
        <v>69</v>
      </c>
      <c r="U81" s="36">
        <v>233</v>
      </c>
      <c r="V81" s="36">
        <v>126</v>
      </c>
      <c r="W81" s="36">
        <v>130</v>
      </c>
      <c r="X81" s="36">
        <v>164</v>
      </c>
      <c r="Y81" s="36">
        <v>184</v>
      </c>
      <c r="Z81" s="36">
        <v>422</v>
      </c>
      <c r="AA81" s="36">
        <v>69</v>
      </c>
      <c r="AB81" s="36">
        <v>92</v>
      </c>
      <c r="AC81" s="43">
        <v>353</v>
      </c>
      <c r="AD81" s="43">
        <v>322</v>
      </c>
      <c r="AE81" s="36">
        <v>121</v>
      </c>
      <c r="AF81" s="36">
        <v>63</v>
      </c>
    </row>
    <row r="82" spans="1:32" x14ac:dyDescent="0.3">
      <c r="A82" s="7" t="str">
        <f>buda[[#This Row],[month]]&amp;buda[[#This Row],[chanel]]&amp;buda[[#This Row],[category]]</f>
        <v>9IBRNs</v>
      </c>
      <c r="B82" s="8" t="s">
        <v>205</v>
      </c>
      <c r="C82" s="2" t="s">
        <v>67</v>
      </c>
      <c r="D82" s="9" t="s">
        <v>204</v>
      </c>
      <c r="E82" s="2">
        <v>3900</v>
      </c>
      <c r="F82" s="36">
        <v>250</v>
      </c>
      <c r="G82" s="36">
        <v>0</v>
      </c>
      <c r="H82" s="36">
        <v>0</v>
      </c>
      <c r="I82" s="36">
        <v>0</v>
      </c>
      <c r="J82" s="36">
        <v>0</v>
      </c>
      <c r="K82" s="36">
        <v>0</v>
      </c>
      <c r="L82" s="36">
        <v>50</v>
      </c>
      <c r="M82" s="36"/>
      <c r="N82" s="36">
        <v>0</v>
      </c>
      <c r="O82" s="36">
        <v>0</v>
      </c>
      <c r="P82" s="36">
        <v>0</v>
      </c>
      <c r="Q82" s="36">
        <v>0</v>
      </c>
      <c r="R82" s="36">
        <v>0</v>
      </c>
      <c r="S82" s="36"/>
      <c r="T82" s="36">
        <v>0</v>
      </c>
      <c r="U82" s="36">
        <v>150</v>
      </c>
      <c r="V82" s="36">
        <v>0</v>
      </c>
      <c r="W82" s="36">
        <v>0</v>
      </c>
      <c r="X82" s="36">
        <v>0</v>
      </c>
      <c r="Y82" s="36">
        <v>100</v>
      </c>
      <c r="Z82" s="36">
        <v>0</v>
      </c>
      <c r="AA82" s="36">
        <v>0</v>
      </c>
      <c r="AB82" s="36">
        <v>0</v>
      </c>
      <c r="AC82" s="42">
        <v>2900</v>
      </c>
      <c r="AD82" s="42">
        <v>0</v>
      </c>
      <c r="AE82" s="36">
        <v>450</v>
      </c>
      <c r="AF82" s="36"/>
    </row>
    <row r="83" spans="1:32" ht="16.5" x14ac:dyDescent="0.3">
      <c r="A83" s="7" t="str">
        <f>buda[[#This Row],[month]]&amp;buda[[#This Row],[chanel]]&amp;buda[[#This Row],[category]]</f>
        <v>9IBADR</v>
      </c>
      <c r="B83" s="8" t="s">
        <v>205</v>
      </c>
      <c r="C83" s="2" t="s">
        <v>68</v>
      </c>
      <c r="D83" s="9" t="s">
        <v>204</v>
      </c>
      <c r="E83" s="10">
        <v>76.410256410256409</v>
      </c>
      <c r="F83" s="36">
        <v>75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90</v>
      </c>
      <c r="M83" s="36"/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/>
      <c r="T83" s="36">
        <v>0</v>
      </c>
      <c r="U83" s="36">
        <v>69</v>
      </c>
      <c r="V83" s="36">
        <v>0</v>
      </c>
      <c r="W83" s="36">
        <v>0</v>
      </c>
      <c r="X83" s="36">
        <v>0</v>
      </c>
      <c r="Y83" s="36">
        <v>136</v>
      </c>
      <c r="Z83" s="36">
        <v>0</v>
      </c>
      <c r="AA83" s="36">
        <v>0</v>
      </c>
      <c r="AB83" s="36">
        <v>0</v>
      </c>
      <c r="AC83" s="43">
        <v>88</v>
      </c>
      <c r="AD83" s="43">
        <v>0</v>
      </c>
      <c r="AE83" s="36">
        <v>55</v>
      </c>
      <c r="AF83" s="36"/>
    </row>
    <row r="84" spans="1:32" x14ac:dyDescent="0.3">
      <c r="A84" s="7" t="str">
        <f>buda[[#This Row],[month]]&amp;buda[[#This Row],[chanel]]&amp;buda[[#This Row],[category]]</f>
        <v>9IBREV</v>
      </c>
      <c r="B84" s="8" t="s">
        <v>205</v>
      </c>
      <c r="C84" s="2" t="s">
        <v>69</v>
      </c>
      <c r="D84" s="9" t="s">
        <v>204</v>
      </c>
      <c r="E84" s="2">
        <v>298</v>
      </c>
      <c r="F84" s="36">
        <v>19</v>
      </c>
      <c r="G84" s="36">
        <v>0</v>
      </c>
      <c r="H84" s="36">
        <v>0</v>
      </c>
      <c r="I84" s="36">
        <v>0</v>
      </c>
      <c r="J84" s="36">
        <v>0</v>
      </c>
      <c r="K84" s="36">
        <v>0</v>
      </c>
      <c r="L84" s="36">
        <v>5</v>
      </c>
      <c r="M84" s="36"/>
      <c r="N84" s="36">
        <v>0</v>
      </c>
      <c r="O84" s="36">
        <v>0</v>
      </c>
      <c r="P84" s="36">
        <v>0</v>
      </c>
      <c r="Q84" s="36">
        <v>0</v>
      </c>
      <c r="R84" s="36">
        <v>0</v>
      </c>
      <c r="S84" s="36"/>
      <c r="T84" s="36">
        <v>0</v>
      </c>
      <c r="U84" s="36">
        <v>10</v>
      </c>
      <c r="V84" s="36">
        <v>0</v>
      </c>
      <c r="W84" s="36">
        <v>0</v>
      </c>
      <c r="X84" s="36">
        <v>0</v>
      </c>
      <c r="Y84" s="36">
        <v>14</v>
      </c>
      <c r="Z84" s="36">
        <v>0</v>
      </c>
      <c r="AA84" s="36">
        <v>0</v>
      </c>
      <c r="AB84" s="36">
        <v>0</v>
      </c>
      <c r="AC84" s="42">
        <v>225</v>
      </c>
      <c r="AD84" s="42">
        <v>0</v>
      </c>
      <c r="AE84" s="36">
        <v>25</v>
      </c>
      <c r="AF84" s="36"/>
    </row>
    <row r="85" spans="1:32" ht="16.5" x14ac:dyDescent="0.3">
      <c r="A85" s="7" t="str">
        <f>buda[[#This Row],[month]]&amp;buda[[#This Row],[chanel]]&amp;buda[[#This Row],[category]]</f>
        <v>10OTARNs</v>
      </c>
      <c r="B85" s="8" t="s">
        <v>66</v>
      </c>
      <c r="C85" s="2" t="s">
        <v>67</v>
      </c>
      <c r="D85" s="9" t="s">
        <v>70</v>
      </c>
      <c r="E85" s="2">
        <v>39900</v>
      </c>
      <c r="F85" s="34">
        <v>4500</v>
      </c>
      <c r="G85" s="34">
        <v>1250</v>
      </c>
      <c r="H85" s="34">
        <v>1300</v>
      </c>
      <c r="I85" s="34">
        <v>650</v>
      </c>
      <c r="J85" s="34">
        <v>850</v>
      </c>
      <c r="K85" s="34">
        <v>550</v>
      </c>
      <c r="L85" s="34">
        <v>1950</v>
      </c>
      <c r="M85" s="34"/>
      <c r="N85" s="34">
        <v>1050</v>
      </c>
      <c r="O85" s="34">
        <v>80</v>
      </c>
      <c r="P85" s="34">
        <v>1000</v>
      </c>
      <c r="Q85" s="34">
        <v>2000</v>
      </c>
      <c r="R85" s="34">
        <v>3300</v>
      </c>
      <c r="S85" s="36">
        <v>1250</v>
      </c>
      <c r="T85" s="34">
        <v>1400</v>
      </c>
      <c r="U85" s="34">
        <v>4950</v>
      </c>
      <c r="V85" s="34">
        <v>2060</v>
      </c>
      <c r="W85" s="34">
        <v>1450</v>
      </c>
      <c r="X85" s="36">
        <v>1400</v>
      </c>
      <c r="Y85" s="34">
        <v>750</v>
      </c>
      <c r="Z85" s="34">
        <v>3100</v>
      </c>
      <c r="AA85" s="34">
        <v>350</v>
      </c>
      <c r="AB85" s="34">
        <v>350</v>
      </c>
      <c r="AC85" s="37">
        <v>1350</v>
      </c>
      <c r="AD85" s="43">
        <v>1460</v>
      </c>
      <c r="AE85" s="34">
        <v>1100</v>
      </c>
      <c r="AF85" s="36">
        <v>450</v>
      </c>
    </row>
    <row r="86" spans="1:32" ht="16.5" x14ac:dyDescent="0.3">
      <c r="A86" s="7" t="str">
        <f>buda[[#This Row],[month]]&amp;buda[[#This Row],[chanel]]&amp;buda[[#This Row],[category]]</f>
        <v>10OTAADR</v>
      </c>
      <c r="B86" s="8" t="s">
        <v>66</v>
      </c>
      <c r="C86" s="2" t="s">
        <v>68</v>
      </c>
      <c r="D86" s="9" t="s">
        <v>70</v>
      </c>
      <c r="E86" s="10">
        <v>203.43358395989975</v>
      </c>
      <c r="F86" s="34">
        <v>144</v>
      </c>
      <c r="G86" s="34">
        <v>271</v>
      </c>
      <c r="H86" s="34">
        <v>314</v>
      </c>
      <c r="I86" s="34">
        <v>347</v>
      </c>
      <c r="J86" s="34">
        <v>357</v>
      </c>
      <c r="K86" s="34">
        <v>137</v>
      </c>
      <c r="L86" s="34">
        <v>169</v>
      </c>
      <c r="M86" s="34"/>
      <c r="N86" s="34">
        <v>185</v>
      </c>
      <c r="O86" s="34">
        <v>315</v>
      </c>
      <c r="P86" s="34">
        <v>366</v>
      </c>
      <c r="Q86" s="34">
        <v>217</v>
      </c>
      <c r="R86" s="34">
        <v>223</v>
      </c>
      <c r="S86" s="36">
        <v>232</v>
      </c>
      <c r="T86" s="34">
        <v>173</v>
      </c>
      <c r="U86" s="34">
        <v>145</v>
      </c>
      <c r="V86" s="34">
        <v>163</v>
      </c>
      <c r="W86" s="34">
        <v>173</v>
      </c>
      <c r="X86" s="36">
        <v>221</v>
      </c>
      <c r="Y86" s="34">
        <v>258</v>
      </c>
      <c r="Z86" s="34">
        <v>219</v>
      </c>
      <c r="AA86" s="34">
        <v>198</v>
      </c>
      <c r="AB86" s="34">
        <v>222</v>
      </c>
      <c r="AC86" s="35">
        <v>166</v>
      </c>
      <c r="AD86" s="42">
        <v>309</v>
      </c>
      <c r="AE86" s="34">
        <v>89</v>
      </c>
      <c r="AF86" s="36">
        <v>270</v>
      </c>
    </row>
    <row r="87" spans="1:32" ht="16.5" x14ac:dyDescent="0.3">
      <c r="A87" s="7" t="str">
        <f>buda[[#This Row],[month]]&amp;buda[[#This Row],[chanel]]&amp;buda[[#This Row],[category]]</f>
        <v>10OTAREV</v>
      </c>
      <c r="B87" s="8" t="s">
        <v>66</v>
      </c>
      <c r="C87" s="2" t="s">
        <v>69</v>
      </c>
      <c r="D87" s="9" t="s">
        <v>70</v>
      </c>
      <c r="E87" s="2">
        <v>8117</v>
      </c>
      <c r="F87" s="34">
        <v>650</v>
      </c>
      <c r="G87" s="34">
        <v>339</v>
      </c>
      <c r="H87" s="34">
        <v>409</v>
      </c>
      <c r="I87" s="34">
        <v>225</v>
      </c>
      <c r="J87" s="34">
        <v>303</v>
      </c>
      <c r="K87" s="34">
        <v>75</v>
      </c>
      <c r="L87" s="34">
        <v>329</v>
      </c>
      <c r="M87" s="34"/>
      <c r="N87" s="34">
        <v>194</v>
      </c>
      <c r="O87" s="34">
        <v>25</v>
      </c>
      <c r="P87" s="34">
        <v>366</v>
      </c>
      <c r="Q87" s="34">
        <v>434</v>
      </c>
      <c r="R87" s="34">
        <v>736</v>
      </c>
      <c r="S87" s="36">
        <v>291</v>
      </c>
      <c r="T87" s="34">
        <v>242</v>
      </c>
      <c r="U87" s="34">
        <v>718</v>
      </c>
      <c r="V87" s="34">
        <v>336</v>
      </c>
      <c r="W87" s="34">
        <v>251</v>
      </c>
      <c r="X87" s="36">
        <v>309</v>
      </c>
      <c r="Y87" s="34">
        <v>194</v>
      </c>
      <c r="Z87" s="34">
        <v>649</v>
      </c>
      <c r="AA87" s="34">
        <v>69</v>
      </c>
      <c r="AB87" s="34">
        <v>78</v>
      </c>
      <c r="AC87" s="37">
        <v>224</v>
      </c>
      <c r="AD87" s="43">
        <v>451</v>
      </c>
      <c r="AE87" s="34">
        <v>98</v>
      </c>
      <c r="AF87" s="36">
        <v>122</v>
      </c>
    </row>
    <row r="88" spans="1:32" ht="16.5" x14ac:dyDescent="0.3">
      <c r="A88" s="7" t="str">
        <f>buda[[#This Row],[month]]&amp;buda[[#This Row],[chanel]]&amp;buda[[#This Row],[category]]</f>
        <v>10GOTARNs</v>
      </c>
      <c r="B88" s="8" t="s">
        <v>195</v>
      </c>
      <c r="C88" s="2" t="s">
        <v>67</v>
      </c>
      <c r="D88" s="9" t="s">
        <v>70</v>
      </c>
      <c r="E88" s="2">
        <v>25270</v>
      </c>
      <c r="F88" s="34">
        <v>2300</v>
      </c>
      <c r="G88" s="34">
        <v>850</v>
      </c>
      <c r="H88" s="34">
        <v>900</v>
      </c>
      <c r="I88" s="34">
        <v>450</v>
      </c>
      <c r="J88" s="34">
        <v>750</v>
      </c>
      <c r="K88" s="34">
        <v>250</v>
      </c>
      <c r="L88" s="34">
        <v>1300</v>
      </c>
      <c r="M88" s="34"/>
      <c r="N88" s="34">
        <v>750</v>
      </c>
      <c r="O88" s="34">
        <v>50</v>
      </c>
      <c r="P88" s="34">
        <v>850</v>
      </c>
      <c r="Q88" s="34">
        <v>1250</v>
      </c>
      <c r="R88" s="34">
        <v>1450</v>
      </c>
      <c r="S88" s="36">
        <v>520</v>
      </c>
      <c r="T88" s="34">
        <v>630</v>
      </c>
      <c r="U88" s="34">
        <v>2400</v>
      </c>
      <c r="V88" s="34">
        <v>900</v>
      </c>
      <c r="W88" s="34">
        <v>800</v>
      </c>
      <c r="X88" s="36">
        <v>950</v>
      </c>
      <c r="Y88" s="34">
        <v>950</v>
      </c>
      <c r="Z88" s="34">
        <v>1400</v>
      </c>
      <c r="AA88" s="34">
        <v>450</v>
      </c>
      <c r="AB88" s="34">
        <v>450</v>
      </c>
      <c r="AC88" s="35">
        <v>1700</v>
      </c>
      <c r="AD88" s="42">
        <v>1325</v>
      </c>
      <c r="AE88" s="34">
        <v>1400</v>
      </c>
      <c r="AF88" s="36">
        <v>245</v>
      </c>
    </row>
    <row r="89" spans="1:32" ht="16.5" x14ac:dyDescent="0.3">
      <c r="A89" s="7" t="str">
        <f>buda[[#This Row],[month]]&amp;buda[[#This Row],[chanel]]&amp;buda[[#This Row],[category]]</f>
        <v>10GOTAADR</v>
      </c>
      <c r="B89" s="8" t="s">
        <v>195</v>
      </c>
      <c r="C89" s="2" t="s">
        <v>68</v>
      </c>
      <c r="D89" s="9" t="s">
        <v>70</v>
      </c>
      <c r="E89" s="10">
        <v>201.18717847249704</v>
      </c>
      <c r="F89" s="34">
        <v>159</v>
      </c>
      <c r="G89" s="34">
        <v>281</v>
      </c>
      <c r="H89" s="34">
        <v>311</v>
      </c>
      <c r="I89" s="34">
        <v>345</v>
      </c>
      <c r="J89" s="34">
        <v>341</v>
      </c>
      <c r="K89" s="34">
        <v>121</v>
      </c>
      <c r="L89" s="34">
        <v>151</v>
      </c>
      <c r="M89" s="34"/>
      <c r="N89" s="34">
        <v>182</v>
      </c>
      <c r="O89" s="34">
        <v>305</v>
      </c>
      <c r="P89" s="34">
        <v>333</v>
      </c>
      <c r="Q89" s="34">
        <v>184</v>
      </c>
      <c r="R89" s="34">
        <v>212</v>
      </c>
      <c r="S89" s="36">
        <v>225</v>
      </c>
      <c r="T89" s="34">
        <v>166</v>
      </c>
      <c r="U89" s="34">
        <v>137</v>
      </c>
      <c r="V89" s="34">
        <v>161</v>
      </c>
      <c r="W89" s="34">
        <v>159</v>
      </c>
      <c r="X89" s="36">
        <v>202</v>
      </c>
      <c r="Y89" s="34">
        <v>246</v>
      </c>
      <c r="Z89" s="34">
        <v>210</v>
      </c>
      <c r="AA89" s="34">
        <v>184</v>
      </c>
      <c r="AB89" s="34">
        <v>218</v>
      </c>
      <c r="AC89" s="37">
        <v>164</v>
      </c>
      <c r="AD89" s="43">
        <v>303</v>
      </c>
      <c r="AE89" s="34">
        <v>88</v>
      </c>
      <c r="AF89" s="36">
        <v>265</v>
      </c>
    </row>
    <row r="90" spans="1:32" ht="16.5" x14ac:dyDescent="0.3">
      <c r="A90" s="7" t="str">
        <f>buda[[#This Row],[month]]&amp;buda[[#This Row],[chanel]]&amp;buda[[#This Row],[category]]</f>
        <v>10GOTAREV</v>
      </c>
      <c r="B90" s="8" t="s">
        <v>195</v>
      </c>
      <c r="C90" s="2" t="s">
        <v>69</v>
      </c>
      <c r="D90" s="9" t="s">
        <v>70</v>
      </c>
      <c r="E90" s="2">
        <v>5084</v>
      </c>
      <c r="F90" s="34">
        <v>365</v>
      </c>
      <c r="G90" s="34">
        <v>239</v>
      </c>
      <c r="H90" s="34">
        <v>279</v>
      </c>
      <c r="I90" s="34">
        <v>155</v>
      </c>
      <c r="J90" s="34">
        <v>256</v>
      </c>
      <c r="K90" s="34">
        <v>30</v>
      </c>
      <c r="L90" s="34">
        <v>196</v>
      </c>
      <c r="M90" s="34"/>
      <c r="N90" s="34">
        <v>137</v>
      </c>
      <c r="O90" s="34">
        <v>15</v>
      </c>
      <c r="P90" s="34">
        <v>283</v>
      </c>
      <c r="Q90" s="34">
        <v>230</v>
      </c>
      <c r="R90" s="34">
        <v>307</v>
      </c>
      <c r="S90" s="36">
        <v>117</v>
      </c>
      <c r="T90" s="34">
        <v>105</v>
      </c>
      <c r="U90" s="34">
        <v>329</v>
      </c>
      <c r="V90" s="34">
        <v>145</v>
      </c>
      <c r="W90" s="34">
        <v>127</v>
      </c>
      <c r="X90" s="36">
        <v>192</v>
      </c>
      <c r="Y90" s="34">
        <v>234</v>
      </c>
      <c r="Z90" s="34">
        <v>294</v>
      </c>
      <c r="AA90" s="34">
        <v>83</v>
      </c>
      <c r="AB90" s="34">
        <v>98</v>
      </c>
      <c r="AC90" s="35">
        <v>279</v>
      </c>
      <c r="AD90" s="42">
        <v>401</v>
      </c>
      <c r="AE90" s="34">
        <v>123</v>
      </c>
      <c r="AF90" s="36">
        <v>65</v>
      </c>
    </row>
    <row r="91" spans="1:32" ht="16.5" x14ac:dyDescent="0.3">
      <c r="A91" s="7" t="str">
        <f>buda[[#This Row],[month]]&amp;buda[[#This Row],[chanel]]&amp;buda[[#This Row],[category]]</f>
        <v>10IBRNs</v>
      </c>
      <c r="B91" s="8" t="s">
        <v>205</v>
      </c>
      <c r="C91" s="2" t="s">
        <v>67</v>
      </c>
      <c r="D91" s="9" t="s">
        <v>70</v>
      </c>
      <c r="E91" s="2">
        <v>4800</v>
      </c>
      <c r="F91" s="34">
        <v>250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100</v>
      </c>
      <c r="M91" s="34"/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6">
        <v>0</v>
      </c>
      <c r="T91" s="34">
        <v>0</v>
      </c>
      <c r="U91" s="34">
        <v>400</v>
      </c>
      <c r="V91" s="34">
        <v>250</v>
      </c>
      <c r="W91" s="34">
        <v>100</v>
      </c>
      <c r="X91" s="36">
        <v>0</v>
      </c>
      <c r="Y91" s="34">
        <v>200</v>
      </c>
      <c r="Z91" s="34">
        <v>0</v>
      </c>
      <c r="AA91" s="34">
        <v>0</v>
      </c>
      <c r="AB91" s="34">
        <v>0</v>
      </c>
      <c r="AC91" s="37">
        <v>3000</v>
      </c>
      <c r="AD91" s="43">
        <v>0</v>
      </c>
      <c r="AE91" s="34">
        <v>500</v>
      </c>
      <c r="AF91" s="36"/>
    </row>
    <row r="92" spans="1:32" ht="16.5" x14ac:dyDescent="0.3">
      <c r="A92" s="7" t="str">
        <f>buda[[#This Row],[month]]&amp;buda[[#This Row],[chanel]]&amp;buda[[#This Row],[category]]</f>
        <v>10IBADR</v>
      </c>
      <c r="B92" s="8" t="s">
        <v>205</v>
      </c>
      <c r="C92" s="2" t="s">
        <v>68</v>
      </c>
      <c r="D92" s="9" t="s">
        <v>70</v>
      </c>
      <c r="E92" s="10">
        <v>85.625</v>
      </c>
      <c r="F92" s="34">
        <v>75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85</v>
      </c>
      <c r="M92" s="34"/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6">
        <v>0</v>
      </c>
      <c r="T92" s="34">
        <v>0</v>
      </c>
      <c r="U92" s="34">
        <v>83</v>
      </c>
      <c r="V92" s="34">
        <v>97</v>
      </c>
      <c r="W92" s="34">
        <v>90</v>
      </c>
      <c r="X92" s="36">
        <v>0</v>
      </c>
      <c r="Y92" s="34">
        <v>136</v>
      </c>
      <c r="Z92" s="34">
        <v>0</v>
      </c>
      <c r="AA92" s="34">
        <v>0</v>
      </c>
      <c r="AB92" s="34">
        <v>0</v>
      </c>
      <c r="AC92" s="35">
        <v>87</v>
      </c>
      <c r="AD92" s="42">
        <v>0</v>
      </c>
      <c r="AE92" s="34">
        <v>55</v>
      </c>
      <c r="AF92" s="36"/>
    </row>
    <row r="93" spans="1:32" ht="16.5" x14ac:dyDescent="0.3">
      <c r="A93" s="7" t="str">
        <f>buda[[#This Row],[month]]&amp;buda[[#This Row],[chanel]]&amp;buda[[#This Row],[category]]</f>
        <v>10IBREV</v>
      </c>
      <c r="B93" s="8" t="s">
        <v>205</v>
      </c>
      <c r="C93" s="2" t="s">
        <v>69</v>
      </c>
      <c r="D93" s="9" t="s">
        <v>70</v>
      </c>
      <c r="E93" s="2">
        <v>411</v>
      </c>
      <c r="F93" s="34">
        <v>19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9</v>
      </c>
      <c r="M93" s="34"/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6">
        <v>0</v>
      </c>
      <c r="T93" s="34">
        <v>0</v>
      </c>
      <c r="U93" s="34">
        <v>33</v>
      </c>
      <c r="V93" s="34">
        <v>24</v>
      </c>
      <c r="W93" s="34">
        <v>9</v>
      </c>
      <c r="X93" s="36">
        <v>0</v>
      </c>
      <c r="Y93" s="34">
        <v>27</v>
      </c>
      <c r="Z93" s="34">
        <v>0</v>
      </c>
      <c r="AA93" s="34">
        <v>0</v>
      </c>
      <c r="AB93" s="34">
        <v>0</v>
      </c>
      <c r="AC93" s="37">
        <v>262</v>
      </c>
      <c r="AD93" s="43">
        <v>0</v>
      </c>
      <c r="AE93" s="34">
        <v>28</v>
      </c>
      <c r="AF93" s="36"/>
    </row>
    <row r="94" spans="1:32" ht="16.5" x14ac:dyDescent="0.3">
      <c r="A94" s="47" t="str">
        <f>buda[[#This Row],[month]]&amp;buda[[#This Row],[chanel]]&amp;buda[[#This Row],[category]]</f>
        <v>11OTARNs</v>
      </c>
      <c r="B94" s="48" t="s">
        <v>66</v>
      </c>
      <c r="C94" t="s">
        <v>67</v>
      </c>
      <c r="D94" s="47">
        <v>11</v>
      </c>
      <c r="E94">
        <v>33360</v>
      </c>
      <c r="F94">
        <v>2900</v>
      </c>
      <c r="G94">
        <v>900</v>
      </c>
      <c r="H94">
        <v>850</v>
      </c>
      <c r="I94">
        <v>550</v>
      </c>
      <c r="J94">
        <v>650</v>
      </c>
      <c r="K94">
        <v>350</v>
      </c>
      <c r="L94">
        <v>1500</v>
      </c>
      <c r="M94"/>
      <c r="N94">
        <v>800</v>
      </c>
      <c r="O94">
        <v>90</v>
      </c>
      <c r="P94">
        <v>900</v>
      </c>
      <c r="Q94">
        <v>2000</v>
      </c>
      <c r="R94">
        <v>3000</v>
      </c>
      <c r="S94" s="49">
        <v>2080</v>
      </c>
      <c r="T94">
        <v>1250</v>
      </c>
      <c r="U94">
        <v>3550</v>
      </c>
      <c r="V94">
        <v>1770</v>
      </c>
      <c r="W94">
        <v>1200</v>
      </c>
      <c r="X94">
        <v>1200</v>
      </c>
      <c r="Y94">
        <v>650</v>
      </c>
      <c r="Z94">
        <v>2300</v>
      </c>
      <c r="AA94">
        <v>350</v>
      </c>
      <c r="AB94">
        <v>450</v>
      </c>
      <c r="AC94" s="45">
        <v>1400</v>
      </c>
      <c r="AD94">
        <v>1170</v>
      </c>
      <c r="AE94">
        <v>1000</v>
      </c>
      <c r="AF94">
        <v>500</v>
      </c>
    </row>
    <row r="95" spans="1:32" ht="16.5" x14ac:dyDescent="0.3">
      <c r="A95" s="47" t="str">
        <f>buda[[#This Row],[month]]&amp;buda[[#This Row],[chanel]]&amp;buda[[#This Row],[category]]</f>
        <v>11OTAADR</v>
      </c>
      <c r="B95" s="48" t="s">
        <v>66</v>
      </c>
      <c r="C95" t="s">
        <v>68</v>
      </c>
      <c r="D95" s="47">
        <v>11</v>
      </c>
      <c r="E95" s="34">
        <v>190.34772182254196</v>
      </c>
      <c r="F95">
        <v>125</v>
      </c>
      <c r="G95">
        <v>243</v>
      </c>
      <c r="H95">
        <v>256</v>
      </c>
      <c r="I95">
        <v>296</v>
      </c>
      <c r="J95">
        <v>344</v>
      </c>
      <c r="K95">
        <v>124</v>
      </c>
      <c r="L95">
        <v>153</v>
      </c>
      <c r="M95"/>
      <c r="N95">
        <v>179</v>
      </c>
      <c r="O95">
        <v>297</v>
      </c>
      <c r="P95">
        <v>363</v>
      </c>
      <c r="Q95">
        <v>200</v>
      </c>
      <c r="R95">
        <v>208</v>
      </c>
      <c r="S95" s="50">
        <v>213</v>
      </c>
      <c r="T95">
        <v>159</v>
      </c>
      <c r="U95">
        <v>126</v>
      </c>
      <c r="V95">
        <v>156</v>
      </c>
      <c r="W95">
        <v>165</v>
      </c>
      <c r="X95">
        <v>208</v>
      </c>
      <c r="Y95">
        <v>243</v>
      </c>
      <c r="Z95">
        <v>217</v>
      </c>
      <c r="AA95">
        <v>185</v>
      </c>
      <c r="AB95">
        <v>220</v>
      </c>
      <c r="AC95" s="46">
        <v>164</v>
      </c>
      <c r="AD95">
        <v>275</v>
      </c>
      <c r="AE95">
        <v>84</v>
      </c>
      <c r="AF95">
        <v>205</v>
      </c>
    </row>
    <row r="96" spans="1:32" ht="16.5" x14ac:dyDescent="0.3">
      <c r="A96" s="47" t="str">
        <f>buda[[#This Row],[month]]&amp;buda[[#This Row],[chanel]]&amp;buda[[#This Row],[category]]</f>
        <v>11OTAREV</v>
      </c>
      <c r="B96" s="48" t="s">
        <v>66</v>
      </c>
      <c r="C96" t="s">
        <v>69</v>
      </c>
      <c r="D96" s="47">
        <v>11</v>
      </c>
      <c r="E96">
        <v>6350</v>
      </c>
      <c r="F96">
        <v>363</v>
      </c>
      <c r="G96">
        <v>219</v>
      </c>
      <c r="H96">
        <v>217</v>
      </c>
      <c r="I96">
        <v>163</v>
      </c>
      <c r="J96">
        <v>223</v>
      </c>
      <c r="K96">
        <v>43</v>
      </c>
      <c r="L96">
        <v>230</v>
      </c>
      <c r="M96"/>
      <c r="N96">
        <v>143</v>
      </c>
      <c r="O96">
        <v>27</v>
      </c>
      <c r="P96">
        <v>327</v>
      </c>
      <c r="Q96">
        <v>400</v>
      </c>
      <c r="R96">
        <v>624</v>
      </c>
      <c r="S96" s="50">
        <v>443</v>
      </c>
      <c r="T96">
        <v>199</v>
      </c>
      <c r="U96">
        <v>447</v>
      </c>
      <c r="V96">
        <v>275</v>
      </c>
      <c r="W96">
        <v>198</v>
      </c>
      <c r="X96">
        <v>250</v>
      </c>
      <c r="Y96">
        <v>158</v>
      </c>
      <c r="Z96">
        <v>500</v>
      </c>
      <c r="AA96">
        <v>65</v>
      </c>
      <c r="AB96">
        <v>99</v>
      </c>
      <c r="AC96" s="45">
        <v>230</v>
      </c>
      <c r="AD96">
        <v>321</v>
      </c>
      <c r="AE96">
        <v>84</v>
      </c>
      <c r="AF96">
        <v>102</v>
      </c>
    </row>
    <row r="97" spans="1:32" ht="16.5" x14ac:dyDescent="0.3">
      <c r="A97" s="47" t="str">
        <f>buda[[#This Row],[month]]&amp;buda[[#This Row],[chanel]]&amp;buda[[#This Row],[category]]</f>
        <v>11GOTARNs</v>
      </c>
      <c r="B97" s="48" t="s">
        <v>195</v>
      </c>
      <c r="C97" t="s">
        <v>67</v>
      </c>
      <c r="D97" s="47">
        <v>11</v>
      </c>
      <c r="E97">
        <v>19935</v>
      </c>
      <c r="F97">
        <v>1200</v>
      </c>
      <c r="G97">
        <v>450</v>
      </c>
      <c r="H97">
        <v>400</v>
      </c>
      <c r="I97">
        <v>300</v>
      </c>
      <c r="J97">
        <v>600</v>
      </c>
      <c r="K97">
        <v>200</v>
      </c>
      <c r="L97">
        <v>1000</v>
      </c>
      <c r="M97"/>
      <c r="N97">
        <v>400</v>
      </c>
      <c r="O97">
        <v>70</v>
      </c>
      <c r="P97">
        <v>570</v>
      </c>
      <c r="Q97">
        <v>800</v>
      </c>
      <c r="R97">
        <v>1500</v>
      </c>
      <c r="S97" s="51">
        <v>790</v>
      </c>
      <c r="T97">
        <v>650</v>
      </c>
      <c r="U97">
        <v>1250</v>
      </c>
      <c r="V97">
        <v>680</v>
      </c>
      <c r="W97">
        <v>650</v>
      </c>
      <c r="X97">
        <v>900</v>
      </c>
      <c r="Y97">
        <v>800</v>
      </c>
      <c r="Z97">
        <v>1350</v>
      </c>
      <c r="AA97">
        <v>400</v>
      </c>
      <c r="AB97">
        <v>450</v>
      </c>
      <c r="AC97" s="46">
        <v>1850</v>
      </c>
      <c r="AD97">
        <v>995</v>
      </c>
      <c r="AE97">
        <v>1300</v>
      </c>
      <c r="AF97">
        <v>380</v>
      </c>
    </row>
    <row r="98" spans="1:32" ht="16.5" x14ac:dyDescent="0.3">
      <c r="A98" s="47" t="str">
        <f>buda[[#This Row],[month]]&amp;buda[[#This Row],[chanel]]&amp;buda[[#This Row],[category]]</f>
        <v>11GOTAADR</v>
      </c>
      <c r="B98" s="48" t="s">
        <v>195</v>
      </c>
      <c r="C98" t="s">
        <v>68</v>
      </c>
      <c r="D98" s="47">
        <v>11</v>
      </c>
      <c r="E98" s="34">
        <v>185.90418861299221</v>
      </c>
      <c r="F98">
        <v>128</v>
      </c>
      <c r="G98">
        <v>248</v>
      </c>
      <c r="H98">
        <v>262</v>
      </c>
      <c r="I98">
        <v>292</v>
      </c>
      <c r="J98">
        <v>328</v>
      </c>
      <c r="K98">
        <v>125</v>
      </c>
      <c r="L98">
        <v>140</v>
      </c>
      <c r="M98"/>
      <c r="N98">
        <v>170</v>
      </c>
      <c r="O98">
        <v>283</v>
      </c>
      <c r="P98">
        <v>335</v>
      </c>
      <c r="Q98">
        <v>180</v>
      </c>
      <c r="R98">
        <v>180</v>
      </c>
      <c r="S98" s="50">
        <v>209</v>
      </c>
      <c r="T98">
        <v>154</v>
      </c>
      <c r="U98">
        <v>131</v>
      </c>
      <c r="V98">
        <v>145</v>
      </c>
      <c r="W98">
        <v>151</v>
      </c>
      <c r="X98">
        <v>190</v>
      </c>
      <c r="Y98">
        <v>238</v>
      </c>
      <c r="Z98">
        <v>210</v>
      </c>
      <c r="AA98">
        <v>178</v>
      </c>
      <c r="AB98">
        <v>210</v>
      </c>
      <c r="AC98" s="45">
        <v>163</v>
      </c>
      <c r="AD98">
        <v>269</v>
      </c>
      <c r="AE98">
        <v>83</v>
      </c>
      <c r="AF98">
        <v>204</v>
      </c>
    </row>
    <row r="99" spans="1:32" ht="16.5" x14ac:dyDescent="0.3">
      <c r="A99" s="47" t="str">
        <f>buda[[#This Row],[month]]&amp;buda[[#This Row],[chanel]]&amp;buda[[#This Row],[category]]</f>
        <v>11GOTAREV</v>
      </c>
      <c r="B99" s="48" t="s">
        <v>195</v>
      </c>
      <c r="C99" t="s">
        <v>69</v>
      </c>
      <c r="D99" s="47">
        <v>11</v>
      </c>
      <c r="E99">
        <v>3706</v>
      </c>
      <c r="F99">
        <v>154</v>
      </c>
      <c r="G99">
        <v>112</v>
      </c>
      <c r="H99">
        <v>105</v>
      </c>
      <c r="I99">
        <v>88</v>
      </c>
      <c r="J99">
        <v>197</v>
      </c>
      <c r="K99">
        <v>25</v>
      </c>
      <c r="L99">
        <v>140</v>
      </c>
      <c r="M99"/>
      <c r="N99">
        <v>68</v>
      </c>
      <c r="O99">
        <v>20</v>
      </c>
      <c r="P99">
        <v>191</v>
      </c>
      <c r="Q99">
        <v>144</v>
      </c>
      <c r="R99">
        <v>270</v>
      </c>
      <c r="S99" s="50">
        <v>165</v>
      </c>
      <c r="T99">
        <v>100</v>
      </c>
      <c r="U99">
        <v>163</v>
      </c>
      <c r="V99">
        <v>99</v>
      </c>
      <c r="W99">
        <v>98</v>
      </c>
      <c r="X99">
        <v>171</v>
      </c>
      <c r="Y99">
        <v>190</v>
      </c>
      <c r="Z99">
        <v>284</v>
      </c>
      <c r="AA99">
        <v>71</v>
      </c>
      <c r="AB99">
        <v>95</v>
      </c>
      <c r="AC99" s="46">
        <v>302</v>
      </c>
      <c r="AD99">
        <v>269</v>
      </c>
      <c r="AE99">
        <v>108</v>
      </c>
      <c r="AF99">
        <v>77</v>
      </c>
    </row>
    <row r="100" spans="1:32" ht="16.5" x14ac:dyDescent="0.3">
      <c r="A100" s="47" t="str">
        <f>buda[[#This Row],[month]]&amp;buda[[#This Row],[chanel]]&amp;buda[[#This Row],[category]]</f>
        <v>11IBRNs</v>
      </c>
      <c r="B100" s="48" t="s">
        <v>205</v>
      </c>
      <c r="C100" t="s">
        <v>67</v>
      </c>
      <c r="D100" s="47">
        <v>11</v>
      </c>
      <c r="E100">
        <v>4480</v>
      </c>
      <c r="F100">
        <v>200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100</v>
      </c>
      <c r="M100"/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250</v>
      </c>
      <c r="V100">
        <v>280</v>
      </c>
      <c r="W100">
        <v>100</v>
      </c>
      <c r="X100">
        <v>0</v>
      </c>
      <c r="Y100">
        <v>200</v>
      </c>
      <c r="Z100">
        <v>0</v>
      </c>
      <c r="AA100">
        <v>0</v>
      </c>
      <c r="AB100">
        <v>0</v>
      </c>
      <c r="AC100" s="45">
        <v>2900</v>
      </c>
      <c r="AD100">
        <v>0</v>
      </c>
      <c r="AE100">
        <v>450</v>
      </c>
      <c r="AF100"/>
    </row>
    <row r="101" spans="1:32" ht="16.5" x14ac:dyDescent="0.3">
      <c r="A101" s="47" t="str">
        <f>buda[[#This Row],[month]]&amp;buda[[#This Row],[chanel]]&amp;buda[[#This Row],[category]]</f>
        <v>11IBADR</v>
      </c>
      <c r="B101" s="48" t="s">
        <v>205</v>
      </c>
      <c r="C101" t="s">
        <v>68</v>
      </c>
      <c r="D101" s="47">
        <v>11</v>
      </c>
      <c r="E101" s="34">
        <v>85.61643835616438</v>
      </c>
      <c r="F101">
        <v>75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82</v>
      </c>
      <c r="M101"/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73</v>
      </c>
      <c r="V101">
        <v>95</v>
      </c>
      <c r="W101">
        <v>80</v>
      </c>
      <c r="X101">
        <v>0</v>
      </c>
      <c r="Y101">
        <v>136</v>
      </c>
      <c r="Z101">
        <v>0</v>
      </c>
      <c r="AA101">
        <v>0</v>
      </c>
      <c r="AB101">
        <v>0</v>
      </c>
      <c r="AC101" s="46">
        <v>88</v>
      </c>
      <c r="AD101">
        <v>0</v>
      </c>
      <c r="AE101">
        <v>55</v>
      </c>
      <c r="AF101"/>
    </row>
    <row r="102" spans="1:32" ht="16.5" x14ac:dyDescent="0.3">
      <c r="A102" s="47" t="str">
        <f>buda[[#This Row],[month]]&amp;buda[[#This Row],[chanel]]&amp;buda[[#This Row],[category]]</f>
        <v>11IBREV</v>
      </c>
      <c r="B102" s="48" t="s">
        <v>205</v>
      </c>
      <c r="C102" t="s">
        <v>69</v>
      </c>
      <c r="D102" s="47">
        <v>11</v>
      </c>
      <c r="E102">
        <v>375</v>
      </c>
      <c r="F102">
        <v>15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8</v>
      </c>
      <c r="M102"/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18</v>
      </c>
      <c r="V102">
        <v>27</v>
      </c>
      <c r="W102">
        <v>8</v>
      </c>
      <c r="X102">
        <v>0</v>
      </c>
      <c r="Y102">
        <v>27</v>
      </c>
      <c r="Z102">
        <v>0</v>
      </c>
      <c r="AA102">
        <v>0</v>
      </c>
      <c r="AB102">
        <v>0</v>
      </c>
      <c r="AC102" s="45">
        <v>255</v>
      </c>
      <c r="AD102">
        <v>0</v>
      </c>
      <c r="AE102">
        <v>25</v>
      </c>
      <c r="AF102"/>
    </row>
    <row r="103" spans="1:32" ht="16.5" x14ac:dyDescent="0.3">
      <c r="A103" s="47" t="str">
        <f>buda[[#This Row],[month]]&amp;buda[[#This Row],[chanel]]&amp;buda[[#This Row],[category]]</f>
        <v>12OTARNs</v>
      </c>
      <c r="B103" s="48" t="s">
        <v>66</v>
      </c>
      <c r="C103" t="s">
        <v>67</v>
      </c>
      <c r="D103" s="47">
        <v>12</v>
      </c>
      <c r="E103" s="59">
        <v>33630</v>
      </c>
      <c r="F103">
        <v>4500</v>
      </c>
      <c r="G103">
        <v>1230</v>
      </c>
      <c r="H103">
        <v>1350</v>
      </c>
      <c r="I103">
        <v>550</v>
      </c>
      <c r="J103">
        <v>700</v>
      </c>
      <c r="K103">
        <v>400</v>
      </c>
      <c r="L103">
        <v>1500</v>
      </c>
      <c r="M103"/>
      <c r="N103">
        <v>780</v>
      </c>
      <c r="O103">
        <v>90</v>
      </c>
      <c r="P103" s="52">
        <v>950</v>
      </c>
      <c r="Q103">
        <v>1570</v>
      </c>
      <c r="R103">
        <v>3500</v>
      </c>
      <c r="S103" s="49">
        <v>1440</v>
      </c>
      <c r="T103">
        <v>1050</v>
      </c>
      <c r="U103">
        <v>1300</v>
      </c>
      <c r="V103">
        <v>1930</v>
      </c>
      <c r="W103">
        <v>1600</v>
      </c>
      <c r="X103">
        <v>1300</v>
      </c>
      <c r="Y103">
        <v>800</v>
      </c>
      <c r="Z103">
        <v>2400</v>
      </c>
      <c r="AA103">
        <v>350</v>
      </c>
      <c r="AB103">
        <v>350</v>
      </c>
      <c r="AC103" s="46">
        <v>1600</v>
      </c>
      <c r="AD103">
        <v>1040</v>
      </c>
      <c r="AE103">
        <v>900</v>
      </c>
      <c r="AF103">
        <v>450</v>
      </c>
    </row>
    <row r="104" spans="1:32" ht="16.5" x14ac:dyDescent="0.3">
      <c r="A104" s="47" t="str">
        <f>buda[[#This Row],[month]]&amp;buda[[#This Row],[chanel]]&amp;buda[[#This Row],[category]]</f>
        <v>12OTAADR</v>
      </c>
      <c r="B104" s="48" t="s">
        <v>66</v>
      </c>
      <c r="C104" t="s">
        <v>68</v>
      </c>
      <c r="D104" s="47">
        <v>12</v>
      </c>
      <c r="E104" s="34">
        <v>215</v>
      </c>
      <c r="F104">
        <v>173</v>
      </c>
      <c r="G104">
        <v>328</v>
      </c>
      <c r="H104">
        <v>292</v>
      </c>
      <c r="I104">
        <v>345</v>
      </c>
      <c r="J104">
        <v>399</v>
      </c>
      <c r="K104">
        <v>133</v>
      </c>
      <c r="L104">
        <v>213</v>
      </c>
      <c r="M104"/>
      <c r="N104">
        <v>200</v>
      </c>
      <c r="O104">
        <v>310</v>
      </c>
      <c r="P104">
        <v>400</v>
      </c>
      <c r="Q104">
        <v>205</v>
      </c>
      <c r="R104">
        <v>217</v>
      </c>
      <c r="S104" s="50">
        <v>236</v>
      </c>
      <c r="T104">
        <v>154</v>
      </c>
      <c r="U104">
        <v>139</v>
      </c>
      <c r="V104">
        <v>160</v>
      </c>
      <c r="W104">
        <v>165</v>
      </c>
      <c r="X104">
        <v>220</v>
      </c>
      <c r="Y104">
        <v>261</v>
      </c>
      <c r="Z104">
        <v>215</v>
      </c>
      <c r="AA104">
        <v>200</v>
      </c>
      <c r="AB104">
        <v>222</v>
      </c>
      <c r="AC104" s="45">
        <v>168</v>
      </c>
      <c r="AD104">
        <v>280</v>
      </c>
      <c r="AE104">
        <v>81</v>
      </c>
      <c r="AF104">
        <v>227</v>
      </c>
    </row>
    <row r="105" spans="1:32" ht="16.5" x14ac:dyDescent="0.3">
      <c r="A105" s="47" t="str">
        <f>buda[[#This Row],[month]]&amp;buda[[#This Row],[chanel]]&amp;buda[[#This Row],[category]]</f>
        <v>12OTAREV</v>
      </c>
      <c r="B105" s="48" t="s">
        <v>66</v>
      </c>
      <c r="C105" t="s">
        <v>69</v>
      </c>
      <c r="D105" s="47">
        <v>12</v>
      </c>
      <c r="E105">
        <v>7214</v>
      </c>
      <c r="F105">
        <v>779</v>
      </c>
      <c r="G105">
        <v>403</v>
      </c>
      <c r="H105">
        <v>394</v>
      </c>
      <c r="I105">
        <v>190</v>
      </c>
      <c r="J105">
        <v>279</v>
      </c>
      <c r="K105">
        <v>53</v>
      </c>
      <c r="L105">
        <v>320</v>
      </c>
      <c r="M105"/>
      <c r="N105">
        <v>156</v>
      </c>
      <c r="O105">
        <v>28</v>
      </c>
      <c r="P105" s="53">
        <v>380</v>
      </c>
      <c r="Q105">
        <v>322</v>
      </c>
      <c r="R105">
        <v>760</v>
      </c>
      <c r="S105" s="50">
        <v>340</v>
      </c>
      <c r="T105">
        <v>162</v>
      </c>
      <c r="U105">
        <v>181</v>
      </c>
      <c r="V105">
        <v>309</v>
      </c>
      <c r="W105">
        <v>264</v>
      </c>
      <c r="X105">
        <v>286</v>
      </c>
      <c r="Y105">
        <v>209</v>
      </c>
      <c r="Z105">
        <v>516</v>
      </c>
      <c r="AA105">
        <v>70</v>
      </c>
      <c r="AB105">
        <v>77</v>
      </c>
      <c r="AC105" s="46">
        <v>269</v>
      </c>
      <c r="AD105">
        <v>292</v>
      </c>
      <c r="AE105">
        <v>73</v>
      </c>
      <c r="AF105">
        <v>102</v>
      </c>
    </row>
    <row r="106" spans="1:32" ht="16.5" x14ac:dyDescent="0.3">
      <c r="A106" s="47" t="str">
        <f>buda[[#This Row],[month]]&amp;buda[[#This Row],[chanel]]&amp;buda[[#This Row],[category]]</f>
        <v>12GOTARNs</v>
      </c>
      <c r="B106" s="48" t="s">
        <v>195</v>
      </c>
      <c r="C106" t="s">
        <v>67</v>
      </c>
      <c r="D106" s="47">
        <v>12</v>
      </c>
      <c r="E106">
        <v>23260</v>
      </c>
      <c r="F106">
        <v>2900</v>
      </c>
      <c r="G106">
        <v>900</v>
      </c>
      <c r="H106">
        <v>1070</v>
      </c>
      <c r="I106">
        <v>480</v>
      </c>
      <c r="J106">
        <v>650</v>
      </c>
      <c r="K106">
        <v>250</v>
      </c>
      <c r="L106">
        <v>1110</v>
      </c>
      <c r="M106"/>
      <c r="N106">
        <v>550</v>
      </c>
      <c r="O106">
        <v>70</v>
      </c>
      <c r="P106">
        <v>500</v>
      </c>
      <c r="Q106">
        <v>1150</v>
      </c>
      <c r="R106">
        <v>1400</v>
      </c>
      <c r="S106" s="51">
        <v>630</v>
      </c>
      <c r="T106">
        <v>600</v>
      </c>
      <c r="U106">
        <v>600</v>
      </c>
      <c r="V106">
        <v>1000</v>
      </c>
      <c r="W106">
        <v>800</v>
      </c>
      <c r="X106">
        <v>1000</v>
      </c>
      <c r="Y106">
        <v>900</v>
      </c>
      <c r="Z106">
        <v>1350</v>
      </c>
      <c r="AA106">
        <v>400</v>
      </c>
      <c r="AB106">
        <v>450</v>
      </c>
      <c r="AC106" s="45">
        <v>2150</v>
      </c>
      <c r="AD106">
        <v>900</v>
      </c>
      <c r="AE106">
        <v>1200</v>
      </c>
      <c r="AF106">
        <v>250</v>
      </c>
    </row>
    <row r="107" spans="1:32" ht="16.5" x14ac:dyDescent="0.3">
      <c r="A107" s="47" t="str">
        <f>buda[[#This Row],[month]]&amp;buda[[#This Row],[chanel]]&amp;buda[[#This Row],[category]]</f>
        <v>12GOTAADR</v>
      </c>
      <c r="B107" s="48" t="s">
        <v>195</v>
      </c>
      <c r="C107" t="s">
        <v>68</v>
      </c>
      <c r="D107" s="47">
        <v>12</v>
      </c>
      <c r="E107" s="34">
        <v>204.42820292347378</v>
      </c>
      <c r="F107">
        <v>169</v>
      </c>
      <c r="G107">
        <v>333</v>
      </c>
      <c r="H107">
        <v>295</v>
      </c>
      <c r="I107">
        <v>350</v>
      </c>
      <c r="J107">
        <v>351</v>
      </c>
      <c r="K107">
        <v>134</v>
      </c>
      <c r="L107">
        <v>182</v>
      </c>
      <c r="M107"/>
      <c r="N107">
        <v>187</v>
      </c>
      <c r="O107">
        <v>299</v>
      </c>
      <c r="P107">
        <v>359</v>
      </c>
      <c r="Q107">
        <v>188</v>
      </c>
      <c r="R107">
        <v>195</v>
      </c>
      <c r="S107" s="50">
        <v>212</v>
      </c>
      <c r="T107">
        <v>136</v>
      </c>
      <c r="U107">
        <v>154</v>
      </c>
      <c r="V107">
        <v>151</v>
      </c>
      <c r="W107">
        <v>163</v>
      </c>
      <c r="X107">
        <v>199</v>
      </c>
      <c r="Y107">
        <v>250</v>
      </c>
      <c r="Z107">
        <v>209</v>
      </c>
      <c r="AA107">
        <v>183</v>
      </c>
      <c r="AB107">
        <v>213</v>
      </c>
      <c r="AC107" s="46">
        <v>168</v>
      </c>
      <c r="AD107">
        <v>275</v>
      </c>
      <c r="AE107">
        <v>80</v>
      </c>
      <c r="AF107">
        <v>227</v>
      </c>
    </row>
    <row r="108" spans="1:32" ht="16.5" x14ac:dyDescent="0.3">
      <c r="A108" s="47" t="str">
        <f>buda[[#This Row],[month]]&amp;buda[[#This Row],[chanel]]&amp;buda[[#This Row],[category]]</f>
        <v>12GOTAREV</v>
      </c>
      <c r="B108" s="48" t="s">
        <v>195</v>
      </c>
      <c r="C108" t="s">
        <v>69</v>
      </c>
      <c r="D108" s="47">
        <v>12</v>
      </c>
      <c r="E108">
        <v>4755</v>
      </c>
      <c r="F108">
        <v>490</v>
      </c>
      <c r="G108">
        <v>299</v>
      </c>
      <c r="H108">
        <v>316</v>
      </c>
      <c r="I108">
        <v>168</v>
      </c>
      <c r="J108">
        <v>228</v>
      </c>
      <c r="K108">
        <v>34</v>
      </c>
      <c r="L108">
        <v>202</v>
      </c>
      <c r="M108"/>
      <c r="N108">
        <v>103</v>
      </c>
      <c r="O108">
        <v>21</v>
      </c>
      <c r="P108">
        <v>180</v>
      </c>
      <c r="Q108">
        <v>216</v>
      </c>
      <c r="R108">
        <v>273</v>
      </c>
      <c r="S108" s="50">
        <v>133</v>
      </c>
      <c r="T108">
        <v>82</v>
      </c>
      <c r="U108">
        <v>92</v>
      </c>
      <c r="V108">
        <v>151</v>
      </c>
      <c r="W108">
        <v>130</v>
      </c>
      <c r="X108">
        <v>199</v>
      </c>
      <c r="Y108">
        <v>225</v>
      </c>
      <c r="Z108">
        <v>282</v>
      </c>
      <c r="AA108">
        <v>73</v>
      </c>
      <c r="AB108">
        <v>96</v>
      </c>
      <c r="AC108" s="45">
        <v>361</v>
      </c>
      <c r="AD108">
        <v>248</v>
      </c>
      <c r="AE108">
        <v>96</v>
      </c>
      <c r="AF108">
        <v>57</v>
      </c>
    </row>
    <row r="109" spans="1:32" ht="16.5" x14ac:dyDescent="0.3">
      <c r="A109" s="47" t="str">
        <f>buda[[#This Row],[month]]&amp;buda[[#This Row],[chanel]]&amp;buda[[#This Row],[category]]</f>
        <v>12IBRNs</v>
      </c>
      <c r="B109" s="48" t="s">
        <v>205</v>
      </c>
      <c r="C109" t="s">
        <v>67</v>
      </c>
      <c r="D109" s="47">
        <v>12</v>
      </c>
      <c r="E109">
        <v>6100</v>
      </c>
      <c r="F109">
        <v>3000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100</v>
      </c>
      <c r="M109"/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s="46">
        <v>2600</v>
      </c>
      <c r="AD109">
        <v>0</v>
      </c>
      <c r="AE109">
        <v>300</v>
      </c>
      <c r="AF109"/>
    </row>
    <row r="110" spans="1:32" ht="16.5" x14ac:dyDescent="0.3">
      <c r="A110" s="47" t="str">
        <f>buda[[#This Row],[month]]&amp;buda[[#This Row],[chanel]]&amp;buda[[#This Row],[category]]</f>
        <v>12IBADR</v>
      </c>
      <c r="B110" s="48" t="s">
        <v>205</v>
      </c>
      <c r="C110" t="s">
        <v>68</v>
      </c>
      <c r="D110" s="47">
        <v>12</v>
      </c>
      <c r="E110" s="34">
        <v>127.70491803278688</v>
      </c>
      <c r="F110">
        <v>172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82</v>
      </c>
      <c r="M110"/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68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s="45">
        <v>89</v>
      </c>
      <c r="AD110">
        <v>0</v>
      </c>
      <c r="AE110">
        <v>55</v>
      </c>
      <c r="AF110"/>
    </row>
    <row r="111" spans="1:32" ht="16.5" x14ac:dyDescent="0.3">
      <c r="A111" s="47" t="str">
        <f>buda[[#This Row],[month]]&amp;buda[[#This Row],[chanel]]&amp;buda[[#This Row],[category]]</f>
        <v>12IBREV</v>
      </c>
      <c r="B111" s="48" t="s">
        <v>205</v>
      </c>
      <c r="C111" t="s">
        <v>69</v>
      </c>
      <c r="D111" s="47">
        <v>12</v>
      </c>
      <c r="E111">
        <v>779</v>
      </c>
      <c r="F111">
        <v>516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8</v>
      </c>
      <c r="M111"/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s="46">
        <v>231</v>
      </c>
      <c r="AD111">
        <v>0</v>
      </c>
      <c r="AE111">
        <v>17</v>
      </c>
      <c r="AF111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샘플</vt:lpstr>
      <vt:lpstr>Sheet1</vt:lpstr>
      <vt:lpstr>db</vt:lpstr>
      <vt:lpstr>table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HJS</dc:creator>
  <cp:lastModifiedBy>Chanmin</cp:lastModifiedBy>
  <dcterms:created xsi:type="dcterms:W3CDTF">2025-07-25T04:24:06Z</dcterms:created>
  <dcterms:modified xsi:type="dcterms:W3CDTF">2025-12-14T14:12:00Z</dcterms:modified>
  <cp:contentStatus/>
</cp:coreProperties>
</file>