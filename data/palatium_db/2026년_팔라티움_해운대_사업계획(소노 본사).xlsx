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3"/>
  <workbookPr/>
  <mc:AlternateContent xmlns:mc="http://schemas.openxmlformats.org/markup-compatibility/2006">
    <mc:Choice Requires="x15">
      <x15ac:absPath xmlns:x15ac="http://schemas.microsoft.com/office/spreadsheetml/2010/11/ac" url="/Users/chanminpark/Desktop/gs_daily_trend_news_public_temp/data/palatium_db/"/>
    </mc:Choice>
  </mc:AlternateContent>
  <xr:revisionPtr revIDLastSave="0" documentId="13_ncr:1_{22D74895-6071-FA4E-A3BD-C81EA5E9A2E2}" xr6:coauthVersionLast="47" xr6:coauthVersionMax="47" xr10:uidLastSave="{00000000-0000-0000-0000-000000000000}"/>
  <bookViews>
    <workbookView xWindow="940" yWindow="600" windowWidth="55560" windowHeight="24640" activeTab="9" xr2:uid="{00000000-000D-0000-FFFF-FFFF00000000}"/>
  </bookViews>
  <sheets>
    <sheet name="요약" sheetId="11" r:id="rId1"/>
    <sheet name="손익계산서" sheetId="10" r:id="rId2"/>
    <sheet name="1)총비용" sheetId="2" state="hidden" r:id="rId3"/>
    <sheet name="2)팀공통비" sheetId="4" state="hidden" r:id="rId4"/>
    <sheet name="3)직접비" sheetId="5" state="hidden" r:id="rId5"/>
    <sheet name="매출목표" sheetId="7" r:id="rId6"/>
    <sheet name="#)비용" sheetId="8" r:id="rId7"/>
    <sheet name="#)참고자료" sheetId="3" r:id="rId8"/>
    <sheet name="Sheet1" sheetId="9" r:id="rId9"/>
    <sheet name="사업계획 목표" sheetId="12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_______A1" localSheetId="3">#REF!</definedName>
    <definedName name="_______A1" localSheetId="4">#REF!</definedName>
    <definedName name="_______A1" localSheetId="5">#REF!</definedName>
    <definedName name="_______A1" localSheetId="1">#REF!</definedName>
    <definedName name="_______A1" localSheetId="0">#REF!</definedName>
    <definedName name="_______A1">#REF!</definedName>
    <definedName name="______A1" localSheetId="3">#REF!</definedName>
    <definedName name="______A1" localSheetId="4">#REF!</definedName>
    <definedName name="______A1" localSheetId="5">#REF!</definedName>
    <definedName name="______A1" localSheetId="1">#REF!</definedName>
    <definedName name="______A1" localSheetId="0">#REF!</definedName>
    <definedName name="______A1">#REF!</definedName>
    <definedName name="_____A1" localSheetId="3">#REF!</definedName>
    <definedName name="_____A1" localSheetId="4">#REF!</definedName>
    <definedName name="_____A1" localSheetId="5">#REF!</definedName>
    <definedName name="_____A1" localSheetId="1">#REF!</definedName>
    <definedName name="_____A1" localSheetId="0">#REF!</definedName>
    <definedName name="_____A1">#REF!</definedName>
    <definedName name="____A1" localSheetId="3">#REF!</definedName>
    <definedName name="____A1" localSheetId="4">#REF!</definedName>
    <definedName name="____A1" localSheetId="5">#REF!</definedName>
    <definedName name="____A1" localSheetId="1">#REF!</definedName>
    <definedName name="____A1" localSheetId="0">#REF!</definedName>
    <definedName name="____A1">#REF!</definedName>
    <definedName name="___ST1">#N/A</definedName>
    <definedName name="___YO1">#N/A</definedName>
    <definedName name="__IntlFixup">TRUE</definedName>
    <definedName name="__mac03">[1]장비!$M$125</definedName>
    <definedName name="__mac10">[1]장비!$M$133</definedName>
    <definedName name="__mbh07">[1]장비!$M$21</definedName>
    <definedName name="__mdt02">[1]장비!$M$241</definedName>
    <definedName name="__mdt15">[1]장비!$M$17</definedName>
    <definedName name="__mgn05">[1]장비!$M$177</definedName>
    <definedName name="__mgp45">[1]장비!$M$237</definedName>
    <definedName name="__mlm10">[1]장비!$M$165</definedName>
    <definedName name="__mlt17">[1]장비!$M$33</definedName>
    <definedName name="__mmd36">[1]장비!$M$37</definedName>
    <definedName name="__mmr08">[1]장비!$M$45</definedName>
    <definedName name="__mmr10">[1]장비!$M$41</definedName>
    <definedName name="__mmx02">[1]장비!$M$221</definedName>
    <definedName name="__mtc30">[1]장비!$M$85</definedName>
    <definedName name="__mtd10">[1]장비!$M$49</definedName>
    <definedName name="__mtr08">[1]장비!$M$57</definedName>
    <definedName name="__mvr10">[1]장비!$M$53</definedName>
    <definedName name="__mwt55">[1]장비!$M$161</definedName>
    <definedName name="__R69496">'[2]입출재고현황 (2)'!$R$62503</definedName>
    <definedName name="__R70000">'[2]입출재고현황 (2)'!$R$60007</definedName>
    <definedName name="__R80000">'[2]입출재고현황 (2)'!$R$20007</definedName>
    <definedName name="__R90000">'[2]입출재고현황 (2)'!$R$20007</definedName>
    <definedName name="__R99000">'[2]입출재고현황 (2)'!$R$11947</definedName>
    <definedName name="__ST1">#N/A</definedName>
    <definedName name="__YO1">#N/A</definedName>
    <definedName name="_\Z">[3]결과조달!$GU$5658:$IV$7860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5A">[4]금액내역서!$D$3:$D$10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년매출액">[5]DATA2000!$K$3:$K$964</definedName>
    <definedName name="_1년투자비">[5]DATA2000!$J$3:$J$964</definedName>
    <definedName name="_1월">'[6]2)총손익'!$AJ$1031:$AJ$1036,'[6]2)총손익'!$AJ$1038:$AJ$1039,'[6]2)총손익'!$AJ$1041:$AJ$1053,'[6]2)총손익'!$AJ$1055:$AJ$1059,'[6]2)총손익'!$AJ$1061,'[6]2)총손익'!$AJ$1062,'[6]2)총손익'!$AJ$1064:$AJ$1069,'[6]2)총손익'!$AJ$1071:$AJ$1078,'[6]2)총손익'!$AJ$1080:$AJ$1082,'[6]2)총손익'!$AJ$1085,'[6]2)총손익'!$AJ$1084:$AJ$1089,'[6]2)총손익'!$AJ$1091:$AJ$1098,'[6]2)총손익'!$AJ$1100:$AJ$1109</definedName>
    <definedName name="_1차_94년">#N/A</definedName>
    <definedName name="_2차결제일">#N/A</definedName>
    <definedName name="_B22">[7]일위대가!$A$1400:$IV$1413=[7]일위대가!$A$1400</definedName>
    <definedName name="_Fill" localSheetId="3" hidden="1">#REF!</definedName>
    <definedName name="_Fill" localSheetId="4" hidden="1">#REF!</definedName>
    <definedName name="_Fill" localSheetId="5" hidden="1">#REF!</definedName>
    <definedName name="_Fill" localSheetId="1" hidden="1">#REF!</definedName>
    <definedName name="_Fill" localSheetId="0" hidden="1">#REF!</definedName>
    <definedName name="_Fill" hidden="1">#REF!</definedName>
    <definedName name="_xlnm._FilterDatabase" localSheetId="3" hidden="1">#REF!</definedName>
    <definedName name="_xlnm._FilterDatabase" localSheetId="4" hidden="1">#REF!</definedName>
    <definedName name="_xlnm._FilterDatabase" localSheetId="5" hidden="1">#REF!</definedName>
    <definedName name="_xlnm._FilterDatabase" localSheetId="1" hidden="1">#REF!</definedName>
    <definedName name="_xlnm._FilterDatabase" localSheetId="0" hidden="1">#REF!</definedName>
    <definedName name="_xlnm._FilterDatabase" hidden="1">#REF!</definedName>
    <definedName name="_K">#N/A</definedName>
    <definedName name="_K02">[7]일위대가!$A$732:$IV$745=[7]일위대가!$A$732</definedName>
    <definedName name="_mac03">[8]장비!$M$125</definedName>
    <definedName name="_mac10">[8]장비!$M$133</definedName>
    <definedName name="_mbh07">[8]장비!$M$21</definedName>
    <definedName name="_mdt02">[8]장비!$M$241</definedName>
    <definedName name="_mdt15">[8]장비!$M$17</definedName>
    <definedName name="_mgn05">[8]장비!$M$177</definedName>
    <definedName name="_mgp45">[8]장비!$M$237</definedName>
    <definedName name="_mlm10">[8]장비!$M$165</definedName>
    <definedName name="_mlt17">[8]장비!$M$33</definedName>
    <definedName name="_mmd36">[8]장비!$M$37</definedName>
    <definedName name="_mmr08">[8]장비!$M$45</definedName>
    <definedName name="_mmr10">[8]장비!$M$41</definedName>
    <definedName name="_mmx02">[8]장비!$M$221</definedName>
    <definedName name="_mtc30">[8]장비!$M$85</definedName>
    <definedName name="_mtd10">[8]장비!$M$49</definedName>
    <definedName name="_mtr08">[8]장비!$M$57</definedName>
    <definedName name="_mvr10">[8]장비!$M$53</definedName>
    <definedName name="_mwt55">[8]장비!$M$161</definedName>
    <definedName name="_O03">[7]일위대가!$A$1516:$IV$1529=[7]일위대가!$A$1516</definedName>
    <definedName name="_Order1" hidden="1">255</definedName>
    <definedName name="_Order2" hidden="1">255</definedName>
    <definedName name="_R69496">'[9]입출재고현황 (2)'!$R$62503</definedName>
    <definedName name="_R70000">'[9]입출재고현황 (2)'!$R$60007</definedName>
    <definedName name="_R80000">'[9]입출재고현황 (2)'!$R$20007</definedName>
    <definedName name="_R90000">'[9]입출재고현황 (2)'!$R$20007</definedName>
    <definedName name="_R99000">'[9]입출재고현황 (2)'!$R$11947</definedName>
    <definedName name="_Regression_Int" hidden="1">1</definedName>
    <definedName name="_Sort" hidden="1">[10]업무분장!$A$1:$IV$4072</definedName>
    <definedName name="_ST1">#N/A</definedName>
    <definedName name="_YO1">#N/A</definedName>
    <definedName name="\a">[11]전산.평가대상자용!$H$7</definedName>
    <definedName name="\r">#N/A</definedName>
    <definedName name="\s">#N/A</definedName>
    <definedName name="ㄱ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ㄱㄱㄱ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강원도아야진">[36]견적서!$B$16341</definedName>
    <definedName name="객실" localSheetId="3" hidden="1">#REF!</definedName>
    <definedName name="객실" localSheetId="4" hidden="1">#REF!</definedName>
    <definedName name="객실" localSheetId="5" hidden="1">#REF!</definedName>
    <definedName name="객실" localSheetId="1" hidden="1">#REF!</definedName>
    <definedName name="객실" localSheetId="0" hidden="1">#REF!</definedName>
    <definedName name="객실" hidden="1">#REF!</definedName>
    <definedName name="객실분석2" localSheetId="3" hidden="1">#REF!</definedName>
    <definedName name="객실분석2" localSheetId="4" hidden="1">#REF!</definedName>
    <definedName name="객실분석2" localSheetId="5" hidden="1">#REF!</definedName>
    <definedName name="객실분석2" localSheetId="1" hidden="1">#REF!</definedName>
    <definedName name="객실분석2" localSheetId="0" hidden="1">#REF!</definedName>
    <definedName name="객실분석2" hidden="1">#REF!</definedName>
    <definedName name="객실최종" localSheetId="3" hidden="1">#REF!</definedName>
    <definedName name="객실최종" localSheetId="4" hidden="1">#REF!</definedName>
    <definedName name="객실최종" localSheetId="5" hidden="1">#REF!</definedName>
    <definedName name="객실최종" localSheetId="1" hidden="1">#REF!</definedName>
    <definedName name="객실최종" localSheetId="0" hidden="1">#REF!</definedName>
    <definedName name="객실최종" hidden="1">#REF!</definedName>
    <definedName name="견적금액">#N/A</definedName>
    <definedName name="결제">#N/A</definedName>
    <definedName name="결제금액">#N/A</definedName>
    <definedName name="경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경비율">[37]원가data!$O$2:$AF$21</definedName>
    <definedName name="공_____종" localSheetId="3">[17]일위대가!#REF!</definedName>
    <definedName name="공_____종" localSheetId="4">[17]일위대가!#REF!</definedName>
    <definedName name="공_____종" localSheetId="5">[17]일위대가!#REF!</definedName>
    <definedName name="공_____종" localSheetId="1">[17]일위대가!#REF!</definedName>
    <definedName name="공_____종" localSheetId="0">[17]일위대가!#REF!</definedName>
    <definedName name="공_____종">[17]일위대가!#REF!</definedName>
    <definedName name="공사성수선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공사잔금">#N/A</definedName>
    <definedName name="공종">#N/A</definedName>
    <definedName name="관두께">'[38]1호인버트수량'!$T$3:$V$21</definedName>
    <definedName name="관리미수내역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교육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규격">#N/A</definedName>
    <definedName name="근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기계소모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기구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기자재단가산출">[39]견적단가비교표!$A$4:$J$266</definedName>
    <definedName name="기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기준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기초">'[40]9509'!$A$3:$Y$665</definedName>
    <definedName name="기타자재1" localSheetId="3">#REF!</definedName>
    <definedName name="기타자재1" localSheetId="4">#REF!</definedName>
    <definedName name="기타자재1" localSheetId="5">#REF!</definedName>
    <definedName name="기타자재1" localSheetId="1">#REF!</definedName>
    <definedName name="기타자재1" localSheetId="0">#REF!</definedName>
    <definedName name="기타자재1">#REF!</definedName>
    <definedName name="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김효정" localSheetId="3" hidden="1">#REF!</definedName>
    <definedName name="김효정" localSheetId="4" hidden="1">#REF!</definedName>
    <definedName name="김효정" localSheetId="5" hidden="1">#REF!</definedName>
    <definedName name="김효정" localSheetId="1" hidden="1">#REF!</definedName>
    <definedName name="김효정" localSheetId="0" hidden="1">#REF!</definedName>
    <definedName name="김효정" hidden="1">#REF!</definedName>
    <definedName name="ㄴ" localSheetId="3" hidden="1">#REF!</definedName>
    <definedName name="ㄴ" localSheetId="4" hidden="1">#REF!</definedName>
    <definedName name="ㄴ" localSheetId="5" hidden="1">#REF!</definedName>
    <definedName name="ㄴ" localSheetId="1" hidden="1">#REF!</definedName>
    <definedName name="ㄴ" localSheetId="0" hidden="1">#REF!</definedName>
    <definedName name="ㄴ" hidden="1">#REF!</definedName>
    <definedName name="ㄴㄴ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ㄴㄴㄴ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ㄴㄴㄴㄴ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ㄴㅁ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ㄴㅇ" localSheetId="3" hidden="1">#REF!</definedName>
    <definedName name="ㄴㅇ" localSheetId="4" hidden="1">#REF!</definedName>
    <definedName name="ㄴㅇ" localSheetId="5" hidden="1">#REF!</definedName>
    <definedName name="ㄴㅇ" localSheetId="1" hidden="1">#REF!</definedName>
    <definedName name="ㄴㅇ" localSheetId="0" hidden="1">#REF!</definedName>
    <definedName name="ㄴㅇ" hidden="1">#REF!</definedName>
    <definedName name="ㄴㅇㄴ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ㄴㅇ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ㄴㅎ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나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나도">[41]내역!$AH$3</definedName>
    <definedName name="나라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나무">'[42]수목데이타 '!$A$3:$D$874</definedName>
    <definedName name="남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내녁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내역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내역총괄">'[43]내역서(기계)'!$A$359</definedName>
    <definedName name="노임">[44]노임단가!$B$1:$J$65536</definedName>
    <definedName name="노임단가">[45]COST!$A$5:$O$140</definedName>
    <definedName name="노준석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늠뎐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ㄷ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ㄷㄷ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ㄷㄷㄷ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다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단가조사">[46]단가조사!$A$1:$G$379</definedName>
    <definedName name="단가품명">[44]단가비교표!$A$1:$D$65536</definedName>
    <definedName name="단양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단위">#N/A</definedName>
    <definedName name="단지내조경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대상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대한">[47]일위대가목차!$D$3:$D$10</definedName>
    <definedName name="디엠에스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ㄴㅇㄴㅇㅎ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ㄹ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ㄹㄹ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ㄹㄹㄹㄹ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ㄹㄹ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ㄹㅇㄴㄴ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ㄹㅇ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혻ㅎ" localSheetId="3" hidden="1">#REF!</definedName>
    <definedName name="ㄹ혻ㅎ" localSheetId="4" hidden="1">#REF!</definedName>
    <definedName name="ㄹ혻ㅎ" localSheetId="5" hidden="1">#REF!</definedName>
    <definedName name="ㄹ혻ㅎ" localSheetId="1" hidden="1">#REF!</definedName>
    <definedName name="ㄹ혻ㅎ" localSheetId="0" hidden="1">#REF!</definedName>
    <definedName name="ㄹ혻ㅎ" hidden="1">#REF!</definedName>
    <definedName name="ㄹ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리ㅣ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ㄴ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ㄴ593" localSheetId="3">#REF!</definedName>
    <definedName name="ㅁㄴ593" localSheetId="4">#REF!</definedName>
    <definedName name="ㅁㄴ593" localSheetId="5">#REF!</definedName>
    <definedName name="ㅁㄴ593" localSheetId="1">#REF!</definedName>
    <definedName name="ㅁㄴ593" localSheetId="0">#REF!</definedName>
    <definedName name="ㅁㄴ593">#REF!</definedName>
    <definedName name="ㅁㄴㄴㅇㅁ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ㄴ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ㄴㅇㅀ">[48]노무비단가!$B$3:$H$147</definedName>
    <definedName name="ㅁ느오ㅓㅁ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ㄹㅇㅗ" localSheetId="3">'[49]7.신상품현황'!#REF!</definedName>
    <definedName name="ㅁㄹㅇㅗ" localSheetId="4">'[49]7.신상품현황'!#REF!</definedName>
    <definedName name="ㅁㄹㅇㅗ" localSheetId="5">'[49]7.신상품현황'!#REF!</definedName>
    <definedName name="ㅁㄹㅇㅗ" localSheetId="1">'[49]7.신상품현황'!#REF!</definedName>
    <definedName name="ㅁㄹㅇㅗ" localSheetId="0">'[49]7.신상품현황'!#REF!</definedName>
    <definedName name="ㅁㄹㅇㅗ">'[49]7.신상품현황'!#REF!</definedName>
    <definedName name="ㅁㅁ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ㅁㅁ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ㅁㄻㄹㅇㅎ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ㅇㅎㅁ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옿ㅇㅅ롤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ㅎ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ㅎ몰오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만" localSheetId="3" hidden="1">#REF!</definedName>
    <definedName name="만" localSheetId="4" hidden="1">#REF!</definedName>
    <definedName name="만" localSheetId="5" hidden="1">#REF!</definedName>
    <definedName name="만" localSheetId="1" hidden="1">#REF!</definedName>
    <definedName name="만" localSheetId="0" hidden="1">#REF!</definedName>
    <definedName name="만" hidden="1">#REF!</definedName>
    <definedName name="매출목표산출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매출현황" localSheetId="3" hidden="1">#REF!</definedName>
    <definedName name="매출현황" localSheetId="4" hidden="1">#REF!</definedName>
    <definedName name="매출현황" localSheetId="5" hidden="1">#REF!</definedName>
    <definedName name="매출현황" localSheetId="1" hidden="1">#REF!</definedName>
    <definedName name="매출현황" localSheetId="0" hidden="1">#REF!</definedName>
    <definedName name="매출현황" hidden="1">#REF!</definedName>
    <definedName name="몰라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문길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민" localSheetId="3" hidden="1">#REF!</definedName>
    <definedName name="민" localSheetId="4" hidden="1">#REF!</definedName>
    <definedName name="민" localSheetId="5" hidden="1">#REF!</definedName>
    <definedName name="민" localSheetId="1" hidden="1">#REF!</definedName>
    <definedName name="민" localSheetId="0" hidden="1">#REF!</definedName>
    <definedName name="민" hidden="1">#REF!</definedName>
    <definedName name="민윤기" localSheetId="3" hidden="1">#REF!</definedName>
    <definedName name="민윤기" localSheetId="4" hidden="1">#REF!</definedName>
    <definedName name="민윤기" localSheetId="5" hidden="1">#REF!</definedName>
    <definedName name="민윤기" localSheetId="1" hidden="1">#REF!</definedName>
    <definedName name="민윤기" localSheetId="0" hidden="1">#REF!</definedName>
    <definedName name="민윤기" hidden="1">#REF!</definedName>
    <definedName name="ㅂ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ㅂㅂㅂ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박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박은정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박창호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발주금액">#N/A</definedName>
    <definedName name="방부대형" localSheetId="3">[50]일위대가!#REF!</definedName>
    <definedName name="방부대형" localSheetId="4">[50]일위대가!#REF!</definedName>
    <definedName name="방부대형" localSheetId="5">[50]일위대가!#REF!</definedName>
    <definedName name="방부대형" localSheetId="1">[50]일위대가!#REF!</definedName>
    <definedName name="방부대형" localSheetId="0">[50]일위대가!#REF!</definedName>
    <definedName name="방부대형">[50]일위대가!#REF!</definedName>
    <definedName name="별예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보드방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보사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부대업장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부대업장2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분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비발디증감" localSheetId="3" hidden="1">#REF!</definedName>
    <definedName name="비발디증감" localSheetId="4" hidden="1">#REF!</definedName>
    <definedName name="비발디증감" localSheetId="5" hidden="1">#REF!</definedName>
    <definedName name="비발디증감" localSheetId="1" hidden="1">#REF!</definedName>
    <definedName name="비발디증감" localSheetId="0" hidden="1">#REF!</definedName>
    <definedName name="비발디증감" hidden="1">#REF!</definedName>
    <definedName name="비용" localSheetId="3" hidden="1">#REF!</definedName>
    <definedName name="비용" localSheetId="4" hidden="1">#REF!</definedName>
    <definedName name="비용" localSheetId="5" hidden="1">#REF!</definedName>
    <definedName name="비용" localSheetId="1" hidden="1">#REF!</definedName>
    <definedName name="비용" localSheetId="0" hidden="1">#REF!</definedName>
    <definedName name="비용" hidden="1">#REF!</definedName>
    <definedName name="비용총계" localSheetId="3" hidden="1">#REF!</definedName>
    <definedName name="비용총계" localSheetId="4" hidden="1">#REF!</definedName>
    <definedName name="비용총계" localSheetId="5" hidden="1">#REF!</definedName>
    <definedName name="비용총계" localSheetId="1" hidden="1">#REF!</definedName>
    <definedName name="비용총계" localSheetId="0" hidden="1">#REF!</definedName>
    <definedName name="비용총계" hidden="1">#REF!</definedName>
    <definedName name="ㅅ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사랑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사랑\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사업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산출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산출인사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새이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서비스계획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서비스예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서세교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설계집계장">[51]BID!$A$1:$I$2091</definedName>
    <definedName name="설악" localSheetId="3">'[52]7.신상품현황'!#REF!</definedName>
    <definedName name="설악" localSheetId="4">'[52]7.신상품현황'!#REF!</definedName>
    <definedName name="설악" localSheetId="5">'[52]7.신상품현황'!#REF!</definedName>
    <definedName name="설악" localSheetId="1">'[52]7.신상품현황'!#REF!</definedName>
    <definedName name="설악" localSheetId="0">'[52]7.신상품현황'!#REF!</definedName>
    <definedName name="설악">'[52]7.신상품현황'!#REF!</definedName>
    <definedName name="설악증감" localSheetId="3" hidden="1">#REF!</definedName>
    <definedName name="설악증감" localSheetId="4" hidden="1">#REF!</definedName>
    <definedName name="설악증감" localSheetId="5" hidden="1">#REF!</definedName>
    <definedName name="설악증감" localSheetId="1" hidden="1">#REF!</definedName>
    <definedName name="설악증감" localSheetId="0" hidden="1">#REF!</definedName>
    <definedName name="설악증감" hidden="1">#REF!</definedName>
    <definedName name="성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세금계산서">#N/A</definedName>
    <definedName name="세부비용" localSheetId="3" hidden="1">#REF!</definedName>
    <definedName name="세부비용" localSheetId="4" hidden="1">#REF!</definedName>
    <definedName name="세부비용" localSheetId="5" hidden="1">#REF!</definedName>
    <definedName name="세부비용" localSheetId="1" hidden="1">#REF!</definedName>
    <definedName name="세부비용" localSheetId="0" hidden="1">#REF!</definedName>
    <definedName name="세부비용" hidden="1">#REF!</definedName>
    <definedName name="소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소노펠리체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소ㅗ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손익분석" localSheetId="3" hidden="1">#REF!</definedName>
    <definedName name="손익분석" localSheetId="4" hidden="1">#REF!</definedName>
    <definedName name="손익분석" localSheetId="5" hidden="1">#REF!</definedName>
    <definedName name="손익분석" localSheetId="1" hidden="1">#REF!</definedName>
    <definedName name="손익분석" localSheetId="0" hidden="1">#REF!</definedName>
    <definedName name="손익분석" hidden="1">#REF!</definedName>
    <definedName name="수량">#N/A</definedName>
    <definedName name="수선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수선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스위트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시" localSheetId="3" hidden="1">#REF!</definedName>
    <definedName name="시" localSheetId="4" hidden="1">#REF!</definedName>
    <definedName name="시" localSheetId="5" hidden="1">#REF!</definedName>
    <definedName name="시" localSheetId="1" hidden="1">#REF!</definedName>
    <definedName name="시" localSheetId="0" hidden="1">#REF!</definedName>
    <definedName name="시" hidden="1">#REF!</definedName>
    <definedName name="식음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식음료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식재">[53]코드표!$A$1:$F$65536</definedName>
    <definedName name="심사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쏘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ㄴㅁ" hidden="1">[54]실행철강하도!$A$1:$A$4</definedName>
    <definedName name="ㅇㄴㅇㄴㅇㄴ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ㅇ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ㅇㅇ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ㅇㅇㅇ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ㅇㅇㅇㅇㅇㅇ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ㅎ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아니요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아띠" localSheetId="3" hidden="1">#REF!</definedName>
    <definedName name="아띠" localSheetId="4" hidden="1">#REF!</definedName>
    <definedName name="아띠" localSheetId="5" hidden="1">#REF!</definedName>
    <definedName name="아띠" localSheetId="1" hidden="1">#REF!</definedName>
    <definedName name="아띠" localSheetId="0" hidden="1">#REF!</definedName>
    <definedName name="아띠" hidden="1">#REF!</definedName>
    <definedName name="아싸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아쿠아2월" localSheetId="3" hidden="1">#REF!</definedName>
    <definedName name="아쿠아2월" localSheetId="4" hidden="1">#REF!</definedName>
    <definedName name="아쿠아2월" localSheetId="5" hidden="1">#REF!</definedName>
    <definedName name="아쿠아2월" localSheetId="1" hidden="1">#REF!</definedName>
    <definedName name="아쿠아2월" localSheetId="0" hidden="1">#REF!</definedName>
    <definedName name="아쿠아2월" hidden="1">#REF!</definedName>
    <definedName name="안대원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약품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업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업무분장및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업무조직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업무추진2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업무추진향토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업체단가">[55]자재단가!$A$6:$M$156</definedName>
    <definedName name="여과지동">[56]여과지동!$F$3:$AS$80</definedName>
    <definedName name="영선하자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영업분석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예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예산근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예산내역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예산법인근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예산BI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용역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용접">[57]DATA!$A$19:$E$36</definedName>
    <definedName name="우짜라공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원남내역" hidden="1">[58]실행철강하도!$A$1:$A$4</definedName>
    <definedName name="월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내역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예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예산내역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예산내역2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예산내역4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예산내역5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예산내역법인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예산애겨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정산내역3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예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유유" localSheetId="3" hidden="1">#REF!</definedName>
    <definedName name="유유" localSheetId="4" hidden="1">#REF!</definedName>
    <definedName name="유유" localSheetId="5" hidden="1">#REF!</definedName>
    <definedName name="유유" localSheetId="1" hidden="1">#REF!</definedName>
    <definedName name="유유" localSheetId="0" hidden="1">#REF!</definedName>
    <definedName name="유유" hidden="1">#REF!</definedName>
    <definedName name="유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윤희빈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은경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이각B형" localSheetId="3">[50]일위대가!#REF!</definedName>
    <definedName name="이각B형" localSheetId="4">[50]일위대가!#REF!</definedName>
    <definedName name="이각B형" localSheetId="5">[50]일위대가!#REF!</definedName>
    <definedName name="이각B형" localSheetId="1">[50]일위대가!#REF!</definedName>
    <definedName name="이각B형" localSheetId="0">[50]일위대가!#REF!</definedName>
    <definedName name="이각B형">[50]일위대가!#REF!</definedName>
    <definedName name="이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이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인교산추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인교산출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인사교육산출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인사산출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인사산출근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일" hidden="1">[28]실행철강하도!$A$1:$A$4</definedName>
    <definedName name="ㅈ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ㅈㅁㄴ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ㅈㅎ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자료">[56]기초자료!$A$3:$X$80</definedName>
    <definedName name="자본" localSheetId="3" hidden="1">#REF!</definedName>
    <definedName name="자본" localSheetId="4" hidden="1">#REF!</definedName>
    <definedName name="자본" localSheetId="5" hidden="1">#REF!</definedName>
    <definedName name="자본" localSheetId="1" hidden="1">#REF!</definedName>
    <definedName name="자본" localSheetId="0" hidden="1">#REF!</definedName>
    <definedName name="자본" hidden="1">#REF!</definedName>
    <definedName name="작성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장" localSheetId="3" hidden="1">#REF!</definedName>
    <definedName name="장" localSheetId="4" hidden="1">#REF!</definedName>
    <definedName name="장" localSheetId="5" hidden="1">#REF!</definedName>
    <definedName name="장" localSheetId="1" hidden="1">#REF!</definedName>
    <definedName name="장" localSheetId="0" hidden="1">#REF!</definedName>
    <definedName name="장" hidden="1">#REF!</definedName>
    <definedName name="장비" localSheetId="3" hidden="1">#REF!</definedName>
    <definedName name="장비" localSheetId="4" hidden="1">#REF!</definedName>
    <definedName name="장비" localSheetId="5" hidden="1">#REF!</definedName>
    <definedName name="장비" localSheetId="1" hidden="1">#REF!</definedName>
    <definedName name="장비" localSheetId="0" hidden="1">#REF!</definedName>
    <definedName name="장비" hidden="1">#REF!</definedName>
    <definedName name="전기소모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전체" localSheetId="3" hidden="1">#REF!</definedName>
    <definedName name="전체" localSheetId="4" hidden="1">#REF!</definedName>
    <definedName name="전체" localSheetId="5" hidden="1">#REF!</definedName>
    <definedName name="전체" localSheetId="1" hidden="1">#REF!</definedName>
    <definedName name="전체" localSheetId="0" hidden="1">#REF!</definedName>
    <definedName name="전체" hidden="1">#REF!</definedName>
    <definedName name="전출자">[59]전입!$A$1:$CE$326</definedName>
    <definedName name="정섭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정정섭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정중호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젤라떼리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조경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조경자재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조직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중대가시설2">#N/A</definedName>
    <definedName name="증말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지울것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집계">[60]일위대가목차!$B$3</definedName>
    <definedName name="ㅊ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창훈" localSheetId="3" hidden="1">#REF!</definedName>
    <definedName name="창훈" localSheetId="4" hidden="1">#REF!</definedName>
    <definedName name="창훈" localSheetId="5" hidden="1">#REF!</definedName>
    <definedName name="창훈" localSheetId="1" hidden="1">#REF!</definedName>
    <definedName name="창훈" localSheetId="0" hidden="1">#REF!</definedName>
    <definedName name="창훈" hidden="1">#REF!</definedName>
    <definedName name="총괄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추진전략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축소" localSheetId="3">#REF!</definedName>
    <definedName name="축소" localSheetId="4">#REF!</definedName>
    <definedName name="축소" localSheetId="5">#REF!</definedName>
    <definedName name="축소" localSheetId="1">#REF!</definedName>
    <definedName name="축소" localSheetId="0">#REF!</definedName>
    <definedName name="축소">#REF!</definedName>
    <definedName name="ㅋ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ㅋㄷ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ㅋㅋㅋㅋ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ㅋㅌㅋㅋㅌ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카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ㅌㅍㅊ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토공단면">[33]토공집계표!$D$16253</definedName>
    <definedName name="통신소모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ㅍ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파노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평혈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평형총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평형총괄2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표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품셈공종">[61]품셈TABLE!$C$2:$C$50</definedName>
    <definedName name="품셈단가">[61]품셈TABLE!$D$2:$D$50</definedName>
    <definedName name="ㅎ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ㄹ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ㄹㅀ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ㄹㅀㄹ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ㄹㅀㄹㅀㅎ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ㅁㄱ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ㅎ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ㅎ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ㅎㅎㅎ" localSheetId="3" hidden="1">#REF!</definedName>
    <definedName name="ㅎㅎㅎㅎ" localSheetId="4" hidden="1">#REF!</definedName>
    <definedName name="ㅎㅎㅎㅎ" localSheetId="5" hidden="1">#REF!</definedName>
    <definedName name="ㅎㅎㅎㅎ" localSheetId="1" hidden="1">#REF!</definedName>
    <definedName name="ㅎㅎㅎㅎ" localSheetId="0" hidden="1">#REF!</definedName>
    <definedName name="ㅎㅎㅎㅎ" hidden="1">#REF!</definedName>
    <definedName name="ㅎㅎㅎㅎㅎㅎ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ㅎ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ㅎㅀ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하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하도업체명">#N/A</definedName>
    <definedName name="현찰계약금">#N/A</definedName>
    <definedName name="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ㅀ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ㅀ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ㅀㅀ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ㅏ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ㅏㅏ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ㅏㅓ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ㅏㅣㅏ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ㅐ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ㅐㅣ" localSheetId="3" hidden="1">#REF!</definedName>
    <definedName name="ㅐㅣ" localSheetId="4" hidden="1">#REF!</definedName>
    <definedName name="ㅐㅣ" localSheetId="5" hidden="1">#REF!</definedName>
    <definedName name="ㅐㅣ" localSheetId="1" hidden="1">#REF!</definedName>
    <definedName name="ㅐㅣ" localSheetId="0" hidden="1">#REF!</definedName>
    <definedName name="ㅐㅣ" hidden="1">#REF!</definedName>
    <definedName name="ㅑ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ㅓ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ㅓㄴㄱ" hidden="1">[54]실행철강하도!$A$1:$A$4</definedName>
    <definedName name="ㅓㅏㅏ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ㅓㅓ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ㅓㅓㅏ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ㅓㅓㅓ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ㅓㅕㅗ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ㅓㅗㅓㅗㅗㅗ" localSheetId="3" hidden="1">#REF!</definedName>
    <definedName name="ㅓㅗㅓㅗㅗㅗ" localSheetId="4" hidden="1">#REF!</definedName>
    <definedName name="ㅓㅗㅓㅗㅗㅗ" localSheetId="5" hidden="1">#REF!</definedName>
    <definedName name="ㅓㅗㅓㅗㅗㅗ" localSheetId="1" hidden="1">#REF!</definedName>
    <definedName name="ㅓㅗㅓㅗㅗㅗ" localSheetId="0" hidden="1">#REF!</definedName>
    <definedName name="ㅓㅗㅓㅗㅗㅗ" hidden="1">#REF!</definedName>
    <definedName name="ㅓㅡㅎㅍ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ㅔ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ㅔㅔ" localSheetId="3" hidden="1">#REF!</definedName>
    <definedName name="ㅔㅔ" localSheetId="4" hidden="1">#REF!</definedName>
    <definedName name="ㅔㅔ" localSheetId="5" hidden="1">#REF!</definedName>
    <definedName name="ㅔㅔ" localSheetId="1" hidden="1">#REF!</definedName>
    <definedName name="ㅔㅔ" localSheetId="0" hidden="1">#REF!</definedName>
    <definedName name="ㅔㅔ" hidden="1">#REF!</definedName>
    <definedName name="ㅔㅔㅔㅔ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ㅕㅑㅗ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ㅕㅕ" localSheetId="3" hidden="1">#REF!</definedName>
    <definedName name="ㅕㅕ" localSheetId="4" hidden="1">#REF!</definedName>
    <definedName name="ㅕㅕ" localSheetId="5" hidden="1">#REF!</definedName>
    <definedName name="ㅕㅕ" localSheetId="1" hidden="1">#REF!</definedName>
    <definedName name="ㅕㅕ" localSheetId="0" hidden="1">#REF!</definedName>
    <definedName name="ㅕㅕ" hidden="1">#REF!</definedName>
    <definedName name="ㅕㅛ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ㅗ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ㅗㅑㅣ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ㅗㅓㅗㅓ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ㅗㅗ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ㅗㅗㅗ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ㅗㅜ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ㅛ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ㅛ소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ㅜ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ㅜㅜ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ㅜㅜㅜ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ㅜㅠㅜㅠ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ㅠ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ㅠㅠ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ㅠㅠㅠ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ㅠㅠㅠㅠㅠ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ㅡ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ㅣ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ㅣㅣ" localSheetId="3" hidden="1">#REF!</definedName>
    <definedName name="ㅣㅣ" localSheetId="4" hidden="1">#REF!</definedName>
    <definedName name="ㅣㅣ" localSheetId="5" hidden="1">#REF!</definedName>
    <definedName name="ㅣㅣ" localSheetId="1" hidden="1">#REF!</definedName>
    <definedName name="ㅣㅣ" localSheetId="0" hidden="1">#REF!</definedName>
    <definedName name="ㅣㅣ" hidden="1">#REF!</definedName>
    <definedName name="ㄶㅎ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A315yoo1">#N/A</definedName>
    <definedName name="AAAAAAA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ABC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anscount" hidden="1">1</definedName>
    <definedName name="ANSRL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bbb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BDATA">'[12]일위대가(목록)'!$A$2:$J$356</definedName>
    <definedName name="BDCODE">#N/A</definedName>
    <definedName name="CHO">#N/A</definedName>
    <definedName name="CLAUSE1">[13]CLAUSE!$A$3:$A$4</definedName>
    <definedName name="CLAUSE2">[13]CLAUSE!$B$3:$B$4</definedName>
    <definedName name="CLAUSE3">[13]CLAUSE!$C$3:$C$4</definedName>
    <definedName name="CODE1">[14]노임단가!$AE$3:$AI$222</definedName>
    <definedName name="COMPANY">#N/A</definedName>
    <definedName name="CONC">#N/A</definedName>
    <definedName name="_xlnm.Criteria" localSheetId="3">#REF!</definedName>
    <definedName name="_xlnm.Criteria" localSheetId="4">#REF!</definedName>
    <definedName name="_xlnm.Criteria" localSheetId="5">#REF!</definedName>
    <definedName name="_xlnm.Criteria" localSheetId="1">#REF!</definedName>
    <definedName name="_xlnm.Criteria" localSheetId="0">#REF!</definedName>
    <definedName name="_xlnm.Criteria">#REF!</definedName>
    <definedName name="D" localSheetId="3" hidden="1">#REF!</definedName>
    <definedName name="D" localSheetId="4" hidden="1">#REF!</definedName>
    <definedName name="D" localSheetId="5" hidden="1">#REF!</definedName>
    <definedName name="D" localSheetId="1" hidden="1">#REF!</definedName>
    <definedName name="D" localSheetId="0" hidden="1">#REF!</definedName>
    <definedName name="D" hidden="1">#REF!</definedName>
    <definedName name="datab">'[15]1.우편집중내역서'!$A$3:$D$566</definedName>
    <definedName name="_xlnm.Database" localSheetId="3">#REF!</definedName>
    <definedName name="_xlnm.Database" localSheetId="4">#REF!</definedName>
    <definedName name="_xlnm.Database" localSheetId="5">#REF!</definedName>
    <definedName name="_xlnm.Database" localSheetId="1">#REF!</definedName>
    <definedName name="_xlnm.Database" localSheetId="0">#REF!</definedName>
    <definedName name="_xlnm.Database">#REF!</definedName>
    <definedName name="DAY">#N/A</definedName>
    <definedName name="dd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ddd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DD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DDFS" localSheetId="3">'[16]7.신상품현황'!#REF!</definedName>
    <definedName name="DDFS" localSheetId="4">'[16]7.신상품현황'!#REF!</definedName>
    <definedName name="DDFS" localSheetId="5">'[16]7.신상품현황'!#REF!</definedName>
    <definedName name="DDFS" localSheetId="1">'[16]7.신상품현황'!#REF!</definedName>
    <definedName name="DDFS" localSheetId="0">'[16]7.신상품현황'!#REF!</definedName>
    <definedName name="DDFS">'[16]7.신상품현황'!#REF!</definedName>
    <definedName name="DDGD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DFG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DFHKLDSFJKLDSFHLKDSJFSDFDSFSDF" localSheetId="3" hidden="1">#REF!</definedName>
    <definedName name="DFHKLDSFJKLDSFHLKDSJFSDFDSFSDF" localSheetId="4" hidden="1">#REF!</definedName>
    <definedName name="DFHKLDSFJKLDSFHLKDSJFSDFDSFSDF" localSheetId="5" hidden="1">#REF!</definedName>
    <definedName name="DFHKLDSFJKLDSFHLKDSJFSDFDSFSDF" localSheetId="1" hidden="1">#REF!</definedName>
    <definedName name="DFHKLDSFJKLDSFHLKDSJFSDFDSFSDF" localSheetId="0" hidden="1">#REF!</definedName>
    <definedName name="DFHKLDSFJKLDSFHLKDSJFSDFDSFSDF" hidden="1">#REF!</definedName>
    <definedName name="DK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DLSFUR" localSheetId="3" hidden="1">#REF!</definedName>
    <definedName name="DLSFUR" localSheetId="4" hidden="1">#REF!</definedName>
    <definedName name="DLSFUR" localSheetId="5" hidden="1">#REF!</definedName>
    <definedName name="DLSFUR" localSheetId="1" hidden="1">#REF!</definedName>
    <definedName name="DLSFUR" localSheetId="0" hidden="1">#REF!</definedName>
    <definedName name="DLSFUR" hidden="1">#REF!</definedName>
    <definedName name="DROW">#N/A</definedName>
    <definedName name="DSDFSFDSFDSFSDFSD" localSheetId="3" hidden="1">#REF!</definedName>
    <definedName name="DSDFSFDSFDSFSDFSD" localSheetId="4" hidden="1">#REF!</definedName>
    <definedName name="DSDFSFDSFDSFSDFSD" localSheetId="5" hidden="1">#REF!</definedName>
    <definedName name="DSDFSFDSFDSFSDFSD" localSheetId="1" hidden="1">#REF!</definedName>
    <definedName name="DSDFSFDSFDSFSDFSD" localSheetId="0" hidden="1">#REF!</definedName>
    <definedName name="DSDFSFDSFDSFSDFSD" hidden="1">#REF!</definedName>
    <definedName name="e" localSheetId="3">[17]일위대가!#REF!</definedName>
    <definedName name="e" localSheetId="4">[17]일위대가!#REF!</definedName>
    <definedName name="e" localSheetId="5">[17]일위대가!#REF!</definedName>
    <definedName name="e" localSheetId="1">[17]일위대가!#REF!</definedName>
    <definedName name="e" localSheetId="0">[17]일위대가!#REF!</definedName>
    <definedName name="e">[17]일위대가!#REF!</definedName>
    <definedName name="ENCOST">#N/A</definedName>
    <definedName name="EXE">#N/A</definedName>
    <definedName name="_xlnm.Extract" localSheetId="3">#REF!</definedName>
    <definedName name="_xlnm.Extract" localSheetId="4">#REF!</definedName>
    <definedName name="_xlnm.Extract" localSheetId="5">#REF!</definedName>
    <definedName name="_xlnm.Extract" localSheetId="1">#REF!</definedName>
    <definedName name="_xlnm.Extract" localSheetId="0">#REF!</definedName>
    <definedName name="_xlnm.Extract">#REF!</definedName>
    <definedName name="F_CODE">#N/A</definedName>
    <definedName name="F_DESC">#N/A</definedName>
    <definedName name="F_LVL">#N/A</definedName>
    <definedName name="F_PAGE">#N/A</definedName>
    <definedName name="F_REMK">#N/A</definedName>
    <definedName name="F_SEQ">#N/A</definedName>
    <definedName name="F_SIZE">#N/A</definedName>
    <definedName name="F_UNIT">#N/A</definedName>
    <definedName name="FDDD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f" localSheetId="3" hidden="1">#REF!</definedName>
    <definedName name="ff" localSheetId="4" hidden="1">#REF!</definedName>
    <definedName name="ff" localSheetId="5" hidden="1">#REF!</definedName>
    <definedName name="ff" localSheetId="1" hidden="1">#REF!</definedName>
    <definedName name="ff" localSheetId="0" hidden="1">#REF!</definedName>
    <definedName name="ff" hidden="1">#REF!</definedName>
    <definedName name="FF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FF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FFFDD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FFF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FFGFG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FFHJK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G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GF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GH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HFFG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H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HH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id">[18]BID!$A$1:$M$631</definedName>
    <definedName name="G" localSheetId="3" hidden="1">#REF!</definedName>
    <definedName name="G" localSheetId="4" hidden="1">#REF!</definedName>
    <definedName name="G" localSheetId="5" hidden="1">#REF!</definedName>
    <definedName name="G" localSheetId="1" hidden="1">#REF!</definedName>
    <definedName name="G" localSheetId="0" hidden="1">#REF!</definedName>
    <definedName name="G" hidden="1">#REF!</definedName>
    <definedName name="GFDD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F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GG" localSheetId="3" hidden="1">#REF!</definedName>
    <definedName name="GGG" localSheetId="4" hidden="1">#REF!</definedName>
    <definedName name="GGG" localSheetId="5" hidden="1">#REF!</definedName>
    <definedName name="GGG" localSheetId="1" hidden="1">#REF!</definedName>
    <definedName name="GGG" localSheetId="0" hidden="1">#REF!</definedName>
    <definedName name="GGG" hidden="1">#REF!</definedName>
    <definedName name="GGG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GGG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GGGG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GH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HHH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md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HF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HFGH">#N/A</definedName>
    <definedName name="H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HH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HH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HHHF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hhhhhhhhhhhh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i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IC손익현황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IIII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ITNUM">#N/A</definedName>
    <definedName name="JH">[19]정부노임단가!$A$5:$F$215</definedName>
    <definedName name="JHJHJ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JJKK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K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KA">'[1]조도계산서 (도서)'!$B$61:$E$68</definedName>
    <definedName name="KK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KKK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kkkkk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L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lcnc">[8]노무!$H$6</definedName>
    <definedName name="LDATA">[20]노무비!$A$3:$D$26</definedName>
    <definedName name="ListItem01">[21]발신정보!$C$4</definedName>
    <definedName name="ListItem02">[21]발신정보!$C$5</definedName>
    <definedName name="ListItem04">[21]발신정보!$C$7</definedName>
    <definedName name="ListItem07">[21]발신정보!$C$11</definedName>
    <definedName name="LL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lldr">[8]노무!$D$11</definedName>
    <definedName name="LLIJJJ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lll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LLLL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lllllll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lnmr">[8]노무!$D$8</definedName>
    <definedName name="LOCATION">[22]LEGEND!$D$7</definedName>
    <definedName name="lpav">[8]노무!$H$8</definedName>
    <definedName name="lpnt">[8]노무!$D$3</definedName>
    <definedName name="lscf">[8]노무!$D$9</definedName>
    <definedName name="lspe">[8]노무!$H$7</definedName>
    <definedName name="lwld">[8]노무!$D$10</definedName>
    <definedName name="mapd3">[8]장비!$M$105</definedName>
    <definedName name="mapv3">[8]장비!$M$101</definedName>
    <definedName name="MDATA">[12]재료비!$A$3:$L$388</definedName>
    <definedName name="Month">'[23]Graph (LGEN)'!$A$15:$J$74</definedName>
    <definedName name="MOVE1">[24]자압!$B$1:$B$59,[24]자압!$D$1:$E$59</definedName>
    <definedName name="MOVE2">[24]자압!$B$1:$B$38,[24]자압!$D$1:$E$38</definedName>
    <definedName name="MOVE3">[24]자압!$B$1:$B$68,[24]자압!$D$1:$E$68</definedName>
    <definedName name="MOVE4">[24]자압!$C$5:$C$70,[24]자압!$E$4:$E$70,[24]자압!$C$4,[24]자압!$C$4:$C$5</definedName>
    <definedName name="n" hidden="1">[25]실행철강하도!$A$1:$A$4</definedName>
    <definedName name="NAK">#N/A</definedName>
    <definedName name="NAME">#N/A</definedName>
    <definedName name="NHH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NI">[24]노임!$A$1:$B$65536</definedName>
    <definedName name="NOIM">[24]노임!$A$1:$B$17</definedName>
    <definedName name="ns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O">[26]일위대가목차!$D$3:$D$9</definedName>
    <definedName name="oooooo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outflow">[23]out_prog!$G$42:$BZ$52</definedName>
    <definedName name="PJT">#N/A</definedName>
    <definedName name="ppp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pppppp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price">[14]단가조사서!$A$11:$L$374</definedName>
    <definedName name="_xlnm.Print_Area" localSheetId="2">'1)총비용'!$A$1:$P$23</definedName>
    <definedName name="_xlnm.Print_Area" localSheetId="3">'2)팀공통비'!$A$1:$P$23</definedName>
    <definedName name="_xlnm.Print_Area" localSheetId="4">'3)직접비'!$A$1:$P$23</definedName>
    <definedName name="_xlnm.Print_Area" localSheetId="5">#REF!</definedName>
    <definedName name="_xlnm.Print_Area" localSheetId="1">손익계산서!$A$27:$R$96</definedName>
    <definedName name="_xlnm.Print_Area" localSheetId="0">요약!$A$1:$Q$28</definedName>
    <definedName name="_xlnm.Print_Area">#REF!</definedName>
    <definedName name="Print_Area_MI" localSheetId="3">[27]원가총!#REF!</definedName>
    <definedName name="Print_Area_MI" localSheetId="4">[27]원가총!#REF!</definedName>
    <definedName name="Print_Area_MI" localSheetId="5">[27]원가총!#REF!</definedName>
    <definedName name="Print_Area_MI" localSheetId="1">[27]원가총!#REF!</definedName>
    <definedName name="Print_Area_MI" localSheetId="0">[27]원가총!#REF!</definedName>
    <definedName name="Print_Area_MI">[27]원가총!#REF!</definedName>
    <definedName name="_xlnm.Print_Titles" localSheetId="3">#REF!</definedName>
    <definedName name="_xlnm.Print_Titles" localSheetId="4">#REF!</definedName>
    <definedName name="_xlnm.Print_Titles" localSheetId="5">#REF!</definedName>
    <definedName name="_xlnm.Print_Titles" localSheetId="1">손익계산서!$27:$32</definedName>
    <definedName name="_xlnm.Print_Titles" localSheetId="0">요약!$1:$2</definedName>
    <definedName name="_xlnm.Print_Titles">#REF!</definedName>
    <definedName name="PRINT_TITLES_MI">#N/A</definedName>
    <definedName name="PROJ">[22]LEGEND!$D$4</definedName>
    <definedName name="Q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QKQ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qor" hidden="1">[28]실행철강하도!$A$1:$A$4</definedName>
    <definedName name="qqq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R_">#N/A</definedName>
    <definedName name="_xlnm.Recorder" localSheetId="3">#REF!</definedName>
    <definedName name="_xlnm.Recorder" localSheetId="4">#REF!</definedName>
    <definedName name="_xlnm.Recorder" localSheetId="5">#REF!</definedName>
    <definedName name="_xlnm.Recorder" localSheetId="1">#REF!</definedName>
    <definedName name="_xlnm.Recorder" localSheetId="0">#REF!</definedName>
    <definedName name="_xlnm.Recorder">#REF!</definedName>
    <definedName name="REM">#N/A</definedName>
    <definedName name="RGGR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RT">'[29]ⓒ.3-4)부대영업직접'!$E$35:$P$37,'[29]ⓒ.3-4)부대영업직접'!$E$39:$P$51,'[29]ⓒ.3-4)부대영업직접'!$E$55:$P$55</definedName>
    <definedName name="s" localSheetId="3">[17]일위대가!#REF!</definedName>
    <definedName name="s" localSheetId="4">[17]일위대가!#REF!</definedName>
    <definedName name="s" localSheetId="5">[17]일위대가!#REF!</definedName>
    <definedName name="s" localSheetId="1">[17]일위대가!#REF!</definedName>
    <definedName name="s" localSheetId="0">[17]일위대가!#REF!</definedName>
    <definedName name="s">[17]일위대가!#REF!</definedName>
    <definedName name="SD">[30]SCH!$E$3:$N$816</definedName>
    <definedName name="sdfsd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SELECT">#N/A</definedName>
    <definedName name="SF">[30]SCH!$O$3:$P$31</definedName>
    <definedName name="shipment">'[23]선적schedule (2)'!$L$121:$BJ$122</definedName>
    <definedName name="SORTCODE">#N/A</definedName>
    <definedName name="SS" localSheetId="3" hidden="1">#REF!</definedName>
    <definedName name="SS" localSheetId="4" hidden="1">#REF!</definedName>
    <definedName name="SS" localSheetId="5" hidden="1">#REF!</definedName>
    <definedName name="SS" localSheetId="1" hidden="1">#REF!</definedName>
    <definedName name="SS" localSheetId="0" hidden="1">#REF!</definedName>
    <definedName name="SS" hidden="1">#REF!</definedName>
    <definedName name="sum" localSheetId="3">'[31]7.신상품현황'!#REF!</definedName>
    <definedName name="sum" localSheetId="4">'[31]7.신상품현황'!#REF!</definedName>
    <definedName name="sum" localSheetId="5">'[31]7.신상품현황'!#REF!</definedName>
    <definedName name="sum" localSheetId="1">'[31]7.신상품현황'!#REF!</definedName>
    <definedName name="sum" localSheetId="0">'[31]7.신상품현황'!#REF!</definedName>
    <definedName name="sum">'[31]7.신상품현황'!#REF!</definedName>
    <definedName name="SUYO">#N/A</definedName>
    <definedName name="T_AMOUNT">#N/A</definedName>
    <definedName name="T_UPRICE">#N/A</definedName>
    <definedName name="T실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TEAM">[32]계정!$E$3:$F$102</definedName>
    <definedName name="TOO">#N/A</definedName>
    <definedName name="tttt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U형측구단위수량">[33]토공집계표!$D$16253</definedName>
    <definedName name="uuu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vvv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WORKCREW_culmu_Crosstab">'[34]Requirement(Work Crew)'!$B$6:$AM$84</definedName>
    <definedName name="wrn.99경영계획._.및._.예산안.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www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XXXX">[35]입찰안!$P$3</definedName>
    <definedName name="YE">#N/A</definedName>
    <definedName name="YEKA">#N/A</definedName>
    <definedName name="YOO">#N/A</definedName>
    <definedName name="yoo10">#N/A</definedName>
    <definedName name="yoo2">#N/A</definedName>
    <definedName name="yoo3">#N/A</definedName>
    <definedName name="yoo4">#N/A</definedName>
    <definedName name="YOO5">#N/A</definedName>
    <definedName name="YOO6">#N/A</definedName>
    <definedName name="YOO7">#N/A</definedName>
    <definedName name="yoo8">#N/A</definedName>
    <definedName name="YOO9">#N/A</definedName>
    <definedName name="YOON">#N/A</definedName>
    <definedName name="YOON2">#N/A</definedName>
    <definedName name="YOON3">#N/A</definedName>
    <definedName name="YOON4">#N/A</definedName>
    <definedName name="z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za" hidden="1">[25]실행철강하도!$A$1:$A$4</definedName>
    <definedName name="zz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zzz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" i="11" l="1"/>
  <c r="V9" i="11"/>
  <c r="V10" i="11" s="1"/>
  <c r="V7" i="11"/>
  <c r="F16" i="8" l="1"/>
  <c r="U10" i="11"/>
  <c r="U8" i="11"/>
  <c r="U9" i="11" s="1"/>
  <c r="E20" i="8" l="1"/>
  <c r="E19" i="8"/>
  <c r="X7" i="3"/>
  <c r="E39" i="8" s="1"/>
  <c r="X6" i="3"/>
  <c r="E13" i="8" s="1"/>
  <c r="O83" i="10"/>
  <c r="N83" i="10"/>
  <c r="M83" i="10"/>
  <c r="L83" i="10"/>
  <c r="K83" i="10"/>
  <c r="J83" i="10"/>
  <c r="I83" i="10"/>
  <c r="H83" i="10"/>
  <c r="G83" i="10"/>
  <c r="F83" i="10"/>
  <c r="E83" i="10"/>
  <c r="E56" i="8"/>
  <c r="P83" i="10" s="1"/>
  <c r="AJ31" i="9"/>
  <c r="AI31" i="9"/>
  <c r="AH31" i="9"/>
  <c r="AG31" i="9"/>
  <c r="AF31" i="9"/>
  <c r="AE31" i="9"/>
  <c r="AD31" i="9"/>
  <c r="AC31" i="9"/>
  <c r="AB31" i="9"/>
  <c r="AA31" i="9"/>
  <c r="Z31" i="9"/>
  <c r="Y31" i="9"/>
  <c r="W31" i="9" s="1"/>
  <c r="M66" i="10" l="1"/>
  <c r="I66" i="10"/>
  <c r="E66" i="10"/>
  <c r="P66" i="10"/>
  <c r="P67" i="11" s="1"/>
  <c r="L66" i="10"/>
  <c r="H66" i="10"/>
  <c r="H67" i="11" s="1"/>
  <c r="O66" i="10"/>
  <c r="O67" i="11" s="1"/>
  <c r="K66" i="10"/>
  <c r="K67" i="11" s="1"/>
  <c r="G66" i="10"/>
  <c r="N66" i="10"/>
  <c r="J66" i="10"/>
  <c r="F66" i="10"/>
  <c r="F67" i="11" s="1"/>
  <c r="P95" i="11"/>
  <c r="O95" i="11"/>
  <c r="N95" i="11"/>
  <c r="M95" i="11"/>
  <c r="L95" i="11"/>
  <c r="K95" i="11"/>
  <c r="J95" i="11"/>
  <c r="I95" i="11"/>
  <c r="H95" i="11"/>
  <c r="G95" i="11"/>
  <c r="F95" i="11"/>
  <c r="E95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N67" i="11"/>
  <c r="M67" i="11"/>
  <c r="L67" i="11"/>
  <c r="J67" i="11"/>
  <c r="I67" i="11"/>
  <c r="G67" i="11"/>
  <c r="E67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O36" i="11"/>
  <c r="N36" i="11"/>
  <c r="M36" i="11"/>
  <c r="L36" i="11"/>
  <c r="K36" i="11"/>
  <c r="J36" i="11"/>
  <c r="I36" i="11"/>
  <c r="H36" i="11"/>
  <c r="G36" i="11"/>
  <c r="F36" i="11"/>
  <c r="E36" i="11"/>
  <c r="D95" i="11" l="1"/>
  <c r="D94" i="11"/>
  <c r="D93" i="11"/>
  <c r="D91" i="11"/>
  <c r="D90" i="11"/>
  <c r="P86" i="11"/>
  <c r="P23" i="11" s="1"/>
  <c r="O86" i="11"/>
  <c r="O23" i="11" s="1"/>
  <c r="N86" i="11"/>
  <c r="N23" i="11" s="1"/>
  <c r="M86" i="11"/>
  <c r="M23" i="11" s="1"/>
  <c r="L86" i="11"/>
  <c r="L23" i="11" s="1"/>
  <c r="K86" i="11"/>
  <c r="K23" i="11" s="1"/>
  <c r="J86" i="11"/>
  <c r="J23" i="11" s="1"/>
  <c r="I86" i="11"/>
  <c r="I23" i="11" s="1"/>
  <c r="H86" i="11"/>
  <c r="H23" i="11" s="1"/>
  <c r="G86" i="11"/>
  <c r="G23" i="11" s="1"/>
  <c r="F86" i="11"/>
  <c r="F23" i="11" s="1"/>
  <c r="E86" i="11"/>
  <c r="E23" i="11" s="1"/>
  <c r="D85" i="11"/>
  <c r="D84" i="11"/>
  <c r="D82" i="11"/>
  <c r="D81" i="11"/>
  <c r="D80" i="11"/>
  <c r="D78" i="11"/>
  <c r="D77" i="11"/>
  <c r="D76" i="11"/>
  <c r="D75" i="11"/>
  <c r="P74" i="11"/>
  <c r="P21" i="11" s="1"/>
  <c r="O74" i="11"/>
  <c r="O21" i="11" s="1"/>
  <c r="N74" i="11"/>
  <c r="N21" i="11" s="1"/>
  <c r="M74" i="11"/>
  <c r="M21" i="11" s="1"/>
  <c r="L74" i="11"/>
  <c r="L21" i="11" s="1"/>
  <c r="K74" i="11"/>
  <c r="K21" i="11" s="1"/>
  <c r="J74" i="11"/>
  <c r="J21" i="11" s="1"/>
  <c r="I74" i="11"/>
  <c r="I21" i="11" s="1"/>
  <c r="H74" i="11"/>
  <c r="H21" i="11" s="1"/>
  <c r="G74" i="11"/>
  <c r="G21" i="11" s="1"/>
  <c r="F74" i="11"/>
  <c r="F21" i="11" s="1"/>
  <c r="E74" i="11"/>
  <c r="E21" i="11" s="1"/>
  <c r="D73" i="11"/>
  <c r="D72" i="11"/>
  <c r="D71" i="11"/>
  <c r="D70" i="11"/>
  <c r="D67" i="11"/>
  <c r="D61" i="11"/>
  <c r="D59" i="11"/>
  <c r="D42" i="11"/>
  <c r="P73" i="10"/>
  <c r="P18" i="10" s="1"/>
  <c r="O73" i="10"/>
  <c r="O18" i="10" s="1"/>
  <c r="N73" i="10"/>
  <c r="N18" i="10" s="1"/>
  <c r="M73" i="10"/>
  <c r="M18" i="10" s="1"/>
  <c r="L73" i="10"/>
  <c r="L18" i="10" s="1"/>
  <c r="K73" i="10"/>
  <c r="K18" i="10" s="1"/>
  <c r="J73" i="10"/>
  <c r="J18" i="10" s="1"/>
  <c r="I73" i="10"/>
  <c r="I18" i="10" s="1"/>
  <c r="H73" i="10"/>
  <c r="H18" i="10" s="1"/>
  <c r="G73" i="10"/>
  <c r="G18" i="10" s="1"/>
  <c r="F73" i="10"/>
  <c r="F18" i="10" s="1"/>
  <c r="E73" i="10"/>
  <c r="E18" i="10" s="1"/>
  <c r="P85" i="10"/>
  <c r="P20" i="10" s="1"/>
  <c r="O85" i="10"/>
  <c r="O20" i="10" s="1"/>
  <c r="N85" i="10"/>
  <c r="N20" i="10" s="1"/>
  <c r="M85" i="10"/>
  <c r="M20" i="10" s="1"/>
  <c r="L85" i="10"/>
  <c r="L20" i="10" s="1"/>
  <c r="K85" i="10"/>
  <c r="K20" i="10" s="1"/>
  <c r="J85" i="10"/>
  <c r="J20" i="10" s="1"/>
  <c r="I85" i="10"/>
  <c r="I20" i="10" s="1"/>
  <c r="H85" i="10"/>
  <c r="H20" i="10" s="1"/>
  <c r="G85" i="10"/>
  <c r="G20" i="10" s="1"/>
  <c r="F85" i="10"/>
  <c r="F20" i="10" s="1"/>
  <c r="E85" i="10"/>
  <c r="E20" i="10" s="1"/>
  <c r="E49" i="11"/>
  <c r="E47" i="10"/>
  <c r="E48" i="11" s="1"/>
  <c r="E46" i="10"/>
  <c r="E47" i="11" s="1"/>
  <c r="P53" i="10"/>
  <c r="P54" i="11" s="1"/>
  <c r="O53" i="10"/>
  <c r="O54" i="11" s="1"/>
  <c r="N53" i="10"/>
  <c r="N54" i="11" s="1"/>
  <c r="M53" i="10"/>
  <c r="M54" i="11" s="1"/>
  <c r="L53" i="10"/>
  <c r="L54" i="11" s="1"/>
  <c r="K53" i="10"/>
  <c r="K54" i="11" s="1"/>
  <c r="J53" i="10"/>
  <c r="J54" i="11" s="1"/>
  <c r="I53" i="10"/>
  <c r="I54" i="11" s="1"/>
  <c r="H53" i="10"/>
  <c r="H54" i="11" s="1"/>
  <c r="G53" i="10"/>
  <c r="G54" i="11" s="1"/>
  <c r="F53" i="10"/>
  <c r="F54" i="11" s="1"/>
  <c r="E53" i="10"/>
  <c r="E54" i="11" s="1"/>
  <c r="P52" i="10"/>
  <c r="P53" i="11" s="1"/>
  <c r="O52" i="10"/>
  <c r="O53" i="11" s="1"/>
  <c r="N52" i="10"/>
  <c r="N53" i="11" s="1"/>
  <c r="M52" i="10"/>
  <c r="M53" i="11" s="1"/>
  <c r="L52" i="10"/>
  <c r="L53" i="11" s="1"/>
  <c r="K52" i="10"/>
  <c r="K53" i="11" s="1"/>
  <c r="J52" i="10"/>
  <c r="J53" i="11" s="1"/>
  <c r="I52" i="10"/>
  <c r="I53" i="11" s="1"/>
  <c r="H52" i="10"/>
  <c r="H53" i="11" s="1"/>
  <c r="G52" i="10"/>
  <c r="G53" i="11" s="1"/>
  <c r="F52" i="10"/>
  <c r="F53" i="11" s="1"/>
  <c r="E52" i="10"/>
  <c r="E53" i="11" s="1"/>
  <c r="P49" i="10"/>
  <c r="P50" i="11" s="1"/>
  <c r="O49" i="10"/>
  <c r="O50" i="11" s="1"/>
  <c r="N49" i="10"/>
  <c r="N50" i="11" s="1"/>
  <c r="M49" i="10"/>
  <c r="M50" i="11" s="1"/>
  <c r="L49" i="10"/>
  <c r="L50" i="11" s="1"/>
  <c r="K49" i="10"/>
  <c r="K50" i="11" s="1"/>
  <c r="J49" i="10"/>
  <c r="J50" i="11" s="1"/>
  <c r="I49" i="10"/>
  <c r="I50" i="11" s="1"/>
  <c r="H49" i="10"/>
  <c r="H50" i="11" s="1"/>
  <c r="G49" i="10"/>
  <c r="G50" i="11" s="1"/>
  <c r="F49" i="10"/>
  <c r="F50" i="11" s="1"/>
  <c r="E49" i="10"/>
  <c r="E50" i="11" s="1"/>
  <c r="P49" i="11"/>
  <c r="O49" i="11"/>
  <c r="N49" i="11"/>
  <c r="M49" i="11"/>
  <c r="L49" i="11"/>
  <c r="K49" i="11"/>
  <c r="J49" i="11"/>
  <c r="I49" i="11"/>
  <c r="H49" i="11"/>
  <c r="G49" i="11"/>
  <c r="F49" i="11"/>
  <c r="P47" i="10"/>
  <c r="P48" i="11" s="1"/>
  <c r="O47" i="10"/>
  <c r="O48" i="11" s="1"/>
  <c r="N47" i="10"/>
  <c r="N48" i="11" s="1"/>
  <c r="M47" i="10"/>
  <c r="M48" i="11" s="1"/>
  <c r="L47" i="10"/>
  <c r="L48" i="11" s="1"/>
  <c r="K47" i="10"/>
  <c r="K48" i="11" s="1"/>
  <c r="J47" i="10"/>
  <c r="J48" i="11" s="1"/>
  <c r="I47" i="10"/>
  <c r="I48" i="11" s="1"/>
  <c r="H47" i="10"/>
  <c r="H48" i="11" s="1"/>
  <c r="G47" i="10"/>
  <c r="G48" i="11" s="1"/>
  <c r="F47" i="10"/>
  <c r="F48" i="11" s="1"/>
  <c r="P46" i="10"/>
  <c r="P47" i="11" s="1"/>
  <c r="O46" i="10"/>
  <c r="O47" i="11" s="1"/>
  <c r="N46" i="10"/>
  <c r="N47" i="11" s="1"/>
  <c r="M46" i="10"/>
  <c r="M47" i="11" s="1"/>
  <c r="L46" i="10"/>
  <c r="L47" i="11" s="1"/>
  <c r="K46" i="10"/>
  <c r="K47" i="11" s="1"/>
  <c r="J46" i="10"/>
  <c r="J47" i="11" s="1"/>
  <c r="I46" i="10"/>
  <c r="I47" i="11" s="1"/>
  <c r="H46" i="10"/>
  <c r="H47" i="11" s="1"/>
  <c r="G46" i="10"/>
  <c r="G47" i="11" s="1"/>
  <c r="F46" i="10"/>
  <c r="F47" i="11" s="1"/>
  <c r="D94" i="10"/>
  <c r="D93" i="10"/>
  <c r="D92" i="10"/>
  <c r="D90" i="10"/>
  <c r="D89" i="10"/>
  <c r="D84" i="10"/>
  <c r="D81" i="10"/>
  <c r="D80" i="10"/>
  <c r="D79" i="10"/>
  <c r="D77" i="10"/>
  <c r="D76" i="10"/>
  <c r="D74" i="10"/>
  <c r="D72" i="10"/>
  <c r="D71" i="10"/>
  <c r="D70" i="10"/>
  <c r="D69" i="10"/>
  <c r="D66" i="10"/>
  <c r="D60" i="10"/>
  <c r="D58" i="10"/>
  <c r="D41" i="10"/>
  <c r="P36" i="10"/>
  <c r="P37" i="11" s="1"/>
  <c r="O36" i="10"/>
  <c r="O37" i="11" s="1"/>
  <c r="N36" i="10"/>
  <c r="N37" i="11" s="1"/>
  <c r="M36" i="10"/>
  <c r="M37" i="11" s="1"/>
  <c r="L36" i="10"/>
  <c r="L37" i="11" s="1"/>
  <c r="K36" i="10"/>
  <c r="K37" i="11" s="1"/>
  <c r="J36" i="10"/>
  <c r="J37" i="11" s="1"/>
  <c r="I36" i="10"/>
  <c r="I37" i="11" s="1"/>
  <c r="H36" i="10"/>
  <c r="H37" i="11" s="1"/>
  <c r="G36" i="10"/>
  <c r="G37" i="11" s="1"/>
  <c r="F36" i="10"/>
  <c r="F37" i="11" s="1"/>
  <c r="P34" i="10"/>
  <c r="P35" i="11" s="1"/>
  <c r="O34" i="10"/>
  <c r="O35" i="11" s="1"/>
  <c r="N34" i="10"/>
  <c r="N35" i="11" s="1"/>
  <c r="M34" i="10"/>
  <c r="M35" i="11" s="1"/>
  <c r="L34" i="10"/>
  <c r="L35" i="11" s="1"/>
  <c r="K34" i="10"/>
  <c r="K35" i="11" s="1"/>
  <c r="J34" i="10"/>
  <c r="J35" i="11" s="1"/>
  <c r="I34" i="10"/>
  <c r="I35" i="11" s="1"/>
  <c r="H34" i="10"/>
  <c r="H35" i="11" s="1"/>
  <c r="G34" i="10"/>
  <c r="G35" i="11" s="1"/>
  <c r="F34" i="10"/>
  <c r="F35" i="11" s="1"/>
  <c r="E36" i="10"/>
  <c r="E37" i="11" s="1"/>
  <c r="E34" i="10"/>
  <c r="E35" i="11" s="1"/>
  <c r="G24" i="7"/>
  <c r="G23" i="7"/>
  <c r="G22" i="7"/>
  <c r="E58" i="8"/>
  <c r="D37" i="11" l="1"/>
  <c r="D54" i="11"/>
  <c r="D48" i="11"/>
  <c r="D49" i="11"/>
  <c r="D86" i="11"/>
  <c r="D23" i="11"/>
  <c r="D74" i="11"/>
  <c r="D18" i="10"/>
  <c r="D20" i="10"/>
  <c r="D21" i="11"/>
  <c r="D50" i="11"/>
  <c r="D35" i="11"/>
  <c r="D47" i="11"/>
  <c r="D53" i="11"/>
  <c r="D73" i="10"/>
  <c r="D52" i="10"/>
  <c r="D48" i="10"/>
  <c r="D75" i="10"/>
  <c r="D49" i="10"/>
  <c r="D46" i="10"/>
  <c r="D53" i="10"/>
  <c r="D47" i="10"/>
  <c r="D85" i="10"/>
  <c r="D34" i="10"/>
  <c r="D83" i="10"/>
  <c r="D36" i="10"/>
  <c r="Q25" i="7"/>
  <c r="S10" i="7"/>
  <c r="R10" i="7"/>
  <c r="Q10" i="7"/>
  <c r="P10" i="7"/>
  <c r="O10" i="7"/>
  <c r="N10" i="7"/>
  <c r="M10" i="7"/>
  <c r="L10" i="7"/>
  <c r="L25" i="7" s="1"/>
  <c r="K10" i="7"/>
  <c r="J10" i="7"/>
  <c r="I10" i="7"/>
  <c r="H10" i="7"/>
  <c r="S17" i="7"/>
  <c r="R17" i="7"/>
  <c r="Q17" i="7"/>
  <c r="P17" i="7"/>
  <c r="O17" i="7"/>
  <c r="N17" i="7"/>
  <c r="M17" i="7"/>
  <c r="L17" i="7"/>
  <c r="K17" i="7"/>
  <c r="J17" i="7"/>
  <c r="I17" i="7"/>
  <c r="H17" i="7"/>
  <c r="S16" i="7"/>
  <c r="R16" i="7"/>
  <c r="Q16" i="7"/>
  <c r="P16" i="7"/>
  <c r="O16" i="7"/>
  <c r="N16" i="7"/>
  <c r="M16" i="7"/>
  <c r="L16" i="7"/>
  <c r="K16" i="7"/>
  <c r="J16" i="7"/>
  <c r="I16" i="7"/>
  <c r="H16" i="7"/>
  <c r="S15" i="7"/>
  <c r="R15" i="7"/>
  <c r="Q15" i="7"/>
  <c r="P15" i="7"/>
  <c r="O15" i="7"/>
  <c r="N15" i="7"/>
  <c r="M15" i="7"/>
  <c r="L15" i="7"/>
  <c r="K15" i="7"/>
  <c r="J15" i="7"/>
  <c r="I15" i="7"/>
  <c r="H15" i="7"/>
  <c r="S14" i="7"/>
  <c r="R14" i="7"/>
  <c r="Q14" i="7"/>
  <c r="P14" i="7"/>
  <c r="O14" i="7"/>
  <c r="N14" i="7"/>
  <c r="M14" i="7"/>
  <c r="L14" i="7"/>
  <c r="K14" i="7"/>
  <c r="J14" i="7"/>
  <c r="I14" i="7"/>
  <c r="H14" i="7"/>
  <c r="K25" i="7" l="1"/>
  <c r="S25" i="7"/>
  <c r="M25" i="7"/>
  <c r="H25" i="7"/>
  <c r="P25" i="7"/>
  <c r="N25" i="7"/>
  <c r="O25" i="7"/>
  <c r="I25" i="7"/>
  <c r="J25" i="7"/>
  <c r="R25" i="7"/>
  <c r="W29" i="9"/>
  <c r="W28" i="9"/>
  <c r="W27" i="9"/>
  <c r="W25" i="9"/>
  <c r="W24" i="9"/>
  <c r="W23" i="9"/>
  <c r="AJ17" i="9"/>
  <c r="AI17" i="9"/>
  <c r="AH17" i="9"/>
  <c r="AG17" i="9"/>
  <c r="AF17" i="9"/>
  <c r="AE17" i="9"/>
  <c r="AD17" i="9"/>
  <c r="AC17" i="9"/>
  <c r="AB17" i="9"/>
  <c r="AA17" i="9"/>
  <c r="Z17" i="9"/>
  <c r="Y17" i="9"/>
  <c r="AJ16" i="9"/>
  <c r="AI16" i="9"/>
  <c r="AH16" i="9"/>
  <c r="AG16" i="9"/>
  <c r="AF16" i="9"/>
  <c r="AE16" i="9"/>
  <c r="AD16" i="9"/>
  <c r="AC16" i="9"/>
  <c r="AB16" i="9"/>
  <c r="AA16" i="9"/>
  <c r="Z16" i="9"/>
  <c r="Y16" i="9"/>
  <c r="AJ15" i="9"/>
  <c r="AI15" i="9"/>
  <c r="AH15" i="9"/>
  <c r="AG15" i="9"/>
  <c r="AF15" i="9"/>
  <c r="AE15" i="9"/>
  <c r="AD15" i="9"/>
  <c r="AC15" i="9"/>
  <c r="AB15" i="9"/>
  <c r="AA15" i="9"/>
  <c r="Z15" i="9"/>
  <c r="Y15" i="9"/>
  <c r="AJ14" i="9"/>
  <c r="AI14" i="9"/>
  <c r="AH14" i="9"/>
  <c r="AG14" i="9"/>
  <c r="AF14" i="9"/>
  <c r="AE14" i="9"/>
  <c r="AD14" i="9"/>
  <c r="AC14" i="9"/>
  <c r="AB14" i="9"/>
  <c r="AA14" i="9"/>
  <c r="Z14" i="9"/>
  <c r="Y14" i="9"/>
  <c r="X14" i="9" s="1"/>
  <c r="AJ13" i="9"/>
  <c r="AI13" i="9"/>
  <c r="AH13" i="9"/>
  <c r="AG13" i="9"/>
  <c r="AF13" i="9"/>
  <c r="AE13" i="9"/>
  <c r="AD13" i="9"/>
  <c r="AC13" i="9"/>
  <c r="AB13" i="9"/>
  <c r="AA13" i="9"/>
  <c r="Z13" i="9"/>
  <c r="Y13" i="9"/>
  <c r="AJ12" i="9"/>
  <c r="AI12" i="9"/>
  <c r="AH12" i="9"/>
  <c r="AG12" i="9"/>
  <c r="AF12" i="9"/>
  <c r="AE12" i="9"/>
  <c r="AD12" i="9"/>
  <c r="AC12" i="9"/>
  <c r="AB12" i="9"/>
  <c r="AA12" i="9"/>
  <c r="Z12" i="9"/>
  <c r="Y12" i="9"/>
  <c r="X12" i="9" s="1"/>
  <c r="AJ11" i="9"/>
  <c r="AI11" i="9"/>
  <c r="AH11" i="9"/>
  <c r="AG11" i="9"/>
  <c r="AF11" i="9"/>
  <c r="AE11" i="9"/>
  <c r="AD11" i="9"/>
  <c r="AC11" i="9"/>
  <c r="AB11" i="9"/>
  <c r="AA11" i="9"/>
  <c r="Z11" i="9"/>
  <c r="Y11" i="9"/>
  <c r="AJ10" i="9"/>
  <c r="AI10" i="9"/>
  <c r="AH10" i="9"/>
  <c r="AG10" i="9"/>
  <c r="AF10" i="9"/>
  <c r="AE10" i="9"/>
  <c r="AD10" i="9"/>
  <c r="AC10" i="9"/>
  <c r="AB10" i="9"/>
  <c r="AA10" i="9"/>
  <c r="Z10" i="9"/>
  <c r="Y10" i="9"/>
  <c r="X10" i="9" s="1"/>
  <c r="AJ8" i="9"/>
  <c r="AI8" i="9"/>
  <c r="AH8" i="9"/>
  <c r="AG8" i="9"/>
  <c r="AF8" i="9"/>
  <c r="AE8" i="9"/>
  <c r="AD8" i="9"/>
  <c r="AC8" i="9"/>
  <c r="AB8" i="9"/>
  <c r="AA8" i="9"/>
  <c r="Z8" i="9"/>
  <c r="Y8" i="9"/>
  <c r="AJ7" i="9"/>
  <c r="AI7" i="9"/>
  <c r="AH7" i="9"/>
  <c r="AG7" i="9"/>
  <c r="AF7" i="9"/>
  <c r="AE7" i="9"/>
  <c r="AD7" i="9"/>
  <c r="AC7" i="9"/>
  <c r="AB7" i="9"/>
  <c r="AA7" i="9"/>
  <c r="Z7" i="9"/>
  <c r="Y7" i="9"/>
  <c r="X7" i="9" s="1"/>
  <c r="AJ6" i="9"/>
  <c r="AI6" i="9"/>
  <c r="AH6" i="9"/>
  <c r="AG6" i="9"/>
  <c r="AF6" i="9"/>
  <c r="AE6" i="9"/>
  <c r="AE5" i="9" s="1"/>
  <c r="AD6" i="9"/>
  <c r="AC6" i="9"/>
  <c r="AB6" i="9"/>
  <c r="AA6" i="9"/>
  <c r="Z6" i="9"/>
  <c r="Y6" i="9"/>
  <c r="R17" i="9"/>
  <c r="Q17" i="9"/>
  <c r="P17" i="9"/>
  <c r="O17" i="9"/>
  <c r="N17" i="9"/>
  <c r="M17" i="9"/>
  <c r="L17" i="9"/>
  <c r="K17" i="9"/>
  <c r="J17" i="9"/>
  <c r="I17" i="9"/>
  <c r="H17" i="9"/>
  <c r="G17" i="9"/>
  <c r="R16" i="9"/>
  <c r="Q16" i="9"/>
  <c r="P16" i="9"/>
  <c r="O16" i="9"/>
  <c r="N16" i="9"/>
  <c r="M16" i="9"/>
  <c r="L16" i="9"/>
  <c r="K16" i="9"/>
  <c r="J16" i="9"/>
  <c r="I16" i="9"/>
  <c r="H16" i="9"/>
  <c r="G16" i="9"/>
  <c r="R15" i="9"/>
  <c r="Q15" i="9"/>
  <c r="P15" i="9"/>
  <c r="O15" i="9"/>
  <c r="N15" i="9"/>
  <c r="M15" i="9"/>
  <c r="L15" i="9"/>
  <c r="K15" i="9"/>
  <c r="J15" i="9"/>
  <c r="I15" i="9"/>
  <c r="H15" i="9"/>
  <c r="G15" i="9"/>
  <c r="R14" i="9"/>
  <c r="Q14" i="9"/>
  <c r="P14" i="9"/>
  <c r="O14" i="9"/>
  <c r="N14" i="9"/>
  <c r="M14" i="9"/>
  <c r="L14" i="9"/>
  <c r="K14" i="9"/>
  <c r="J14" i="9"/>
  <c r="I14" i="9"/>
  <c r="H14" i="9"/>
  <c r="G14" i="9"/>
  <c r="R13" i="9"/>
  <c r="Q13" i="9"/>
  <c r="P13" i="9"/>
  <c r="O13" i="9"/>
  <c r="N13" i="9"/>
  <c r="M13" i="9"/>
  <c r="L13" i="9"/>
  <c r="K13" i="9"/>
  <c r="J13" i="9"/>
  <c r="I13" i="9"/>
  <c r="H13" i="9"/>
  <c r="G13" i="9"/>
  <c r="R12" i="9"/>
  <c r="Q12" i="9"/>
  <c r="P12" i="9"/>
  <c r="O12" i="9"/>
  <c r="N12" i="9"/>
  <c r="M12" i="9"/>
  <c r="L12" i="9"/>
  <c r="K12" i="9"/>
  <c r="J12" i="9"/>
  <c r="I12" i="9"/>
  <c r="H12" i="9"/>
  <c r="G12" i="9"/>
  <c r="R11" i="9"/>
  <c r="Q11" i="9"/>
  <c r="P11" i="9"/>
  <c r="O11" i="9"/>
  <c r="N11" i="9"/>
  <c r="M11" i="9"/>
  <c r="L11" i="9"/>
  <c r="K11" i="9"/>
  <c r="J11" i="9"/>
  <c r="I11" i="9"/>
  <c r="H11" i="9"/>
  <c r="G11" i="9"/>
  <c r="R10" i="9"/>
  <c r="Q10" i="9"/>
  <c r="P10" i="9"/>
  <c r="O10" i="9"/>
  <c r="N10" i="9"/>
  <c r="M10" i="9"/>
  <c r="L10" i="9"/>
  <c r="K10" i="9"/>
  <c r="J10" i="9"/>
  <c r="I10" i="9"/>
  <c r="H10" i="9"/>
  <c r="G10" i="9"/>
  <c r="R8" i="9"/>
  <c r="Q8" i="9"/>
  <c r="P8" i="9"/>
  <c r="O8" i="9"/>
  <c r="N8" i="9"/>
  <c r="M8" i="9"/>
  <c r="L8" i="9"/>
  <c r="K8" i="9"/>
  <c r="J8" i="9"/>
  <c r="I8" i="9"/>
  <c r="H8" i="9"/>
  <c r="G8" i="9"/>
  <c r="R7" i="9"/>
  <c r="Q7" i="9"/>
  <c r="P7" i="9"/>
  <c r="O7" i="9"/>
  <c r="N7" i="9"/>
  <c r="M7" i="9"/>
  <c r="L7" i="9"/>
  <c r="K7" i="9"/>
  <c r="J7" i="9"/>
  <c r="I7" i="9"/>
  <c r="H7" i="9"/>
  <c r="G7" i="9"/>
  <c r="R6" i="9"/>
  <c r="Q6" i="9"/>
  <c r="P6" i="9"/>
  <c r="O6" i="9"/>
  <c r="N6" i="9"/>
  <c r="M6" i="9"/>
  <c r="L6" i="9"/>
  <c r="K6" i="9"/>
  <c r="J6" i="9"/>
  <c r="I6" i="9"/>
  <c r="H6" i="9"/>
  <c r="G6" i="9"/>
  <c r="S2" i="9"/>
  <c r="E16" i="8" l="1"/>
  <c r="G16" i="8" s="1"/>
  <c r="X15" i="9"/>
  <c r="I9" i="9"/>
  <c r="X16" i="9"/>
  <c r="X6" i="9"/>
  <c r="X17" i="9"/>
  <c r="X13" i="9"/>
  <c r="M5" i="9"/>
  <c r="Q5" i="9"/>
  <c r="AA5" i="9"/>
  <c r="X8" i="9"/>
  <c r="X11" i="9"/>
  <c r="I5" i="9"/>
  <c r="G25" i="7"/>
  <c r="R25" i="9"/>
  <c r="R23" i="9"/>
  <c r="R24" i="9"/>
  <c r="G9" i="9"/>
  <c r="O9" i="9"/>
  <c r="Y5" i="9"/>
  <c r="H5" i="9"/>
  <c r="Z5" i="9"/>
  <c r="AD9" i="9"/>
  <c r="AI9" i="9"/>
  <c r="AA9" i="9"/>
  <c r="J9" i="9"/>
  <c r="R9" i="9"/>
  <c r="AF5" i="9"/>
  <c r="AB5" i="9"/>
  <c r="AJ5" i="9"/>
  <c r="AB9" i="9"/>
  <c r="AJ9" i="9"/>
  <c r="AF9" i="9"/>
  <c r="Z9" i="9"/>
  <c r="L5" i="9"/>
  <c r="P5" i="9"/>
  <c r="H9" i="9"/>
  <c r="AH5" i="9"/>
  <c r="Q9" i="9"/>
  <c r="AE9" i="9"/>
  <c r="W6" i="9"/>
  <c r="N5" i="9"/>
  <c r="AH9" i="9"/>
  <c r="Y9" i="9"/>
  <c r="AC9" i="9"/>
  <c r="E14" i="9"/>
  <c r="E16" i="9"/>
  <c r="E17" i="9"/>
  <c r="AC5" i="9"/>
  <c r="W7" i="9"/>
  <c r="AF20" i="9" s="1"/>
  <c r="W8" i="9"/>
  <c r="AG21" i="9" s="1"/>
  <c r="AG23" i="9" s="1"/>
  <c r="AG9" i="9"/>
  <c r="AG5" i="9"/>
  <c r="K9" i="9"/>
  <c r="L9" i="9"/>
  <c r="E15" i="9"/>
  <c r="E12" i="9"/>
  <c r="P9" i="9"/>
  <c r="E10" i="9"/>
  <c r="E11" i="9"/>
  <c r="E13" i="9"/>
  <c r="E8" i="9"/>
  <c r="E7" i="9"/>
  <c r="G5" i="9"/>
  <c r="O5" i="9"/>
  <c r="AI5" i="9"/>
  <c r="W12" i="9"/>
  <c r="M9" i="9"/>
  <c r="J5" i="9"/>
  <c r="AD5" i="9"/>
  <c r="K5" i="9"/>
  <c r="N9" i="9"/>
  <c r="W10" i="9"/>
  <c r="W11" i="9"/>
  <c r="W13" i="9"/>
  <c r="R5" i="9"/>
  <c r="E6" i="9"/>
  <c r="W14" i="9"/>
  <c r="W15" i="9"/>
  <c r="W16" i="9"/>
  <c r="W17" i="9"/>
  <c r="X5" i="9" l="1"/>
  <c r="X9" i="9"/>
  <c r="Z20" i="9"/>
  <c r="AG27" i="9"/>
  <c r="AB20" i="9"/>
  <c r="W9" i="9"/>
  <c r="Y20" i="9"/>
  <c r="AJ21" i="9"/>
  <c r="AJ23" i="9" s="1"/>
  <c r="AD19" i="9"/>
  <c r="AD25" i="9" s="1"/>
  <c r="AD29" i="9" s="1"/>
  <c r="AI21" i="9"/>
  <c r="AI23" i="9" s="1"/>
  <c r="AJ19" i="9"/>
  <c r="AJ25" i="9" s="1"/>
  <c r="AJ29" i="9" s="1"/>
  <c r="Y19" i="9"/>
  <c r="AJ20" i="9"/>
  <c r="AG20" i="9"/>
  <c r="AB21" i="9"/>
  <c r="AB23" i="9" s="1"/>
  <c r="AC19" i="9"/>
  <c r="AE21" i="9"/>
  <c r="AE23" i="9" s="1"/>
  <c r="AH21" i="9"/>
  <c r="AH23" i="9" s="1"/>
  <c r="Z21" i="9"/>
  <c r="Z23" i="9" s="1"/>
  <c r="W21" i="9"/>
  <c r="AF19" i="9"/>
  <c r="AA21" i="9"/>
  <c r="AA23" i="9" s="1"/>
  <c r="Y21" i="9"/>
  <c r="Y23" i="9" s="1"/>
  <c r="W19" i="9"/>
  <c r="AE19" i="9"/>
  <c r="AH19" i="9"/>
  <c r="Z19" i="9"/>
  <c r="W20" i="9"/>
  <c r="AI20" i="9"/>
  <c r="AA20" i="9"/>
  <c r="AD20" i="9"/>
  <c r="AI19" i="9"/>
  <c r="AB19" i="9"/>
  <c r="AD21" i="9"/>
  <c r="AD23" i="9" s="1"/>
  <c r="AA19" i="9"/>
  <c r="AE20" i="9"/>
  <c r="AG19" i="9"/>
  <c r="AC20" i="9"/>
  <c r="AH20" i="9"/>
  <c r="AC21" i="9"/>
  <c r="AC23" i="9" s="1"/>
  <c r="AF21" i="9"/>
  <c r="AF23" i="9" s="1"/>
  <c r="AF27" i="9" s="1"/>
  <c r="W5" i="9"/>
  <c r="E9" i="9"/>
  <c r="E5" i="9"/>
  <c r="AB27" i="9" l="1"/>
  <c r="Y27" i="9"/>
  <c r="AE27" i="9"/>
  <c r="AC27" i="9"/>
  <c r="AJ27" i="9"/>
  <c r="AA27" i="9"/>
  <c r="Z27" i="9"/>
  <c r="AD27" i="9"/>
  <c r="AH27" i="9"/>
  <c r="AI27" i="9"/>
  <c r="AD24" i="9"/>
  <c r="AD28" i="9" s="1"/>
  <c r="AJ24" i="9"/>
  <c r="AJ28" i="9" s="1"/>
  <c r="AF25" i="9"/>
  <c r="AF29" i="9" s="1"/>
  <c r="AF24" i="9"/>
  <c r="AF28" i="9" s="1"/>
  <c r="AA25" i="9"/>
  <c r="AA29" i="9" s="1"/>
  <c r="AA24" i="9"/>
  <c r="AA28" i="9" s="1"/>
  <c r="Z24" i="9"/>
  <c r="Z28" i="9" s="1"/>
  <c r="Z25" i="9"/>
  <c r="Z29" i="9" s="1"/>
  <c r="Y25" i="9"/>
  <c r="Y29" i="9" s="1"/>
  <c r="Y24" i="9"/>
  <c r="Y28" i="9" s="1"/>
  <c r="X23" i="9"/>
  <c r="AH24" i="9"/>
  <c r="AH28" i="9" s="1"/>
  <c r="AH25" i="9"/>
  <c r="AH29" i="9" s="1"/>
  <c r="AG24" i="9"/>
  <c r="AG25" i="9"/>
  <c r="AG29" i="9" s="1"/>
  <c r="AI24" i="9"/>
  <c r="AI28" i="9" s="1"/>
  <c r="AI25" i="9"/>
  <c r="AI29" i="9" s="1"/>
  <c r="AB25" i="9"/>
  <c r="AB29" i="9" s="1"/>
  <c r="AB24" i="9"/>
  <c r="AB28" i="9" s="1"/>
  <c r="AE25" i="9"/>
  <c r="AE29" i="9" s="1"/>
  <c r="AE24" i="9"/>
  <c r="AE28" i="9" s="1"/>
  <c r="AC25" i="9"/>
  <c r="AC29" i="9" s="1"/>
  <c r="AC24" i="9"/>
  <c r="AC28" i="9" s="1"/>
  <c r="K7" i="7" l="1"/>
  <c r="K8" i="7" s="1"/>
  <c r="K9" i="7" s="1"/>
  <c r="S7" i="7"/>
  <c r="M7" i="7"/>
  <c r="K7" i="11"/>
  <c r="K8" i="11" s="1"/>
  <c r="L7" i="7"/>
  <c r="X31" i="9"/>
  <c r="F7" i="11"/>
  <c r="F8" i="11" s="1"/>
  <c r="E7" i="11"/>
  <c r="E8" i="11" s="1"/>
  <c r="AG28" i="9"/>
  <c r="X28" i="9" s="1"/>
  <c r="M7" i="11"/>
  <c r="M8" i="11" s="1"/>
  <c r="O7" i="11"/>
  <c r="O8" i="11" s="1"/>
  <c r="N7" i="11"/>
  <c r="N8" i="11" s="1"/>
  <c r="P7" i="11"/>
  <c r="P8" i="11" s="1"/>
  <c r="H7" i="11"/>
  <c r="H8" i="11" s="1"/>
  <c r="G7" i="11"/>
  <c r="G8" i="11" s="1"/>
  <c r="J7" i="11"/>
  <c r="J8" i="11" s="1"/>
  <c r="I7" i="11"/>
  <c r="I8" i="11" s="1"/>
  <c r="L7" i="11"/>
  <c r="L8" i="11" s="1"/>
  <c r="N7" i="7"/>
  <c r="H7" i="7"/>
  <c r="R7" i="7"/>
  <c r="I7" i="7"/>
  <c r="J7" i="7"/>
  <c r="Q7" i="7"/>
  <c r="O7" i="7"/>
  <c r="X27" i="9"/>
  <c r="X25" i="9"/>
  <c r="X24" i="9"/>
  <c r="X29" i="9"/>
  <c r="P9" i="11" l="1"/>
  <c r="S8" i="7"/>
  <c r="S9" i="7" s="1"/>
  <c r="S27" i="7" s="1"/>
  <c r="K27" i="7"/>
  <c r="H8" i="10"/>
  <c r="H7" i="10" s="1"/>
  <c r="H11" i="11"/>
  <c r="H10" i="11" s="1"/>
  <c r="H9" i="11"/>
  <c r="J8" i="7"/>
  <c r="J9" i="7" s="1"/>
  <c r="J27" i="7" s="1"/>
  <c r="G9" i="11"/>
  <c r="I8" i="7"/>
  <c r="I9" i="7" s="1"/>
  <c r="F8" i="10" s="1"/>
  <c r="F7" i="10" s="1"/>
  <c r="F9" i="11"/>
  <c r="R8" i="7"/>
  <c r="R9" i="7" s="1"/>
  <c r="O11" i="11" s="1"/>
  <c r="O10" i="11" s="1"/>
  <c r="O9" i="11"/>
  <c r="L8" i="7"/>
  <c r="L9" i="7" s="1"/>
  <c r="L27" i="7" s="1"/>
  <c r="I9" i="11"/>
  <c r="H8" i="7"/>
  <c r="H9" i="7" s="1"/>
  <c r="H27" i="7" s="1"/>
  <c r="E9" i="11"/>
  <c r="M8" i="7"/>
  <c r="M9" i="7" s="1"/>
  <c r="J9" i="11"/>
  <c r="N8" i="7"/>
  <c r="N9" i="7" s="1"/>
  <c r="K8" i="10" s="1"/>
  <c r="K7" i="10" s="1"/>
  <c r="K9" i="11"/>
  <c r="O8" i="7"/>
  <c r="O9" i="7" s="1"/>
  <c r="O27" i="7" s="1"/>
  <c r="L9" i="11"/>
  <c r="Q8" i="7"/>
  <c r="Q9" i="7" s="1"/>
  <c r="Q27" i="7" s="1"/>
  <c r="N9" i="11"/>
  <c r="P7" i="7"/>
  <c r="M9" i="11" s="1"/>
  <c r="D7" i="11"/>
  <c r="D8" i="11" s="1"/>
  <c r="E66" i="8"/>
  <c r="E65" i="8"/>
  <c r="E62" i="8"/>
  <c r="E63" i="8"/>
  <c r="K56" i="10" l="1"/>
  <c r="K65" i="10"/>
  <c r="K63" i="10"/>
  <c r="K57" i="10"/>
  <c r="F57" i="10"/>
  <c r="F65" i="10"/>
  <c r="F63" i="10"/>
  <c r="H59" i="10"/>
  <c r="H65" i="10"/>
  <c r="H63" i="10"/>
  <c r="H57" i="10"/>
  <c r="H56" i="10"/>
  <c r="P8" i="10"/>
  <c r="P7" i="10" s="1"/>
  <c r="P59" i="10" s="1"/>
  <c r="P11" i="11"/>
  <c r="P10" i="11" s="1"/>
  <c r="N8" i="10"/>
  <c r="N7" i="10" s="1"/>
  <c r="O8" i="10"/>
  <c r="O7" i="10" s="1"/>
  <c r="R27" i="7"/>
  <c r="L11" i="11"/>
  <c r="L10" i="11" s="1"/>
  <c r="K59" i="10"/>
  <c r="I11" i="11"/>
  <c r="I10" i="11" s="1"/>
  <c r="I8" i="10"/>
  <c r="I7" i="10" s="1"/>
  <c r="M27" i="7"/>
  <c r="J11" i="11"/>
  <c r="J10" i="11" s="1"/>
  <c r="J8" i="10"/>
  <c r="J7" i="10" s="1"/>
  <c r="N11" i="11"/>
  <c r="N10" i="11" s="1"/>
  <c r="N27" i="7"/>
  <c r="L8" i="10"/>
  <c r="L7" i="10" s="1"/>
  <c r="P8" i="7"/>
  <c r="G8" i="7" s="1"/>
  <c r="K11" i="11"/>
  <c r="K10" i="11" s="1"/>
  <c r="F11" i="11"/>
  <c r="F10" i="11" s="1"/>
  <c r="I27" i="7"/>
  <c r="F56" i="10"/>
  <c r="F59" i="10"/>
  <c r="G8" i="10"/>
  <c r="G7" i="10" s="1"/>
  <c r="G11" i="11"/>
  <c r="G10" i="11" s="1"/>
  <c r="E11" i="11"/>
  <c r="E10" i="11" s="1"/>
  <c r="E8" i="10"/>
  <c r="E7" i="10" s="1"/>
  <c r="E65" i="10" s="1"/>
  <c r="E42" i="8"/>
  <c r="E46" i="8" s="1"/>
  <c r="E43" i="8"/>
  <c r="L65" i="10" l="1"/>
  <c r="L63" i="10"/>
  <c r="L57" i="10"/>
  <c r="N56" i="10"/>
  <c r="N57" i="10"/>
  <c r="N65" i="10"/>
  <c r="N63" i="10"/>
  <c r="J57" i="10"/>
  <c r="J65" i="10"/>
  <c r="J63" i="10"/>
  <c r="O59" i="10"/>
  <c r="O65" i="10"/>
  <c r="O63" i="10"/>
  <c r="O57" i="10"/>
  <c r="G65" i="10"/>
  <c r="G63" i="10"/>
  <c r="G57" i="10"/>
  <c r="I63" i="10"/>
  <c r="I57" i="10"/>
  <c r="I65" i="10"/>
  <c r="P65" i="10"/>
  <c r="P63" i="10"/>
  <c r="P57" i="10"/>
  <c r="E63" i="10"/>
  <c r="E57" i="10"/>
  <c r="P56" i="10"/>
  <c r="N59" i="10"/>
  <c r="O56" i="10"/>
  <c r="L56" i="10"/>
  <c r="L59" i="10"/>
  <c r="J56" i="10"/>
  <c r="J59" i="10"/>
  <c r="I59" i="10"/>
  <c r="I56" i="10"/>
  <c r="P9" i="7"/>
  <c r="P27" i="7" s="1"/>
  <c r="E59" i="10"/>
  <c r="E56" i="10"/>
  <c r="G56" i="10"/>
  <c r="G59" i="10"/>
  <c r="P14" i="3"/>
  <c r="P16" i="3"/>
  <c r="P15" i="3"/>
  <c r="P13" i="3"/>
  <c r="P11" i="3"/>
  <c r="P10" i="3"/>
  <c r="P9" i="3"/>
  <c r="P8" i="3"/>
  <c r="P6" i="3"/>
  <c r="M8" i="10" l="1"/>
  <c r="D8" i="10" s="1"/>
  <c r="M11" i="11"/>
  <c r="D11" i="11" s="1"/>
  <c r="P43" i="10"/>
  <c r="P44" i="11" s="1"/>
  <c r="H43" i="10"/>
  <c r="H44" i="11" s="1"/>
  <c r="O43" i="10"/>
  <c r="O44" i="11" s="1"/>
  <c r="G43" i="10"/>
  <c r="G44" i="11" s="1"/>
  <c r="N43" i="10"/>
  <c r="N44" i="11" s="1"/>
  <c r="F43" i="10"/>
  <c r="F44" i="11" s="1"/>
  <c r="M43" i="10"/>
  <c r="M44" i="11" s="1"/>
  <c r="E43" i="10"/>
  <c r="J43" i="10"/>
  <c r="J44" i="11" s="1"/>
  <c r="L43" i="10"/>
  <c r="L44" i="11" s="1"/>
  <c r="I43" i="10"/>
  <c r="I44" i="11" s="1"/>
  <c r="K43" i="10"/>
  <c r="K44" i="11" s="1"/>
  <c r="W7" i="3"/>
  <c r="O14" i="3"/>
  <c r="O13" i="3"/>
  <c r="O11" i="3"/>
  <c r="O10" i="3"/>
  <c r="O9" i="3"/>
  <c r="O8" i="3"/>
  <c r="O6" i="3"/>
  <c r="S26" i="7"/>
  <c r="R26" i="7"/>
  <c r="Q26" i="7"/>
  <c r="P26" i="7"/>
  <c r="O26" i="7"/>
  <c r="N26" i="7"/>
  <c r="M26" i="7"/>
  <c r="L26" i="7"/>
  <c r="K26" i="7"/>
  <c r="J26" i="7"/>
  <c r="I26" i="7"/>
  <c r="H26" i="7"/>
  <c r="S20" i="7"/>
  <c r="R20" i="7"/>
  <c r="Q20" i="7"/>
  <c r="P20" i="7"/>
  <c r="O20" i="7"/>
  <c r="N20" i="7"/>
  <c r="M20" i="7"/>
  <c r="L20" i="7"/>
  <c r="K20" i="7"/>
  <c r="J20" i="7"/>
  <c r="I20" i="7"/>
  <c r="H20" i="7"/>
  <c r="G9" i="7"/>
  <c r="E7" i="5" s="1"/>
  <c r="G21" i="7"/>
  <c r="G19" i="7"/>
  <c r="K7" i="5" s="1"/>
  <c r="G17" i="7"/>
  <c r="G16" i="7"/>
  <c r="G15" i="7"/>
  <c r="G14" i="7"/>
  <c r="G11" i="7"/>
  <c r="G10" i="7"/>
  <c r="N7" i="5" s="1"/>
  <c r="G7" i="7"/>
  <c r="D9" i="11" s="1"/>
  <c r="D27" i="7"/>
  <c r="M7" i="10" l="1"/>
  <c r="M10" i="11"/>
  <c r="G26" i="7"/>
  <c r="D43" i="10"/>
  <c r="E44" i="11"/>
  <c r="D44" i="11" s="1"/>
  <c r="G20" i="7"/>
  <c r="O12" i="7"/>
  <c r="L12" i="7"/>
  <c r="K12" i="7"/>
  <c r="R12" i="7"/>
  <c r="M12" i="7"/>
  <c r="N12" i="7"/>
  <c r="Q12" i="7"/>
  <c r="I12" i="7"/>
  <c r="S12" i="7"/>
  <c r="J12" i="7"/>
  <c r="H12" i="7"/>
  <c r="P12" i="7"/>
  <c r="M56" i="10" l="1"/>
  <c r="M63" i="10"/>
  <c r="M57" i="10"/>
  <c r="M65" i="10"/>
  <c r="M59" i="10"/>
  <c r="P13" i="7"/>
  <c r="N13" i="7"/>
  <c r="K13" i="7"/>
  <c r="O13" i="7"/>
  <c r="M13" i="7"/>
  <c r="L13" i="7"/>
  <c r="I13" i="7"/>
  <c r="R13" i="7"/>
  <c r="J13" i="7"/>
  <c r="S13" i="7"/>
  <c r="Q13" i="7"/>
  <c r="H13" i="7"/>
  <c r="G12" i="7"/>
  <c r="H7" i="5" l="1"/>
  <c r="H7" i="4" s="1"/>
  <c r="H101" i="4" s="1"/>
  <c r="H111" i="4" s="1"/>
  <c r="E40" i="11"/>
  <c r="G13" i="7"/>
  <c r="G27" i="7"/>
  <c r="E38" i="8" s="1"/>
  <c r="N80" i="4"/>
  <c r="N72" i="4"/>
  <c r="N71" i="4"/>
  <c r="N57" i="4"/>
  <c r="N56" i="4"/>
  <c r="N55" i="4"/>
  <c r="N54" i="4"/>
  <c r="N53" i="4"/>
  <c r="N42" i="4"/>
  <c r="N91" i="4"/>
  <c r="N90" i="4"/>
  <c r="N89" i="4"/>
  <c r="N88" i="4"/>
  <c r="N87" i="4"/>
  <c r="N86" i="4"/>
  <c r="N85" i="4"/>
  <c r="N84" i="4"/>
  <c r="N83" i="4"/>
  <c r="N81" i="4"/>
  <c r="N78" i="4"/>
  <c r="N77" i="4"/>
  <c r="N76" i="4"/>
  <c r="N75" i="4"/>
  <c r="N74" i="4"/>
  <c r="N73" i="4"/>
  <c r="N69" i="4"/>
  <c r="N68" i="4"/>
  <c r="N67" i="4"/>
  <c r="N66" i="4"/>
  <c r="N65" i="4"/>
  <c r="N63" i="4"/>
  <c r="N62" i="4"/>
  <c r="N61" i="4"/>
  <c r="N60" i="4"/>
  <c r="N59" i="4"/>
  <c r="N51" i="4"/>
  <c r="N50" i="4"/>
  <c r="N49" i="4"/>
  <c r="N48" i="4"/>
  <c r="N47" i="4"/>
  <c r="N46" i="4"/>
  <c r="N45" i="4"/>
  <c r="N44" i="4"/>
  <c r="N43" i="4"/>
  <c r="N40" i="4"/>
  <c r="N39" i="4"/>
  <c r="N38" i="4"/>
  <c r="N37" i="4"/>
  <c r="N34" i="4"/>
  <c r="N33" i="4"/>
  <c r="N32" i="4"/>
  <c r="N31" i="4"/>
  <c r="N30" i="4"/>
  <c r="O116" i="2"/>
  <c r="O115" i="2"/>
  <c r="L115" i="2"/>
  <c r="K115" i="2"/>
  <c r="I115" i="2"/>
  <c r="H115" i="2"/>
  <c r="E115" i="2"/>
  <c r="O114" i="2"/>
  <c r="O113" i="2"/>
  <c r="L113" i="2"/>
  <c r="I113" i="2"/>
  <c r="F113" i="2"/>
  <c r="O112" i="2"/>
  <c r="O111" i="2"/>
  <c r="N105" i="2"/>
  <c r="L105" i="2"/>
  <c r="K105" i="2"/>
  <c r="I105" i="2"/>
  <c r="H105" i="2"/>
  <c r="E105" i="2"/>
  <c r="O103" i="2"/>
  <c r="L101" i="2"/>
  <c r="L111" i="2" s="1"/>
  <c r="I101" i="2"/>
  <c r="F101" i="2"/>
  <c r="F111" i="2" s="1"/>
  <c r="L115" i="4"/>
  <c r="K115" i="4"/>
  <c r="M115" i="4" s="1"/>
  <c r="I115" i="4"/>
  <c r="H115" i="4"/>
  <c r="E115" i="4"/>
  <c r="G115" i="4" s="1"/>
  <c r="N105" i="4"/>
  <c r="O105" i="4" s="1"/>
  <c r="L105" i="4"/>
  <c r="K105" i="4"/>
  <c r="I105" i="4"/>
  <c r="H105" i="4"/>
  <c r="J105" i="4" s="1"/>
  <c r="E105" i="4"/>
  <c r="L113" i="4"/>
  <c r="I113" i="4"/>
  <c r="F113" i="4"/>
  <c r="L111" i="4"/>
  <c r="I111" i="4"/>
  <c r="F111" i="4"/>
  <c r="O116" i="4"/>
  <c r="O115" i="4"/>
  <c r="O114" i="4"/>
  <c r="O113" i="4"/>
  <c r="O112" i="4"/>
  <c r="O111" i="4"/>
  <c r="M105" i="4"/>
  <c r="G105" i="4"/>
  <c r="G36" i="3"/>
  <c r="G34" i="3"/>
  <c r="G32" i="3"/>
  <c r="G37" i="3"/>
  <c r="G35" i="3"/>
  <c r="G33" i="3"/>
  <c r="G31" i="3"/>
  <c r="F38" i="3"/>
  <c r="E38" i="3"/>
  <c r="N36" i="4"/>
  <c r="N10" i="4" s="1"/>
  <c r="O10" i="4" s="1"/>
  <c r="L36" i="4"/>
  <c r="K36" i="4"/>
  <c r="K36" i="2" s="1"/>
  <c r="M36" i="2" s="1"/>
  <c r="I36" i="4"/>
  <c r="H36" i="4"/>
  <c r="H10" i="4" s="1"/>
  <c r="F36" i="4"/>
  <c r="F36" i="2" s="1"/>
  <c r="F10" i="2" s="1"/>
  <c r="E36" i="4"/>
  <c r="E36" i="2" s="1"/>
  <c r="E10" i="2" s="1"/>
  <c r="N16" i="5"/>
  <c r="N14" i="5"/>
  <c r="N10" i="5"/>
  <c r="L16" i="5"/>
  <c r="K16" i="5"/>
  <c r="L14" i="5"/>
  <c r="K14" i="5"/>
  <c r="L11" i="5"/>
  <c r="K11" i="5"/>
  <c r="L10" i="5"/>
  <c r="K10" i="5"/>
  <c r="I17" i="5"/>
  <c r="H17" i="5"/>
  <c r="I16" i="5"/>
  <c r="H16" i="5"/>
  <c r="I14" i="5"/>
  <c r="H14" i="5"/>
  <c r="I13" i="5"/>
  <c r="H13" i="5"/>
  <c r="I11" i="5"/>
  <c r="I10" i="5"/>
  <c r="H10" i="5"/>
  <c r="F16" i="5"/>
  <c r="F14" i="5"/>
  <c r="F10" i="5"/>
  <c r="E16" i="5"/>
  <c r="E14" i="5"/>
  <c r="E11" i="5"/>
  <c r="E10" i="5"/>
  <c r="N7" i="4"/>
  <c r="N7" i="2" s="1"/>
  <c r="O7" i="2" s="1"/>
  <c r="L7" i="4"/>
  <c r="L7" i="2" s="1"/>
  <c r="K7" i="4"/>
  <c r="K7" i="2" s="1"/>
  <c r="K101" i="2" s="1"/>
  <c r="I7" i="4"/>
  <c r="I7" i="2" s="1"/>
  <c r="F7" i="4"/>
  <c r="F7" i="2" s="1"/>
  <c r="E7" i="4"/>
  <c r="E7" i="2" s="1"/>
  <c r="E101" i="2" s="1"/>
  <c r="T91" i="2"/>
  <c r="T90" i="2"/>
  <c r="T89" i="2"/>
  <c r="T88" i="2"/>
  <c r="T87" i="2"/>
  <c r="T86" i="2"/>
  <c r="T85" i="2"/>
  <c r="T84" i="2"/>
  <c r="T83" i="2"/>
  <c r="T81" i="2"/>
  <c r="T80" i="2"/>
  <c r="T78" i="2"/>
  <c r="T77" i="2"/>
  <c r="T76" i="2"/>
  <c r="T75" i="2"/>
  <c r="T74" i="2"/>
  <c r="T73" i="2"/>
  <c r="T72" i="2"/>
  <c r="T71" i="2"/>
  <c r="T69" i="2"/>
  <c r="T68" i="2"/>
  <c r="T67" i="2"/>
  <c r="T66" i="2"/>
  <c r="T65" i="2"/>
  <c r="T63" i="2"/>
  <c r="T62" i="2"/>
  <c r="T61" i="2"/>
  <c r="T60" i="2"/>
  <c r="T59" i="2"/>
  <c r="T57" i="2"/>
  <c r="T56" i="2"/>
  <c r="T55" i="2"/>
  <c r="T54" i="2"/>
  <c r="T53" i="2"/>
  <c r="T51" i="2"/>
  <c r="T50" i="2"/>
  <c r="T49" i="2"/>
  <c r="T48" i="2"/>
  <c r="T47" i="2"/>
  <c r="T46" i="2"/>
  <c r="T45" i="2"/>
  <c r="T44" i="2"/>
  <c r="T52" i="2" s="1"/>
  <c r="T43" i="2"/>
  <c r="T42" i="2"/>
  <c r="T40" i="2"/>
  <c r="T39" i="2"/>
  <c r="T38" i="2"/>
  <c r="T37" i="2"/>
  <c r="T41" i="2" s="1"/>
  <c r="T36" i="2"/>
  <c r="T34" i="2"/>
  <c r="T33" i="2"/>
  <c r="T32" i="2"/>
  <c r="T31" i="2"/>
  <c r="T30" i="2"/>
  <c r="W92" i="2"/>
  <c r="W82" i="2"/>
  <c r="W79" i="2"/>
  <c r="W70" i="2"/>
  <c r="W64" i="2"/>
  <c r="W58" i="2"/>
  <c r="W52" i="2"/>
  <c r="W41" i="2"/>
  <c r="W35" i="2"/>
  <c r="T82" i="2"/>
  <c r="T79" i="2"/>
  <c r="T70" i="2"/>
  <c r="T64" i="2"/>
  <c r="T58" i="2"/>
  <c r="T35" i="2"/>
  <c r="X92" i="2"/>
  <c r="X82" i="2"/>
  <c r="X79" i="2"/>
  <c r="X70" i="2"/>
  <c r="X64" i="2"/>
  <c r="X58" i="2"/>
  <c r="X52" i="2"/>
  <c r="X41" i="2"/>
  <c r="X35" i="2"/>
  <c r="V92" i="2"/>
  <c r="V82" i="2"/>
  <c r="V79" i="2"/>
  <c r="V70" i="2"/>
  <c r="V64" i="2"/>
  <c r="V58" i="2"/>
  <c r="V52" i="2"/>
  <c r="V41" i="2"/>
  <c r="V35" i="2"/>
  <c r="U92" i="2"/>
  <c r="U82" i="2"/>
  <c r="U79" i="2"/>
  <c r="U70" i="2"/>
  <c r="U64" i="2"/>
  <c r="U58" i="2"/>
  <c r="U52" i="2"/>
  <c r="U41" i="2"/>
  <c r="U35" i="2"/>
  <c r="L101" i="4"/>
  <c r="I101" i="4"/>
  <c r="F101" i="4"/>
  <c r="H23" i="3"/>
  <c r="G23" i="3"/>
  <c r="H22" i="3"/>
  <c r="G22" i="3"/>
  <c r="H19" i="3"/>
  <c r="G19" i="3"/>
  <c r="H103" i="2" s="1"/>
  <c r="H113" i="2" s="1"/>
  <c r="H18" i="3"/>
  <c r="G18" i="3"/>
  <c r="H17" i="3"/>
  <c r="G17" i="3"/>
  <c r="K103" i="2" s="1"/>
  <c r="K113" i="2" s="1"/>
  <c r="H16" i="3"/>
  <c r="G16" i="3"/>
  <c r="H15" i="3"/>
  <c r="G15" i="3"/>
  <c r="H14" i="3"/>
  <c r="G14" i="3"/>
  <c r="E103" i="2" s="1"/>
  <c r="E113" i="2" s="1"/>
  <c r="H13" i="3"/>
  <c r="G13" i="3"/>
  <c r="H11" i="3"/>
  <c r="G11" i="3"/>
  <c r="H10" i="3"/>
  <c r="G10" i="3"/>
  <c r="H9" i="3"/>
  <c r="G9" i="3"/>
  <c r="H8" i="3"/>
  <c r="G8" i="3"/>
  <c r="H7" i="3"/>
  <c r="G7" i="3"/>
  <c r="H6" i="3"/>
  <c r="G6" i="3"/>
  <c r="X8" i="3"/>
  <c r="W8" i="3"/>
  <c r="P20" i="3"/>
  <c r="O20" i="3"/>
  <c r="P12" i="3"/>
  <c r="O12" i="3"/>
  <c r="O103" i="4"/>
  <c r="T92" i="4"/>
  <c r="T82" i="4"/>
  <c r="T79" i="4"/>
  <c r="T70" i="4"/>
  <c r="T64" i="4"/>
  <c r="T58" i="4"/>
  <c r="T52" i="4"/>
  <c r="T41" i="4"/>
  <c r="T35" i="4"/>
  <c r="N92" i="5"/>
  <c r="L92" i="5"/>
  <c r="L20" i="5" s="1"/>
  <c r="K92" i="5"/>
  <c r="I92" i="5"/>
  <c r="I20" i="5" s="1"/>
  <c r="H92" i="5"/>
  <c r="F92" i="5"/>
  <c r="F20" i="5" s="1"/>
  <c r="E92" i="5"/>
  <c r="O91" i="5"/>
  <c r="M91" i="5"/>
  <c r="J91" i="5"/>
  <c r="G91" i="5"/>
  <c r="D91" i="5"/>
  <c r="O90" i="5"/>
  <c r="M90" i="5"/>
  <c r="J90" i="5"/>
  <c r="G90" i="5"/>
  <c r="D90" i="5"/>
  <c r="O89" i="5"/>
  <c r="M89" i="5"/>
  <c r="J89" i="5"/>
  <c r="G89" i="5"/>
  <c r="D89" i="5"/>
  <c r="O88" i="5"/>
  <c r="M88" i="5"/>
  <c r="J88" i="5"/>
  <c r="G88" i="5"/>
  <c r="D88" i="5"/>
  <c r="O87" i="5"/>
  <c r="M87" i="5"/>
  <c r="J87" i="5"/>
  <c r="G87" i="5"/>
  <c r="D87" i="5"/>
  <c r="O86" i="5"/>
  <c r="M86" i="5"/>
  <c r="J86" i="5"/>
  <c r="G86" i="5"/>
  <c r="D86" i="5"/>
  <c r="O85" i="5"/>
  <c r="M85" i="5"/>
  <c r="J85" i="5"/>
  <c r="G85" i="5"/>
  <c r="D85" i="5"/>
  <c r="O84" i="5"/>
  <c r="M84" i="5"/>
  <c r="J84" i="5"/>
  <c r="G84" i="5"/>
  <c r="D84" i="5"/>
  <c r="O83" i="5"/>
  <c r="M83" i="5"/>
  <c r="J83" i="5"/>
  <c r="G83" i="5"/>
  <c r="D83" i="5"/>
  <c r="N82" i="5"/>
  <c r="L82" i="5"/>
  <c r="L19" i="5" s="1"/>
  <c r="K82" i="5"/>
  <c r="I82" i="5"/>
  <c r="I19" i="5" s="1"/>
  <c r="H82" i="5"/>
  <c r="F82" i="5"/>
  <c r="F19" i="5" s="1"/>
  <c r="E82" i="5"/>
  <c r="O81" i="5"/>
  <c r="M81" i="5"/>
  <c r="J81" i="5"/>
  <c r="G81" i="5"/>
  <c r="D81" i="5"/>
  <c r="O80" i="5"/>
  <c r="M80" i="5"/>
  <c r="J80" i="5"/>
  <c r="G80" i="5"/>
  <c r="D80" i="5"/>
  <c r="N79" i="5"/>
  <c r="L79" i="5"/>
  <c r="K79" i="5"/>
  <c r="I79" i="5"/>
  <c r="H79" i="5"/>
  <c r="F79" i="5"/>
  <c r="E79" i="5"/>
  <c r="O78" i="5"/>
  <c r="M78" i="5"/>
  <c r="J78" i="5"/>
  <c r="G78" i="5"/>
  <c r="D78" i="5"/>
  <c r="O77" i="5"/>
  <c r="M77" i="5"/>
  <c r="J77" i="5"/>
  <c r="G77" i="5"/>
  <c r="D77" i="5"/>
  <c r="O76" i="5"/>
  <c r="D76" i="5" s="1"/>
  <c r="M76" i="5"/>
  <c r="J76" i="5"/>
  <c r="G76" i="5"/>
  <c r="O75" i="5"/>
  <c r="M75" i="5"/>
  <c r="J75" i="5"/>
  <c r="G75" i="5"/>
  <c r="D75" i="5"/>
  <c r="O74" i="5"/>
  <c r="M74" i="5"/>
  <c r="J74" i="5"/>
  <c r="G74" i="5"/>
  <c r="D74" i="5"/>
  <c r="O73" i="5"/>
  <c r="M73" i="5"/>
  <c r="J73" i="5"/>
  <c r="G73" i="5"/>
  <c r="D73" i="5"/>
  <c r="O72" i="5"/>
  <c r="M72" i="5"/>
  <c r="J72" i="5"/>
  <c r="G72" i="5"/>
  <c r="D72" i="5"/>
  <c r="O71" i="5"/>
  <c r="M71" i="5"/>
  <c r="J71" i="5"/>
  <c r="G71" i="5"/>
  <c r="D71" i="5"/>
  <c r="N70" i="5"/>
  <c r="L70" i="5"/>
  <c r="L17" i="5" s="1"/>
  <c r="K70" i="5"/>
  <c r="I70" i="5"/>
  <c r="H70" i="5"/>
  <c r="J70" i="5" s="1"/>
  <c r="F70" i="5"/>
  <c r="F17" i="5" s="1"/>
  <c r="E70" i="5"/>
  <c r="O69" i="5"/>
  <c r="M69" i="5"/>
  <c r="J69" i="5"/>
  <c r="G69" i="5"/>
  <c r="D69" i="5"/>
  <c r="O68" i="5"/>
  <c r="M68" i="5"/>
  <c r="J68" i="5"/>
  <c r="G68" i="5"/>
  <c r="D68" i="5"/>
  <c r="O67" i="5"/>
  <c r="M67" i="5"/>
  <c r="J67" i="5"/>
  <c r="G67" i="5"/>
  <c r="D67" i="5"/>
  <c r="O66" i="5"/>
  <c r="M66" i="5"/>
  <c r="J66" i="5"/>
  <c r="G66" i="5"/>
  <c r="D66" i="5"/>
  <c r="O65" i="5"/>
  <c r="M65" i="5"/>
  <c r="J65" i="5"/>
  <c r="G65" i="5"/>
  <c r="D65" i="5"/>
  <c r="N64" i="5"/>
  <c r="L64" i="5"/>
  <c r="L15" i="5" s="1"/>
  <c r="K64" i="5"/>
  <c r="I64" i="5"/>
  <c r="I15" i="5" s="1"/>
  <c r="H64" i="5"/>
  <c r="F64" i="5"/>
  <c r="F15" i="5" s="1"/>
  <c r="E64" i="5"/>
  <c r="O63" i="5"/>
  <c r="M63" i="5"/>
  <c r="J63" i="5"/>
  <c r="D63" i="5" s="1"/>
  <c r="G63" i="5"/>
  <c r="O62" i="5"/>
  <c r="M62" i="5"/>
  <c r="J62" i="5"/>
  <c r="G62" i="5"/>
  <c r="D62" i="5"/>
  <c r="O61" i="5"/>
  <c r="M61" i="5"/>
  <c r="J61" i="5"/>
  <c r="G61" i="5"/>
  <c r="D61" i="5"/>
  <c r="O60" i="5"/>
  <c r="M60" i="5"/>
  <c r="J60" i="5"/>
  <c r="G60" i="5"/>
  <c r="D60" i="5"/>
  <c r="O59" i="5"/>
  <c r="M59" i="5"/>
  <c r="J59" i="5"/>
  <c r="G59" i="5"/>
  <c r="D59" i="5"/>
  <c r="N58" i="5"/>
  <c r="L58" i="5"/>
  <c r="L13" i="5" s="1"/>
  <c r="K58" i="5"/>
  <c r="I58" i="5"/>
  <c r="H58" i="5"/>
  <c r="J58" i="5" s="1"/>
  <c r="F58" i="5"/>
  <c r="F13" i="5" s="1"/>
  <c r="E58" i="5"/>
  <c r="O57" i="5"/>
  <c r="M57" i="5"/>
  <c r="J57" i="5"/>
  <c r="G57" i="5"/>
  <c r="D57" i="5"/>
  <c r="O56" i="5"/>
  <c r="M56" i="5"/>
  <c r="J56" i="5"/>
  <c r="G56" i="5"/>
  <c r="D56" i="5"/>
  <c r="O55" i="5"/>
  <c r="M55" i="5"/>
  <c r="J55" i="5"/>
  <c r="G55" i="5"/>
  <c r="D55" i="5"/>
  <c r="O54" i="5"/>
  <c r="M54" i="5"/>
  <c r="J54" i="5"/>
  <c r="G54" i="5"/>
  <c r="D54" i="5"/>
  <c r="O53" i="5"/>
  <c r="M53" i="5"/>
  <c r="J53" i="5"/>
  <c r="G53" i="5"/>
  <c r="D53" i="5"/>
  <c r="N52" i="5"/>
  <c r="L52" i="5"/>
  <c r="L12" i="5" s="1"/>
  <c r="K52" i="5"/>
  <c r="I52" i="5"/>
  <c r="I12" i="5" s="1"/>
  <c r="H52" i="5"/>
  <c r="F52" i="5"/>
  <c r="F12" i="5" s="1"/>
  <c r="E52" i="5"/>
  <c r="O51" i="5"/>
  <c r="M51" i="5"/>
  <c r="J51" i="5"/>
  <c r="G51" i="5"/>
  <c r="D51" i="5"/>
  <c r="O50" i="5"/>
  <c r="M50" i="5"/>
  <c r="J50" i="5"/>
  <c r="G50" i="5"/>
  <c r="D50" i="5" s="1"/>
  <c r="O49" i="5"/>
  <c r="M49" i="5"/>
  <c r="J49" i="5"/>
  <c r="G49" i="5"/>
  <c r="D49" i="5"/>
  <c r="O48" i="5"/>
  <c r="M48" i="5"/>
  <c r="J48" i="5"/>
  <c r="G48" i="5"/>
  <c r="D48" i="5"/>
  <c r="O47" i="5"/>
  <c r="M47" i="5"/>
  <c r="J47" i="5"/>
  <c r="G47" i="5"/>
  <c r="D47" i="5"/>
  <c r="O46" i="5"/>
  <c r="M46" i="5"/>
  <c r="J46" i="5"/>
  <c r="G46" i="5"/>
  <c r="D46" i="5"/>
  <c r="O45" i="5"/>
  <c r="M45" i="5"/>
  <c r="J45" i="5"/>
  <c r="G45" i="5"/>
  <c r="D45" i="5"/>
  <c r="O44" i="5"/>
  <c r="M44" i="5"/>
  <c r="J44" i="5"/>
  <c r="G44" i="5"/>
  <c r="D44" i="5"/>
  <c r="O43" i="5"/>
  <c r="M43" i="5"/>
  <c r="J43" i="5"/>
  <c r="G43" i="5"/>
  <c r="D43" i="5"/>
  <c r="O42" i="5"/>
  <c r="M42" i="5"/>
  <c r="J42" i="5"/>
  <c r="G42" i="5"/>
  <c r="D42" i="5"/>
  <c r="N41" i="5"/>
  <c r="L41" i="5"/>
  <c r="K41" i="5"/>
  <c r="M41" i="5" s="1"/>
  <c r="I41" i="5"/>
  <c r="H41" i="5"/>
  <c r="F41" i="5"/>
  <c r="F11" i="5" s="1"/>
  <c r="G11" i="5" s="1"/>
  <c r="E41" i="5"/>
  <c r="G41" i="5" s="1"/>
  <c r="O40" i="5"/>
  <c r="M40" i="5"/>
  <c r="J40" i="5"/>
  <c r="G40" i="5"/>
  <c r="D40" i="5"/>
  <c r="O39" i="5"/>
  <c r="M39" i="5"/>
  <c r="J39" i="5"/>
  <c r="G39" i="5"/>
  <c r="D39" i="5"/>
  <c r="O38" i="5"/>
  <c r="M38" i="5"/>
  <c r="J38" i="5"/>
  <c r="G38" i="5"/>
  <c r="D38" i="5"/>
  <c r="O37" i="5"/>
  <c r="M37" i="5"/>
  <c r="J37" i="5"/>
  <c r="G37" i="5"/>
  <c r="D37" i="5"/>
  <c r="O36" i="5"/>
  <c r="M36" i="5"/>
  <c r="J36" i="5"/>
  <c r="G36" i="5"/>
  <c r="D36" i="5"/>
  <c r="N35" i="5"/>
  <c r="L35" i="5"/>
  <c r="L9" i="5" s="1"/>
  <c r="K35" i="5"/>
  <c r="I35" i="5"/>
  <c r="I9" i="5" s="1"/>
  <c r="H35" i="5"/>
  <c r="F35" i="5"/>
  <c r="F9" i="5" s="1"/>
  <c r="E35" i="5"/>
  <c r="O34" i="5"/>
  <c r="M34" i="5"/>
  <c r="J34" i="5"/>
  <c r="G34" i="5"/>
  <c r="D34" i="5"/>
  <c r="O33" i="5"/>
  <c r="M33" i="5"/>
  <c r="J33" i="5"/>
  <c r="G33" i="5"/>
  <c r="D33" i="5"/>
  <c r="O32" i="5"/>
  <c r="M32" i="5"/>
  <c r="J32" i="5"/>
  <c r="G32" i="5"/>
  <c r="D32" i="5"/>
  <c r="O31" i="5"/>
  <c r="M31" i="5"/>
  <c r="J31" i="5"/>
  <c r="G31" i="5"/>
  <c r="D31" i="5"/>
  <c r="O30" i="5"/>
  <c r="M30" i="5"/>
  <c r="J30" i="5"/>
  <c r="G30" i="5"/>
  <c r="D30" i="5"/>
  <c r="J17" i="5"/>
  <c r="O16" i="5"/>
  <c r="M16" i="5"/>
  <c r="J16" i="5"/>
  <c r="G16" i="5"/>
  <c r="O14" i="5"/>
  <c r="M14" i="5"/>
  <c r="J14" i="5"/>
  <c r="G14" i="5"/>
  <c r="J13" i="5"/>
  <c r="M11" i="5"/>
  <c r="O10" i="5"/>
  <c r="M10" i="5"/>
  <c r="J10" i="5"/>
  <c r="O7" i="5"/>
  <c r="M7" i="5"/>
  <c r="G7" i="5"/>
  <c r="G36" i="2"/>
  <c r="T92" i="2" l="1"/>
  <c r="G101" i="2"/>
  <c r="D16" i="5"/>
  <c r="D14" i="5"/>
  <c r="L36" i="2"/>
  <c r="L10" i="2" s="1"/>
  <c r="L10" i="4"/>
  <c r="I36" i="2"/>
  <c r="I10" i="2" s="1"/>
  <c r="J36" i="4"/>
  <c r="N20" i="5"/>
  <c r="O20" i="5" s="1"/>
  <c r="O92" i="5"/>
  <c r="K20" i="5"/>
  <c r="M20" i="5" s="1"/>
  <c r="M92" i="5"/>
  <c r="J92" i="5"/>
  <c r="H20" i="5"/>
  <c r="J20" i="5" s="1"/>
  <c r="G92" i="5"/>
  <c r="D92" i="5" s="1"/>
  <c r="E20" i="5"/>
  <c r="G20" i="5" s="1"/>
  <c r="N19" i="5"/>
  <c r="O19" i="5" s="1"/>
  <c r="O82" i="5"/>
  <c r="K19" i="5"/>
  <c r="M19" i="5" s="1"/>
  <c r="M82" i="5"/>
  <c r="J82" i="5"/>
  <c r="H19" i="5"/>
  <c r="J19" i="5" s="1"/>
  <c r="E19" i="5"/>
  <c r="G19" i="5" s="1"/>
  <c r="G82" i="5"/>
  <c r="D82" i="5" s="1"/>
  <c r="N93" i="5"/>
  <c r="O93" i="5" s="1"/>
  <c r="N18" i="5"/>
  <c r="O18" i="5" s="1"/>
  <c r="O79" i="5"/>
  <c r="L93" i="5"/>
  <c r="L18" i="5"/>
  <c r="L8" i="5" s="1"/>
  <c r="L21" i="5" s="1"/>
  <c r="L22" i="5" s="1"/>
  <c r="K18" i="5"/>
  <c r="M18" i="5" s="1"/>
  <c r="M79" i="5"/>
  <c r="K93" i="5"/>
  <c r="I18" i="5"/>
  <c r="I8" i="5" s="1"/>
  <c r="I21" i="5" s="1"/>
  <c r="I22" i="5" s="1"/>
  <c r="I93" i="5"/>
  <c r="H18" i="5"/>
  <c r="J18" i="5" s="1"/>
  <c r="J79" i="5"/>
  <c r="H93" i="5"/>
  <c r="F18" i="5"/>
  <c r="F8" i="5" s="1"/>
  <c r="F21" i="5" s="1"/>
  <c r="F22" i="5" s="1"/>
  <c r="F93" i="5"/>
  <c r="E93" i="5"/>
  <c r="G93" i="5" s="1"/>
  <c r="G79" i="5"/>
  <c r="D79" i="5" s="1"/>
  <c r="E18" i="5"/>
  <c r="O70" i="5"/>
  <c r="N17" i="5"/>
  <c r="O17" i="5" s="1"/>
  <c r="K17" i="5"/>
  <c r="M17" i="5" s="1"/>
  <c r="M70" i="5"/>
  <c r="E17" i="5"/>
  <c r="G17" i="5" s="1"/>
  <c r="G70" i="5"/>
  <c r="D70" i="5" s="1"/>
  <c r="O64" i="5"/>
  <c r="N15" i="5"/>
  <c r="O15" i="5" s="1"/>
  <c r="K15" i="5"/>
  <c r="M15" i="5" s="1"/>
  <c r="M64" i="5"/>
  <c r="J64" i="5"/>
  <c r="H15" i="5"/>
  <c r="J15" i="5" s="1"/>
  <c r="E15" i="5"/>
  <c r="G15" i="5" s="1"/>
  <c r="G64" i="5"/>
  <c r="D64" i="5" s="1"/>
  <c r="N13" i="5"/>
  <c r="O13" i="5" s="1"/>
  <c r="O58" i="5"/>
  <c r="K13" i="5"/>
  <c r="M13" i="5" s="1"/>
  <c r="M58" i="5"/>
  <c r="E13" i="5"/>
  <c r="G13" i="5" s="1"/>
  <c r="D13" i="5" s="1"/>
  <c r="G58" i="5"/>
  <c r="D58" i="5" s="1"/>
  <c r="N12" i="5"/>
  <c r="O12" i="5" s="1"/>
  <c r="O52" i="5"/>
  <c r="M52" i="5"/>
  <c r="K12" i="5"/>
  <c r="M12" i="5" s="1"/>
  <c r="H12" i="5"/>
  <c r="J52" i="5"/>
  <c r="E12" i="5"/>
  <c r="G12" i="5" s="1"/>
  <c r="G52" i="5"/>
  <c r="D52" i="5" s="1"/>
  <c r="N11" i="5"/>
  <c r="O11" i="5" s="1"/>
  <c r="O41" i="5"/>
  <c r="H11" i="5"/>
  <c r="J41" i="5"/>
  <c r="D41" i="5" s="1"/>
  <c r="N9" i="5"/>
  <c r="O35" i="5"/>
  <c r="K9" i="5"/>
  <c r="M35" i="5"/>
  <c r="H9" i="5"/>
  <c r="J9" i="5" s="1"/>
  <c r="J35" i="5"/>
  <c r="E9" i="5"/>
  <c r="G35" i="5"/>
  <c r="E36" i="8"/>
  <c r="E30" i="8"/>
  <c r="J7" i="5"/>
  <c r="O7" i="4"/>
  <c r="O66" i="11"/>
  <c r="O60" i="11"/>
  <c r="H66" i="11"/>
  <c r="H60" i="11"/>
  <c r="H58" i="11"/>
  <c r="H57" i="11"/>
  <c r="I66" i="11"/>
  <c r="N66" i="11"/>
  <c r="N57" i="11"/>
  <c r="N58" i="11"/>
  <c r="G66" i="11"/>
  <c r="F66" i="11"/>
  <c r="F60" i="11"/>
  <c r="F57" i="11"/>
  <c r="F58" i="11"/>
  <c r="M66" i="11"/>
  <c r="L66" i="11"/>
  <c r="L58" i="11"/>
  <c r="L60" i="11"/>
  <c r="L57" i="11"/>
  <c r="K66" i="11"/>
  <c r="K57" i="11"/>
  <c r="J66" i="11"/>
  <c r="J58" i="11"/>
  <c r="J60" i="11"/>
  <c r="J57" i="11"/>
  <c r="P66" i="11"/>
  <c r="O11" i="10"/>
  <c r="O40" i="11"/>
  <c r="O14" i="11" s="1"/>
  <c r="G11" i="10"/>
  <c r="G40" i="11"/>
  <c r="G14" i="11" s="1"/>
  <c r="K11" i="10"/>
  <c r="K40" i="11"/>
  <c r="K14" i="11" s="1"/>
  <c r="N11" i="10"/>
  <c r="N40" i="11"/>
  <c r="N14" i="11" s="1"/>
  <c r="H11" i="10"/>
  <c r="H40" i="11"/>
  <c r="H14" i="11" s="1"/>
  <c r="P11" i="10"/>
  <c r="P40" i="11"/>
  <c r="P14" i="11" s="1"/>
  <c r="F11" i="10"/>
  <c r="F40" i="11"/>
  <c r="F14" i="11" s="1"/>
  <c r="M11" i="10"/>
  <c r="M40" i="11"/>
  <c r="M14" i="11" s="1"/>
  <c r="J11" i="10"/>
  <c r="J40" i="11"/>
  <c r="J14" i="11" s="1"/>
  <c r="I11" i="10"/>
  <c r="I40" i="11"/>
  <c r="I14" i="11" s="1"/>
  <c r="L11" i="10"/>
  <c r="L40" i="11"/>
  <c r="L14" i="11" s="1"/>
  <c r="O57" i="11"/>
  <c r="O86" i="10"/>
  <c r="O87" i="11" s="1"/>
  <c r="O88" i="10"/>
  <c r="O89" i="11" s="1"/>
  <c r="O58" i="11"/>
  <c r="O42" i="10"/>
  <c r="O43" i="11" s="1"/>
  <c r="O68" i="10"/>
  <c r="O91" i="10"/>
  <c r="O92" i="11" s="1"/>
  <c r="O64" i="10"/>
  <c r="O65" i="11" s="1"/>
  <c r="O64" i="11"/>
  <c r="O62" i="10"/>
  <c r="O87" i="10"/>
  <c r="O88" i="11" s="1"/>
  <c r="L42" i="10"/>
  <c r="L43" i="11" s="1"/>
  <c r="L64" i="11"/>
  <c r="L62" i="10"/>
  <c r="L91" i="10"/>
  <c r="L92" i="11" s="1"/>
  <c r="L88" i="10"/>
  <c r="L89" i="11" s="1"/>
  <c r="L68" i="10"/>
  <c r="L64" i="10"/>
  <c r="L65" i="11" s="1"/>
  <c r="L86" i="10"/>
  <c r="L87" i="11" s="1"/>
  <c r="L87" i="10"/>
  <c r="L88" i="11" s="1"/>
  <c r="K64" i="11"/>
  <c r="K64" i="10"/>
  <c r="K65" i="11" s="1"/>
  <c r="K91" i="10"/>
  <c r="K92" i="11" s="1"/>
  <c r="K88" i="10"/>
  <c r="K89" i="11" s="1"/>
  <c r="K86" i="10"/>
  <c r="K87" i="11" s="1"/>
  <c r="K68" i="10"/>
  <c r="K42" i="10"/>
  <c r="K43" i="11" s="1"/>
  <c r="K60" i="11"/>
  <c r="K87" i="10"/>
  <c r="K88" i="11" s="1"/>
  <c r="K62" i="10"/>
  <c r="K58" i="11"/>
  <c r="N62" i="10"/>
  <c r="N87" i="10"/>
  <c r="N88" i="11" s="1"/>
  <c r="N91" i="10"/>
  <c r="N92" i="11" s="1"/>
  <c r="N60" i="11"/>
  <c r="N86" i="10"/>
  <c r="N87" i="11" s="1"/>
  <c r="N68" i="10"/>
  <c r="N64" i="10"/>
  <c r="N65" i="11" s="1"/>
  <c r="N88" i="10"/>
  <c r="N89" i="11" s="1"/>
  <c r="N42" i="10"/>
  <c r="N43" i="11" s="1"/>
  <c r="H91" i="10"/>
  <c r="H92" i="11" s="1"/>
  <c r="H64" i="11"/>
  <c r="H62" i="10"/>
  <c r="H86" i="10"/>
  <c r="H87" i="11" s="1"/>
  <c r="H87" i="10"/>
  <c r="H88" i="11" s="1"/>
  <c r="H64" i="10"/>
  <c r="H65" i="11" s="1"/>
  <c r="H88" i="10"/>
  <c r="H89" i="11" s="1"/>
  <c r="H68" i="10"/>
  <c r="H42" i="10"/>
  <c r="H43" i="11" s="1"/>
  <c r="P88" i="10"/>
  <c r="P89" i="11" s="1"/>
  <c r="P86" i="10"/>
  <c r="P87" i="11" s="1"/>
  <c r="P87" i="10"/>
  <c r="P88" i="11" s="1"/>
  <c r="P64" i="11"/>
  <c r="P42" i="10"/>
  <c r="P43" i="11" s="1"/>
  <c r="P62" i="10"/>
  <c r="P68" i="10"/>
  <c r="P91" i="10"/>
  <c r="P92" i="11" s="1"/>
  <c r="P57" i="11"/>
  <c r="P58" i="11"/>
  <c r="P64" i="10"/>
  <c r="P65" i="11" s="1"/>
  <c r="P60" i="11"/>
  <c r="F42" i="10"/>
  <c r="F43" i="11" s="1"/>
  <c r="F68" i="10"/>
  <c r="F64" i="11"/>
  <c r="F87" i="10"/>
  <c r="F88" i="11" s="1"/>
  <c r="F86" i="10"/>
  <c r="F87" i="11" s="1"/>
  <c r="F91" i="10"/>
  <c r="F92" i="11" s="1"/>
  <c r="F62" i="10"/>
  <c r="F88" i="10"/>
  <c r="F89" i="11" s="1"/>
  <c r="F64" i="10"/>
  <c r="F65" i="11" s="1"/>
  <c r="E14" i="11"/>
  <c r="I64" i="10"/>
  <c r="I65" i="11" s="1"/>
  <c r="I58" i="11"/>
  <c r="I87" i="10"/>
  <c r="I88" i="11" s="1"/>
  <c r="I86" i="10"/>
  <c r="I87" i="11" s="1"/>
  <c r="I91" i="10"/>
  <c r="I92" i="11" s="1"/>
  <c r="I88" i="10"/>
  <c r="I89" i="11" s="1"/>
  <c r="I68" i="10"/>
  <c r="I62" i="10"/>
  <c r="I60" i="11"/>
  <c r="I57" i="11"/>
  <c r="I42" i="10"/>
  <c r="I43" i="11" s="1"/>
  <c r="M88" i="10"/>
  <c r="M89" i="11" s="1"/>
  <c r="M62" i="10"/>
  <c r="M57" i="11"/>
  <c r="M60" i="11"/>
  <c r="M58" i="11"/>
  <c r="M87" i="10"/>
  <c r="M88" i="11" s="1"/>
  <c r="M68" i="10"/>
  <c r="M64" i="11"/>
  <c r="M42" i="10"/>
  <c r="M43" i="11" s="1"/>
  <c r="M64" i="10"/>
  <c r="M86" i="10"/>
  <c r="M87" i="11" s="1"/>
  <c r="M91" i="10"/>
  <c r="M92" i="11" s="1"/>
  <c r="J64" i="10"/>
  <c r="J65" i="11" s="1"/>
  <c r="J68" i="10"/>
  <c r="J87" i="10"/>
  <c r="J88" i="11" s="1"/>
  <c r="J91" i="10"/>
  <c r="J92" i="11" s="1"/>
  <c r="J42" i="10"/>
  <c r="J43" i="11" s="1"/>
  <c r="J64" i="11"/>
  <c r="J86" i="10"/>
  <c r="J87" i="11" s="1"/>
  <c r="J88" i="10"/>
  <c r="J89" i="11" s="1"/>
  <c r="J62" i="10"/>
  <c r="G62" i="10"/>
  <c r="G86" i="10"/>
  <c r="G87" i="11" s="1"/>
  <c r="G60" i="11"/>
  <c r="G42" i="10"/>
  <c r="G43" i="11" s="1"/>
  <c r="G58" i="11"/>
  <c r="G64" i="11"/>
  <c r="G87" i="10"/>
  <c r="G88" i="11" s="1"/>
  <c r="G64" i="10"/>
  <c r="G65" i="11" s="1"/>
  <c r="G91" i="10"/>
  <c r="G92" i="11" s="1"/>
  <c r="G68" i="10"/>
  <c r="G88" i="10"/>
  <c r="G89" i="11" s="1"/>
  <c r="G57" i="11"/>
  <c r="E11" i="10"/>
  <c r="D39" i="10"/>
  <c r="N101" i="2"/>
  <c r="O101" i="2" s="1"/>
  <c r="N101" i="4"/>
  <c r="O101" i="4" s="1"/>
  <c r="K111" i="2"/>
  <c r="M111" i="2" s="1"/>
  <c r="M101" i="2"/>
  <c r="K101" i="4"/>
  <c r="H103" i="4"/>
  <c r="H113" i="4" s="1"/>
  <c r="J113" i="4" s="1"/>
  <c r="E15" i="8"/>
  <c r="E41" i="8"/>
  <c r="E64" i="8"/>
  <c r="E37" i="8"/>
  <c r="E60" i="8"/>
  <c r="E29" i="8"/>
  <c r="E61" i="8"/>
  <c r="E32" i="8"/>
  <c r="E59" i="8"/>
  <c r="E35" i="8"/>
  <c r="D105" i="4"/>
  <c r="N106" i="4" s="1"/>
  <c r="O106" i="4" s="1"/>
  <c r="K103" i="4"/>
  <c r="K113" i="4" s="1"/>
  <c r="M113" i="4" s="1"/>
  <c r="J115" i="2"/>
  <c r="H12" i="3"/>
  <c r="O21" i="3"/>
  <c r="E27" i="8" s="1"/>
  <c r="G24" i="3"/>
  <c r="E103" i="4"/>
  <c r="E113" i="4" s="1"/>
  <c r="G113" i="4" s="1"/>
  <c r="M105" i="2"/>
  <c r="H24" i="3"/>
  <c r="G113" i="2"/>
  <c r="M113" i="2"/>
  <c r="J103" i="2"/>
  <c r="E111" i="2"/>
  <c r="M103" i="2"/>
  <c r="G105" i="2"/>
  <c r="O105" i="2"/>
  <c r="J113" i="2"/>
  <c r="M115" i="2"/>
  <c r="I111" i="2"/>
  <c r="J105" i="2"/>
  <c r="G115" i="2"/>
  <c r="G103" i="2"/>
  <c r="J115" i="4"/>
  <c r="O55" i="4"/>
  <c r="O80" i="4"/>
  <c r="O72" i="4"/>
  <c r="O71" i="4"/>
  <c r="O57" i="4"/>
  <c r="O56" i="4"/>
  <c r="O54" i="4"/>
  <c r="O53" i="4"/>
  <c r="G7" i="4"/>
  <c r="K10" i="4"/>
  <c r="G36" i="4"/>
  <c r="H36" i="2"/>
  <c r="H10" i="2" s="1"/>
  <c r="M36" i="4"/>
  <c r="K10" i="2"/>
  <c r="E10" i="4"/>
  <c r="F10" i="4"/>
  <c r="M10" i="2"/>
  <c r="M7" i="2"/>
  <c r="J7" i="4"/>
  <c r="G10" i="2"/>
  <c r="M7" i="4"/>
  <c r="N36" i="2"/>
  <c r="I10" i="4"/>
  <c r="J10" i="4" s="1"/>
  <c r="J36" i="2"/>
  <c r="E101" i="4"/>
  <c r="D115" i="4"/>
  <c r="J10" i="2"/>
  <c r="G38" i="3"/>
  <c r="G12" i="3"/>
  <c r="H20" i="3"/>
  <c r="G20" i="3"/>
  <c r="O36" i="4"/>
  <c r="M10" i="4"/>
  <c r="D36" i="4"/>
  <c r="D7" i="5"/>
  <c r="H7" i="2"/>
  <c r="H101" i="2" s="1"/>
  <c r="H111" i="2" s="1"/>
  <c r="J111" i="2" s="1"/>
  <c r="J101" i="4"/>
  <c r="G7" i="2"/>
  <c r="T93" i="4"/>
  <c r="D19" i="5"/>
  <c r="J11" i="5"/>
  <c r="D11" i="5" s="1"/>
  <c r="D20" i="5"/>
  <c r="G10" i="5"/>
  <c r="D10" i="5" s="1"/>
  <c r="J12" i="5"/>
  <c r="D12" i="5" s="1"/>
  <c r="T93" i="2"/>
  <c r="U93" i="2"/>
  <c r="V93" i="2"/>
  <c r="X93" i="2"/>
  <c r="W93" i="2"/>
  <c r="P21" i="3"/>
  <c r="E51" i="8" s="1"/>
  <c r="E55" i="8" s="1"/>
  <c r="N8" i="5" l="1"/>
  <c r="O9" i="5"/>
  <c r="M9" i="5"/>
  <c r="K8" i="5"/>
  <c r="G9" i="5"/>
  <c r="D9" i="5" s="1"/>
  <c r="E8" i="5"/>
  <c r="M93" i="5"/>
  <c r="J93" i="5"/>
  <c r="D93" i="5" s="1"/>
  <c r="G18" i="5"/>
  <c r="D18" i="5" s="1"/>
  <c r="D17" i="5"/>
  <c r="D15" i="5"/>
  <c r="H8" i="5"/>
  <c r="D35" i="5"/>
  <c r="O96" i="11"/>
  <c r="O24" i="11" s="1"/>
  <c r="L68" i="11"/>
  <c r="L19" i="11" s="1"/>
  <c r="G68" i="11"/>
  <c r="G19" i="11" s="1"/>
  <c r="H68" i="11"/>
  <c r="H19" i="11" s="1"/>
  <c r="D7" i="4"/>
  <c r="K62" i="11"/>
  <c r="K17" i="11" s="1"/>
  <c r="L15" i="10"/>
  <c r="L63" i="11"/>
  <c r="L18" i="11" s="1"/>
  <c r="J15" i="10"/>
  <c r="J63" i="11"/>
  <c r="J18" i="11" s="1"/>
  <c r="I15" i="10"/>
  <c r="I63" i="11"/>
  <c r="I18" i="11" s="1"/>
  <c r="O17" i="10"/>
  <c r="O69" i="11"/>
  <c r="O20" i="11" s="1"/>
  <c r="H17" i="10"/>
  <c r="H69" i="11"/>
  <c r="H20" i="11" s="1"/>
  <c r="K15" i="10"/>
  <c r="K63" i="11"/>
  <c r="K18" i="11" s="1"/>
  <c r="N67" i="10"/>
  <c r="N16" i="10" s="1"/>
  <c r="N64" i="11"/>
  <c r="N68" i="11" s="1"/>
  <c r="N19" i="11" s="1"/>
  <c r="D11" i="10"/>
  <c r="J17" i="10"/>
  <c r="J69" i="11"/>
  <c r="J20" i="11" s="1"/>
  <c r="I17" i="10"/>
  <c r="I69" i="11"/>
  <c r="I20" i="11" s="1"/>
  <c r="D40" i="11"/>
  <c r="P15" i="10"/>
  <c r="P63" i="11"/>
  <c r="P18" i="11" s="1"/>
  <c r="D14" i="11"/>
  <c r="H15" i="10"/>
  <c r="H63" i="11"/>
  <c r="H18" i="11" s="1"/>
  <c r="N17" i="10"/>
  <c r="N69" i="11"/>
  <c r="N20" i="11" s="1"/>
  <c r="N15" i="10"/>
  <c r="N63" i="11"/>
  <c r="N18" i="11" s="1"/>
  <c r="K17" i="10"/>
  <c r="K69" i="11"/>
  <c r="K20" i="11" s="1"/>
  <c r="I67" i="10"/>
  <c r="I16" i="10" s="1"/>
  <c r="I64" i="11"/>
  <c r="I68" i="11" s="1"/>
  <c r="I19" i="11" s="1"/>
  <c r="G17" i="10"/>
  <c r="G69" i="11"/>
  <c r="G20" i="11" s="1"/>
  <c r="M17" i="10"/>
  <c r="M69" i="11"/>
  <c r="M20" i="11" s="1"/>
  <c r="G15" i="10"/>
  <c r="G63" i="11"/>
  <c r="G18" i="11" s="1"/>
  <c r="F15" i="10"/>
  <c r="F63" i="11"/>
  <c r="F18" i="11" s="1"/>
  <c r="M67" i="10"/>
  <c r="M16" i="10" s="1"/>
  <c r="M65" i="11"/>
  <c r="M68" i="11" s="1"/>
  <c r="M19" i="11" s="1"/>
  <c r="M15" i="10"/>
  <c r="M63" i="11"/>
  <c r="M18" i="11" s="1"/>
  <c r="O15" i="10"/>
  <c r="O63" i="11"/>
  <c r="O18" i="11" s="1"/>
  <c r="F17" i="10"/>
  <c r="F69" i="11"/>
  <c r="F20" i="11" s="1"/>
  <c r="P17" i="10"/>
  <c r="P69" i="11"/>
  <c r="P20" i="11" s="1"/>
  <c r="L17" i="10"/>
  <c r="L69" i="11"/>
  <c r="L20" i="11" s="1"/>
  <c r="E66" i="11"/>
  <c r="D66" i="11" s="1"/>
  <c r="D7" i="10"/>
  <c r="J61" i="10"/>
  <c r="J14" i="10" s="1"/>
  <c r="J67" i="10"/>
  <c r="J16" i="10" s="1"/>
  <c r="M61" i="10"/>
  <c r="M14" i="10" s="1"/>
  <c r="K67" i="10"/>
  <c r="K16" i="10" s="1"/>
  <c r="J95" i="10"/>
  <c r="J21" i="10" s="1"/>
  <c r="F61" i="10"/>
  <c r="F14" i="10" s="1"/>
  <c r="G61" i="10"/>
  <c r="G14" i="10" s="1"/>
  <c r="N96" i="11"/>
  <c r="N24" i="11" s="1"/>
  <c r="I61" i="10"/>
  <c r="I14" i="10" s="1"/>
  <c r="J96" i="11"/>
  <c r="J24" i="11" s="1"/>
  <c r="J68" i="11"/>
  <c r="J19" i="11" s="1"/>
  <c r="L62" i="11"/>
  <c r="L17" i="11" s="1"/>
  <c r="K61" i="10"/>
  <c r="K14" i="10" s="1"/>
  <c r="N61" i="10"/>
  <c r="N14" i="10" s="1"/>
  <c r="L61" i="10"/>
  <c r="L14" i="10" s="1"/>
  <c r="F95" i="10"/>
  <c r="F21" i="10" s="1"/>
  <c r="O67" i="10"/>
  <c r="O16" i="10" s="1"/>
  <c r="F62" i="11"/>
  <c r="F17" i="11" s="1"/>
  <c r="K68" i="11"/>
  <c r="K19" i="11" s="1"/>
  <c r="I95" i="10"/>
  <c r="I21" i="10" s="1"/>
  <c r="F67" i="10"/>
  <c r="F16" i="10" s="1"/>
  <c r="P61" i="10"/>
  <c r="P14" i="10" s="1"/>
  <c r="H95" i="10"/>
  <c r="H21" i="10" s="1"/>
  <c r="K95" i="10"/>
  <c r="K21" i="10" s="1"/>
  <c r="P68" i="11"/>
  <c r="P19" i="11" s="1"/>
  <c r="H62" i="11"/>
  <c r="H17" i="11" s="1"/>
  <c r="L96" i="11"/>
  <c r="L24" i="11" s="1"/>
  <c r="G62" i="11"/>
  <c r="G17" i="11" s="1"/>
  <c r="H61" i="10"/>
  <c r="H14" i="10" s="1"/>
  <c r="N95" i="10"/>
  <c r="N21" i="10" s="1"/>
  <c r="H96" i="11"/>
  <c r="H24" i="11" s="1"/>
  <c r="P62" i="11"/>
  <c r="P17" i="11" s="1"/>
  <c r="P96" i="11"/>
  <c r="P24" i="11" s="1"/>
  <c r="G96" i="11"/>
  <c r="G24" i="11" s="1"/>
  <c r="P95" i="10"/>
  <c r="P21" i="10" s="1"/>
  <c r="M62" i="11"/>
  <c r="M17" i="11" s="1"/>
  <c r="G95" i="10"/>
  <c r="G21" i="10" s="1"/>
  <c r="P40" i="10"/>
  <c r="P41" i="11" s="1"/>
  <c r="P45" i="11" s="1"/>
  <c r="P15" i="11" s="1"/>
  <c r="H40" i="10"/>
  <c r="K40" i="10"/>
  <c r="K41" i="11" s="1"/>
  <c r="K45" i="11" s="1"/>
  <c r="K15" i="11" s="1"/>
  <c r="O40" i="10"/>
  <c r="G40" i="10"/>
  <c r="L40" i="10"/>
  <c r="N40" i="10"/>
  <c r="F40" i="10"/>
  <c r="M40" i="10"/>
  <c r="E40" i="10"/>
  <c r="E41" i="11" s="1"/>
  <c r="J40" i="10"/>
  <c r="I40" i="10"/>
  <c r="F96" i="11"/>
  <c r="F24" i="11" s="1"/>
  <c r="N62" i="11"/>
  <c r="N17" i="11" s="1"/>
  <c r="O62" i="11"/>
  <c r="O17" i="11" s="1"/>
  <c r="D10" i="11"/>
  <c r="L95" i="10"/>
  <c r="L21" i="10" s="1"/>
  <c r="L67" i="10"/>
  <c r="L16" i="10" s="1"/>
  <c r="I62" i="11"/>
  <c r="I17" i="11" s="1"/>
  <c r="M96" i="11"/>
  <c r="M24" i="11" s="1"/>
  <c r="F68" i="11"/>
  <c r="F19" i="11" s="1"/>
  <c r="O68" i="11"/>
  <c r="O19" i="11" s="1"/>
  <c r="I96" i="11"/>
  <c r="I24" i="11" s="1"/>
  <c r="H67" i="10"/>
  <c r="H16" i="10" s="1"/>
  <c r="O95" i="10"/>
  <c r="O21" i="10" s="1"/>
  <c r="G67" i="10"/>
  <c r="G16" i="10" s="1"/>
  <c r="E62" i="10"/>
  <c r="E63" i="11" s="1"/>
  <c r="E88" i="10"/>
  <c r="E68" i="10"/>
  <c r="E69" i="11" s="1"/>
  <c r="E57" i="11"/>
  <c r="E64" i="10"/>
  <c r="E42" i="10"/>
  <c r="E86" i="10"/>
  <c r="E87" i="11" s="1"/>
  <c r="E87" i="10"/>
  <c r="E91" i="10"/>
  <c r="E64" i="11"/>
  <c r="M95" i="10"/>
  <c r="M21" i="10" s="1"/>
  <c r="K96" i="11"/>
  <c r="K24" i="11" s="1"/>
  <c r="P67" i="10"/>
  <c r="P16" i="10" s="1"/>
  <c r="J62" i="11"/>
  <c r="J17" i="11" s="1"/>
  <c r="O61" i="10"/>
  <c r="O14" i="10" s="1"/>
  <c r="M101" i="4"/>
  <c r="K111" i="4"/>
  <c r="E17" i="8"/>
  <c r="E34" i="8"/>
  <c r="E40" i="8"/>
  <c r="E68" i="8"/>
  <c r="J103" i="4"/>
  <c r="E24" i="8"/>
  <c r="E18" i="8"/>
  <c r="E10" i="8"/>
  <c r="E8" i="8"/>
  <c r="E6" i="8"/>
  <c r="E23" i="8"/>
  <c r="G21" i="3"/>
  <c r="G25" i="3" s="1"/>
  <c r="H21" i="3"/>
  <c r="H25" i="3" s="1"/>
  <c r="J101" i="2"/>
  <c r="D101" i="2" s="1"/>
  <c r="N102" i="2" s="1"/>
  <c r="G101" i="4"/>
  <c r="D101" i="4" s="1"/>
  <c r="N102" i="4" s="1"/>
  <c r="E111" i="4"/>
  <c r="G103" i="4"/>
  <c r="D105" i="2"/>
  <c r="M103" i="4"/>
  <c r="D115" i="2"/>
  <c r="L116" i="2" s="1"/>
  <c r="D103" i="2"/>
  <c r="K104" i="2" s="1"/>
  <c r="F116" i="2"/>
  <c r="D116" i="2"/>
  <c r="I116" i="2"/>
  <c r="K116" i="2"/>
  <c r="M116" i="2" s="1"/>
  <c r="E116" i="2"/>
  <c r="G111" i="2"/>
  <c r="D111" i="2" s="1"/>
  <c r="I112" i="2" s="1"/>
  <c r="D113" i="2"/>
  <c r="F116" i="4"/>
  <c r="D116" i="4"/>
  <c r="L116" i="4"/>
  <c r="K116" i="4"/>
  <c r="I116" i="4"/>
  <c r="H116" i="4"/>
  <c r="E116" i="4"/>
  <c r="N58" i="4"/>
  <c r="O58" i="4" s="1"/>
  <c r="G10" i="4"/>
  <c r="D10" i="4" s="1"/>
  <c r="N10" i="2"/>
  <c r="O10" i="2" s="1"/>
  <c r="D10" i="2" s="1"/>
  <c r="O36" i="2"/>
  <c r="D36" i="2" s="1"/>
  <c r="I106" i="4"/>
  <c r="D113" i="4"/>
  <c r="L106" i="4"/>
  <c r="D106" i="4"/>
  <c r="F106" i="4"/>
  <c r="E106" i="4"/>
  <c r="H106" i="4"/>
  <c r="K106" i="4"/>
  <c r="J7" i="2"/>
  <c r="D7" i="2" s="1"/>
  <c r="N21" i="5" l="1"/>
  <c r="O8" i="5"/>
  <c r="K21" i="5"/>
  <c r="M8" i="5"/>
  <c r="E21" i="5"/>
  <c r="G8" i="5"/>
  <c r="J8" i="5"/>
  <c r="H21" i="5"/>
  <c r="F106" i="2"/>
  <c r="L106" i="2"/>
  <c r="D106" i="2"/>
  <c r="K106" i="2"/>
  <c r="I106" i="2"/>
  <c r="H106" i="2"/>
  <c r="N106" i="2"/>
  <c r="E106" i="2"/>
  <c r="F54" i="4"/>
  <c r="F54" i="2" s="1"/>
  <c r="F80" i="4"/>
  <c r="F80" i="2" s="1"/>
  <c r="F71" i="4"/>
  <c r="F71" i="2" s="1"/>
  <c r="F53" i="4"/>
  <c r="F53" i="2" s="1"/>
  <c r="F55" i="4"/>
  <c r="F55" i="2" s="1"/>
  <c r="F72" i="4"/>
  <c r="F72" i="2" s="1"/>
  <c r="F56" i="4"/>
  <c r="F56" i="2" s="1"/>
  <c r="F57" i="4"/>
  <c r="F57" i="2" s="1"/>
  <c r="L72" i="4"/>
  <c r="L72" i="2" s="1"/>
  <c r="L55" i="4"/>
  <c r="L55" i="2" s="1"/>
  <c r="L57" i="4"/>
  <c r="L57" i="2" s="1"/>
  <c r="L71" i="4"/>
  <c r="L71" i="2" s="1"/>
  <c r="L54" i="4"/>
  <c r="L54" i="2" s="1"/>
  <c r="L56" i="4"/>
  <c r="L56" i="2" s="1"/>
  <c r="L53" i="4"/>
  <c r="L53" i="2" s="1"/>
  <c r="L80" i="4"/>
  <c r="L80" i="2" s="1"/>
  <c r="K80" i="4"/>
  <c r="K80" i="2" s="1"/>
  <c r="K53" i="4"/>
  <c r="K53" i="2" s="1"/>
  <c r="K71" i="4"/>
  <c r="K71" i="2" s="1"/>
  <c r="K57" i="4"/>
  <c r="K57" i="2" s="1"/>
  <c r="K54" i="4"/>
  <c r="K54" i="2" s="1"/>
  <c r="K56" i="4"/>
  <c r="K56" i="2" s="1"/>
  <c r="K55" i="4"/>
  <c r="K55" i="2" s="1"/>
  <c r="K72" i="4"/>
  <c r="K72" i="2" s="1"/>
  <c r="I80" i="4"/>
  <c r="I80" i="2" s="1"/>
  <c r="I53" i="4"/>
  <c r="I53" i="2" s="1"/>
  <c r="I72" i="4"/>
  <c r="I72" i="2" s="1"/>
  <c r="I54" i="4"/>
  <c r="I54" i="2" s="1"/>
  <c r="I56" i="4"/>
  <c r="I56" i="2" s="1"/>
  <c r="I71" i="4"/>
  <c r="I71" i="2" s="1"/>
  <c r="I57" i="4"/>
  <c r="I57" i="2" s="1"/>
  <c r="I55" i="4"/>
  <c r="I55" i="2" s="1"/>
  <c r="H55" i="4"/>
  <c r="H55" i="2" s="1"/>
  <c r="H80" i="4"/>
  <c r="H57" i="4"/>
  <c r="H71" i="4"/>
  <c r="H71" i="2" s="1"/>
  <c r="H56" i="4"/>
  <c r="H56" i="2" s="1"/>
  <c r="H72" i="4"/>
  <c r="H72" i="2" s="1"/>
  <c r="H54" i="4"/>
  <c r="H54" i="2" s="1"/>
  <c r="H53" i="4"/>
  <c r="H53" i="2" s="1"/>
  <c r="E56" i="4"/>
  <c r="E56" i="2" s="1"/>
  <c r="E55" i="4"/>
  <c r="E55" i="2" s="1"/>
  <c r="E57" i="4"/>
  <c r="E57" i="2" s="1"/>
  <c r="E71" i="4"/>
  <c r="E71" i="2" s="1"/>
  <c r="E80" i="4"/>
  <c r="E80" i="2" s="1"/>
  <c r="E72" i="4"/>
  <c r="E72" i="2" s="1"/>
  <c r="E54" i="4"/>
  <c r="E54" i="2" s="1"/>
  <c r="E53" i="4"/>
  <c r="E53" i="2" s="1"/>
  <c r="K44" i="10"/>
  <c r="K12" i="10" s="1"/>
  <c r="P44" i="10"/>
  <c r="P12" i="10" s="1"/>
  <c r="D87" i="10"/>
  <c r="E88" i="11"/>
  <c r="D88" i="11" s="1"/>
  <c r="J44" i="10"/>
  <c r="J12" i="10" s="1"/>
  <c r="J41" i="11"/>
  <c r="J45" i="11" s="1"/>
  <c r="J15" i="11" s="1"/>
  <c r="D59" i="10"/>
  <c r="E60" i="11"/>
  <c r="D60" i="11" s="1"/>
  <c r="H44" i="10"/>
  <c r="H12" i="10" s="1"/>
  <c r="H41" i="11"/>
  <c r="H45" i="11" s="1"/>
  <c r="H15" i="11" s="1"/>
  <c r="G44" i="10"/>
  <c r="G12" i="10" s="1"/>
  <c r="G41" i="11"/>
  <c r="G45" i="11" s="1"/>
  <c r="G15" i="11" s="1"/>
  <c r="M44" i="10"/>
  <c r="M12" i="10" s="1"/>
  <c r="M41" i="11"/>
  <c r="M45" i="11" s="1"/>
  <c r="M15" i="11" s="1"/>
  <c r="O44" i="10"/>
  <c r="O12" i="10" s="1"/>
  <c r="O41" i="11"/>
  <c r="O45" i="11" s="1"/>
  <c r="O15" i="11" s="1"/>
  <c r="D88" i="10"/>
  <c r="E89" i="11"/>
  <c r="D89" i="11" s="1"/>
  <c r="L44" i="10"/>
  <c r="L12" i="10" s="1"/>
  <c r="L41" i="11"/>
  <c r="L45" i="11" s="1"/>
  <c r="L15" i="11" s="1"/>
  <c r="D65" i="10"/>
  <c r="D64" i="10"/>
  <c r="E65" i="11"/>
  <c r="D65" i="11" s="1"/>
  <c r="D57" i="10"/>
  <c r="E58" i="11"/>
  <c r="D58" i="11" s="1"/>
  <c r="F44" i="10"/>
  <c r="F12" i="10" s="1"/>
  <c r="F41" i="11"/>
  <c r="F45" i="11" s="1"/>
  <c r="F15" i="11" s="1"/>
  <c r="D91" i="10"/>
  <c r="E92" i="11"/>
  <c r="D92" i="11" s="1"/>
  <c r="D42" i="10"/>
  <c r="E43" i="11"/>
  <c r="D43" i="11" s="1"/>
  <c r="I44" i="10"/>
  <c r="I12" i="10" s="1"/>
  <c r="I41" i="11"/>
  <c r="I45" i="11" s="1"/>
  <c r="I15" i="11" s="1"/>
  <c r="N44" i="10"/>
  <c r="N12" i="10" s="1"/>
  <c r="N41" i="11"/>
  <c r="N45" i="11" s="1"/>
  <c r="N15" i="11" s="1"/>
  <c r="O51" i="10"/>
  <c r="O52" i="11" s="1"/>
  <c r="G51" i="10"/>
  <c r="G52" i="11" s="1"/>
  <c r="N51" i="10"/>
  <c r="N52" i="11" s="1"/>
  <c r="F51" i="10"/>
  <c r="F52" i="11" s="1"/>
  <c r="J51" i="10"/>
  <c r="J52" i="11" s="1"/>
  <c r="M51" i="10"/>
  <c r="M52" i="11" s="1"/>
  <c r="E51" i="10"/>
  <c r="E52" i="11" s="1"/>
  <c r="L51" i="10"/>
  <c r="L52" i="11" s="1"/>
  <c r="I51" i="10"/>
  <c r="I52" i="11" s="1"/>
  <c r="K51" i="10"/>
  <c r="K52" i="11" s="1"/>
  <c r="P51" i="10"/>
  <c r="P52" i="11" s="1"/>
  <c r="H51" i="10"/>
  <c r="H52" i="11" s="1"/>
  <c r="D63" i="10"/>
  <c r="E67" i="10"/>
  <c r="K50" i="10"/>
  <c r="K51" i="11" s="1"/>
  <c r="O50" i="10"/>
  <c r="O51" i="11" s="1"/>
  <c r="F50" i="10"/>
  <c r="F51" i="11" s="1"/>
  <c r="J50" i="10"/>
  <c r="J51" i="11" s="1"/>
  <c r="G50" i="10"/>
  <c r="G51" i="11" s="1"/>
  <c r="I50" i="10"/>
  <c r="I51" i="11" s="1"/>
  <c r="P50" i="10"/>
  <c r="P51" i="11" s="1"/>
  <c r="H50" i="10"/>
  <c r="H51" i="11" s="1"/>
  <c r="M50" i="10"/>
  <c r="M51" i="11" s="1"/>
  <c r="E50" i="10"/>
  <c r="E51" i="11" s="1"/>
  <c r="L50" i="10"/>
  <c r="L51" i="11" s="1"/>
  <c r="N50" i="10"/>
  <c r="N51" i="11" s="1"/>
  <c r="J33" i="10"/>
  <c r="J34" i="11" s="1"/>
  <c r="E33" i="10"/>
  <c r="E34" i="11" s="1"/>
  <c r="I33" i="10"/>
  <c r="I34" i="11" s="1"/>
  <c r="N33" i="10"/>
  <c r="N34" i="11" s="1"/>
  <c r="M33" i="10"/>
  <c r="M34" i="11" s="1"/>
  <c r="P33" i="10"/>
  <c r="P34" i="11" s="1"/>
  <c r="H33" i="10"/>
  <c r="H34" i="11" s="1"/>
  <c r="O33" i="10"/>
  <c r="O34" i="11" s="1"/>
  <c r="G33" i="10"/>
  <c r="G34" i="11" s="1"/>
  <c r="L33" i="10"/>
  <c r="L34" i="11" s="1"/>
  <c r="K33" i="10"/>
  <c r="K34" i="11" s="1"/>
  <c r="F33" i="10"/>
  <c r="F34" i="11" s="1"/>
  <c r="E17" i="10"/>
  <c r="D17" i="10" s="1"/>
  <c r="D68" i="10"/>
  <c r="K54" i="10"/>
  <c r="K55" i="11" s="1"/>
  <c r="G54" i="10"/>
  <c r="G55" i="11" s="1"/>
  <c r="N54" i="10"/>
  <c r="N55" i="11" s="1"/>
  <c r="J54" i="10"/>
  <c r="J55" i="11" s="1"/>
  <c r="I54" i="10"/>
  <c r="I55" i="11" s="1"/>
  <c r="P54" i="10"/>
  <c r="P55" i="11" s="1"/>
  <c r="H54" i="10"/>
  <c r="H55" i="11" s="1"/>
  <c r="M54" i="10"/>
  <c r="M55" i="11" s="1"/>
  <c r="E54" i="10"/>
  <c r="E55" i="11" s="1"/>
  <c r="F54" i="10"/>
  <c r="F55" i="11" s="1"/>
  <c r="L54" i="10"/>
  <c r="L55" i="11" s="1"/>
  <c r="O54" i="10"/>
  <c r="O55" i="11" s="1"/>
  <c r="D40" i="10"/>
  <c r="E44" i="10"/>
  <c r="D56" i="10"/>
  <c r="E61" i="10"/>
  <c r="D57" i="11"/>
  <c r="P35" i="10"/>
  <c r="D86" i="10"/>
  <c r="E95" i="10"/>
  <c r="D87" i="11"/>
  <c r="E15" i="10"/>
  <c r="D15" i="10" s="1"/>
  <c r="D62" i="10"/>
  <c r="D64" i="11"/>
  <c r="E20" i="11"/>
  <c r="D20" i="11" s="1"/>
  <c r="D69" i="11"/>
  <c r="N37" i="10"/>
  <c r="N38" i="11" s="1"/>
  <c r="F37" i="10"/>
  <c r="F38" i="11" s="1"/>
  <c r="M37" i="10"/>
  <c r="M38" i="11" s="1"/>
  <c r="L37" i="10"/>
  <c r="L38" i="11" s="1"/>
  <c r="K37" i="10"/>
  <c r="K38" i="11" s="1"/>
  <c r="P37" i="10"/>
  <c r="P38" i="11" s="1"/>
  <c r="H37" i="10"/>
  <c r="H38" i="11" s="1"/>
  <c r="J37" i="10"/>
  <c r="J38" i="11" s="1"/>
  <c r="O37" i="10"/>
  <c r="O38" i="11" s="1"/>
  <c r="G37" i="10"/>
  <c r="G38" i="11" s="1"/>
  <c r="E37" i="10"/>
  <c r="E38" i="11" s="1"/>
  <c r="I37" i="10"/>
  <c r="I38" i="11" s="1"/>
  <c r="L45" i="10"/>
  <c r="L46" i="11" s="1"/>
  <c r="H45" i="10"/>
  <c r="H46" i="11" s="1"/>
  <c r="O45" i="10"/>
  <c r="O46" i="11" s="1"/>
  <c r="K45" i="10"/>
  <c r="K46" i="11" s="1"/>
  <c r="P45" i="10"/>
  <c r="P46" i="11" s="1"/>
  <c r="J45" i="10"/>
  <c r="J46" i="11" s="1"/>
  <c r="I45" i="10"/>
  <c r="I46" i="11" s="1"/>
  <c r="N45" i="10"/>
  <c r="N46" i="11" s="1"/>
  <c r="F45" i="10"/>
  <c r="F46" i="11" s="1"/>
  <c r="G45" i="10"/>
  <c r="G46" i="11" s="1"/>
  <c r="M45" i="10"/>
  <c r="E45" i="10"/>
  <c r="E46" i="11" s="1"/>
  <c r="D63" i="11"/>
  <c r="E18" i="11"/>
  <c r="D18" i="11" s="1"/>
  <c r="H102" i="2"/>
  <c r="N89" i="2"/>
  <c r="N78" i="2"/>
  <c r="N67" i="2"/>
  <c r="N51" i="2"/>
  <c r="O51" i="2" s="1"/>
  <c r="N43" i="2"/>
  <c r="N31" i="2"/>
  <c r="N90" i="2"/>
  <c r="O90" i="2" s="1"/>
  <c r="N81" i="2"/>
  <c r="N68" i="2"/>
  <c r="N59" i="2"/>
  <c r="N44" i="2"/>
  <c r="N32" i="2"/>
  <c r="N75" i="2"/>
  <c r="N91" i="2"/>
  <c r="N83" i="2"/>
  <c r="N69" i="2"/>
  <c r="N60" i="2"/>
  <c r="N45" i="2"/>
  <c r="O45" i="2" s="1"/>
  <c r="N33" i="2"/>
  <c r="N86" i="2"/>
  <c r="N48" i="2"/>
  <c r="N84" i="2"/>
  <c r="N73" i="2"/>
  <c r="O73" i="2" s="1"/>
  <c r="N61" i="2"/>
  <c r="N46" i="2"/>
  <c r="N34" i="2"/>
  <c r="N63" i="2"/>
  <c r="N38" i="2"/>
  <c r="N85" i="2"/>
  <c r="N74" i="2"/>
  <c r="N62" i="2"/>
  <c r="N47" i="2"/>
  <c r="N37" i="2"/>
  <c r="N87" i="2"/>
  <c r="N76" i="2"/>
  <c r="O76" i="2" s="1"/>
  <c r="N65" i="2"/>
  <c r="N49" i="2"/>
  <c r="O49" i="2" s="1"/>
  <c r="N39" i="2"/>
  <c r="N88" i="2"/>
  <c r="N77" i="2"/>
  <c r="N66" i="2"/>
  <c r="N40" i="2"/>
  <c r="O40" i="2" s="1"/>
  <c r="N30" i="2"/>
  <c r="N50" i="2"/>
  <c r="K102" i="4"/>
  <c r="E102" i="2"/>
  <c r="F102" i="4"/>
  <c r="I102" i="4"/>
  <c r="K102" i="2"/>
  <c r="H102" i="4"/>
  <c r="D102" i="2"/>
  <c r="F102" i="2"/>
  <c r="D102" i="4"/>
  <c r="L102" i="4"/>
  <c r="E102" i="4"/>
  <c r="E28" i="8"/>
  <c r="E11" i="8"/>
  <c r="D103" i="4"/>
  <c r="N104" i="4" s="1"/>
  <c r="O104" i="4" s="1"/>
  <c r="I102" i="2"/>
  <c r="L102" i="2"/>
  <c r="O31" i="4"/>
  <c r="O86" i="4"/>
  <c r="O51" i="4"/>
  <c r="O38" i="4"/>
  <c r="O76" i="4"/>
  <c r="O32" i="4"/>
  <c r="O48" i="4"/>
  <c r="O45" i="4"/>
  <c r="O49" i="4"/>
  <c r="O77" i="4"/>
  <c r="O40" i="4"/>
  <c r="O90" i="4"/>
  <c r="O102" i="4"/>
  <c r="O91" i="4"/>
  <c r="H116" i="2"/>
  <c r="J116" i="2" s="1"/>
  <c r="O42" i="4"/>
  <c r="H104" i="2"/>
  <c r="I104" i="2"/>
  <c r="L104" i="2"/>
  <c r="M104" i="2" s="1"/>
  <c r="N13" i="4"/>
  <c r="O13" i="4" s="1"/>
  <c r="D104" i="2"/>
  <c r="F104" i="2"/>
  <c r="N104" i="2"/>
  <c r="N42" i="2" s="1"/>
  <c r="O42" i="2" s="1"/>
  <c r="E104" i="2"/>
  <c r="J116" i="4"/>
  <c r="J106" i="2"/>
  <c r="L114" i="4"/>
  <c r="L42" i="4" s="1"/>
  <c r="I114" i="4"/>
  <c r="I42" i="4" s="1"/>
  <c r="F114" i="4"/>
  <c r="F42" i="4" s="1"/>
  <c r="D114" i="4"/>
  <c r="E114" i="4"/>
  <c r="E42" i="4" s="1"/>
  <c r="H114" i="4"/>
  <c r="H42" i="4" s="1"/>
  <c r="K114" i="4"/>
  <c r="K42" i="4" s="1"/>
  <c r="K42" i="2" s="1"/>
  <c r="G116" i="2"/>
  <c r="F114" i="2"/>
  <c r="L114" i="2"/>
  <c r="D114" i="2"/>
  <c r="K114" i="2"/>
  <c r="I114" i="2"/>
  <c r="H114" i="2"/>
  <c r="E114" i="2"/>
  <c r="O106" i="2"/>
  <c r="G106" i="2"/>
  <c r="D112" i="2"/>
  <c r="L112" i="2"/>
  <c r="H112" i="2"/>
  <c r="J112" i="2" s="1"/>
  <c r="K112" i="2"/>
  <c r="F112" i="2"/>
  <c r="M106" i="2"/>
  <c r="O102" i="2"/>
  <c r="E112" i="2"/>
  <c r="M116" i="4"/>
  <c r="J106" i="4"/>
  <c r="G116" i="4"/>
  <c r="M106" i="4"/>
  <c r="G106" i="4"/>
  <c r="N22" i="5" l="1"/>
  <c r="O22" i="5" s="1"/>
  <c r="O21" i="5"/>
  <c r="M21" i="5"/>
  <c r="K22" i="5"/>
  <c r="M22" i="5" s="1"/>
  <c r="G21" i="5"/>
  <c r="E22" i="5"/>
  <c r="G22" i="5" s="1"/>
  <c r="H22" i="5"/>
  <c r="J22" i="5" s="1"/>
  <c r="J21" i="5"/>
  <c r="N54" i="2"/>
  <c r="O54" i="2" s="1"/>
  <c r="N72" i="2"/>
  <c r="O72" i="2" s="1"/>
  <c r="N53" i="2"/>
  <c r="N55" i="2"/>
  <c r="O55" i="2" s="1"/>
  <c r="N56" i="2"/>
  <c r="O56" i="2" s="1"/>
  <c r="N71" i="2"/>
  <c r="O71" i="2" s="1"/>
  <c r="N80" i="2"/>
  <c r="O80" i="2" s="1"/>
  <c r="N57" i="2"/>
  <c r="O57" i="2" s="1"/>
  <c r="D8" i="5"/>
  <c r="H80" i="2"/>
  <c r="H57" i="2"/>
  <c r="J57" i="2" s="1"/>
  <c r="J102" i="2"/>
  <c r="G102" i="4"/>
  <c r="E68" i="11"/>
  <c r="E19" i="11" s="1"/>
  <c r="D19" i="11" s="1"/>
  <c r="O39" i="11"/>
  <c r="O13" i="11" s="1"/>
  <c r="E45" i="11"/>
  <c r="E15" i="11" s="1"/>
  <c r="D15" i="11" s="1"/>
  <c r="L56" i="11"/>
  <c r="L16" i="11" s="1"/>
  <c r="H56" i="11"/>
  <c r="H16" i="11" s="1"/>
  <c r="F56" i="11"/>
  <c r="F16" i="11" s="1"/>
  <c r="N56" i="11"/>
  <c r="N16" i="11" s="1"/>
  <c r="D41" i="11"/>
  <c r="E69" i="8"/>
  <c r="E62" i="11"/>
  <c r="D62" i="11" s="1"/>
  <c r="D35" i="10"/>
  <c r="P36" i="11"/>
  <c r="D36" i="11" s="1"/>
  <c r="E96" i="11"/>
  <c r="E24" i="11" s="1"/>
  <c r="D24" i="11" s="1"/>
  <c r="M55" i="10"/>
  <c r="M13" i="10" s="1"/>
  <c r="M46" i="11"/>
  <c r="M56" i="11" s="1"/>
  <c r="M16" i="11" s="1"/>
  <c r="I56" i="11"/>
  <c r="I16" i="11" s="1"/>
  <c r="O56" i="11"/>
  <c r="O16" i="11" s="1"/>
  <c r="D54" i="10"/>
  <c r="E55" i="10"/>
  <c r="D45" i="10"/>
  <c r="K55" i="10"/>
  <c r="K13" i="10" s="1"/>
  <c r="E14" i="10"/>
  <c r="D14" i="10" s="1"/>
  <c r="D61" i="10"/>
  <c r="E39" i="11"/>
  <c r="D34" i="11"/>
  <c r="H78" i="10"/>
  <c r="H38" i="10"/>
  <c r="F39" i="11"/>
  <c r="D50" i="10"/>
  <c r="I55" i="10"/>
  <c r="I13" i="10" s="1"/>
  <c r="M39" i="11"/>
  <c r="P38" i="10"/>
  <c r="P78" i="10"/>
  <c r="J78" i="10"/>
  <c r="J38" i="10"/>
  <c r="D52" i="11"/>
  <c r="E12" i="10"/>
  <c r="D12" i="10" s="1"/>
  <c r="D44" i="10"/>
  <c r="P56" i="11"/>
  <c r="P16" i="11" s="1"/>
  <c r="K56" i="11"/>
  <c r="K16" i="11" s="1"/>
  <c r="O55" i="10"/>
  <c r="O13" i="10" s="1"/>
  <c r="F78" i="10"/>
  <c r="F38" i="10"/>
  <c r="G39" i="11"/>
  <c r="M78" i="10"/>
  <c r="M38" i="10"/>
  <c r="J56" i="11"/>
  <c r="J16" i="11" s="1"/>
  <c r="D51" i="10"/>
  <c r="D37" i="10"/>
  <c r="E21" i="10"/>
  <c r="D21" i="10" s="1"/>
  <c r="D95" i="10"/>
  <c r="N39" i="11"/>
  <c r="I39" i="11"/>
  <c r="K39" i="11"/>
  <c r="D104" i="4"/>
  <c r="G55" i="10"/>
  <c r="G13" i="10" s="1"/>
  <c r="J55" i="10"/>
  <c r="J13" i="10" s="1"/>
  <c r="H55" i="10"/>
  <c r="H13" i="10" s="1"/>
  <c r="G78" i="10"/>
  <c r="G38" i="10"/>
  <c r="N78" i="10"/>
  <c r="N38" i="10"/>
  <c r="L104" i="4"/>
  <c r="F104" i="4"/>
  <c r="F55" i="10"/>
  <c r="F13" i="10" s="1"/>
  <c r="E56" i="11"/>
  <c r="L55" i="10"/>
  <c r="L13" i="10" s="1"/>
  <c r="D38" i="11"/>
  <c r="D55" i="11"/>
  <c r="K78" i="10"/>
  <c r="K38" i="10"/>
  <c r="O38" i="10"/>
  <c r="O78" i="10"/>
  <c r="I78" i="10"/>
  <c r="I38" i="10"/>
  <c r="E16" i="10"/>
  <c r="D16" i="10" s="1"/>
  <c r="D67" i="10"/>
  <c r="N55" i="10"/>
  <c r="N13" i="10" s="1"/>
  <c r="G56" i="11"/>
  <c r="G16" i="11" s="1"/>
  <c r="L39" i="11"/>
  <c r="H39" i="11"/>
  <c r="J39" i="11"/>
  <c r="K104" i="4"/>
  <c r="O104" i="2"/>
  <c r="P55" i="10"/>
  <c r="P13" i="10" s="1"/>
  <c r="L78" i="10"/>
  <c r="L38" i="10"/>
  <c r="E78" i="10"/>
  <c r="E79" i="11" s="1"/>
  <c r="D33" i="10"/>
  <c r="E38" i="10"/>
  <c r="D51" i="11"/>
  <c r="M102" i="4"/>
  <c r="G102" i="2"/>
  <c r="J102" i="4"/>
  <c r="M102" i="2"/>
  <c r="G112" i="2"/>
  <c r="I104" i="4"/>
  <c r="H104" i="4"/>
  <c r="E104" i="4"/>
  <c r="H42" i="2"/>
  <c r="L42" i="2"/>
  <c r="I42" i="2"/>
  <c r="E42" i="2"/>
  <c r="F42" i="2"/>
  <c r="O86" i="2"/>
  <c r="O38" i="2"/>
  <c r="O32" i="2"/>
  <c r="O31" i="2"/>
  <c r="O37" i="4"/>
  <c r="N41" i="4"/>
  <c r="O73" i="4"/>
  <c r="N79" i="4"/>
  <c r="N14" i="4"/>
  <c r="O14" i="4" s="1"/>
  <c r="O59" i="4"/>
  <c r="O68" i="2"/>
  <c r="O68" i="4"/>
  <c r="O74" i="4"/>
  <c r="O74" i="2"/>
  <c r="O43" i="4"/>
  <c r="O43" i="2"/>
  <c r="O83" i="4"/>
  <c r="N92" i="4"/>
  <c r="O77" i="2"/>
  <c r="N35" i="4"/>
  <c r="O30" i="2"/>
  <c r="O30" i="4"/>
  <c r="O34" i="4"/>
  <c r="O34" i="2"/>
  <c r="O65" i="4"/>
  <c r="N16" i="4"/>
  <c r="O16" i="4" s="1"/>
  <c r="O44" i="2"/>
  <c r="O44" i="4"/>
  <c r="O47" i="4"/>
  <c r="O47" i="2"/>
  <c r="O62" i="4"/>
  <c r="O62" i="2"/>
  <c r="O66" i="4"/>
  <c r="N70" i="4"/>
  <c r="O61" i="4"/>
  <c r="O61" i="2"/>
  <c r="O69" i="4"/>
  <c r="O69" i="2"/>
  <c r="O89" i="2"/>
  <c r="O89" i="4"/>
  <c r="O39" i="4"/>
  <c r="O39" i="2"/>
  <c r="O33" i="2"/>
  <c r="O33" i="4"/>
  <c r="O91" i="2"/>
  <c r="O50" i="4"/>
  <c r="O50" i="2"/>
  <c r="O60" i="4"/>
  <c r="N64" i="4"/>
  <c r="O75" i="2"/>
  <c r="O75" i="4"/>
  <c r="O67" i="4"/>
  <c r="O67" i="2"/>
  <c r="M112" i="2"/>
  <c r="N52" i="4"/>
  <c r="O78" i="4"/>
  <c r="O78" i="2"/>
  <c r="O46" i="4"/>
  <c r="O46" i="2"/>
  <c r="O88" i="4"/>
  <c r="O88" i="2"/>
  <c r="O84" i="4"/>
  <c r="O84" i="2"/>
  <c r="O87" i="2"/>
  <c r="O87" i="4"/>
  <c r="O48" i="2"/>
  <c r="O81" i="4"/>
  <c r="O81" i="2"/>
  <c r="N82" i="4"/>
  <c r="O85" i="2"/>
  <c r="O85" i="4"/>
  <c r="O63" i="4"/>
  <c r="O63" i="2"/>
  <c r="G104" i="2"/>
  <c r="M114" i="2"/>
  <c r="J104" i="2"/>
  <c r="G114" i="2"/>
  <c r="J114" i="2"/>
  <c r="O37" i="2"/>
  <c r="N41" i="2"/>
  <c r="G114" i="4"/>
  <c r="M114" i="4"/>
  <c r="J114" i="4"/>
  <c r="G57" i="4"/>
  <c r="G57" i="2"/>
  <c r="J54" i="4"/>
  <c r="M56" i="4"/>
  <c r="M56" i="2"/>
  <c r="G53" i="4"/>
  <c r="E58" i="4"/>
  <c r="J71" i="4"/>
  <c r="M53" i="4"/>
  <c r="K58" i="4"/>
  <c r="I58" i="4"/>
  <c r="I13" i="4" s="1"/>
  <c r="I58" i="2"/>
  <c r="I13" i="2" s="1"/>
  <c r="F58" i="2"/>
  <c r="F13" i="2" s="1"/>
  <c r="F58" i="4"/>
  <c r="F13" i="4" s="1"/>
  <c r="G55" i="2"/>
  <c r="G55" i="4"/>
  <c r="J57" i="4"/>
  <c r="G71" i="4"/>
  <c r="J56" i="4"/>
  <c r="J56" i="2"/>
  <c r="M80" i="4"/>
  <c r="G56" i="4"/>
  <c r="G56" i="2"/>
  <c r="M72" i="4"/>
  <c r="M72" i="2"/>
  <c r="G80" i="4"/>
  <c r="L58" i="2"/>
  <c r="L13" i="2" s="1"/>
  <c r="L58" i="4"/>
  <c r="L13" i="4" s="1"/>
  <c r="J55" i="4"/>
  <c r="M54" i="4"/>
  <c r="G54" i="2"/>
  <c r="G54" i="4"/>
  <c r="M71" i="4"/>
  <c r="J80" i="4"/>
  <c r="M57" i="4"/>
  <c r="M57" i="2"/>
  <c r="G72" i="4"/>
  <c r="G72" i="2"/>
  <c r="J53" i="2"/>
  <c r="J53" i="4"/>
  <c r="H58" i="4"/>
  <c r="M55" i="4"/>
  <c r="M55" i="2"/>
  <c r="J72" i="4"/>
  <c r="D21" i="5" l="1"/>
  <c r="D22" i="5"/>
  <c r="O53" i="2"/>
  <c r="N58" i="2"/>
  <c r="D68" i="11"/>
  <c r="P39" i="11"/>
  <c r="D39" i="11" s="1"/>
  <c r="D96" i="11"/>
  <c r="D45" i="11"/>
  <c r="D46" i="11"/>
  <c r="G104" i="4"/>
  <c r="N82" i="10"/>
  <c r="N19" i="10" s="1"/>
  <c r="N79" i="11"/>
  <c r="N83" i="11" s="1"/>
  <c r="N22" i="11" s="1"/>
  <c r="L82" i="10"/>
  <c r="L19" i="10" s="1"/>
  <c r="L79" i="11"/>
  <c r="L83" i="11" s="1"/>
  <c r="L22" i="11" s="1"/>
  <c r="G82" i="10"/>
  <c r="G19" i="10" s="1"/>
  <c r="G79" i="11"/>
  <c r="G83" i="11" s="1"/>
  <c r="G22" i="11" s="1"/>
  <c r="H82" i="10"/>
  <c r="H19" i="10" s="1"/>
  <c r="H79" i="11"/>
  <c r="H83" i="11" s="1"/>
  <c r="H22" i="11" s="1"/>
  <c r="K82" i="10"/>
  <c r="K19" i="10" s="1"/>
  <c r="K79" i="11"/>
  <c r="K83" i="11" s="1"/>
  <c r="K22" i="11" s="1"/>
  <c r="F82" i="10"/>
  <c r="F19" i="10" s="1"/>
  <c r="F79" i="11"/>
  <c r="F83" i="11" s="1"/>
  <c r="F22" i="11" s="1"/>
  <c r="I82" i="10"/>
  <c r="I19" i="10" s="1"/>
  <c r="I79" i="11"/>
  <c r="I83" i="11" s="1"/>
  <c r="I22" i="11" s="1"/>
  <c r="E17" i="11"/>
  <c r="D17" i="11" s="1"/>
  <c r="O82" i="10"/>
  <c r="O19" i="10" s="1"/>
  <c r="O79" i="11"/>
  <c r="O83" i="11" s="1"/>
  <c r="J82" i="10"/>
  <c r="J19" i="10" s="1"/>
  <c r="J79" i="11"/>
  <c r="J83" i="11" s="1"/>
  <c r="J22" i="11" s="1"/>
  <c r="M82" i="10"/>
  <c r="M19" i="10" s="1"/>
  <c r="M79" i="11"/>
  <c r="M83" i="11" s="1"/>
  <c r="M22" i="11" s="1"/>
  <c r="P82" i="10"/>
  <c r="P19" i="10" s="1"/>
  <c r="P79" i="11"/>
  <c r="P83" i="11" s="1"/>
  <c r="P22" i="11" s="1"/>
  <c r="J104" i="4"/>
  <c r="M104" i="4"/>
  <c r="E82" i="10"/>
  <c r="E96" i="10" s="1"/>
  <c r="D78" i="10"/>
  <c r="K10" i="10"/>
  <c r="G13" i="11"/>
  <c r="P10" i="10"/>
  <c r="E16" i="11"/>
  <c r="D16" i="11" s="1"/>
  <c r="D56" i="11"/>
  <c r="E10" i="10"/>
  <c r="D38" i="10"/>
  <c r="E83" i="11"/>
  <c r="N10" i="10"/>
  <c r="K13" i="11"/>
  <c r="M13" i="11"/>
  <c r="F13" i="11"/>
  <c r="N13" i="11"/>
  <c r="J10" i="10"/>
  <c r="M10" i="10"/>
  <c r="H13" i="11"/>
  <c r="F10" i="10"/>
  <c r="J13" i="11"/>
  <c r="L10" i="10"/>
  <c r="G10" i="10"/>
  <c r="H10" i="10"/>
  <c r="H9" i="10" s="1"/>
  <c r="H22" i="10" s="1"/>
  <c r="O10" i="10"/>
  <c r="E13" i="11"/>
  <c r="L13" i="11"/>
  <c r="I10" i="10"/>
  <c r="I13" i="11"/>
  <c r="E13" i="10"/>
  <c r="D13" i="10" s="1"/>
  <c r="D55" i="10"/>
  <c r="G42" i="2"/>
  <c r="N79" i="2"/>
  <c r="N18" i="2" s="1"/>
  <c r="O18" i="2" s="1"/>
  <c r="N82" i="2"/>
  <c r="O82" i="2" s="1"/>
  <c r="O52" i="4"/>
  <c r="N12" i="4"/>
  <c r="O12" i="4" s="1"/>
  <c r="N16" i="2"/>
  <c r="O16" i="2" s="1"/>
  <c r="O65" i="2"/>
  <c r="O83" i="2"/>
  <c r="N92" i="2"/>
  <c r="O82" i="4"/>
  <c r="N19" i="4"/>
  <c r="O19" i="4" s="1"/>
  <c r="N20" i="4"/>
  <c r="O20" i="4" s="1"/>
  <c r="O92" i="4"/>
  <c r="N14" i="2"/>
  <c r="O14" i="2" s="1"/>
  <c r="O59" i="2"/>
  <c r="N52" i="2"/>
  <c r="O79" i="4"/>
  <c r="N18" i="4"/>
  <c r="O18" i="4" s="1"/>
  <c r="O60" i="2"/>
  <c r="N64" i="2"/>
  <c r="O66" i="2"/>
  <c r="N70" i="2"/>
  <c r="O35" i="4"/>
  <c r="N9" i="4"/>
  <c r="N93" i="4"/>
  <c r="O93" i="4" s="1"/>
  <c r="O64" i="4"/>
  <c r="N15" i="4"/>
  <c r="O15" i="4" s="1"/>
  <c r="O70" i="4"/>
  <c r="N17" i="4"/>
  <c r="O17" i="4" s="1"/>
  <c r="N11" i="4"/>
  <c r="O11" i="4" s="1"/>
  <c r="O41" i="4"/>
  <c r="N35" i="2"/>
  <c r="O41" i="2"/>
  <c r="N11" i="2"/>
  <c r="O11" i="2" s="1"/>
  <c r="D54" i="4"/>
  <c r="J80" i="2"/>
  <c r="G80" i="2"/>
  <c r="D53" i="4"/>
  <c r="D57" i="2"/>
  <c r="M42" i="4"/>
  <c r="D80" i="4"/>
  <c r="G71" i="2"/>
  <c r="E58" i="2"/>
  <c r="G53" i="2"/>
  <c r="J54" i="2"/>
  <c r="D57" i="4"/>
  <c r="J72" i="2"/>
  <c r="D72" i="2" s="1"/>
  <c r="D71" i="4"/>
  <c r="M58" i="4"/>
  <c r="K13" i="4"/>
  <c r="M13" i="4" s="1"/>
  <c r="J71" i="2"/>
  <c r="J42" i="4"/>
  <c r="H13" i="4"/>
  <c r="J13" i="4" s="1"/>
  <c r="J58" i="4"/>
  <c r="D72" i="4"/>
  <c r="H58" i="2"/>
  <c r="J55" i="2"/>
  <c r="D55" i="2" s="1"/>
  <c r="M53" i="2"/>
  <c r="K58" i="2"/>
  <c r="M54" i="2"/>
  <c r="M80" i="2"/>
  <c r="D56" i="2"/>
  <c r="M71" i="2"/>
  <c r="D55" i="4"/>
  <c r="D56" i="4"/>
  <c r="G58" i="4"/>
  <c r="E13" i="4"/>
  <c r="G13" i="4" s="1"/>
  <c r="G42" i="4"/>
  <c r="O58" i="2" l="1"/>
  <c r="N13" i="2"/>
  <c r="O13" i="2" s="1"/>
  <c r="N97" i="11"/>
  <c r="N9" i="10"/>
  <c r="N22" i="10" s="1"/>
  <c r="N24" i="10" s="1"/>
  <c r="N25" i="10" s="1"/>
  <c r="K96" i="10"/>
  <c r="K9" i="10"/>
  <c r="K22" i="10" s="1"/>
  <c r="K24" i="10" s="1"/>
  <c r="K25" i="10" s="1"/>
  <c r="P13" i="11"/>
  <c r="N12" i="11"/>
  <c r="N25" i="11" s="1"/>
  <c r="N26" i="11" s="1"/>
  <c r="I9" i="10"/>
  <c r="I22" i="10" s="1"/>
  <c r="I24" i="10" s="1"/>
  <c r="I25" i="10" s="1"/>
  <c r="J97" i="11"/>
  <c r="J12" i="11"/>
  <c r="J25" i="11" s="1"/>
  <c r="J27" i="11" s="1"/>
  <c r="J28" i="11" s="1"/>
  <c r="F96" i="10"/>
  <c r="F9" i="10"/>
  <c r="F22" i="10" s="1"/>
  <c r="F23" i="10" s="1"/>
  <c r="K97" i="11"/>
  <c r="G9" i="10"/>
  <c r="G22" i="10" s="1"/>
  <c r="G24" i="10" s="1"/>
  <c r="G25" i="10" s="1"/>
  <c r="J96" i="10"/>
  <c r="N96" i="10"/>
  <c r="M12" i="11"/>
  <c r="M25" i="11" s="1"/>
  <c r="M27" i="11" s="1"/>
  <c r="M28" i="11" s="1"/>
  <c r="I12" i="11"/>
  <c r="I25" i="11" s="1"/>
  <c r="I27" i="11" s="1"/>
  <c r="I28" i="11" s="1"/>
  <c r="I96" i="10"/>
  <c r="G96" i="10"/>
  <c r="M9" i="10"/>
  <c r="M22" i="10" s="1"/>
  <c r="M24" i="10" s="1"/>
  <c r="M25" i="10" s="1"/>
  <c r="K12" i="11"/>
  <c r="K25" i="11" s="1"/>
  <c r="K27" i="11" s="1"/>
  <c r="K28" i="11" s="1"/>
  <c r="P96" i="10"/>
  <c r="P9" i="10"/>
  <c r="P22" i="10" s="1"/>
  <c r="P23" i="10" s="1"/>
  <c r="L12" i="11"/>
  <c r="L25" i="11" s="1"/>
  <c r="L9" i="10"/>
  <c r="L22" i="10" s="1"/>
  <c r="L24" i="10" s="1"/>
  <c r="L25" i="10" s="1"/>
  <c r="J9" i="10"/>
  <c r="J22" i="10" s="1"/>
  <c r="J24" i="10" s="1"/>
  <c r="J25" i="10" s="1"/>
  <c r="G97" i="11"/>
  <c r="O96" i="10"/>
  <c r="O9" i="10"/>
  <c r="O22" i="10" s="1"/>
  <c r="O24" i="10" s="1"/>
  <c r="O25" i="10" s="1"/>
  <c r="L97" i="11"/>
  <c r="H96" i="10"/>
  <c r="P97" i="11"/>
  <c r="H97" i="11"/>
  <c r="F97" i="11"/>
  <c r="D79" i="11"/>
  <c r="F12" i="11"/>
  <c r="F25" i="11" s="1"/>
  <c r="F27" i="11" s="1"/>
  <c r="F28" i="11" s="1"/>
  <c r="H12" i="11"/>
  <c r="H25" i="11" s="1"/>
  <c r="H27" i="11" s="1"/>
  <c r="H28" i="11" s="1"/>
  <c r="I97" i="11"/>
  <c r="L96" i="10"/>
  <c r="M96" i="10"/>
  <c r="M97" i="11"/>
  <c r="G12" i="11"/>
  <c r="G25" i="11" s="1"/>
  <c r="G26" i="11" s="1"/>
  <c r="O22" i="11"/>
  <c r="O12" i="11" s="1"/>
  <c r="O25" i="11" s="1"/>
  <c r="O97" i="11"/>
  <c r="H23" i="10"/>
  <c r="H24" i="10"/>
  <c r="H25" i="10" s="1"/>
  <c r="D10" i="10"/>
  <c r="E19" i="10"/>
  <c r="D19" i="10" s="1"/>
  <c r="D82" i="10"/>
  <c r="E22" i="11"/>
  <c r="D83" i="11"/>
  <c r="E97" i="11"/>
  <c r="O79" i="2"/>
  <c r="N19" i="2"/>
  <c r="O19" i="2" s="1"/>
  <c r="N93" i="2"/>
  <c r="O93" i="2" s="1"/>
  <c r="O9" i="4"/>
  <c r="N8" i="4"/>
  <c r="N20" i="2"/>
  <c r="O20" i="2" s="1"/>
  <c r="O92" i="2"/>
  <c r="N17" i="2"/>
  <c r="O17" i="2" s="1"/>
  <c r="O70" i="2"/>
  <c r="O52" i="2"/>
  <c r="O64" i="2"/>
  <c r="N15" i="2"/>
  <c r="O15" i="2" s="1"/>
  <c r="N12" i="2"/>
  <c r="O12" i="2" s="1"/>
  <c r="N9" i="2"/>
  <c r="O9" i="2" s="1"/>
  <c r="O35" i="2"/>
  <c r="D58" i="4"/>
  <c r="D13" i="4"/>
  <c r="D42" i="4"/>
  <c r="J42" i="2"/>
  <c r="M111" i="4"/>
  <c r="D54" i="2"/>
  <c r="G111" i="4"/>
  <c r="E13" i="2"/>
  <c r="G13" i="2" s="1"/>
  <c r="G58" i="2"/>
  <c r="D71" i="2"/>
  <c r="J111" i="4"/>
  <c r="M42" i="2"/>
  <c r="D80" i="2"/>
  <c r="J58" i="2"/>
  <c r="H13" i="2"/>
  <c r="J13" i="2" s="1"/>
  <c r="K13" i="2"/>
  <c r="M13" i="2" s="1"/>
  <c r="M58" i="2"/>
  <c r="D53" i="2"/>
  <c r="P12" i="11" l="1"/>
  <c r="P25" i="11" s="1"/>
  <c r="P26" i="11" s="1"/>
  <c r="D13" i="11"/>
  <c r="L26" i="11"/>
  <c r="L27" i="11"/>
  <c r="L28" i="11" s="1"/>
  <c r="N23" i="10"/>
  <c r="N27" i="11"/>
  <c r="N28" i="11" s="1"/>
  <c r="I23" i="10"/>
  <c r="K23" i="10"/>
  <c r="I26" i="11"/>
  <c r="J26" i="11"/>
  <c r="F24" i="10"/>
  <c r="F25" i="10" s="1"/>
  <c r="M26" i="11"/>
  <c r="G23" i="10"/>
  <c r="L23" i="10"/>
  <c r="F26" i="11"/>
  <c r="M23" i="10"/>
  <c r="J23" i="10"/>
  <c r="K26" i="11"/>
  <c r="D96" i="10"/>
  <c r="H26" i="11"/>
  <c r="O23" i="10"/>
  <c r="G27" i="11"/>
  <c r="G28" i="11" s="1"/>
  <c r="O27" i="11"/>
  <c r="O28" i="11" s="1"/>
  <c r="O26" i="11"/>
  <c r="D22" i="11"/>
  <c r="D97" i="11"/>
  <c r="E9" i="10"/>
  <c r="E12" i="11"/>
  <c r="N8" i="2"/>
  <c r="N21" i="4"/>
  <c r="O8" i="4"/>
  <c r="D42" i="2"/>
  <c r="D111" i="4"/>
  <c r="D58" i="2"/>
  <c r="D13" i="2"/>
  <c r="D12" i="11" l="1"/>
  <c r="E25" i="11"/>
  <c r="D9" i="10"/>
  <c r="E22" i="10"/>
  <c r="E23" i="10" s="1"/>
  <c r="N21" i="2"/>
  <c r="O8" i="2"/>
  <c r="H112" i="4"/>
  <c r="F112" i="4"/>
  <c r="D112" i="4"/>
  <c r="L112" i="4"/>
  <c r="K112" i="4"/>
  <c r="I112" i="4"/>
  <c r="E112" i="4"/>
  <c r="N22" i="4"/>
  <c r="O22" i="4" s="1"/>
  <c r="O21" i="4"/>
  <c r="E26" i="11" l="1"/>
  <c r="D25" i="11"/>
  <c r="E27" i="11"/>
  <c r="D22" i="10"/>
  <c r="E24" i="10"/>
  <c r="I89" i="4"/>
  <c r="I89" i="2" s="1"/>
  <c r="I78" i="4"/>
  <c r="I78" i="2" s="1"/>
  <c r="I67" i="4"/>
  <c r="I67" i="2" s="1"/>
  <c r="I51" i="4"/>
  <c r="I51" i="2" s="1"/>
  <c r="I43" i="4"/>
  <c r="I31" i="4"/>
  <c r="I31" i="2" s="1"/>
  <c r="I90" i="4"/>
  <c r="I90" i="2" s="1"/>
  <c r="I81" i="4"/>
  <c r="I68" i="4"/>
  <c r="I68" i="2" s="1"/>
  <c r="I59" i="4"/>
  <c r="I44" i="4"/>
  <c r="I44" i="2" s="1"/>
  <c r="I32" i="4"/>
  <c r="I32" i="2" s="1"/>
  <c r="I91" i="4"/>
  <c r="I91" i="2" s="1"/>
  <c r="I83" i="4"/>
  <c r="I69" i="4"/>
  <c r="I69" i="2" s="1"/>
  <c r="I60" i="4"/>
  <c r="I45" i="4"/>
  <c r="I45" i="2" s="1"/>
  <c r="I33" i="4"/>
  <c r="I33" i="2" s="1"/>
  <c r="I84" i="4"/>
  <c r="I84" i="2" s="1"/>
  <c r="I73" i="4"/>
  <c r="I61" i="4"/>
  <c r="I61" i="2" s="1"/>
  <c r="I46" i="4"/>
  <c r="I46" i="2" s="1"/>
  <c r="I34" i="4"/>
  <c r="I34" i="2" s="1"/>
  <c r="I85" i="4"/>
  <c r="I85" i="2" s="1"/>
  <c r="I74" i="4"/>
  <c r="I74" i="2" s="1"/>
  <c r="I62" i="4"/>
  <c r="I62" i="2" s="1"/>
  <c r="I47" i="4"/>
  <c r="I47" i="2" s="1"/>
  <c r="I37" i="4"/>
  <c r="I87" i="4"/>
  <c r="I87" i="2" s="1"/>
  <c r="I76" i="4"/>
  <c r="I76" i="2" s="1"/>
  <c r="I65" i="4"/>
  <c r="I49" i="4"/>
  <c r="I49" i="2" s="1"/>
  <c r="I39" i="4"/>
  <c r="I39" i="2" s="1"/>
  <c r="I88" i="4"/>
  <c r="I88" i="2" s="1"/>
  <c r="I66" i="4"/>
  <c r="I40" i="4"/>
  <c r="I40" i="2" s="1"/>
  <c r="I75" i="4"/>
  <c r="I75" i="2" s="1"/>
  <c r="I48" i="4"/>
  <c r="I48" i="2" s="1"/>
  <c r="I77" i="4"/>
  <c r="I77" i="2" s="1"/>
  <c r="I50" i="4"/>
  <c r="I50" i="2" s="1"/>
  <c r="I30" i="4"/>
  <c r="I86" i="4"/>
  <c r="I86" i="2" s="1"/>
  <c r="I63" i="4"/>
  <c r="I63" i="2" s="1"/>
  <c r="I38" i="4"/>
  <c r="I38" i="2" s="1"/>
  <c r="M112" i="4"/>
  <c r="K90" i="4"/>
  <c r="K81" i="4"/>
  <c r="K68" i="4"/>
  <c r="K59" i="4"/>
  <c r="K44" i="4"/>
  <c r="K32" i="4"/>
  <c r="K91" i="4"/>
  <c r="K83" i="4"/>
  <c r="K69" i="4"/>
  <c r="K60" i="4"/>
  <c r="K45" i="4"/>
  <c r="K33" i="4"/>
  <c r="K84" i="4"/>
  <c r="K73" i="4"/>
  <c r="K61" i="4"/>
  <c r="K46" i="4"/>
  <c r="K34" i="4"/>
  <c r="K85" i="4"/>
  <c r="K74" i="4"/>
  <c r="K62" i="4"/>
  <c r="K47" i="4"/>
  <c r="K37" i="4"/>
  <c r="K86" i="4"/>
  <c r="K75" i="4"/>
  <c r="K63" i="4"/>
  <c r="K48" i="4"/>
  <c r="K38" i="4"/>
  <c r="K88" i="4"/>
  <c r="K77" i="4"/>
  <c r="K66" i="4"/>
  <c r="K50" i="4"/>
  <c r="K40" i="4"/>
  <c r="K30" i="4"/>
  <c r="K78" i="4"/>
  <c r="K51" i="4"/>
  <c r="K31" i="4"/>
  <c r="K87" i="4"/>
  <c r="K65" i="4"/>
  <c r="K39" i="4"/>
  <c r="K89" i="4"/>
  <c r="K67" i="4"/>
  <c r="K43" i="4"/>
  <c r="K76" i="4"/>
  <c r="K49" i="4"/>
  <c r="L91" i="4"/>
  <c r="L91" i="2" s="1"/>
  <c r="L83" i="4"/>
  <c r="L69" i="4"/>
  <c r="L69" i="2" s="1"/>
  <c r="L60" i="4"/>
  <c r="L45" i="4"/>
  <c r="L45" i="2" s="1"/>
  <c r="L33" i="4"/>
  <c r="L33" i="2" s="1"/>
  <c r="L84" i="4"/>
  <c r="L84" i="2" s="1"/>
  <c r="L73" i="4"/>
  <c r="L61" i="4"/>
  <c r="L61" i="2" s="1"/>
  <c r="L46" i="4"/>
  <c r="L46" i="2" s="1"/>
  <c r="L34" i="4"/>
  <c r="L34" i="2" s="1"/>
  <c r="L85" i="4"/>
  <c r="L85" i="2" s="1"/>
  <c r="L74" i="4"/>
  <c r="L74" i="2" s="1"/>
  <c r="L62" i="4"/>
  <c r="L62" i="2" s="1"/>
  <c r="L47" i="4"/>
  <c r="L47" i="2" s="1"/>
  <c r="L37" i="4"/>
  <c r="L86" i="4"/>
  <c r="L86" i="2" s="1"/>
  <c r="L75" i="4"/>
  <c r="L75" i="2" s="1"/>
  <c r="L63" i="4"/>
  <c r="L63" i="2" s="1"/>
  <c r="L48" i="4"/>
  <c r="L48" i="2" s="1"/>
  <c r="L38" i="4"/>
  <c r="L38" i="2" s="1"/>
  <c r="L87" i="4"/>
  <c r="L87" i="2" s="1"/>
  <c r="L76" i="4"/>
  <c r="L76" i="2" s="1"/>
  <c r="L65" i="4"/>
  <c r="L49" i="4"/>
  <c r="L49" i="2" s="1"/>
  <c r="L39" i="4"/>
  <c r="L39" i="2" s="1"/>
  <c r="L89" i="4"/>
  <c r="L89" i="2" s="1"/>
  <c r="L78" i="4"/>
  <c r="L78" i="2" s="1"/>
  <c r="L67" i="4"/>
  <c r="L67" i="2" s="1"/>
  <c r="L51" i="4"/>
  <c r="L51" i="2" s="1"/>
  <c r="L43" i="4"/>
  <c r="L31" i="4"/>
  <c r="L31" i="2" s="1"/>
  <c r="L90" i="4"/>
  <c r="L90" i="2" s="1"/>
  <c r="L77" i="4"/>
  <c r="L77" i="2" s="1"/>
  <c r="L68" i="4"/>
  <c r="L68" i="2" s="1"/>
  <c r="L50" i="4"/>
  <c r="L50" i="2" s="1"/>
  <c r="L44" i="4"/>
  <c r="L44" i="2" s="1"/>
  <c r="L30" i="4"/>
  <c r="L88" i="4"/>
  <c r="L88" i="2" s="1"/>
  <c r="L81" i="4"/>
  <c r="L66" i="4"/>
  <c r="L59" i="4"/>
  <c r="L40" i="4"/>
  <c r="L40" i="2" s="1"/>
  <c r="L32" i="4"/>
  <c r="L32" i="2" s="1"/>
  <c r="F87" i="4"/>
  <c r="F87" i="2" s="1"/>
  <c r="F76" i="4"/>
  <c r="F76" i="2" s="1"/>
  <c r="F65" i="4"/>
  <c r="F49" i="4"/>
  <c r="F49" i="2" s="1"/>
  <c r="F39" i="4"/>
  <c r="F39" i="2" s="1"/>
  <c r="F88" i="4"/>
  <c r="F88" i="2" s="1"/>
  <c r="F77" i="4"/>
  <c r="F77" i="2" s="1"/>
  <c r="F66" i="4"/>
  <c r="F50" i="4"/>
  <c r="F50" i="2" s="1"/>
  <c r="F40" i="4"/>
  <c r="F40" i="2" s="1"/>
  <c r="F30" i="4"/>
  <c r="F89" i="4"/>
  <c r="F89" i="2" s="1"/>
  <c r="F78" i="4"/>
  <c r="F78" i="2" s="1"/>
  <c r="F67" i="4"/>
  <c r="F67" i="2" s="1"/>
  <c r="F51" i="4"/>
  <c r="F51" i="2" s="1"/>
  <c r="F43" i="4"/>
  <c r="F31" i="4"/>
  <c r="F31" i="2" s="1"/>
  <c r="F90" i="4"/>
  <c r="F90" i="2" s="1"/>
  <c r="F81" i="4"/>
  <c r="F68" i="4"/>
  <c r="F68" i="2" s="1"/>
  <c r="F59" i="4"/>
  <c r="F44" i="4"/>
  <c r="F44" i="2" s="1"/>
  <c r="F32" i="4"/>
  <c r="F32" i="2" s="1"/>
  <c r="F91" i="4"/>
  <c r="F91" i="2" s="1"/>
  <c r="F83" i="4"/>
  <c r="F69" i="4"/>
  <c r="F69" i="2" s="1"/>
  <c r="F60" i="4"/>
  <c r="F45" i="4"/>
  <c r="F45" i="2" s="1"/>
  <c r="F33" i="4"/>
  <c r="F33" i="2" s="1"/>
  <c r="F85" i="4"/>
  <c r="F85" i="2" s="1"/>
  <c r="F74" i="4"/>
  <c r="F74" i="2" s="1"/>
  <c r="F62" i="4"/>
  <c r="F62" i="2" s="1"/>
  <c r="F47" i="4"/>
  <c r="F47" i="2" s="1"/>
  <c r="F37" i="4"/>
  <c r="F75" i="4"/>
  <c r="F75" i="2" s="1"/>
  <c r="F48" i="4"/>
  <c r="F48" i="2" s="1"/>
  <c r="F84" i="4"/>
  <c r="F84" i="2" s="1"/>
  <c r="F61" i="4"/>
  <c r="F61" i="2" s="1"/>
  <c r="F34" i="4"/>
  <c r="F34" i="2" s="1"/>
  <c r="F46" i="4"/>
  <c r="F46" i="2" s="1"/>
  <c r="F86" i="4"/>
  <c r="F86" i="2" s="1"/>
  <c r="F63" i="4"/>
  <c r="F63" i="2" s="1"/>
  <c r="F38" i="4"/>
  <c r="F38" i="2" s="1"/>
  <c r="F73" i="4"/>
  <c r="H88" i="4"/>
  <c r="H77" i="4"/>
  <c r="H66" i="4"/>
  <c r="H50" i="4"/>
  <c r="H40" i="4"/>
  <c r="H30" i="4"/>
  <c r="H89" i="4"/>
  <c r="H78" i="4"/>
  <c r="H67" i="4"/>
  <c r="H51" i="4"/>
  <c r="H43" i="4"/>
  <c r="H31" i="4"/>
  <c r="H90" i="4"/>
  <c r="H81" i="4"/>
  <c r="H68" i="4"/>
  <c r="H59" i="4"/>
  <c r="H44" i="4"/>
  <c r="H32" i="4"/>
  <c r="H91" i="4"/>
  <c r="H83" i="4"/>
  <c r="H69" i="4"/>
  <c r="H60" i="4"/>
  <c r="H45" i="4"/>
  <c r="H33" i="4"/>
  <c r="H84" i="4"/>
  <c r="H73" i="4"/>
  <c r="H61" i="4"/>
  <c r="H46" i="4"/>
  <c r="H34" i="4"/>
  <c r="H86" i="4"/>
  <c r="H75" i="4"/>
  <c r="H63" i="4"/>
  <c r="H48" i="4"/>
  <c r="H38" i="4"/>
  <c r="H85" i="4"/>
  <c r="H62" i="4"/>
  <c r="H37" i="4"/>
  <c r="H87" i="4"/>
  <c r="H65" i="4"/>
  <c r="H39" i="4"/>
  <c r="H74" i="4"/>
  <c r="H47" i="4"/>
  <c r="H76" i="4"/>
  <c r="H49" i="4"/>
  <c r="E86" i="4"/>
  <c r="E75" i="4"/>
  <c r="E63" i="4"/>
  <c r="E48" i="4"/>
  <c r="E38" i="4"/>
  <c r="E87" i="4"/>
  <c r="E76" i="4"/>
  <c r="E65" i="4"/>
  <c r="E49" i="4"/>
  <c r="E39" i="4"/>
  <c r="E88" i="4"/>
  <c r="E77" i="4"/>
  <c r="E66" i="4"/>
  <c r="E50" i="4"/>
  <c r="E40" i="4"/>
  <c r="E30" i="4"/>
  <c r="E89" i="4"/>
  <c r="E78" i="4"/>
  <c r="E67" i="4"/>
  <c r="E51" i="4"/>
  <c r="E43" i="4"/>
  <c r="E31" i="4"/>
  <c r="E90" i="4"/>
  <c r="E81" i="4"/>
  <c r="E68" i="4"/>
  <c r="E59" i="4"/>
  <c r="E44" i="4"/>
  <c r="E32" i="4"/>
  <c r="E84" i="4"/>
  <c r="E73" i="4"/>
  <c r="E61" i="4"/>
  <c r="E46" i="4"/>
  <c r="E34" i="4"/>
  <c r="E91" i="4"/>
  <c r="E85" i="4"/>
  <c r="E69" i="4"/>
  <c r="E62" i="4"/>
  <c r="E45" i="4"/>
  <c r="E37" i="4"/>
  <c r="E83" i="4"/>
  <c r="E74" i="4"/>
  <c r="E60" i="4"/>
  <c r="E47" i="4"/>
  <c r="E33" i="4"/>
  <c r="G112" i="4"/>
  <c r="N22" i="2"/>
  <c r="O22" i="2" s="1"/>
  <c r="O21" i="2"/>
  <c r="J112" i="4"/>
  <c r="D23" i="10" l="1"/>
  <c r="P24" i="10"/>
  <c r="P25" i="10" s="1"/>
  <c r="E25" i="10"/>
  <c r="E28" i="11"/>
  <c r="D26" i="11"/>
  <c r="P27" i="11"/>
  <c r="P28" i="11" s="1"/>
  <c r="E85" i="2"/>
  <c r="G85" i="2" s="1"/>
  <c r="G85" i="4"/>
  <c r="H89" i="2"/>
  <c r="J89" i="2" s="1"/>
  <c r="J89" i="4"/>
  <c r="L43" i="2"/>
  <c r="L52" i="2" s="1"/>
  <c r="L12" i="2" s="1"/>
  <c r="L52" i="4"/>
  <c r="E60" i="2"/>
  <c r="G60" i="4"/>
  <c r="E64" i="4"/>
  <c r="E91" i="2"/>
  <c r="G91" i="2" s="1"/>
  <c r="G91" i="4"/>
  <c r="E14" i="4"/>
  <c r="E59" i="2"/>
  <c r="G59" i="4"/>
  <c r="E78" i="2"/>
  <c r="G78" i="2" s="1"/>
  <c r="G78" i="4"/>
  <c r="E39" i="2"/>
  <c r="G39" i="2" s="1"/>
  <c r="G39" i="4"/>
  <c r="E75" i="2"/>
  <c r="G75" i="2" s="1"/>
  <c r="G75" i="4"/>
  <c r="H87" i="2"/>
  <c r="J87" i="2" s="1"/>
  <c r="J87" i="4"/>
  <c r="H86" i="2"/>
  <c r="J86" i="2" s="1"/>
  <c r="J86" i="4"/>
  <c r="H60" i="2"/>
  <c r="H64" i="4"/>
  <c r="J60" i="4"/>
  <c r="H81" i="2"/>
  <c r="H82" i="4"/>
  <c r="J81" i="4"/>
  <c r="H30" i="2"/>
  <c r="J30" i="4"/>
  <c r="H35" i="4"/>
  <c r="F37" i="2"/>
  <c r="F41" i="2" s="1"/>
  <c r="F11" i="2" s="1"/>
  <c r="F41" i="4"/>
  <c r="F11" i="4" s="1"/>
  <c r="L30" i="2"/>
  <c r="L35" i="2" s="1"/>
  <c r="L35" i="4"/>
  <c r="L9" i="4" s="1"/>
  <c r="K43" i="2"/>
  <c r="M43" i="4"/>
  <c r="K52" i="4"/>
  <c r="K78" i="2"/>
  <c r="M78" i="2" s="1"/>
  <c r="M78" i="4"/>
  <c r="K48" i="2"/>
  <c r="M48" i="2" s="1"/>
  <c r="M48" i="4"/>
  <c r="K85" i="2"/>
  <c r="M85" i="2" s="1"/>
  <c r="M85" i="4"/>
  <c r="K60" i="2"/>
  <c r="K64" i="4"/>
  <c r="M60" i="4"/>
  <c r="K81" i="2"/>
  <c r="M81" i="4"/>
  <c r="K82" i="4"/>
  <c r="I65" i="2"/>
  <c r="I16" i="2" s="1"/>
  <c r="I16" i="4"/>
  <c r="E44" i="2"/>
  <c r="G44" i="2" s="1"/>
  <c r="G44" i="4"/>
  <c r="H65" i="2"/>
  <c r="J65" i="4"/>
  <c r="H16" i="4"/>
  <c r="H68" i="2"/>
  <c r="J68" i="2" s="1"/>
  <c r="J68" i="4"/>
  <c r="F30" i="2"/>
  <c r="F35" i="2" s="1"/>
  <c r="F35" i="4"/>
  <c r="K45" i="2"/>
  <c r="M45" i="2" s="1"/>
  <c r="M45" i="4"/>
  <c r="E74" i="2"/>
  <c r="G74" i="2" s="1"/>
  <c r="G74" i="4"/>
  <c r="E49" i="2"/>
  <c r="G49" i="2" s="1"/>
  <c r="G49" i="4"/>
  <c r="H37" i="2"/>
  <c r="J37" i="4"/>
  <c r="H41" i="4"/>
  <c r="H90" i="2"/>
  <c r="J90" i="2" s="1"/>
  <c r="J90" i="4"/>
  <c r="F83" i="2"/>
  <c r="F92" i="2" s="1"/>
  <c r="F20" i="2" s="1"/>
  <c r="F92" i="4"/>
  <c r="F20" i="4" s="1"/>
  <c r="K30" i="2"/>
  <c r="K35" i="4"/>
  <c r="M30" i="4"/>
  <c r="K34" i="2"/>
  <c r="M34" i="2" s="1"/>
  <c r="M34" i="4"/>
  <c r="K90" i="2"/>
  <c r="M90" i="2" s="1"/>
  <c r="M90" i="4"/>
  <c r="E83" i="2"/>
  <c r="E92" i="4"/>
  <c r="G83" i="4"/>
  <c r="E46" i="2"/>
  <c r="G46" i="2" s="1"/>
  <c r="G46" i="4"/>
  <c r="E81" i="2"/>
  <c r="E82" i="4"/>
  <c r="G81" i="4"/>
  <c r="E30" i="2"/>
  <c r="E35" i="4"/>
  <c r="G30" i="4"/>
  <c r="E65" i="2"/>
  <c r="G65" i="4"/>
  <c r="E16" i="4"/>
  <c r="H49" i="2"/>
  <c r="J49" i="2" s="1"/>
  <c r="J49" i="4"/>
  <c r="H62" i="2"/>
  <c r="J62" i="2" s="1"/>
  <c r="J62" i="4"/>
  <c r="H46" i="2"/>
  <c r="J46" i="2" s="1"/>
  <c r="J46" i="4"/>
  <c r="H83" i="2"/>
  <c r="H92" i="4"/>
  <c r="J83" i="4"/>
  <c r="H31" i="2"/>
  <c r="J31" i="2" s="1"/>
  <c r="J31" i="4"/>
  <c r="H50" i="2"/>
  <c r="J50" i="2" s="1"/>
  <c r="J50" i="4"/>
  <c r="F43" i="2"/>
  <c r="F52" i="2" s="1"/>
  <c r="F12" i="2" s="1"/>
  <c r="F52" i="4"/>
  <c r="F12" i="4" s="1"/>
  <c r="F66" i="2"/>
  <c r="F70" i="2" s="1"/>
  <c r="F17" i="2" s="1"/>
  <c r="F70" i="4"/>
  <c r="F17" i="4" s="1"/>
  <c r="L60" i="2"/>
  <c r="L64" i="2" s="1"/>
  <c r="L15" i="2" s="1"/>
  <c r="L64" i="4"/>
  <c r="L15" i="4" s="1"/>
  <c r="K89" i="2"/>
  <c r="M89" i="2" s="1"/>
  <c r="M89" i="4"/>
  <c r="K40" i="2"/>
  <c r="M40" i="2" s="1"/>
  <c r="M40" i="4"/>
  <c r="K75" i="2"/>
  <c r="M75" i="2" s="1"/>
  <c r="M75" i="4"/>
  <c r="K46" i="2"/>
  <c r="M46" i="2" s="1"/>
  <c r="M46" i="4"/>
  <c r="K83" i="2"/>
  <c r="K92" i="4"/>
  <c r="M83" i="4"/>
  <c r="I43" i="2"/>
  <c r="I52" i="2" s="1"/>
  <c r="I12" i="2" s="1"/>
  <c r="I52" i="4"/>
  <c r="I12" i="4" s="1"/>
  <c r="E47" i="2"/>
  <c r="G47" i="2" s="1"/>
  <c r="G47" i="4"/>
  <c r="E63" i="2"/>
  <c r="G63" i="2" s="1"/>
  <c r="G63" i="4"/>
  <c r="K76" i="2"/>
  <c r="M76" i="2" s="1"/>
  <c r="M76" i="4"/>
  <c r="K74" i="2"/>
  <c r="M74" i="2" s="1"/>
  <c r="M74" i="4"/>
  <c r="I81" i="2"/>
  <c r="I82" i="2" s="1"/>
  <c r="I19" i="2" s="1"/>
  <c r="I82" i="4"/>
  <c r="I19" i="4" s="1"/>
  <c r="E89" i="2"/>
  <c r="G89" i="2" s="1"/>
  <c r="G89" i="4"/>
  <c r="H34" i="2"/>
  <c r="J34" i="2" s="1"/>
  <c r="J34" i="4"/>
  <c r="K67" i="2"/>
  <c r="M67" i="2" s="1"/>
  <c r="M67" i="4"/>
  <c r="K63" i="2"/>
  <c r="M63" i="2" s="1"/>
  <c r="M63" i="4"/>
  <c r="K69" i="2"/>
  <c r="M69" i="2" s="1"/>
  <c r="M69" i="4"/>
  <c r="I83" i="2"/>
  <c r="I92" i="2" s="1"/>
  <c r="I20" i="2" s="1"/>
  <c r="I92" i="4"/>
  <c r="I20" i="4" s="1"/>
  <c r="E37" i="2"/>
  <c r="E41" i="4"/>
  <c r="G37" i="4"/>
  <c r="E61" i="2"/>
  <c r="G61" i="2" s="1"/>
  <c r="G61" i="4"/>
  <c r="E90" i="2"/>
  <c r="G90" i="2" s="1"/>
  <c r="G90" i="4"/>
  <c r="E40" i="2"/>
  <c r="G40" i="2" s="1"/>
  <c r="G40" i="4"/>
  <c r="E76" i="2"/>
  <c r="G76" i="2" s="1"/>
  <c r="G76" i="4"/>
  <c r="H76" i="2"/>
  <c r="J76" i="2" s="1"/>
  <c r="J76" i="4"/>
  <c r="H85" i="2"/>
  <c r="J85" i="2" s="1"/>
  <c r="J85" i="4"/>
  <c r="H61" i="2"/>
  <c r="J61" i="2" s="1"/>
  <c r="J61" i="4"/>
  <c r="H91" i="2"/>
  <c r="J91" i="2" s="1"/>
  <c r="J91" i="4"/>
  <c r="H43" i="2"/>
  <c r="H52" i="4"/>
  <c r="J43" i="4"/>
  <c r="H66" i="2"/>
  <c r="H70" i="4"/>
  <c r="J66" i="4"/>
  <c r="K39" i="2"/>
  <c r="M39" i="2" s="1"/>
  <c r="M39" i="4"/>
  <c r="K50" i="2"/>
  <c r="M50" i="2" s="1"/>
  <c r="M50" i="4"/>
  <c r="K86" i="2"/>
  <c r="M86" i="2" s="1"/>
  <c r="M86" i="4"/>
  <c r="K61" i="2"/>
  <c r="M61" i="2" s="1"/>
  <c r="M61" i="4"/>
  <c r="K91" i="2"/>
  <c r="M91" i="2" s="1"/>
  <c r="M91" i="4"/>
  <c r="I37" i="2"/>
  <c r="I41" i="2" s="1"/>
  <c r="I11" i="2" s="1"/>
  <c r="I41" i="4"/>
  <c r="I11" i="4" s="1"/>
  <c r="I73" i="2"/>
  <c r="I79" i="2" s="1"/>
  <c r="I18" i="2" s="1"/>
  <c r="I79" i="4"/>
  <c r="I18" i="4" s="1"/>
  <c r="E67" i="2"/>
  <c r="G67" i="2" s="1"/>
  <c r="G67" i="4"/>
  <c r="H75" i="2"/>
  <c r="J75" i="2" s="1"/>
  <c r="J75" i="4"/>
  <c r="F60" i="2"/>
  <c r="F64" i="2" s="1"/>
  <c r="F15" i="2" s="1"/>
  <c r="F64" i="4"/>
  <c r="F15" i="4" s="1"/>
  <c r="K38" i="2"/>
  <c r="M38" i="2" s="1"/>
  <c r="M38" i="4"/>
  <c r="E34" i="2"/>
  <c r="G34" i="2" s="1"/>
  <c r="G34" i="4"/>
  <c r="E45" i="2"/>
  <c r="G45" i="2" s="1"/>
  <c r="G45" i="4"/>
  <c r="E73" i="2"/>
  <c r="G73" i="4"/>
  <c r="E79" i="4"/>
  <c r="E31" i="2"/>
  <c r="G31" i="2" s="1"/>
  <c r="G31" i="4"/>
  <c r="E50" i="2"/>
  <c r="G50" i="2" s="1"/>
  <c r="G50" i="4"/>
  <c r="E87" i="2"/>
  <c r="G87" i="2" s="1"/>
  <c r="G87" i="4"/>
  <c r="H47" i="2"/>
  <c r="J47" i="2" s="1"/>
  <c r="J47" i="4"/>
  <c r="H38" i="2"/>
  <c r="J38" i="2" s="1"/>
  <c r="J38" i="4"/>
  <c r="H73" i="2"/>
  <c r="J73" i="4"/>
  <c r="H79" i="4"/>
  <c r="H32" i="2"/>
  <c r="J32" i="2" s="1"/>
  <c r="J32" i="4"/>
  <c r="H51" i="2"/>
  <c r="J51" i="2" s="1"/>
  <c r="J51" i="4"/>
  <c r="H77" i="2"/>
  <c r="J77" i="2" s="1"/>
  <c r="J77" i="4"/>
  <c r="L59" i="2"/>
  <c r="L14" i="2" s="1"/>
  <c r="L14" i="4"/>
  <c r="L83" i="2"/>
  <c r="L92" i="2" s="1"/>
  <c r="L20" i="2" s="1"/>
  <c r="L92" i="4"/>
  <c r="L20" i="4" s="1"/>
  <c r="K65" i="2"/>
  <c r="K16" i="4"/>
  <c r="M65" i="4"/>
  <c r="K66" i="2"/>
  <c r="M66" i="4"/>
  <c r="K70" i="4"/>
  <c r="K37" i="2"/>
  <c r="M37" i="4"/>
  <c r="K41" i="4"/>
  <c r="K73" i="2"/>
  <c r="K79" i="4"/>
  <c r="M73" i="4"/>
  <c r="K32" i="2"/>
  <c r="M32" i="2" s="1"/>
  <c r="M32" i="4"/>
  <c r="I66" i="2"/>
  <c r="I70" i="2" s="1"/>
  <c r="I17" i="2" s="1"/>
  <c r="I70" i="4"/>
  <c r="I17" i="4" s="1"/>
  <c r="E84" i="2"/>
  <c r="G84" i="2" s="1"/>
  <c r="G84" i="4"/>
  <c r="H84" i="2"/>
  <c r="J84" i="2" s="1"/>
  <c r="J84" i="4"/>
  <c r="H88" i="2"/>
  <c r="J88" i="2" s="1"/>
  <c r="J88" i="4"/>
  <c r="F59" i="2"/>
  <c r="F14" i="2" s="1"/>
  <c r="F14" i="4"/>
  <c r="K87" i="2"/>
  <c r="M87" i="2" s="1"/>
  <c r="M87" i="4"/>
  <c r="K77" i="2"/>
  <c r="M77" i="2" s="1"/>
  <c r="M77" i="4"/>
  <c r="K47" i="2"/>
  <c r="M47" i="2" s="1"/>
  <c r="M47" i="4"/>
  <c r="K84" i="2"/>
  <c r="M84" i="2" s="1"/>
  <c r="M84" i="4"/>
  <c r="K44" i="2"/>
  <c r="M44" i="2" s="1"/>
  <c r="M44" i="4"/>
  <c r="I59" i="2"/>
  <c r="I14" i="2" s="1"/>
  <c r="I14" i="4"/>
  <c r="E88" i="2"/>
  <c r="G88" i="2" s="1"/>
  <c r="G88" i="4"/>
  <c r="H45" i="2"/>
  <c r="J45" i="2" s="1"/>
  <c r="J45" i="4"/>
  <c r="F81" i="2"/>
  <c r="F82" i="2" s="1"/>
  <c r="F19" i="2" s="1"/>
  <c r="F82" i="4"/>
  <c r="F19" i="4" s="1"/>
  <c r="F65" i="2"/>
  <c r="F16" i="2" s="1"/>
  <c r="F16" i="4"/>
  <c r="K51" i="2"/>
  <c r="M51" i="2" s="1"/>
  <c r="M51" i="4"/>
  <c r="K68" i="2"/>
  <c r="M68" i="2" s="1"/>
  <c r="M68" i="4"/>
  <c r="I60" i="2"/>
  <c r="I64" i="2" s="1"/>
  <c r="I15" i="2" s="1"/>
  <c r="I64" i="4"/>
  <c r="I15" i="4" s="1"/>
  <c r="E68" i="2"/>
  <c r="G68" i="2" s="1"/>
  <c r="G68" i="4"/>
  <c r="E86" i="2"/>
  <c r="G86" i="2" s="1"/>
  <c r="G86" i="4"/>
  <c r="H69" i="2"/>
  <c r="J69" i="2" s="1"/>
  <c r="J69" i="4"/>
  <c r="H40" i="2"/>
  <c r="J40" i="2" s="1"/>
  <c r="J40" i="4"/>
  <c r="E62" i="2"/>
  <c r="G62" i="2" s="1"/>
  <c r="G62" i="4"/>
  <c r="E43" i="2"/>
  <c r="G43" i="4"/>
  <c r="E52" i="4"/>
  <c r="E66" i="2"/>
  <c r="G66" i="4"/>
  <c r="E70" i="4"/>
  <c r="E38" i="2"/>
  <c r="G38" i="2" s="1"/>
  <c r="G38" i="4"/>
  <c r="H74" i="2"/>
  <c r="J74" i="2" s="1"/>
  <c r="J74" i="4"/>
  <c r="H48" i="2"/>
  <c r="J48" i="2" s="1"/>
  <c r="J48" i="4"/>
  <c r="H44" i="2"/>
  <c r="J44" i="2" s="1"/>
  <c r="J44" i="4"/>
  <c r="H67" i="2"/>
  <c r="J67" i="2" s="1"/>
  <c r="J67" i="4"/>
  <c r="L66" i="2"/>
  <c r="L70" i="2" s="1"/>
  <c r="L17" i="2" s="1"/>
  <c r="L70" i="4"/>
  <c r="L17" i="4" s="1"/>
  <c r="E33" i="2"/>
  <c r="G33" i="2" s="1"/>
  <c r="G33" i="4"/>
  <c r="E69" i="2"/>
  <c r="G69" i="2" s="1"/>
  <c r="G69" i="4"/>
  <c r="E32" i="2"/>
  <c r="G32" i="2" s="1"/>
  <c r="G32" i="4"/>
  <c r="E51" i="2"/>
  <c r="G51" i="2" s="1"/>
  <c r="G51" i="4"/>
  <c r="E77" i="2"/>
  <c r="G77" i="2" s="1"/>
  <c r="G77" i="4"/>
  <c r="E48" i="2"/>
  <c r="G48" i="2" s="1"/>
  <c r="G48" i="4"/>
  <c r="H39" i="2"/>
  <c r="J39" i="2" s="1"/>
  <c r="J39" i="4"/>
  <c r="H63" i="2"/>
  <c r="J63" i="2" s="1"/>
  <c r="J63" i="4"/>
  <c r="H33" i="2"/>
  <c r="J33" i="2" s="1"/>
  <c r="J33" i="4"/>
  <c r="H59" i="2"/>
  <c r="J59" i="4"/>
  <c r="H14" i="4"/>
  <c r="H78" i="2"/>
  <c r="J78" i="2" s="1"/>
  <c r="J78" i="4"/>
  <c r="F73" i="2"/>
  <c r="F79" i="2" s="1"/>
  <c r="F18" i="2" s="1"/>
  <c r="F79" i="4"/>
  <c r="F18" i="4" s="1"/>
  <c r="L81" i="2"/>
  <c r="L82" i="2" s="1"/>
  <c r="L19" i="2" s="1"/>
  <c r="L82" i="4"/>
  <c r="L19" i="4" s="1"/>
  <c r="L65" i="2"/>
  <c r="L16" i="2" s="1"/>
  <c r="L16" i="4"/>
  <c r="L37" i="2"/>
  <c r="L41" i="2" s="1"/>
  <c r="L11" i="2" s="1"/>
  <c r="L41" i="4"/>
  <c r="L11" i="4" s="1"/>
  <c r="L73" i="2"/>
  <c r="L79" i="2" s="1"/>
  <c r="L18" i="2" s="1"/>
  <c r="L79" i="4"/>
  <c r="L18" i="4" s="1"/>
  <c r="K49" i="2"/>
  <c r="M49" i="2" s="1"/>
  <c r="M49" i="4"/>
  <c r="K31" i="2"/>
  <c r="M31" i="2" s="1"/>
  <c r="M31" i="4"/>
  <c r="K88" i="2"/>
  <c r="M88" i="2" s="1"/>
  <c r="M88" i="4"/>
  <c r="K62" i="2"/>
  <c r="M62" i="2" s="1"/>
  <c r="M62" i="4"/>
  <c r="K33" i="2"/>
  <c r="M33" i="2" s="1"/>
  <c r="M33" i="4"/>
  <c r="K59" i="2"/>
  <c r="K14" i="4"/>
  <c r="M59" i="4"/>
  <c r="I30" i="2"/>
  <c r="I35" i="2" s="1"/>
  <c r="I35" i="4"/>
  <c r="D48" i="4" l="1"/>
  <c r="D34" i="4"/>
  <c r="D60" i="4"/>
  <c r="M14" i="4"/>
  <c r="D90" i="4"/>
  <c r="D69" i="4"/>
  <c r="D27" i="11"/>
  <c r="D28" i="11" s="1"/>
  <c r="D24" i="10"/>
  <c r="D25" i="10" s="1"/>
  <c r="D32" i="2"/>
  <c r="D32" i="4"/>
  <c r="D38" i="4"/>
  <c r="D62" i="4"/>
  <c r="D68" i="4"/>
  <c r="D50" i="2"/>
  <c r="D65" i="4"/>
  <c r="D46" i="4"/>
  <c r="D44" i="4"/>
  <c r="D78" i="4"/>
  <c r="D38" i="2"/>
  <c r="D62" i="2"/>
  <c r="D88" i="4"/>
  <c r="D45" i="4"/>
  <c r="D47" i="2"/>
  <c r="D83" i="4"/>
  <c r="D90" i="2"/>
  <c r="D61" i="2"/>
  <c r="D47" i="4"/>
  <c r="D74" i="4"/>
  <c r="D75" i="2"/>
  <c r="D37" i="4"/>
  <c r="D43" i="4"/>
  <c r="D76" i="4"/>
  <c r="J14" i="4"/>
  <c r="D68" i="2"/>
  <c r="D77" i="2"/>
  <c r="K18" i="4"/>
  <c r="M18" i="4" s="1"/>
  <c r="M79" i="4"/>
  <c r="D31" i="4"/>
  <c r="D34" i="2"/>
  <c r="D67" i="2"/>
  <c r="H17" i="4"/>
  <c r="J17" i="4" s="1"/>
  <c r="J70" i="4"/>
  <c r="D40" i="2"/>
  <c r="G65" i="2"/>
  <c r="E16" i="2"/>
  <c r="G16" i="2" s="1"/>
  <c r="D46" i="2"/>
  <c r="F9" i="4"/>
  <c r="F8" i="4" s="1"/>
  <c r="F21" i="4" s="1"/>
  <c r="F22" i="4" s="1"/>
  <c r="F93" i="4"/>
  <c r="D44" i="2"/>
  <c r="K64" i="2"/>
  <c r="M60" i="2"/>
  <c r="J30" i="2"/>
  <c r="H35" i="2"/>
  <c r="D78" i="2"/>
  <c r="G60" i="2"/>
  <c r="E64" i="2"/>
  <c r="J83" i="2"/>
  <c r="H92" i="2"/>
  <c r="M64" i="4"/>
  <c r="K15" i="4"/>
  <c r="M15" i="4" s="1"/>
  <c r="M59" i="2"/>
  <c r="K14" i="2"/>
  <c r="M14" i="2" s="1"/>
  <c r="D40" i="4"/>
  <c r="M73" i="2"/>
  <c r="K79" i="2"/>
  <c r="J66" i="2"/>
  <c r="H70" i="2"/>
  <c r="K20" i="4"/>
  <c r="M20" i="4" s="1"/>
  <c r="M92" i="4"/>
  <c r="D30" i="4"/>
  <c r="J37" i="2"/>
  <c r="H41" i="2"/>
  <c r="M43" i="2"/>
  <c r="K52" i="2"/>
  <c r="D59" i="4"/>
  <c r="D69" i="2"/>
  <c r="K11" i="4"/>
  <c r="M11" i="4" s="1"/>
  <c r="M41" i="4"/>
  <c r="G79" i="4"/>
  <c r="E18" i="4"/>
  <c r="G18" i="4" s="1"/>
  <c r="D89" i="4"/>
  <c r="D63" i="4"/>
  <c r="M83" i="2"/>
  <c r="K92" i="2"/>
  <c r="G35" i="4"/>
  <c r="E93" i="4"/>
  <c r="E9" i="4"/>
  <c r="E20" i="4"/>
  <c r="G20" i="4" s="1"/>
  <c r="G92" i="4"/>
  <c r="K35" i="2"/>
  <c r="M30" i="2"/>
  <c r="D49" i="4"/>
  <c r="D85" i="2"/>
  <c r="H19" i="4"/>
  <c r="J19" i="4" s="1"/>
  <c r="J82" i="4"/>
  <c r="G59" i="2"/>
  <c r="E14" i="2"/>
  <c r="G14" i="2" s="1"/>
  <c r="M66" i="2"/>
  <c r="K70" i="2"/>
  <c r="J73" i="2"/>
  <c r="H79" i="2"/>
  <c r="E41" i="2"/>
  <c r="G37" i="2"/>
  <c r="H11" i="4"/>
  <c r="J11" i="4" s="1"/>
  <c r="J41" i="4"/>
  <c r="E17" i="4"/>
  <c r="G17" i="4" s="1"/>
  <c r="G70" i="4"/>
  <c r="D84" i="4"/>
  <c r="M16" i="4"/>
  <c r="M35" i="4"/>
  <c r="K9" i="4"/>
  <c r="K93" i="4"/>
  <c r="F9" i="2"/>
  <c r="F8" i="2" s="1"/>
  <c r="F21" i="2" s="1"/>
  <c r="F22" i="2" s="1"/>
  <c r="F93" i="2"/>
  <c r="L93" i="4"/>
  <c r="L12" i="4"/>
  <c r="L8" i="4" s="1"/>
  <c r="L21" i="4" s="1"/>
  <c r="L22" i="4" s="1"/>
  <c r="H14" i="2"/>
  <c r="J14" i="2" s="1"/>
  <c r="J59" i="2"/>
  <c r="D48" i="2"/>
  <c r="D66" i="4"/>
  <c r="D84" i="2"/>
  <c r="K16" i="2"/>
  <c r="M16" i="2" s="1"/>
  <c r="M65" i="2"/>
  <c r="D77" i="4"/>
  <c r="D33" i="4"/>
  <c r="G66" i="2"/>
  <c r="E70" i="2"/>
  <c r="D73" i="4"/>
  <c r="H12" i="4"/>
  <c r="J12" i="4" s="1"/>
  <c r="J52" i="4"/>
  <c r="D61" i="4"/>
  <c r="D89" i="2"/>
  <c r="E35" i="2"/>
  <c r="G30" i="2"/>
  <c r="G83" i="2"/>
  <c r="E92" i="2"/>
  <c r="D49" i="2"/>
  <c r="K19" i="4"/>
  <c r="M19" i="4" s="1"/>
  <c r="M82" i="4"/>
  <c r="L93" i="2"/>
  <c r="L9" i="2"/>
  <c r="L8" i="2" s="1"/>
  <c r="L21" i="2" s="1"/>
  <c r="L22" i="2" s="1"/>
  <c r="J81" i="2"/>
  <c r="H82" i="2"/>
  <c r="D75" i="4"/>
  <c r="G14" i="4"/>
  <c r="K12" i="4"/>
  <c r="M52" i="4"/>
  <c r="G73" i="2"/>
  <c r="E79" i="2"/>
  <c r="J16" i="4"/>
  <c r="D91" i="4"/>
  <c r="E19" i="4"/>
  <c r="G19" i="4" s="1"/>
  <c r="G82" i="4"/>
  <c r="D74" i="2"/>
  <c r="M81" i="2"/>
  <c r="K82" i="2"/>
  <c r="J64" i="4"/>
  <c r="H15" i="4"/>
  <c r="J15" i="4" s="1"/>
  <c r="D39" i="4"/>
  <c r="D91" i="2"/>
  <c r="D85" i="4"/>
  <c r="D67" i="4"/>
  <c r="D33" i="2"/>
  <c r="E12" i="4"/>
  <c r="G12" i="4" s="1"/>
  <c r="G52" i="4"/>
  <c r="K41" i="2"/>
  <c r="M37" i="2"/>
  <c r="D87" i="4"/>
  <c r="H52" i="2"/>
  <c r="J43" i="2"/>
  <c r="D31" i="2"/>
  <c r="D81" i="4"/>
  <c r="I9" i="4"/>
  <c r="I8" i="4" s="1"/>
  <c r="I21" i="4" s="1"/>
  <c r="I22" i="4" s="1"/>
  <c r="I93" i="4"/>
  <c r="D51" i="4"/>
  <c r="D86" i="4"/>
  <c r="M70" i="4"/>
  <c r="K17" i="4"/>
  <c r="M17" i="4" s="1"/>
  <c r="H18" i="4"/>
  <c r="J18" i="4" s="1"/>
  <c r="J79" i="4"/>
  <c r="D87" i="2"/>
  <c r="I9" i="2"/>
  <c r="I8" i="2" s="1"/>
  <c r="I21" i="2" s="1"/>
  <c r="I22" i="2" s="1"/>
  <c r="I93" i="2"/>
  <c r="D63" i="2"/>
  <c r="D51" i="2"/>
  <c r="G43" i="2"/>
  <c r="E52" i="2"/>
  <c r="D86" i="2"/>
  <c r="D88" i="2"/>
  <c r="D50" i="4"/>
  <c r="D45" i="2"/>
  <c r="D76" i="2"/>
  <c r="G41" i="4"/>
  <c r="E11" i="4"/>
  <c r="G11" i="4" s="1"/>
  <c r="J92" i="4"/>
  <c r="H20" i="4"/>
  <c r="J20" i="4" s="1"/>
  <c r="G16" i="4"/>
  <c r="G81" i="2"/>
  <c r="E82" i="2"/>
  <c r="H16" i="2"/>
  <c r="J16" i="2" s="1"/>
  <c r="J65" i="2"/>
  <c r="H93" i="4"/>
  <c r="J35" i="4"/>
  <c r="H9" i="4"/>
  <c r="H64" i="2"/>
  <c r="J60" i="2"/>
  <c r="D39" i="2"/>
  <c r="G64" i="4"/>
  <c r="E15" i="4"/>
  <c r="G15" i="4" s="1"/>
  <c r="D14" i="4" l="1"/>
  <c r="D81" i="2"/>
  <c r="D64" i="4"/>
  <c r="D30" i="2"/>
  <c r="M93" i="4"/>
  <c r="D20" i="4"/>
  <c r="D18" i="4"/>
  <c r="D52" i="4"/>
  <c r="J93" i="4"/>
  <c r="D66" i="2"/>
  <c r="D82" i="4"/>
  <c r="K11" i="2"/>
  <c r="M11" i="2" s="1"/>
  <c r="M41" i="2"/>
  <c r="E11" i="2"/>
  <c r="G11" i="2" s="1"/>
  <c r="G41" i="2"/>
  <c r="D15" i="4"/>
  <c r="D41" i="4"/>
  <c r="H12" i="2"/>
  <c r="J12" i="2" s="1"/>
  <c r="J52" i="2"/>
  <c r="D19" i="4"/>
  <c r="G92" i="2"/>
  <c r="E20" i="2"/>
  <c r="G20" i="2" s="1"/>
  <c r="D59" i="2"/>
  <c r="H11" i="2"/>
  <c r="J11" i="2" s="1"/>
  <c r="J41" i="2"/>
  <c r="G64" i="2"/>
  <c r="E15" i="2"/>
  <c r="G15" i="2" s="1"/>
  <c r="G93" i="4"/>
  <c r="G82" i="2"/>
  <c r="E19" i="2"/>
  <c r="G19" i="2" s="1"/>
  <c r="J82" i="2"/>
  <c r="H19" i="2"/>
  <c r="J19" i="2" s="1"/>
  <c r="D83" i="2"/>
  <c r="G70" i="2"/>
  <c r="E17" i="2"/>
  <c r="G17" i="2" s="1"/>
  <c r="M9" i="4"/>
  <c r="K8" i="4"/>
  <c r="D37" i="2"/>
  <c r="E8" i="4"/>
  <c r="G9" i="4"/>
  <c r="D79" i="4"/>
  <c r="D60" i="2"/>
  <c r="D16" i="2"/>
  <c r="J9" i="4"/>
  <c r="H8" i="4"/>
  <c r="M82" i="2"/>
  <c r="K19" i="2"/>
  <c r="M19" i="2" s="1"/>
  <c r="D73" i="2"/>
  <c r="M92" i="2"/>
  <c r="K20" i="2"/>
  <c r="M20" i="2" s="1"/>
  <c r="D65" i="2"/>
  <c r="H17" i="2"/>
  <c r="J17" i="2" s="1"/>
  <c r="J70" i="2"/>
  <c r="J64" i="2"/>
  <c r="H15" i="2"/>
  <c r="J15" i="2" s="1"/>
  <c r="D16" i="4"/>
  <c r="E18" i="2"/>
  <c r="G18" i="2" s="1"/>
  <c r="G79" i="2"/>
  <c r="G35" i="2"/>
  <c r="E93" i="2"/>
  <c r="G93" i="2" s="1"/>
  <c r="E9" i="2"/>
  <c r="H18" i="2"/>
  <c r="J18" i="2" s="1"/>
  <c r="J79" i="2"/>
  <c r="D35" i="4"/>
  <c r="J35" i="2"/>
  <c r="H93" i="2"/>
  <c r="J93" i="2" s="1"/>
  <c r="H9" i="2"/>
  <c r="E12" i="2"/>
  <c r="G12" i="2" s="1"/>
  <c r="G52" i="2"/>
  <c r="D70" i="4"/>
  <c r="K17" i="2"/>
  <c r="M17" i="2" s="1"/>
  <c r="M70" i="2"/>
  <c r="D11" i="4"/>
  <c r="D43" i="2"/>
  <c r="M12" i="4"/>
  <c r="D12" i="4" s="1"/>
  <c r="D17" i="4"/>
  <c r="K9" i="2"/>
  <c r="M35" i="2"/>
  <c r="K93" i="2"/>
  <c r="M93" i="2" s="1"/>
  <c r="K12" i="2"/>
  <c r="M12" i="2" s="1"/>
  <c r="M52" i="2"/>
  <c r="H20" i="2"/>
  <c r="J20" i="2" s="1"/>
  <c r="J92" i="2"/>
  <c r="K15" i="2"/>
  <c r="M15" i="2" s="1"/>
  <c r="M64" i="2"/>
  <c r="D14" i="2"/>
  <c r="D92" i="4"/>
  <c r="K18" i="2"/>
  <c r="M18" i="2" s="1"/>
  <c r="M79" i="2"/>
  <c r="D93" i="4" l="1"/>
  <c r="D12" i="2"/>
  <c r="D9" i="4"/>
  <c r="D17" i="2"/>
  <c r="D15" i="2"/>
  <c r="D52" i="2"/>
  <c r="D70" i="2"/>
  <c r="D64" i="2"/>
  <c r="M9" i="2"/>
  <c r="K8" i="2"/>
  <c r="H21" i="4"/>
  <c r="J8" i="4"/>
  <c r="D35" i="2"/>
  <c r="D19" i="2"/>
  <c r="D20" i="2"/>
  <c r="D11" i="2"/>
  <c r="E8" i="2"/>
  <c r="G9" i="2"/>
  <c r="D93" i="2"/>
  <c r="E21" i="4"/>
  <c r="G8" i="4"/>
  <c r="D41" i="2"/>
  <c r="H8" i="2"/>
  <c r="J9" i="2"/>
  <c r="D79" i="2"/>
  <c r="K21" i="4"/>
  <c r="M8" i="4"/>
  <c r="D82" i="2"/>
  <c r="D92" i="2"/>
  <c r="D18" i="2"/>
  <c r="D9" i="2" l="1"/>
  <c r="K21" i="2"/>
  <c r="M8" i="2"/>
  <c r="D8" i="4"/>
  <c r="E22" i="4"/>
  <c r="G22" i="4" s="1"/>
  <c r="G21" i="4"/>
  <c r="H22" i="4"/>
  <c r="J22" i="4" s="1"/>
  <c r="J21" i="4"/>
  <c r="K22" i="4"/>
  <c r="M22" i="4" s="1"/>
  <c r="M21" i="4"/>
  <c r="G8" i="2"/>
  <c r="E21" i="2"/>
  <c r="J8" i="2"/>
  <c r="H21" i="2"/>
  <c r="D21" i="4" l="1"/>
  <c r="J21" i="2"/>
  <c r="H22" i="2"/>
  <c r="J22" i="2" s="1"/>
  <c r="D22" i="4"/>
  <c r="D8" i="2"/>
  <c r="G21" i="2"/>
  <c r="E22" i="2"/>
  <c r="G22" i="2" s="1"/>
  <c r="M21" i="2"/>
  <c r="K22" i="2"/>
  <c r="M22" i="2" s="1"/>
  <c r="D21" i="2" l="1"/>
  <c r="D22" i="2"/>
  <c r="F14" i="9" l="1"/>
  <c r="F9" i="9"/>
  <c r="F16" i="9"/>
  <c r="F12" i="9"/>
  <c r="F17" i="9"/>
  <c r="F7" i="9"/>
  <c r="F11" i="9"/>
  <c r="F8" i="9"/>
  <c r="F13" i="9"/>
  <c r="F15" i="9"/>
  <c r="F10" i="9"/>
  <c r="F5" i="9"/>
  <c r="F6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VMAdmin</author>
  </authors>
  <commentList>
    <comment ref="X6" authorId="0" shapeId="0" xr:uid="{00000000-0006-0000-0700-000001000000}">
      <text>
        <r>
          <rPr>
            <b/>
            <sz val="9"/>
            <color indexed="81"/>
            <rFont val="돋움"/>
            <family val="3"/>
            <charset val="129"/>
          </rPr>
          <t>객실정비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</text>
    </comment>
    <comment ref="X7" authorId="0" shapeId="0" xr:uid="{00000000-0006-0000-0700-000002000000}">
      <text>
        <r>
          <rPr>
            <b/>
            <sz val="9"/>
            <color indexed="81"/>
            <rFont val="돋움"/>
            <family val="3"/>
            <charset val="129"/>
          </rPr>
          <t>시설부문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공동관리비</t>
        </r>
        <r>
          <rPr>
            <b/>
            <sz val="9"/>
            <color indexed="81"/>
            <rFont val="Tahoma"/>
            <family val="2"/>
          </rPr>
          <t xml:space="preserve"> 80%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  <r>
          <rPr>
            <b/>
            <sz val="9"/>
            <color indexed="81"/>
            <rFont val="Tahoma"/>
            <family val="2"/>
          </rPr>
          <t xml:space="preserve">
 - </t>
        </r>
        <r>
          <rPr>
            <b/>
            <sz val="9"/>
            <color indexed="81"/>
            <rFont val="돋움"/>
            <family val="3"/>
            <charset val="129"/>
          </rPr>
          <t>지급수수료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기타수수료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</text>
    </comment>
  </commentList>
</comments>
</file>

<file path=xl/sharedStrings.xml><?xml version="1.0" encoding="utf-8"?>
<sst xmlns="http://schemas.openxmlformats.org/spreadsheetml/2006/main" count="1446" uniqueCount="341">
  <si>
    <t>Ⅰ. 매   출   액</t>
  </si>
  <si>
    <t>Ⅱ. 운 영 원 가</t>
  </si>
  <si>
    <t>용   역   비</t>
  </si>
  <si>
    <t>수도광열비</t>
  </si>
  <si>
    <t>소 모 품 비</t>
  </si>
  <si>
    <t>지급수수료</t>
  </si>
  <si>
    <t>복리후생비</t>
  </si>
  <si>
    <t>수   선   비</t>
  </si>
  <si>
    <t>광고선전비</t>
  </si>
  <si>
    <t>세금과공과</t>
  </si>
  <si>
    <t>감가상각비</t>
  </si>
  <si>
    <t>기 타 경 비</t>
  </si>
  <si>
    <t>급료</t>
  </si>
  <si>
    <t>임금</t>
  </si>
  <si>
    <t>상여금</t>
  </si>
  <si>
    <t>제수당</t>
  </si>
  <si>
    <t>인건비소계</t>
  </si>
  <si>
    <t>재료비소계</t>
  </si>
  <si>
    <t>복리후생비소계</t>
  </si>
  <si>
    <t>수도광열비소계</t>
  </si>
  <si>
    <t>고정도급비</t>
  </si>
  <si>
    <t>추가도급비</t>
  </si>
  <si>
    <t>시설관리비</t>
  </si>
  <si>
    <t>객실정비료</t>
  </si>
  <si>
    <t>용역비소계</t>
  </si>
  <si>
    <t>광고선전비소계</t>
  </si>
  <si>
    <t>지급수수료소계</t>
  </si>
  <si>
    <t>구분</t>
    <phoneticPr fontId="3" type="noConversion"/>
  </si>
  <si>
    <t>객실</t>
  </si>
  <si>
    <t>객실</t>
    <phoneticPr fontId="3" type="noConversion"/>
  </si>
  <si>
    <t>팔라티움</t>
  </si>
  <si>
    <t>팔라티움</t>
    <phoneticPr fontId="3" type="noConversion"/>
  </si>
  <si>
    <t>계</t>
    <phoneticPr fontId="3" type="noConversion"/>
  </si>
  <si>
    <t>식음</t>
    <phoneticPr fontId="3" type="noConversion"/>
  </si>
  <si>
    <t>부대</t>
    <phoneticPr fontId="3" type="noConversion"/>
  </si>
  <si>
    <t>임대</t>
  </si>
  <si>
    <t>임대</t>
    <phoneticPr fontId="3" type="noConversion"/>
  </si>
  <si>
    <t>입주업체</t>
  </si>
  <si>
    <t>입주업체</t>
    <phoneticPr fontId="3" type="noConversion"/>
  </si>
  <si>
    <t>합계</t>
    <phoneticPr fontId="3" type="noConversion"/>
  </si>
  <si>
    <t>인   건   비</t>
    <phoneticPr fontId="3" type="noConversion"/>
  </si>
  <si>
    <t>재   료   비</t>
    <phoneticPr fontId="3" type="noConversion"/>
  </si>
  <si>
    <t>퇴직급여</t>
    <phoneticPr fontId="3" type="noConversion"/>
  </si>
  <si>
    <t>직원급식대</t>
    <phoneticPr fontId="3" type="noConversion"/>
  </si>
  <si>
    <t>직원경조비</t>
    <phoneticPr fontId="3" type="noConversion"/>
  </si>
  <si>
    <t>의료비</t>
  </si>
  <si>
    <t>세탁비</t>
  </si>
  <si>
    <t>피복비</t>
  </si>
  <si>
    <t>팀운영비</t>
  </si>
  <si>
    <t>기타비용</t>
    <phoneticPr fontId="3" type="noConversion"/>
  </si>
  <si>
    <t>가스비</t>
  </si>
  <si>
    <t>유류비</t>
  </si>
  <si>
    <t>전력비</t>
  </si>
  <si>
    <t>수도료</t>
  </si>
  <si>
    <t>직원기념일</t>
  </si>
  <si>
    <t>회사부담금</t>
  </si>
  <si>
    <t>조직운영비</t>
  </si>
  <si>
    <t>기타복리</t>
  </si>
  <si>
    <t>기타</t>
  </si>
  <si>
    <t>교통비</t>
    <phoneticPr fontId="3" type="noConversion"/>
  </si>
  <si>
    <t>도서인쇄비</t>
    <phoneticPr fontId="3" type="noConversion"/>
  </si>
  <si>
    <t>소모품비계</t>
    <phoneticPr fontId="3" type="noConversion"/>
  </si>
  <si>
    <t>수선비계</t>
    <phoneticPr fontId="3" type="noConversion"/>
  </si>
  <si>
    <t>행사비</t>
    <phoneticPr fontId="3" type="noConversion"/>
  </si>
  <si>
    <t>판매촉진비</t>
    <phoneticPr fontId="3" type="noConversion"/>
  </si>
  <si>
    <t>기타광고비</t>
    <phoneticPr fontId="3" type="noConversion"/>
  </si>
  <si>
    <t>TV,R,신문 광고</t>
    <phoneticPr fontId="3" type="noConversion"/>
  </si>
  <si>
    <t>카드수수료</t>
    <phoneticPr fontId="3" type="noConversion"/>
  </si>
  <si>
    <t>영업용역료</t>
    <phoneticPr fontId="3" type="noConversion"/>
  </si>
  <si>
    <t>위탁수수료</t>
    <phoneticPr fontId="3" type="noConversion"/>
  </si>
  <si>
    <t>기타수수료</t>
    <phoneticPr fontId="3" type="noConversion"/>
  </si>
  <si>
    <t>무형자산상각비</t>
    <phoneticPr fontId="3" type="noConversion"/>
  </si>
  <si>
    <t>유형자산상각비</t>
    <phoneticPr fontId="3" type="noConversion"/>
  </si>
  <si>
    <t>감가상각비소계</t>
    <phoneticPr fontId="3" type="noConversion"/>
  </si>
  <si>
    <t>재산세</t>
    <phoneticPr fontId="3" type="noConversion"/>
  </si>
  <si>
    <t>종합부동산세</t>
    <phoneticPr fontId="3" type="noConversion"/>
  </si>
  <si>
    <t>등록면허세</t>
    <phoneticPr fontId="3" type="noConversion"/>
  </si>
  <si>
    <t>자동차세</t>
    <phoneticPr fontId="3" type="noConversion"/>
  </si>
  <si>
    <t>주민세</t>
    <phoneticPr fontId="3" type="noConversion"/>
  </si>
  <si>
    <t>협회비</t>
    <phoneticPr fontId="3" type="noConversion"/>
  </si>
  <si>
    <t>인지세</t>
    <phoneticPr fontId="3" type="noConversion"/>
  </si>
  <si>
    <t>기타세금</t>
    <phoneticPr fontId="3" type="noConversion"/>
  </si>
  <si>
    <t>세금과공과소계</t>
    <phoneticPr fontId="3" type="noConversion"/>
  </si>
  <si>
    <t>보험료</t>
    <phoneticPr fontId="3" type="noConversion"/>
  </si>
  <si>
    <t>통신비</t>
    <phoneticPr fontId="3" type="noConversion"/>
  </si>
  <si>
    <t>접대비</t>
    <phoneticPr fontId="3" type="noConversion"/>
  </si>
  <si>
    <t>지급임차료</t>
    <phoneticPr fontId="3" type="noConversion"/>
  </si>
  <si>
    <t>차량유지비</t>
    <phoneticPr fontId="3" type="noConversion"/>
  </si>
  <si>
    <t>교육비</t>
    <phoneticPr fontId="3" type="noConversion"/>
  </si>
  <si>
    <t>기타경비소계</t>
    <phoneticPr fontId="3" type="noConversion"/>
  </si>
  <si>
    <t>운영원가합계</t>
    <phoneticPr fontId="3" type="noConversion"/>
  </si>
  <si>
    <t>비고</t>
    <phoneticPr fontId="3" type="noConversion"/>
  </si>
  <si>
    <t>■ 총괄</t>
    <phoneticPr fontId="3" type="noConversion"/>
  </si>
  <si>
    <t>■ 계정세부</t>
    <phoneticPr fontId="3" type="noConversion"/>
  </si>
  <si>
    <t>Ⅲ. 매출총이익</t>
    <phoneticPr fontId="3" type="noConversion"/>
  </si>
  <si>
    <t>Ⅳ. E B I T D A</t>
    <phoneticPr fontId="3" type="noConversion"/>
  </si>
  <si>
    <t>[단위 : 백만원]</t>
    <phoneticPr fontId="3" type="noConversion"/>
  </si>
  <si>
    <t>루프탑바</t>
  </si>
  <si>
    <t>루프탑바</t>
    <phoneticPr fontId="3" type="noConversion"/>
  </si>
  <si>
    <t>인피니티풀</t>
    <phoneticPr fontId="3" type="noConversion"/>
  </si>
  <si>
    <t>지원</t>
  </si>
  <si>
    <t>지원</t>
    <phoneticPr fontId="3" type="noConversion"/>
  </si>
  <si>
    <t>운영</t>
    <phoneticPr fontId="3" type="noConversion"/>
  </si>
  <si>
    <t>직영</t>
    <phoneticPr fontId="3" type="noConversion"/>
  </si>
  <si>
    <t>도급</t>
    <phoneticPr fontId="3" type="noConversion"/>
  </si>
  <si>
    <t>공통비</t>
  </si>
  <si>
    <t>공통비</t>
    <phoneticPr fontId="3" type="noConversion"/>
  </si>
  <si>
    <t>프런트</t>
    <phoneticPr fontId="3" type="noConversion"/>
  </si>
  <si>
    <t>예약</t>
    <phoneticPr fontId="3" type="noConversion"/>
  </si>
  <si>
    <t>영업기획</t>
  </si>
  <si>
    <t>영업기획</t>
    <phoneticPr fontId="3" type="noConversion"/>
  </si>
  <si>
    <t>발권</t>
  </si>
  <si>
    <t>수상안전</t>
  </si>
  <si>
    <t>루프탑서비스</t>
    <phoneticPr fontId="3" type="noConversion"/>
  </si>
  <si>
    <t>공통</t>
    <phoneticPr fontId="3" type="noConversion"/>
  </si>
  <si>
    <t>총지배인</t>
    <phoneticPr fontId="3" type="noConversion"/>
  </si>
  <si>
    <t>인원수</t>
    <phoneticPr fontId="3" type="noConversion"/>
  </si>
  <si>
    <t>인건비</t>
    <phoneticPr fontId="3" type="noConversion"/>
  </si>
  <si>
    <t>배부기준</t>
    <phoneticPr fontId="3" type="noConversion"/>
  </si>
  <si>
    <t>CM</t>
    <phoneticPr fontId="3" type="noConversion"/>
  </si>
  <si>
    <t>인사총무</t>
    <phoneticPr fontId="3" type="noConversion"/>
  </si>
  <si>
    <t>재무회계</t>
    <phoneticPr fontId="3" type="noConversion"/>
  </si>
  <si>
    <t>자산관리</t>
    <phoneticPr fontId="3" type="noConversion"/>
  </si>
  <si>
    <t>자금지원</t>
    <phoneticPr fontId="3" type="noConversion"/>
  </si>
  <si>
    <t>직접비</t>
  </si>
  <si>
    <t>직접비</t>
    <phoneticPr fontId="3" type="noConversion"/>
  </si>
  <si>
    <t>팀공통</t>
    <phoneticPr fontId="3" type="noConversion"/>
  </si>
  <si>
    <t>합 계</t>
    <phoneticPr fontId="3" type="noConversion"/>
  </si>
  <si>
    <t>운영 소계</t>
    <phoneticPr fontId="3" type="noConversion"/>
  </si>
  <si>
    <t>지원 소계</t>
    <phoneticPr fontId="3" type="noConversion"/>
  </si>
  <si>
    <t>직영 합계</t>
  </si>
  <si>
    <t>객실 소계</t>
    <phoneticPr fontId="3" type="noConversion"/>
  </si>
  <si>
    <t>공통 소계</t>
    <phoneticPr fontId="3" type="noConversion"/>
  </si>
  <si>
    <t>도급 합계</t>
    <phoneticPr fontId="3" type="noConversion"/>
  </si>
  <si>
    <t>인력계획 합계</t>
    <phoneticPr fontId="3" type="noConversion"/>
  </si>
  <si>
    <t>운영CM</t>
    <phoneticPr fontId="3" type="noConversion"/>
  </si>
  <si>
    <t>매출액</t>
  </si>
  <si>
    <t>매출액</t>
    <phoneticPr fontId="3" type="noConversion"/>
  </si>
  <si>
    <t>재료비</t>
    <phoneticPr fontId="3" type="noConversion"/>
  </si>
  <si>
    <t>면적</t>
  </si>
  <si>
    <t>면적</t>
    <phoneticPr fontId="3" type="noConversion"/>
  </si>
  <si>
    <t>■ 공통비 배부</t>
    <phoneticPr fontId="3" type="noConversion"/>
  </si>
  <si>
    <t>■ 배부기준</t>
    <phoneticPr fontId="3" type="noConversion"/>
  </si>
  <si>
    <t>면적 %</t>
    <phoneticPr fontId="3" type="noConversion"/>
  </si>
  <si>
    <t>매출 %</t>
    <phoneticPr fontId="3" type="noConversion"/>
  </si>
  <si>
    <t>인원수%</t>
    <phoneticPr fontId="3" type="noConversion"/>
  </si>
  <si>
    <t>임대제외</t>
  </si>
  <si>
    <t>임대제외</t>
    <phoneticPr fontId="3" type="noConversion"/>
  </si>
  <si>
    <t>도급-객실</t>
    <phoneticPr fontId="3" type="noConversion"/>
  </si>
  <si>
    <t>도급-공통</t>
    <phoneticPr fontId="3" type="noConversion"/>
  </si>
  <si>
    <t>예비</t>
  </si>
  <si>
    <t>예비</t>
    <phoneticPr fontId="3" type="noConversion"/>
  </si>
  <si>
    <t>전용면적</t>
    <phoneticPr fontId="3" type="noConversion"/>
  </si>
  <si>
    <t>공용면적</t>
    <phoneticPr fontId="3" type="noConversion"/>
  </si>
  <si>
    <t>총면적</t>
    <phoneticPr fontId="3" type="noConversion"/>
  </si>
  <si>
    <t>[단위 : ㎡]</t>
    <phoneticPr fontId="3" type="noConversion"/>
  </si>
  <si>
    <t>매출[백만원]</t>
    <phoneticPr fontId="3" type="noConversion"/>
  </si>
  <si>
    <t>인원수[명]</t>
    <phoneticPr fontId="3" type="noConversion"/>
  </si>
  <si>
    <t>면적[㎡]</t>
    <phoneticPr fontId="3" type="noConversion"/>
  </si>
  <si>
    <t>1. 인력계획 총괄</t>
    <phoneticPr fontId="3" type="noConversion"/>
  </si>
  <si>
    <t>1) 직영</t>
    <phoneticPr fontId="3" type="noConversion"/>
  </si>
  <si>
    <t>2) 도급</t>
    <phoneticPr fontId="3" type="noConversion"/>
  </si>
  <si>
    <t>2. 면적</t>
    <phoneticPr fontId="3" type="noConversion"/>
  </si>
  <si>
    <t>1) 총괄</t>
    <phoneticPr fontId="3" type="noConversion"/>
  </si>
  <si>
    <t>2) 임대제외</t>
    <phoneticPr fontId="3" type="noConversion"/>
  </si>
  <si>
    <t>올데이 다이닝</t>
    <phoneticPr fontId="3" type="noConversion"/>
  </si>
  <si>
    <t>라운지</t>
    <phoneticPr fontId="3" type="noConversion"/>
  </si>
  <si>
    <t>루프탑 바</t>
    <phoneticPr fontId="3" type="noConversion"/>
  </si>
  <si>
    <t>스크린골프</t>
    <phoneticPr fontId="3" type="noConversion"/>
  </si>
  <si>
    <t>씨어터 룸</t>
    <phoneticPr fontId="3" type="noConversion"/>
  </si>
  <si>
    <t>프라이빗 스파</t>
    <phoneticPr fontId="3" type="noConversion"/>
  </si>
  <si>
    <t>피트니스</t>
    <phoneticPr fontId="3" type="noConversion"/>
  </si>
  <si>
    <t>필라테스</t>
    <phoneticPr fontId="3" type="noConversion"/>
  </si>
  <si>
    <t>인피니티 풀</t>
    <phoneticPr fontId="3" type="noConversion"/>
  </si>
  <si>
    <t>식음 소계</t>
    <phoneticPr fontId="3" type="noConversion"/>
  </si>
  <si>
    <t>레저 소계</t>
    <phoneticPr fontId="3" type="noConversion"/>
  </si>
  <si>
    <t>로비</t>
    <phoneticPr fontId="3" type="noConversion"/>
  </si>
  <si>
    <t>비즈니스 센터</t>
    <phoneticPr fontId="3" type="noConversion"/>
  </si>
  <si>
    <t>테라스 가든</t>
    <phoneticPr fontId="3" type="noConversion"/>
  </si>
  <si>
    <t>루프탑가든</t>
    <phoneticPr fontId="3" type="noConversion"/>
  </si>
  <si>
    <t>기타 소계</t>
    <phoneticPr fontId="3" type="noConversion"/>
  </si>
  <si>
    <t>1. 매출계획</t>
    <phoneticPr fontId="3" type="noConversion"/>
  </si>
  <si>
    <t>수익시설</t>
    <phoneticPr fontId="3" type="noConversion"/>
  </si>
  <si>
    <t>위탁시설</t>
    <phoneticPr fontId="3" type="noConversion"/>
  </si>
  <si>
    <t>비 고</t>
    <phoneticPr fontId="3" type="noConversion"/>
  </si>
  <si>
    <t>구 분</t>
    <phoneticPr fontId="3" type="noConversion"/>
  </si>
  <si>
    <t>O</t>
  </si>
  <si>
    <t>O</t>
    <phoneticPr fontId="3" type="noConversion"/>
  </si>
  <si>
    <t>X</t>
  </si>
  <si>
    <t>X</t>
    <phoneticPr fontId="3" type="noConversion"/>
  </si>
  <si>
    <t>미해당</t>
  </si>
  <si>
    <t>미해당</t>
    <phoneticPr fontId="3" type="noConversion"/>
  </si>
  <si>
    <t>#)참고자료 1. 인력계획 참고</t>
    <phoneticPr fontId="3" type="noConversion"/>
  </si>
  <si>
    <t>12월 성과급 월급여 100% 지급 가정</t>
    <phoneticPr fontId="3" type="noConversion"/>
  </si>
  <si>
    <t>소노문 해운대 Lounge, Moon 재료비율 적용(1~8월 누계 43%)</t>
    <phoneticPr fontId="3" type="noConversion"/>
  </si>
  <si>
    <t>미반영</t>
    <phoneticPr fontId="3" type="noConversion"/>
  </si>
  <si>
    <t>#)참고자료 1. 인력계획 참고. (룸메이드 별도 구분)</t>
    <phoneticPr fontId="3" type="noConversion"/>
  </si>
  <si>
    <t>28명 x 7,000원 x 2식 x 260.7일(주5일 기준)</t>
    <phoneticPr fontId="3" type="noConversion"/>
  </si>
  <si>
    <t>직원 사상관련 의료 비용(상비약 등) 월 50천원 적용</t>
    <phoneticPr fontId="3" type="noConversion"/>
  </si>
  <si>
    <t>결혼, 조사 등 경조사비용 월 50천원 적용</t>
    <phoneticPr fontId="3" type="noConversion"/>
  </si>
  <si>
    <t>직원 유니폼, 안전화 교체비용 년 2,000천 원적용</t>
    <phoneticPr fontId="3" type="noConversion"/>
  </si>
  <si>
    <t>#)참고자료 1. 인력계획 참고 (직영 28명 기준)</t>
    <phoneticPr fontId="3" type="noConversion"/>
  </si>
  <si>
    <t>미반영(급료 단가포함)</t>
    <phoneticPr fontId="3" type="noConversion"/>
  </si>
  <si>
    <t>직원 기념일(생일, 결혼기념일) 인당 100천원 적용</t>
    <phoneticPr fontId="3" type="noConversion"/>
  </si>
  <si>
    <t>팀운영관리비(찻대 : 10천원, 조직활성화비 : 30천원, 분기회식비 : 30천원 적용)</t>
    <phoneticPr fontId="3" type="noConversion"/>
  </si>
  <si>
    <t>조직운영에 필요한 격려 회식, 간식 등 월 200천원 적용</t>
    <phoneticPr fontId="3" type="noConversion"/>
  </si>
  <si>
    <t>기타 복리후생비 인당 월 50천원 적용</t>
    <phoneticPr fontId="3" type="noConversion"/>
  </si>
  <si>
    <t>총매출 x 0.5% (소노인터내셔널 전사업장 1~8월 누계 0.5%)</t>
    <phoneticPr fontId="3" type="noConversion"/>
  </si>
  <si>
    <t>총매출 x 1.3% (소노문 해운대 1~8월 평균 1.3%) x 130%(+수영장 운영)</t>
    <phoneticPr fontId="3" type="noConversion"/>
  </si>
  <si>
    <t>총매출 x 0.8% (소노문 해운대 1~8월 평균 0.8%) x 130%(+수영장 운영)</t>
    <phoneticPr fontId="3" type="noConversion"/>
  </si>
  <si>
    <t>총매출 x 3.4% (소노인터내셔널 전사업장 1~8월 누계 3.4%)</t>
    <phoneticPr fontId="3" type="noConversion"/>
  </si>
  <si>
    <t>총매출 x 1.2% (2024년 소노인터내셔널 전사업장 실적 1.2%)</t>
    <phoneticPr fontId="3" type="noConversion"/>
  </si>
  <si>
    <t>총매출 x 4.5% (base fee 3.5%, marketing fee 1% 계약)</t>
    <phoneticPr fontId="3" type="noConversion"/>
  </si>
  <si>
    <t>총매출 x 2.2% (2024년 소노인터내셔널 전사업장 실적 2.2%)</t>
    <phoneticPr fontId="3" type="noConversion"/>
  </si>
  <si>
    <t>총매출 x 0.05% (2019년 쏠비치 진도 오픈 초 수선비율 0.05%)</t>
    <phoneticPr fontId="3" type="noConversion"/>
  </si>
  <si>
    <t>광고매체 관련 월 500천원 적용</t>
    <phoneticPr fontId="3" type="noConversion"/>
  </si>
  <si>
    <t>이벤트, 행사 등 영업활성화 관련 분기별 3,000천원 적용</t>
    <phoneticPr fontId="3" type="noConversion"/>
  </si>
  <si>
    <t>월급여 x 0.5% 종업원분 적용</t>
    <phoneticPr fontId="3" type="noConversion"/>
  </si>
  <si>
    <t>급여 10% 충당금 설정</t>
    <phoneticPr fontId="3" type="noConversion"/>
  </si>
  <si>
    <t>급여 10% 4대보험 적용</t>
    <phoneticPr fontId="3" type="noConversion"/>
  </si>
  <si>
    <t>총매출 x 0.3% (소노인터내셔널 전사업장 1~8월 누계 0.3%)</t>
    <phoneticPr fontId="3" type="noConversion"/>
  </si>
  <si>
    <t>총매출 x 0.1% (소노인터내셔널 전사업장 1~8월 누계 0.1%)</t>
    <phoneticPr fontId="3" type="noConversion"/>
  </si>
  <si>
    <t>총매출 x 0.4% (소노인터내셔널 전사업장 1~8월 누계 0.4%)</t>
    <phoneticPr fontId="3" type="noConversion"/>
  </si>
  <si>
    <t>기타</t>
    <phoneticPr fontId="3" type="noConversion"/>
  </si>
  <si>
    <t>관리비 청구</t>
    <phoneticPr fontId="3" type="noConversion"/>
  </si>
  <si>
    <t>정기간행물, 참고도서 등 연간 300천원 적용</t>
    <phoneticPr fontId="3" type="noConversion"/>
  </si>
  <si>
    <t>대외 접대비성 비용 월 300천원 적용</t>
    <phoneticPr fontId="3" type="noConversion"/>
  </si>
  <si>
    <t>업무용 차량 유류비, 수리비 등 월 400천원 적용</t>
    <phoneticPr fontId="3" type="noConversion"/>
  </si>
  <si>
    <t xml:space="preserve"> 법정교육 및 직무관련 교육 비용 월 200천원 적용</t>
    <phoneticPr fontId="3" type="noConversion"/>
  </si>
  <si>
    <t>구 분</t>
    <phoneticPr fontId="8" type="noConversion"/>
  </si>
  <si>
    <t>판매객실수</t>
    <phoneticPr fontId="8" type="noConversion"/>
  </si>
  <si>
    <t xml:space="preserve"> 4-4. 소노문 해운대</t>
    <phoneticPr fontId="8" type="noConversion"/>
  </si>
  <si>
    <t>[단위 : 백만원]</t>
    <phoneticPr fontId="8" type="noConversion"/>
  </si>
  <si>
    <t>합 계</t>
    <phoneticPr fontId="8" type="noConversion"/>
  </si>
  <si>
    <t>25년목표</t>
  </si>
  <si>
    <t>회   원</t>
    <phoneticPr fontId="8" type="noConversion"/>
  </si>
  <si>
    <t>단   체</t>
    <phoneticPr fontId="8" type="noConversion"/>
  </si>
  <si>
    <t>일   반</t>
    <phoneticPr fontId="8" type="noConversion"/>
  </si>
  <si>
    <t>유형별 매출</t>
    <phoneticPr fontId="8" type="noConversion"/>
  </si>
  <si>
    <t>객   실</t>
    <phoneticPr fontId="8" type="noConversion"/>
  </si>
  <si>
    <t>식   음</t>
    <phoneticPr fontId="8" type="noConversion"/>
  </si>
  <si>
    <t>부   대</t>
    <phoneticPr fontId="8" type="noConversion"/>
  </si>
  <si>
    <t>아쿠아</t>
    <phoneticPr fontId="8" type="noConversion"/>
  </si>
  <si>
    <t>스포츠</t>
    <phoneticPr fontId="8" type="noConversion"/>
  </si>
  <si>
    <t>골   프</t>
    <phoneticPr fontId="8" type="noConversion"/>
  </si>
  <si>
    <t>유   통</t>
    <phoneticPr fontId="8" type="noConversion"/>
  </si>
  <si>
    <t>임   대</t>
    <phoneticPr fontId="8" type="noConversion"/>
  </si>
  <si>
    <t>객실수입</t>
    <phoneticPr fontId="3" type="noConversion"/>
  </si>
  <si>
    <t>기타수입</t>
    <phoneticPr fontId="3" type="noConversion"/>
  </si>
  <si>
    <t>수분양자</t>
    <phoneticPr fontId="8" type="noConversion"/>
  </si>
  <si>
    <t>[매출]</t>
    <phoneticPr fontId="8" type="noConversion"/>
  </si>
  <si>
    <t xml:space="preserve"> 객실수입 기준 1% 반영</t>
    <phoneticPr fontId="3" type="noConversion"/>
  </si>
  <si>
    <t xml:space="preserve"> '24.12.30 프랜차이즈 검토 기준 매출액 반영</t>
  </si>
  <si>
    <t xml:space="preserve"> '24.12.30 프랜차이즈 검토 기준 매출액 반영</t>
    <phoneticPr fontId="3" type="noConversion"/>
  </si>
  <si>
    <t xml:space="preserve"> 임대가정(평당 월 50,000원 적용)</t>
    <phoneticPr fontId="3" type="noConversion"/>
  </si>
  <si>
    <t>임대료 x 20% 부과 가정</t>
    <phoneticPr fontId="3" type="noConversion"/>
  </si>
  <si>
    <t>면적(평)</t>
    <phoneticPr fontId="3" type="noConversion"/>
  </si>
  <si>
    <t>연간 등록면허세 500천원 반영</t>
    <phoneticPr fontId="3" type="noConversion"/>
  </si>
  <si>
    <t>업무용 차량 자동차세 250천원 반영</t>
    <phoneticPr fontId="3" type="noConversion"/>
  </si>
  <si>
    <t>연간 협회비 300천원 반영</t>
    <phoneticPr fontId="3" type="noConversion"/>
  </si>
  <si>
    <t>교통유발부담금, 임대업체 간주임대료 등 연간 5,000천원 반영</t>
    <phoneticPr fontId="3" type="noConversion"/>
  </si>
  <si>
    <t>미반영</t>
    <phoneticPr fontId="3" type="noConversion"/>
  </si>
  <si>
    <t>2024년 소노문 해운대 기준 x 130% 반영</t>
  </si>
  <si>
    <t>2024년 소노문 해운대 기준 x 130% 반영</t>
    <phoneticPr fontId="3" type="noConversion"/>
  </si>
  <si>
    <t>2026년 사업계획</t>
    <phoneticPr fontId="3" type="noConversion"/>
  </si>
  <si>
    <t>Ⅲ. 영 업 이 익</t>
    <phoneticPr fontId="3" type="noConversion"/>
  </si>
  <si>
    <t>연간 등록면허세 500천원 반영(반기 250천원)</t>
    <phoneticPr fontId="3" type="noConversion"/>
  </si>
  <si>
    <t>연간 협회비 300천원 반영(반기 150천원)</t>
    <phoneticPr fontId="3" type="noConversion"/>
  </si>
  <si>
    <t>총매출 x 1.3% (소노문 해운대 1~8월 평균 1.3%) x 130%</t>
    <phoneticPr fontId="3" type="noConversion"/>
  </si>
  <si>
    <t>총매출 x 0.8% (소노문 해운대 1~8월 평균 0.8%) x 130%</t>
    <phoneticPr fontId="3" type="noConversion"/>
  </si>
  <si>
    <t>총매출 x 3.7% (소노문 해운대 1~8월 평균 3.7%) x 130%</t>
    <phoneticPr fontId="3" type="noConversion"/>
  </si>
  <si>
    <t>팀운영관리비(찻대, 조직활성화비, 분기회식비)</t>
    <phoneticPr fontId="3" type="noConversion"/>
  </si>
  <si>
    <t>직원 유니폼 세탁비 월 500천원 적용</t>
    <phoneticPr fontId="3" type="noConversion"/>
  </si>
  <si>
    <t xml:space="preserve"> - 투숙률 64%, ADR 324천원</t>
    <phoneticPr fontId="3" type="noConversion"/>
  </si>
  <si>
    <t xml:space="preserve"> - 소노문 해운대 Lounge, Moon 재료비율 적용(1~8월 누계 43%)</t>
    <phoneticPr fontId="3" type="noConversion"/>
  </si>
  <si>
    <t xml:space="preserve"> - 24.12.30 프랜차이즈 검토 인력계획 참고 (도급 62명 기준)</t>
    <phoneticPr fontId="3" type="noConversion"/>
  </si>
  <si>
    <t xml:space="preserve"> - 카드수수료, 위탁수수료, 영업용역료 반영</t>
    <phoneticPr fontId="3" type="noConversion"/>
  </si>
  <si>
    <t xml:space="preserve"> - 총매출 x 2019년 쏠비치 진도 오픈 초 수선비율 0.05% 적용</t>
    <phoneticPr fontId="3" type="noConversion"/>
  </si>
  <si>
    <t xml:space="preserve"> - 총매출 x 소노인터내셔널 전사업장 1~8월 누계 3.4% 적용</t>
    <phoneticPr fontId="3" type="noConversion"/>
  </si>
  <si>
    <t xml:space="preserve"> - 총매출 x 소노문 해운대 1~8월 평균 집행률 x 130% 적용</t>
    <phoneticPr fontId="3" type="noConversion"/>
  </si>
  <si>
    <t xml:space="preserve"> - 영업활성화 최소 광고비 집행 반영(분기별 예비성 예산)</t>
    <phoneticPr fontId="3" type="noConversion"/>
  </si>
  <si>
    <t xml:space="preserve"> - 소노문 해운대 24년 집행액 x 130% 적용(변동가능성 高)</t>
    <phoneticPr fontId="3" type="noConversion"/>
  </si>
  <si>
    <t xml:space="preserve"> - 재산세&amp;종부세 소노문 해운대 24년 집행액 x 130% 적용</t>
    <phoneticPr fontId="3" type="noConversion"/>
  </si>
  <si>
    <t xml:space="preserve"> - 지급임차료, 보험료, 교통비, 통신비 등 반영</t>
    <phoneticPr fontId="3" type="noConversion"/>
  </si>
  <si>
    <t>2026년 팔라티움 해운대 사업계획</t>
    <phoneticPr fontId="3" type="noConversion"/>
  </si>
  <si>
    <t>%</t>
    <phoneticPr fontId="3" type="noConversion"/>
  </si>
  <si>
    <t xml:space="preserve"> 이익률 49% 기준 Incentive Fee 7% 적용. 12월 +676백</t>
    <phoneticPr fontId="3" type="noConversion"/>
  </si>
  <si>
    <t>Ⅳ. 영 업 이 익[+@]</t>
    <phoneticPr fontId="3" type="noConversion"/>
  </si>
  <si>
    <t>■ 운영원가 세부</t>
    <phoneticPr fontId="3" type="noConversion"/>
  </si>
  <si>
    <t>2024년 쏠비치 진도 기준 인피티니풀 운영관련 비용 증가율 반영</t>
    <phoneticPr fontId="3" type="noConversion"/>
  </si>
  <si>
    <t xml:space="preserve"> - 총매출 x 소노문 해운대 1~8월 집행률. 계정별 별도 가중치 적용</t>
    <phoneticPr fontId="3" type="noConversion"/>
  </si>
  <si>
    <t>단체진행</t>
    <phoneticPr fontId="3" type="noConversion"/>
  </si>
  <si>
    <t>#)참고자료 1. 인력계획 참고 (직영 16명 기준)</t>
    <phoneticPr fontId="3" type="noConversion"/>
  </si>
  <si>
    <t>미반영</t>
  </si>
  <si>
    <t>미반영</t>
    <phoneticPr fontId="3" type="noConversion"/>
  </si>
  <si>
    <t xml:space="preserve"> - 24.12.30 프랜차이즈 검토 인력계획 참고 (직영 16명 기준)</t>
  </si>
  <si>
    <t xml:space="preserve"> - 직영 16명 기준(급식대, 경조사비, 의료비 등) 적용</t>
  </si>
  <si>
    <t xml:space="preserve"> - 직영 16명 기준(급식대, 경조사비, 의료비 등) 적용</t>
    <phoneticPr fontId="3" type="noConversion"/>
  </si>
  <si>
    <t xml:space="preserve"> - 주민세 인건비 X 0.5% 반영</t>
    <phoneticPr fontId="3" type="noConversion"/>
  </si>
  <si>
    <t>총매출 x 1.3% (소노문 해운대 1~8월 평균 1.3%) x 130%(+수영장 운영)</t>
  </si>
  <si>
    <t>총매출 x 0.8% (소노문 해운대 1~8월 평균 0.8%) x 130%(+수영장 운영)</t>
  </si>
  <si>
    <t>16명 x 7,000원 x 2식 x 260.7일(주5일 기준)</t>
  </si>
  <si>
    <t>법정교육 및 직무관련 교육 비용 월 200천원 적용</t>
    <phoneticPr fontId="3" type="noConversion"/>
  </si>
  <si>
    <t>2025년 실적</t>
    <phoneticPr fontId="8" type="noConversion"/>
  </si>
  <si>
    <t>투숙률</t>
    <phoneticPr fontId="3" type="noConversion"/>
  </si>
  <si>
    <t>판매객실수(실)</t>
    <phoneticPr fontId="3" type="noConversion"/>
  </si>
  <si>
    <t>ADR(천원)</t>
    <phoneticPr fontId="3" type="noConversion"/>
  </si>
  <si>
    <t>객   실</t>
    <phoneticPr fontId="3" type="noConversion"/>
  </si>
  <si>
    <t>[가용객실수]</t>
    <phoneticPr fontId="8" type="noConversion"/>
  </si>
  <si>
    <t>[판매객실수]</t>
    <phoneticPr fontId="8" type="noConversion"/>
  </si>
  <si>
    <t>[소노문 해운대 객실 점유비]</t>
    <phoneticPr fontId="8" type="noConversion"/>
  </si>
  <si>
    <t xml:space="preserve"> 투숙률 64%, ADR 329천원</t>
    <phoneticPr fontId="3" type="noConversion"/>
  </si>
  <si>
    <t xml:space="preserve"> - 연간 ADR 294,000원</t>
    <phoneticPr fontId="3" type="noConversion"/>
  </si>
  <si>
    <t xml:space="preserve"> - 연간 투숙률 64%</t>
    <phoneticPr fontId="3" type="noConversion"/>
  </si>
  <si>
    <t>직원 유니폼 세탁비 월 800천원, 7,8월 1,000천원 적용</t>
    <phoneticPr fontId="3" type="noConversion"/>
  </si>
  <si>
    <t>직원 유니폼 세탁비 월 800천춴원, 7~8월 1,000천원 적용</t>
    <phoneticPr fontId="3" type="noConversion"/>
  </si>
  <si>
    <t>총매출 x 1.5% (2024년 소노인터내셔널 전사업장 실적 1.2% 기준 상향 적용)</t>
    <phoneticPr fontId="3" type="noConversion"/>
  </si>
  <si>
    <t>총매출 x 1.5% (2024년 소노인터내셔널 실적 1.2% 기준 상향 적용)</t>
    <phoneticPr fontId="3" type="noConversion"/>
  </si>
  <si>
    <t>유형자산 감가상각비 월 3,000천원 반영</t>
  </si>
  <si>
    <t>유형자산 감가상각비 월 3,000천원 반영</t>
    <phoneticPr fontId="3" type="noConversion"/>
  </si>
  <si>
    <t>객실정비 제외</t>
    <phoneticPr fontId="3" type="noConversion"/>
  </si>
  <si>
    <t>객실부문 17명 기준 반영</t>
    <phoneticPr fontId="3" type="noConversion"/>
  </si>
  <si>
    <t>총매출 x 5.2% (소노문 해운대 1~8월 평균 3.7%, 겨울철 냉방고려 +1.5%)</t>
  </si>
  <si>
    <t>총매출 x 5.2% (소노문 해운대 1~8월 평균 3.7%, 겨울철 냉방고려 +1.5%)</t>
    <phoneticPr fontId="3" type="noConversion"/>
  </si>
  <si>
    <t>공통관리비(시설 22명 도급료 기준 80%) 7억 반영</t>
  </si>
  <si>
    <t>공통관리비(시설 22명 도급료 기준 80%) 7억 반영</t>
    <phoneticPr fontId="3" type="noConversion"/>
  </si>
  <si>
    <t>판매객실수(55,510실) x 실당 정비단가(23천원) 반영</t>
    <phoneticPr fontId="3" type="noConversion"/>
  </si>
  <si>
    <t>판매객실수(55,510실) x 실당 정비단가(23천원) 반영</t>
    <phoneticPr fontId="3" type="noConversion"/>
  </si>
  <si>
    <t>결혼, 조사 등 경조사비용 월 100천원 적용</t>
    <phoneticPr fontId="3" type="noConversion"/>
  </si>
  <si>
    <t>직원 사상관련 의료 비용(상비약 등) 월 100천원 적용</t>
    <phoneticPr fontId="3" type="noConversion"/>
  </si>
  <si>
    <t>직원 유니폼, 안전화 교체비용 년 3,000천 원적용</t>
    <phoneticPr fontId="3" type="noConversion"/>
  </si>
  <si>
    <t>조직운영에 필요한 격려 회식, 간식 등 월 300천원 적용</t>
    <phoneticPr fontId="3" type="noConversion"/>
  </si>
  <si>
    <t>기타 복리후생비 인당 월 200천원 적용</t>
    <phoneticPr fontId="3" type="noConversion"/>
  </si>
  <si>
    <t xml:space="preserve"> - 미반영</t>
    <phoneticPr fontId="3" type="noConversion"/>
  </si>
  <si>
    <t xml:space="preserve"> - 인력 운영계획 기준 (직영 16명)</t>
    <phoneticPr fontId="3" type="noConversion"/>
  </si>
  <si>
    <t xml:space="preserve"> - 도급운영 인력계획 기준 (객실 17명), 객실정비료 실당 23천원</t>
    <phoneticPr fontId="3" type="noConversion"/>
  </si>
  <si>
    <t xml:space="preserve"> - 유형자산 감가상각비 월 3,000천원 반영</t>
    <phoneticPr fontId="3" type="noConversion"/>
  </si>
  <si>
    <t>총매출 x 10% (외부 수수료율 10~13%. 비회원 70% 감안→10%)
 외부세탁 실당 2.5천원, 폐기물 처리 월 1,500천원 적용</t>
    <phoneticPr fontId="3" type="noConversion"/>
  </si>
  <si>
    <t xml:space="preserve"> - 카드수수료, 위탁수수료, 영업용역료(외부 수수료 10% 등) 반영</t>
    <phoneticPr fontId="3" type="noConversion"/>
  </si>
  <si>
    <t xml:space="preserve"> 이익률 47% 기준 Incentive Fee 7% 적용. 12월 +540백</t>
    <phoneticPr fontId="3" type="noConversion"/>
  </si>
  <si>
    <t>이게 최종 목표임 / 매출에 1% 추가 계산해야함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</si>
</sst>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-* #,##0_-;\-* #,##0_-;_-* &quot;-&quot;_-;_-@_-"/>
    <numFmt numFmtId="177" formatCode="_-* #,##0.00_-;\-* #,##0.00_-;_-* &quot;-&quot;??_-;_-@_-"/>
    <numFmt numFmtId="178" formatCode="#,##0,_ ;[Red]\-#,##0,\ "/>
    <numFmt numFmtId="179" formatCode="\ @"/>
    <numFmt numFmtId="180" formatCode="#,##0_ ;[Red]\-#,##0\ "/>
    <numFmt numFmtId="181" formatCode="General&quot;월&quot;"/>
    <numFmt numFmtId="182" formatCode="0.0%"/>
    <numFmt numFmtId="183" formatCode="#,##0\ "/>
    <numFmt numFmtId="184" formatCode="#,##0_);[Red]\(#,##0\);_-* &quot;-&quot;_-"/>
    <numFmt numFmtId="185" formatCode="#,##0,_);[Red]\(#,##0,\);_-* &quot;-&quot;_-"/>
    <numFmt numFmtId="186" formatCode="_-* #,##0&quot;억&quot;\↑_-;\-* #,##0_-;_-* &quot;-&quot;_-;_-@_-"/>
    <numFmt numFmtId="187" formatCode="General&quot;월누계&quot;"/>
    <numFmt numFmtId="188" formatCode="#,##0%;[Red]\-#,##0%"/>
    <numFmt numFmtId="189" formatCode="_-* #,##0.000_-;\-* #,##0.000_-;_-* &quot;-&quot;_-;_-@_-"/>
    <numFmt numFmtId="190" formatCode="0%\ "/>
    <numFmt numFmtId="191" formatCode="#,##0\ ;[Red]\-#,##0\ "/>
    <numFmt numFmtId="192" formatCode="_-* #,##0.0_-;\-* #,##0.0_-;_-* &quot;-&quot;_-;_-@_-"/>
    <numFmt numFmtId="193" formatCode="#,##0.0_);[Red]\(#,##0.0\)"/>
  </numFmts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대명체 굵게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대명체 보통"/>
      <family val="3"/>
      <charset val="129"/>
    </font>
    <font>
      <sz val="10"/>
      <name val="새굴림"/>
      <family val="1"/>
      <charset val="129"/>
    </font>
    <font>
      <sz val="10"/>
      <color theme="1"/>
      <name val="새굴림"/>
      <family val="2"/>
      <charset val="129"/>
    </font>
    <font>
      <sz val="9"/>
      <color theme="1"/>
      <name val="대명체 보통"/>
      <family val="3"/>
      <charset val="129"/>
    </font>
    <font>
      <sz val="8"/>
      <name val="새굴림"/>
      <family val="1"/>
      <charset val="129"/>
    </font>
    <font>
      <sz val="9"/>
      <name val="대명체 굵게"/>
      <family val="3"/>
      <charset val="129"/>
    </font>
    <font>
      <b/>
      <sz val="10"/>
      <name val="대명체 굵게"/>
      <family val="3"/>
      <charset val="129"/>
    </font>
    <font>
      <sz val="10"/>
      <name val="대명체 굵게"/>
      <family val="3"/>
      <charset val="129"/>
    </font>
    <font>
      <sz val="8"/>
      <name val="대명체 굵게"/>
      <family val="3"/>
      <charset val="129"/>
    </font>
    <font>
      <b/>
      <sz val="9"/>
      <color theme="1"/>
      <name val="대명체 굵게"/>
      <family val="3"/>
      <charset val="129"/>
    </font>
    <font>
      <sz val="9"/>
      <color theme="1"/>
      <name val="대명체 굵게"/>
      <family val="3"/>
      <charset val="129"/>
    </font>
    <font>
      <sz val="15"/>
      <color theme="1"/>
      <name val="대명체 굵게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rgb="FFFF0000"/>
      <name val="대명체 보통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6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thin">
        <color theme="0" tint="-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thin">
        <color theme="0" tint="-0.24994659260841701"/>
      </top>
      <bottom/>
      <diagonal/>
    </border>
    <border>
      <left style="medium">
        <color theme="1" tint="0.24994659260841701"/>
      </left>
      <right style="medium">
        <color theme="1" tint="0.24994659260841701"/>
      </right>
      <top/>
      <bottom/>
      <diagonal/>
    </border>
    <border>
      <left style="medium">
        <color theme="1" tint="0.24994659260841701"/>
      </left>
      <right style="medium">
        <color theme="1" tint="0.24994659260841701"/>
      </right>
      <top/>
      <bottom style="thin">
        <color theme="0" tint="-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thin">
        <color theme="0" tint="-0.24994659260841701"/>
      </top>
      <bottom style="medium">
        <color theme="1" tint="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/>
      <bottom style="medium">
        <color theme="1" tint="0.24994659260841701"/>
      </bottom>
      <diagonal/>
    </border>
    <border>
      <left style="medium">
        <color theme="1" tint="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1" tint="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medium">
        <color theme="1" tint="0.24994659260841701"/>
      </left>
      <right style="thin">
        <color theme="0" tint="-0.24994659260841701"/>
      </right>
      <top/>
      <bottom/>
      <diagonal/>
    </border>
    <border>
      <left style="medium">
        <color theme="1" tint="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 style="double">
        <color theme="1" tint="0.34998626667073579"/>
      </bottom>
      <diagonal/>
    </border>
    <border>
      <left/>
      <right/>
      <top/>
      <bottom style="double">
        <color theme="1" tint="0.34998626667073579"/>
      </bottom>
      <diagonal/>
    </border>
    <border>
      <left/>
      <right style="thin">
        <color theme="1" tint="0.34998626667073579"/>
      </right>
      <top/>
      <bottom style="double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double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double">
        <color theme="1" tint="0.34998626667073579"/>
      </bottom>
      <diagonal/>
    </border>
    <border>
      <left/>
      <right style="hair">
        <color theme="1" tint="0.24994659260841701"/>
      </right>
      <top style="hair">
        <color theme="1" tint="0.34998626667073579"/>
      </top>
      <bottom style="double">
        <color theme="1" tint="0.34998626667073579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double">
        <color theme="1" tint="0.34998626667073579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34998626667073579"/>
      </top>
      <bottom style="double">
        <color theme="1" tint="0.34998626667073579"/>
      </bottom>
      <diagonal/>
    </border>
    <border>
      <left style="hair">
        <color theme="1" tint="0.24994659260841701"/>
      </left>
      <right style="thin">
        <color theme="1" tint="0.34998626667073579"/>
      </right>
      <top style="hair">
        <color theme="1" tint="0.34998626667073579"/>
      </top>
      <bottom style="double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/>
      <right style="hair">
        <color theme="1" tint="0.34998626667073579"/>
      </right>
      <top/>
      <bottom/>
      <diagonal/>
    </border>
    <border>
      <left style="hair">
        <color theme="1" tint="0.34998626667073579"/>
      </left>
      <right style="hair">
        <color theme="1" tint="0.34998626667073579"/>
      </right>
      <top/>
      <bottom/>
      <diagonal/>
    </border>
    <border>
      <left style="hair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/>
      <bottom/>
      <diagonal/>
    </border>
    <border>
      <left/>
      <right style="hair">
        <color theme="1" tint="0.34998626667073579"/>
      </right>
      <top style="thin">
        <color theme="1" tint="0.34998626667073579"/>
      </top>
      <bottom/>
      <diagonal/>
    </border>
    <border>
      <left style="hair">
        <color theme="1" tint="0.34998626667073579"/>
      </left>
      <right style="hair">
        <color theme="1" tint="0.34998626667073579"/>
      </right>
      <top style="thin">
        <color theme="1" tint="0.34998626667073579"/>
      </top>
      <bottom/>
      <diagonal/>
    </border>
    <border>
      <left style="hair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 style="hair">
        <color theme="1" tint="0.34998626667073579"/>
      </right>
      <top/>
      <bottom style="thin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 style="thin">
        <color theme="1" tint="0.34998626667073579"/>
      </bottom>
      <diagonal/>
    </border>
    <border>
      <left style="hair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medium">
        <color theme="1" tint="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1" tint="0.24994659260841701"/>
      </right>
      <top style="thin">
        <color theme="0" tint="-0.24994659260841701"/>
      </top>
      <bottom/>
      <diagonal/>
    </border>
    <border>
      <left/>
      <right style="medium">
        <color theme="1" tint="0.24994659260841701"/>
      </right>
      <top/>
      <bottom/>
      <diagonal/>
    </border>
    <border>
      <left/>
      <right style="medium">
        <color theme="1" tint="0.24994659260841701"/>
      </right>
      <top/>
      <bottom style="thin">
        <color theme="0" tint="-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medium">
        <color theme="1" tint="0.24994659260841701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hair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hair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8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1" fillId="0" borderId="0" applyFont="0" applyFill="0" applyBorder="0" applyAlignment="0" applyProtection="0">
      <alignment vertical="center"/>
    </xf>
  </cellStyleXfs>
  <cellXfs count="414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4" fillId="0" borderId="4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10" xfId="0" applyFont="1" applyBorder="1">
      <alignment vertical="center"/>
    </xf>
    <xf numFmtId="178" fontId="4" fillId="0" borderId="6" xfId="0" applyNumberFormat="1" applyFont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179" fontId="4" fillId="3" borderId="1" xfId="0" applyNumberFormat="1" applyFont="1" applyFill="1" applyBorder="1" applyAlignment="1">
      <alignment horizontal="left" vertical="center"/>
    </xf>
    <xf numFmtId="179" fontId="4" fillId="2" borderId="1" xfId="0" applyNumberFormat="1" applyFont="1" applyFill="1" applyBorder="1" applyAlignment="1">
      <alignment horizontal="left" vertical="center"/>
    </xf>
    <xf numFmtId="179" fontId="4" fillId="0" borderId="6" xfId="0" applyNumberFormat="1" applyFont="1" applyBorder="1" applyAlignment="1">
      <alignment horizontal="left" vertical="center"/>
    </xf>
    <xf numFmtId="179" fontId="4" fillId="0" borderId="9" xfId="0" applyNumberFormat="1" applyFont="1" applyBorder="1" applyAlignment="1">
      <alignment horizontal="left" vertical="center"/>
    </xf>
    <xf numFmtId="179" fontId="4" fillId="0" borderId="12" xfId="0" applyNumberFormat="1" applyFont="1" applyBorder="1" applyAlignment="1">
      <alignment horizontal="left" vertical="center"/>
    </xf>
    <xf numFmtId="0" fontId="4" fillId="2" borderId="7" xfId="0" applyFont="1" applyFill="1" applyBorder="1">
      <alignment vertical="center"/>
    </xf>
    <xf numFmtId="0" fontId="4" fillId="2" borderId="8" xfId="0" applyFont="1" applyFill="1" applyBorder="1">
      <alignment vertical="center"/>
    </xf>
    <xf numFmtId="179" fontId="4" fillId="2" borderId="9" xfId="0" applyNumberFormat="1" applyFont="1" applyFill="1" applyBorder="1" applyAlignment="1">
      <alignment horizontal="left" vertical="center"/>
    </xf>
    <xf numFmtId="0" fontId="4" fillId="3" borderId="7" xfId="0" applyFont="1" applyFill="1" applyBorder="1">
      <alignment vertical="center"/>
    </xf>
    <xf numFmtId="0" fontId="4" fillId="3" borderId="8" xfId="0" applyFont="1" applyFill="1" applyBorder="1">
      <alignment vertical="center"/>
    </xf>
    <xf numFmtId="179" fontId="4" fillId="3" borderId="9" xfId="0" applyNumberFormat="1" applyFont="1" applyFill="1" applyBorder="1" applyAlignment="1">
      <alignment horizontal="left" vertical="center"/>
    </xf>
    <xf numFmtId="0" fontId="4" fillId="2" borderId="10" xfId="0" applyFont="1" applyFill="1" applyBorder="1">
      <alignment vertical="center"/>
    </xf>
    <xf numFmtId="0" fontId="4" fillId="2" borderId="11" xfId="0" applyFont="1" applyFill="1" applyBorder="1">
      <alignment vertical="center"/>
    </xf>
    <xf numFmtId="179" fontId="4" fillId="2" borderId="12" xfId="0" applyNumberFormat="1" applyFont="1" applyFill="1" applyBorder="1" applyAlignment="1">
      <alignment horizontal="left" vertical="center"/>
    </xf>
    <xf numFmtId="0" fontId="4" fillId="2" borderId="4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4" fillId="4" borderId="10" xfId="0" applyFont="1" applyFill="1" applyBorder="1">
      <alignment vertical="center"/>
    </xf>
    <xf numFmtId="179" fontId="4" fillId="4" borderId="12" xfId="0" applyNumberFormat="1" applyFont="1" applyFill="1" applyBorder="1" applyAlignment="1">
      <alignment horizontal="left" vertical="center"/>
    </xf>
    <xf numFmtId="0" fontId="4" fillId="3" borderId="2" xfId="0" applyFont="1" applyFill="1" applyBorder="1">
      <alignment vertical="center"/>
    </xf>
    <xf numFmtId="0" fontId="4" fillId="0" borderId="13" xfId="0" applyFont="1" applyBorder="1">
      <alignment vertical="center"/>
    </xf>
    <xf numFmtId="0" fontId="4" fillId="0" borderId="14" xfId="0" applyFont="1" applyBorder="1">
      <alignment vertical="center"/>
    </xf>
    <xf numFmtId="0" fontId="4" fillId="4" borderId="3" xfId="0" applyFont="1" applyFill="1" applyBorder="1" applyAlignment="1">
      <alignment horizontal="center" vertical="center"/>
    </xf>
    <xf numFmtId="178" fontId="4" fillId="0" borderId="17" xfId="0" applyNumberFormat="1" applyFont="1" applyBorder="1">
      <alignment vertical="center"/>
    </xf>
    <xf numFmtId="0" fontId="4" fillId="3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2" borderId="21" xfId="0" applyFont="1" applyFill="1" applyBorder="1">
      <alignment vertical="center"/>
    </xf>
    <xf numFmtId="0" fontId="4" fillId="2" borderId="14" xfId="0" applyFont="1" applyFill="1" applyBorder="1">
      <alignment vertical="center"/>
    </xf>
    <xf numFmtId="0" fontId="4" fillId="4" borderId="14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0" borderId="0" xfId="0" applyFont="1" applyAlignment="1">
      <alignment horizontal="right" vertical="center"/>
    </xf>
    <xf numFmtId="178" fontId="4" fillId="3" borderId="16" xfId="0" applyNumberFormat="1" applyFont="1" applyFill="1" applyBorder="1" applyAlignment="1">
      <alignment vertical="center" shrinkToFit="1"/>
    </xf>
    <xf numFmtId="178" fontId="4" fillId="3" borderId="3" xfId="0" applyNumberFormat="1" applyFont="1" applyFill="1" applyBorder="1" applyAlignment="1">
      <alignment vertical="center" shrinkToFit="1"/>
    </xf>
    <xf numFmtId="178" fontId="4" fillId="3" borderId="1" xfId="0" applyNumberFormat="1" applyFont="1" applyFill="1" applyBorder="1" applyAlignment="1">
      <alignment vertical="center" shrinkToFit="1"/>
    </xf>
    <xf numFmtId="178" fontId="4" fillId="2" borderId="16" xfId="0" applyNumberFormat="1" applyFont="1" applyFill="1" applyBorder="1" applyAlignment="1">
      <alignment vertical="center" shrinkToFit="1"/>
    </xf>
    <xf numFmtId="178" fontId="4" fillId="2" borderId="3" xfId="0" applyNumberFormat="1" applyFont="1" applyFill="1" applyBorder="1" applyAlignment="1">
      <alignment vertical="center" shrinkToFit="1"/>
    </xf>
    <xf numFmtId="178" fontId="4" fillId="2" borderId="1" xfId="0" applyNumberFormat="1" applyFont="1" applyFill="1" applyBorder="1" applyAlignment="1">
      <alignment vertical="center" shrinkToFit="1"/>
    </xf>
    <xf numFmtId="178" fontId="4" fillId="0" borderId="17" xfId="0" applyNumberFormat="1" applyFont="1" applyBorder="1" applyAlignment="1">
      <alignment vertical="center" shrinkToFit="1"/>
    </xf>
    <xf numFmtId="178" fontId="4" fillId="0" borderId="5" xfId="0" applyNumberFormat="1" applyFont="1" applyBorder="1" applyAlignment="1">
      <alignment vertical="center" shrinkToFit="1"/>
    </xf>
    <xf numFmtId="178" fontId="4" fillId="0" borderId="6" xfId="0" applyNumberFormat="1" applyFont="1" applyBorder="1" applyAlignment="1">
      <alignment vertical="center" shrinkToFit="1"/>
    </xf>
    <xf numFmtId="178" fontId="4" fillId="0" borderId="18" xfId="0" applyNumberFormat="1" applyFont="1" applyBorder="1" applyAlignment="1">
      <alignment vertical="center" shrinkToFit="1"/>
    </xf>
    <xf numFmtId="178" fontId="4" fillId="0" borderId="8" xfId="0" applyNumberFormat="1" applyFont="1" applyBorder="1" applyAlignment="1">
      <alignment vertical="center" shrinkToFit="1"/>
    </xf>
    <xf numFmtId="178" fontId="4" fillId="0" borderId="9" xfId="0" applyNumberFormat="1" applyFont="1" applyBorder="1" applyAlignment="1">
      <alignment vertical="center" shrinkToFit="1"/>
    </xf>
    <xf numFmtId="178" fontId="4" fillId="0" borderId="19" xfId="0" applyNumberFormat="1" applyFont="1" applyBorder="1" applyAlignment="1">
      <alignment vertical="center" shrinkToFit="1"/>
    </xf>
    <xf numFmtId="178" fontId="4" fillId="0" borderId="11" xfId="0" applyNumberFormat="1" applyFont="1" applyBorder="1" applyAlignment="1">
      <alignment vertical="center" shrinkToFit="1"/>
    </xf>
    <xf numFmtId="178" fontId="4" fillId="0" borderId="12" xfId="0" applyNumberFormat="1" applyFont="1" applyBorder="1" applyAlignment="1">
      <alignment vertical="center" shrinkToFit="1"/>
    </xf>
    <xf numFmtId="178" fontId="4" fillId="2" borderId="20" xfId="0" applyNumberFormat="1" applyFont="1" applyFill="1" applyBorder="1" applyAlignment="1">
      <alignment vertical="center" shrinkToFit="1"/>
    </xf>
    <xf numFmtId="178" fontId="4" fillId="3" borderId="18" xfId="0" applyNumberFormat="1" applyFont="1" applyFill="1" applyBorder="1" applyAlignment="1">
      <alignment vertical="center" shrinkToFit="1"/>
    </xf>
    <xf numFmtId="178" fontId="4" fillId="3" borderId="8" xfId="0" applyNumberFormat="1" applyFont="1" applyFill="1" applyBorder="1" applyAlignment="1">
      <alignment vertical="center" shrinkToFit="1"/>
    </xf>
    <xf numFmtId="178" fontId="4" fillId="2" borderId="18" xfId="0" applyNumberFormat="1" applyFont="1" applyFill="1" applyBorder="1" applyAlignment="1">
      <alignment vertical="center" shrinkToFit="1"/>
    </xf>
    <xf numFmtId="178" fontId="4" fillId="2" borderId="8" xfId="0" applyNumberFormat="1" applyFont="1" applyFill="1" applyBorder="1" applyAlignment="1">
      <alignment vertical="center" shrinkToFit="1"/>
    </xf>
    <xf numFmtId="178" fontId="4" fillId="2" borderId="19" xfId="0" applyNumberFormat="1" applyFont="1" applyFill="1" applyBorder="1" applyAlignment="1">
      <alignment vertical="center" shrinkToFit="1"/>
    </xf>
    <xf numFmtId="178" fontId="4" fillId="2" borderId="11" xfId="0" applyNumberFormat="1" applyFont="1" applyFill="1" applyBorder="1" applyAlignment="1">
      <alignment vertical="center" shrinkToFit="1"/>
    </xf>
    <xf numFmtId="178" fontId="4" fillId="4" borderId="22" xfId="0" applyNumberFormat="1" applyFont="1" applyFill="1" applyBorder="1" applyAlignment="1">
      <alignment vertical="center" shrinkToFit="1"/>
    </xf>
    <xf numFmtId="178" fontId="4" fillId="4" borderId="11" xfId="0" applyNumberFormat="1" applyFont="1" applyFill="1" applyBorder="1" applyAlignment="1">
      <alignment vertical="center" shrinkToFit="1"/>
    </xf>
    <xf numFmtId="0" fontId="4" fillId="4" borderId="2" xfId="0" applyFont="1" applyFill="1" applyBorder="1" applyAlignment="1">
      <alignment horizontal="center" vertical="center"/>
    </xf>
    <xf numFmtId="0" fontId="4" fillId="3" borderId="5" xfId="0" applyFont="1" applyFill="1" applyBorder="1">
      <alignment vertical="center"/>
    </xf>
    <xf numFmtId="0" fontId="4" fillId="3" borderId="4" xfId="0" applyFont="1" applyFill="1" applyBorder="1" applyAlignment="1">
      <alignment horizontal="center" vertical="center"/>
    </xf>
    <xf numFmtId="180" fontId="4" fillId="3" borderId="6" xfId="0" applyNumberFormat="1" applyFont="1" applyFill="1" applyBorder="1" applyAlignment="1">
      <alignment vertical="center" shrinkToFit="1"/>
    </xf>
    <xf numFmtId="178" fontId="4" fillId="3" borderId="6" xfId="0" applyNumberFormat="1" applyFont="1" applyFill="1" applyBorder="1" applyAlignment="1">
      <alignment vertical="center" shrinkToFit="1"/>
    </xf>
    <xf numFmtId="0" fontId="4" fillId="3" borderId="7" xfId="0" applyFont="1" applyFill="1" applyBorder="1" applyAlignment="1">
      <alignment horizontal="center" vertical="center"/>
    </xf>
    <xf numFmtId="180" fontId="4" fillId="3" borderId="9" xfId="0" applyNumberFormat="1" applyFont="1" applyFill="1" applyBorder="1" applyAlignment="1">
      <alignment vertical="center" shrinkToFit="1"/>
    </xf>
    <xf numFmtId="178" fontId="4" fillId="3" borderId="9" xfId="0" applyNumberFormat="1" applyFont="1" applyFill="1" applyBorder="1" applyAlignment="1">
      <alignment vertical="center" shrinkToFit="1"/>
    </xf>
    <xf numFmtId="0" fontId="4" fillId="3" borderId="11" xfId="0" applyFont="1" applyFill="1" applyBorder="1">
      <alignment vertical="center"/>
    </xf>
    <xf numFmtId="0" fontId="4" fillId="0" borderId="11" xfId="0" applyFont="1" applyBorder="1">
      <alignment vertical="center"/>
    </xf>
    <xf numFmtId="0" fontId="4" fillId="0" borderId="10" xfId="0" applyFont="1" applyBorder="1" applyAlignment="1">
      <alignment horizontal="center" vertical="center"/>
    </xf>
    <xf numFmtId="180" fontId="4" fillId="0" borderId="12" xfId="0" applyNumberFormat="1" applyFont="1" applyBorder="1" applyAlignment="1">
      <alignment vertical="center" shrinkToFit="1"/>
    </xf>
    <xf numFmtId="0" fontId="4" fillId="2" borderId="10" xfId="0" applyFont="1" applyFill="1" applyBorder="1" applyAlignment="1">
      <alignment horizontal="center" vertical="center"/>
    </xf>
    <xf numFmtId="180" fontId="4" fillId="2" borderId="12" xfId="0" applyNumberFormat="1" applyFont="1" applyFill="1" applyBorder="1" applyAlignment="1">
      <alignment vertical="center" shrinkToFit="1"/>
    </xf>
    <xf numFmtId="178" fontId="4" fillId="2" borderId="12" xfId="0" applyNumberFormat="1" applyFont="1" applyFill="1" applyBorder="1" applyAlignment="1">
      <alignment vertical="center" shrinkToFit="1"/>
    </xf>
    <xf numFmtId="0" fontId="4" fillId="4" borderId="21" xfId="0" applyFont="1" applyFill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180" fontId="4" fillId="2" borderId="9" xfId="0" applyNumberFormat="1" applyFont="1" applyFill="1" applyBorder="1" applyAlignment="1">
      <alignment vertical="center" shrinkToFit="1"/>
    </xf>
    <xf numFmtId="178" fontId="4" fillId="2" borderId="9" xfId="0" applyNumberFormat="1" applyFont="1" applyFill="1" applyBorder="1" applyAlignment="1">
      <alignment vertical="center" shrinkToFit="1"/>
    </xf>
    <xf numFmtId="0" fontId="4" fillId="0" borderId="21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180" fontId="4" fillId="0" borderId="1" xfId="0" applyNumberFormat="1" applyFont="1" applyBorder="1" applyAlignment="1">
      <alignment vertical="center" shrinkToFit="1"/>
    </xf>
    <xf numFmtId="178" fontId="4" fillId="0" borderId="1" xfId="0" applyNumberFormat="1" applyFont="1" applyBorder="1" applyAlignment="1">
      <alignment vertical="center" shrinkToFit="1"/>
    </xf>
    <xf numFmtId="0" fontId="4" fillId="3" borderId="4" xfId="0" applyFont="1" applyFill="1" applyBorder="1">
      <alignment vertical="center"/>
    </xf>
    <xf numFmtId="0" fontId="4" fillId="3" borderId="10" xfId="0" applyFont="1" applyFill="1" applyBorder="1">
      <alignment vertical="center"/>
    </xf>
    <xf numFmtId="0" fontId="4" fillId="4" borderId="2" xfId="0" applyFont="1" applyFill="1" applyBorder="1">
      <alignment vertical="center"/>
    </xf>
    <xf numFmtId="0" fontId="4" fillId="4" borderId="3" xfId="0" applyFont="1" applyFill="1" applyBorder="1">
      <alignment vertical="center"/>
    </xf>
    <xf numFmtId="180" fontId="4" fillId="4" borderId="1" xfId="0" applyNumberFormat="1" applyFont="1" applyFill="1" applyBorder="1" applyAlignment="1">
      <alignment vertical="center" shrinkToFit="1"/>
    </xf>
    <xf numFmtId="178" fontId="4" fillId="4" borderId="1" xfId="0" applyNumberFormat="1" applyFont="1" applyFill="1" applyBorder="1" applyAlignment="1">
      <alignment vertical="center" shrinkToFit="1"/>
    </xf>
    <xf numFmtId="0" fontId="2" fillId="0" borderId="0" xfId="0" applyFont="1" applyAlignment="1">
      <alignment horizontal="center" vertical="center"/>
    </xf>
    <xf numFmtId="178" fontId="4" fillId="0" borderId="24" xfId="0" applyNumberFormat="1" applyFont="1" applyBorder="1" applyAlignment="1">
      <alignment horizontal="center" vertical="center" shrinkToFit="1"/>
    </xf>
    <xf numFmtId="178" fontId="4" fillId="0" borderId="25" xfId="0" applyNumberFormat="1" applyFont="1" applyBorder="1" applyAlignment="1">
      <alignment horizontal="center" vertical="center" shrinkToFit="1"/>
    </xf>
    <xf numFmtId="178" fontId="4" fillId="3" borderId="25" xfId="0" applyNumberFormat="1" applyFont="1" applyFill="1" applyBorder="1" applyAlignment="1">
      <alignment horizontal="center" vertical="center" shrinkToFit="1"/>
    </xf>
    <xf numFmtId="178" fontId="4" fillId="2" borderId="25" xfId="0" applyNumberFormat="1" applyFont="1" applyFill="1" applyBorder="1" applyAlignment="1">
      <alignment horizontal="center" vertical="center" shrinkToFit="1"/>
    </xf>
    <xf numFmtId="178" fontId="4" fillId="2" borderId="23" xfId="0" applyNumberFormat="1" applyFont="1" applyFill="1" applyBorder="1" applyAlignment="1">
      <alignment horizontal="center" vertical="center" shrinkToFit="1"/>
    </xf>
    <xf numFmtId="178" fontId="4" fillId="2" borderId="26" xfId="0" applyNumberFormat="1" applyFont="1" applyFill="1" applyBorder="1" applyAlignment="1">
      <alignment horizontal="center" vertical="center" shrinkToFit="1"/>
    </xf>
    <xf numFmtId="178" fontId="4" fillId="4" borderId="26" xfId="0" applyNumberFormat="1" applyFont="1" applyFill="1" applyBorder="1" applyAlignment="1">
      <alignment horizontal="center" vertical="center" shrinkToFit="1"/>
    </xf>
    <xf numFmtId="178" fontId="4" fillId="0" borderId="24" xfId="0" applyNumberFormat="1" applyFont="1" applyBorder="1">
      <alignment vertical="center"/>
    </xf>
    <xf numFmtId="180" fontId="4" fillId="0" borderId="17" xfId="0" applyNumberFormat="1" applyFont="1" applyBorder="1">
      <alignment vertical="center"/>
    </xf>
    <xf numFmtId="180" fontId="4" fillId="0" borderId="24" xfId="0" applyNumberFormat="1" applyFont="1" applyBorder="1">
      <alignment vertical="center"/>
    </xf>
    <xf numFmtId="180" fontId="4" fillId="0" borderId="6" xfId="0" applyNumberFormat="1" applyFont="1" applyBorder="1">
      <alignment vertical="center"/>
    </xf>
    <xf numFmtId="9" fontId="4" fillId="0" borderId="19" xfId="1" applyFont="1" applyBorder="1">
      <alignment vertical="center"/>
    </xf>
    <xf numFmtId="9" fontId="4" fillId="0" borderId="26" xfId="1" applyFont="1" applyBorder="1">
      <alignment vertical="center"/>
    </xf>
    <xf numFmtId="9" fontId="4" fillId="0" borderId="12" xfId="1" applyFont="1" applyBorder="1">
      <alignment vertical="center"/>
    </xf>
    <xf numFmtId="9" fontId="4" fillId="0" borderId="22" xfId="1" applyFont="1" applyBorder="1">
      <alignment vertical="center"/>
    </xf>
    <xf numFmtId="178" fontId="4" fillId="0" borderId="6" xfId="0" applyNumberFormat="1" applyFont="1" applyBorder="1" applyAlignment="1">
      <alignment horizontal="center" vertical="center"/>
    </xf>
    <xf numFmtId="9" fontId="4" fillId="0" borderId="12" xfId="1" applyFont="1" applyBorder="1" applyAlignment="1">
      <alignment horizontal="center" vertical="center"/>
    </xf>
    <xf numFmtId="180" fontId="4" fillId="0" borderId="6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80" fontId="4" fillId="2" borderId="1" xfId="0" applyNumberFormat="1" applyFont="1" applyFill="1" applyBorder="1" applyAlignment="1">
      <alignment vertical="center" shrinkToFit="1"/>
    </xf>
    <xf numFmtId="178" fontId="4" fillId="0" borderId="5" xfId="0" applyNumberFormat="1" applyFont="1" applyBorder="1" applyAlignment="1">
      <alignment horizontal="center" vertical="center" shrinkToFit="1"/>
    </xf>
    <xf numFmtId="178" fontId="4" fillId="0" borderId="8" xfId="0" applyNumberFormat="1" applyFont="1" applyBorder="1" applyAlignment="1">
      <alignment horizontal="center" vertical="center" shrinkToFit="1"/>
    </xf>
    <xf numFmtId="178" fontId="4" fillId="3" borderId="8" xfId="0" applyNumberFormat="1" applyFont="1" applyFill="1" applyBorder="1" applyAlignment="1">
      <alignment horizontal="center" vertical="center" shrinkToFit="1"/>
    </xf>
    <xf numFmtId="178" fontId="4" fillId="2" borderId="8" xfId="0" applyNumberFormat="1" applyFont="1" applyFill="1" applyBorder="1" applyAlignment="1">
      <alignment horizontal="center" vertical="center" shrinkToFit="1"/>
    </xf>
    <xf numFmtId="178" fontId="4" fillId="2" borderId="3" xfId="0" applyNumberFormat="1" applyFont="1" applyFill="1" applyBorder="1" applyAlignment="1">
      <alignment horizontal="center" vertical="center" shrinkToFit="1"/>
    </xf>
    <xf numFmtId="178" fontId="4" fillId="2" borderId="11" xfId="0" applyNumberFormat="1" applyFont="1" applyFill="1" applyBorder="1" applyAlignment="1">
      <alignment horizontal="center" vertical="center" shrinkToFit="1"/>
    </xf>
    <xf numFmtId="178" fontId="4" fillId="4" borderId="11" xfId="0" applyNumberFormat="1" applyFont="1" applyFill="1" applyBorder="1" applyAlignment="1">
      <alignment horizontal="center" vertical="center" shrinkToFit="1"/>
    </xf>
    <xf numFmtId="178" fontId="4" fillId="0" borderId="17" xfId="0" applyNumberFormat="1" applyFont="1" applyBorder="1" applyAlignment="1">
      <alignment horizontal="right" vertical="center" shrinkToFit="1"/>
    </xf>
    <xf numFmtId="178" fontId="4" fillId="0" borderId="5" xfId="0" applyNumberFormat="1" applyFont="1" applyBorder="1" applyAlignment="1">
      <alignment horizontal="right" vertical="center" shrinkToFit="1"/>
    </xf>
    <xf numFmtId="178" fontId="4" fillId="0" borderId="6" xfId="0" applyNumberFormat="1" applyFont="1" applyBorder="1" applyAlignment="1">
      <alignment horizontal="right" vertical="center" shrinkToFit="1"/>
    </xf>
    <xf numFmtId="178" fontId="4" fillId="0" borderId="18" xfId="0" applyNumberFormat="1" applyFont="1" applyBorder="1" applyAlignment="1">
      <alignment horizontal="right" vertical="center" shrinkToFit="1"/>
    </xf>
    <xf numFmtId="178" fontId="4" fillId="0" borderId="8" xfId="0" applyNumberFormat="1" applyFont="1" applyBorder="1" applyAlignment="1">
      <alignment horizontal="right" vertical="center" shrinkToFit="1"/>
    </xf>
    <xf numFmtId="178" fontId="4" fillId="0" borderId="9" xfId="0" applyNumberFormat="1" applyFont="1" applyBorder="1" applyAlignment="1">
      <alignment horizontal="right" vertical="center" shrinkToFit="1"/>
    </xf>
    <xf numFmtId="178" fontId="4" fillId="3" borderId="18" xfId="0" applyNumberFormat="1" applyFont="1" applyFill="1" applyBorder="1" applyAlignment="1">
      <alignment horizontal="right" vertical="center" shrinkToFit="1"/>
    </xf>
    <xf numFmtId="178" fontId="4" fillId="3" borderId="8" xfId="0" applyNumberFormat="1" applyFont="1" applyFill="1" applyBorder="1" applyAlignment="1">
      <alignment horizontal="right" vertical="center" shrinkToFit="1"/>
    </xf>
    <xf numFmtId="178" fontId="4" fillId="3" borderId="9" xfId="0" applyNumberFormat="1" applyFont="1" applyFill="1" applyBorder="1" applyAlignment="1">
      <alignment horizontal="right" vertical="center" shrinkToFit="1"/>
    </xf>
    <xf numFmtId="178" fontId="4" fillId="2" borderId="18" xfId="0" applyNumberFormat="1" applyFont="1" applyFill="1" applyBorder="1" applyAlignment="1">
      <alignment horizontal="right" vertical="center" shrinkToFit="1"/>
    </xf>
    <xf numFmtId="178" fontId="4" fillId="2" borderId="8" xfId="0" applyNumberFormat="1" applyFont="1" applyFill="1" applyBorder="1" applyAlignment="1">
      <alignment horizontal="right" vertical="center" shrinkToFit="1"/>
    </xf>
    <xf numFmtId="178" fontId="4" fillId="2" borderId="9" xfId="0" applyNumberFormat="1" applyFont="1" applyFill="1" applyBorder="1" applyAlignment="1">
      <alignment horizontal="right" vertical="center" shrinkToFit="1"/>
    </xf>
    <xf numFmtId="178" fontId="4" fillId="2" borderId="16" xfId="0" applyNumberFormat="1" applyFont="1" applyFill="1" applyBorder="1" applyAlignment="1">
      <alignment horizontal="right" vertical="center" shrinkToFit="1"/>
    </xf>
    <xf numFmtId="178" fontId="4" fillId="2" borderId="3" xfId="0" applyNumberFormat="1" applyFont="1" applyFill="1" applyBorder="1" applyAlignment="1">
      <alignment horizontal="right" vertical="center" shrinkToFit="1"/>
    </xf>
    <xf numFmtId="178" fontId="4" fillId="2" borderId="1" xfId="0" applyNumberFormat="1" applyFont="1" applyFill="1" applyBorder="1" applyAlignment="1">
      <alignment horizontal="right" vertical="center" shrinkToFit="1"/>
    </xf>
    <xf numFmtId="178" fontId="4" fillId="2" borderId="19" xfId="0" applyNumberFormat="1" applyFont="1" applyFill="1" applyBorder="1" applyAlignment="1">
      <alignment horizontal="right" vertical="center" shrinkToFit="1"/>
    </xf>
    <xf numFmtId="178" fontId="4" fillId="2" borderId="11" xfId="0" applyNumberFormat="1" applyFont="1" applyFill="1" applyBorder="1" applyAlignment="1">
      <alignment horizontal="right" vertical="center" shrinkToFit="1"/>
    </xf>
    <xf numFmtId="178" fontId="4" fillId="2" borderId="12" xfId="0" applyNumberFormat="1" applyFont="1" applyFill="1" applyBorder="1" applyAlignment="1">
      <alignment horizontal="right" vertical="center" shrinkToFit="1"/>
    </xf>
    <xf numFmtId="178" fontId="4" fillId="4" borderId="22" xfId="0" applyNumberFormat="1" applyFont="1" applyFill="1" applyBorder="1" applyAlignment="1">
      <alignment horizontal="right" vertical="center" shrinkToFit="1"/>
    </xf>
    <xf numFmtId="178" fontId="4" fillId="4" borderId="11" xfId="0" applyNumberFormat="1" applyFont="1" applyFill="1" applyBorder="1" applyAlignment="1">
      <alignment horizontal="right" vertical="center" shrinkToFit="1"/>
    </xf>
    <xf numFmtId="178" fontId="4" fillId="4" borderId="12" xfId="0" applyNumberFormat="1" applyFont="1" applyFill="1" applyBorder="1" applyAlignment="1">
      <alignment horizontal="right" vertical="center" shrinkToFit="1"/>
    </xf>
    <xf numFmtId="0" fontId="4" fillId="3" borderId="13" xfId="0" applyFont="1" applyFill="1" applyBorder="1">
      <alignment vertical="center"/>
    </xf>
    <xf numFmtId="0" fontId="4" fillId="3" borderId="14" xfId="0" applyFont="1" applyFill="1" applyBorder="1">
      <alignment vertical="center"/>
    </xf>
    <xf numFmtId="180" fontId="4" fillId="3" borderId="4" xfId="0" applyNumberFormat="1" applyFont="1" applyFill="1" applyBorder="1" applyAlignment="1">
      <alignment horizontal="right" vertical="center"/>
    </xf>
    <xf numFmtId="180" fontId="4" fillId="3" borderId="7" xfId="0" applyNumberFormat="1" applyFont="1" applyFill="1" applyBorder="1" applyAlignment="1">
      <alignment horizontal="right" vertical="center"/>
    </xf>
    <xf numFmtId="180" fontId="4" fillId="3" borderId="10" xfId="0" applyNumberFormat="1" applyFont="1" applyFill="1" applyBorder="1" applyAlignment="1">
      <alignment horizontal="right" vertical="center"/>
    </xf>
    <xf numFmtId="180" fontId="4" fillId="2" borderId="10" xfId="0" applyNumberFormat="1" applyFont="1" applyFill="1" applyBorder="1" applyAlignment="1">
      <alignment horizontal="right" vertical="center"/>
    </xf>
    <xf numFmtId="9" fontId="4" fillId="0" borderId="0" xfId="1" applyFont="1" applyBorder="1">
      <alignment vertical="center"/>
    </xf>
    <xf numFmtId="9" fontId="4" fillId="0" borderId="0" xfId="1" applyFont="1" applyBorder="1" applyAlignment="1">
      <alignment horizontal="center" vertical="center"/>
    </xf>
    <xf numFmtId="9" fontId="4" fillId="0" borderId="12" xfId="1" applyFont="1" applyBorder="1" applyAlignment="1">
      <alignment horizontal="right" vertical="center"/>
    </xf>
    <xf numFmtId="181" fontId="4" fillId="4" borderId="3" xfId="0" applyNumberFormat="1" applyFont="1" applyFill="1" applyBorder="1" applyAlignment="1">
      <alignment horizontal="center" vertical="center"/>
    </xf>
    <xf numFmtId="179" fontId="4" fillId="0" borderId="9" xfId="0" applyNumberFormat="1" applyFont="1" applyBorder="1" applyAlignment="1">
      <alignment horizontal="right" vertical="center"/>
    </xf>
    <xf numFmtId="179" fontId="4" fillId="3" borderId="9" xfId="0" applyNumberFormat="1" applyFont="1" applyFill="1" applyBorder="1" applyAlignment="1">
      <alignment horizontal="right" vertical="center"/>
    </xf>
    <xf numFmtId="180" fontId="4" fillId="3" borderId="9" xfId="0" applyNumberFormat="1" applyFont="1" applyFill="1" applyBorder="1" applyAlignment="1">
      <alignment horizontal="right" vertical="center"/>
    </xf>
    <xf numFmtId="3" fontId="4" fillId="0" borderId="0" xfId="0" applyNumberFormat="1" applyFont="1">
      <alignment vertical="center"/>
    </xf>
    <xf numFmtId="9" fontId="4" fillId="0" borderId="0" xfId="1" applyFont="1">
      <alignment vertical="center"/>
    </xf>
    <xf numFmtId="182" fontId="4" fillId="0" borderId="0" xfId="1" applyNumberFormat="1" applyFont="1">
      <alignment vertical="center"/>
    </xf>
    <xf numFmtId="176" fontId="4" fillId="0" borderId="0" xfId="7" applyFont="1">
      <alignment vertical="center"/>
    </xf>
    <xf numFmtId="177" fontId="4" fillId="0" borderId="0" xfId="7" applyNumberFormat="1" applyFont="1">
      <alignment vertical="center"/>
    </xf>
    <xf numFmtId="176" fontId="4" fillId="0" borderId="0" xfId="0" applyNumberFormat="1" applyFont="1">
      <alignment vertical="center"/>
    </xf>
    <xf numFmtId="180" fontId="4" fillId="2" borderId="9" xfId="0" applyNumberFormat="1" applyFont="1" applyFill="1" applyBorder="1" applyAlignment="1">
      <alignment horizontal="right" vertical="center"/>
    </xf>
    <xf numFmtId="180" fontId="4" fillId="2" borderId="1" xfId="0" applyNumberFormat="1" applyFont="1" applyFill="1" applyBorder="1" applyAlignment="1">
      <alignment horizontal="right" vertical="center"/>
    </xf>
    <xf numFmtId="183" fontId="4" fillId="3" borderId="9" xfId="0" applyNumberFormat="1" applyFont="1" applyFill="1" applyBorder="1" applyAlignment="1">
      <alignment horizontal="right" vertical="center"/>
    </xf>
    <xf numFmtId="180" fontId="4" fillId="2" borderId="12" xfId="0" applyNumberFormat="1" applyFont="1" applyFill="1" applyBorder="1" applyAlignment="1">
      <alignment horizontal="right" vertical="center"/>
    </xf>
    <xf numFmtId="180" fontId="4" fillId="4" borderId="12" xfId="0" applyNumberFormat="1" applyFont="1" applyFill="1" applyBorder="1" applyAlignment="1">
      <alignment horizontal="right" vertical="center"/>
    </xf>
    <xf numFmtId="176" fontId="9" fillId="0" borderId="0" xfId="0" applyNumberFormat="1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186" fontId="12" fillId="0" borderId="0" xfId="0" applyNumberFormat="1" applyFont="1">
      <alignment vertical="center"/>
    </xf>
    <xf numFmtId="0" fontId="9" fillId="0" borderId="0" xfId="0" applyFont="1" applyAlignment="1">
      <alignment horizontal="right" vertical="center"/>
    </xf>
    <xf numFmtId="176" fontId="11" fillId="0" borderId="0" xfId="0" applyNumberFormat="1" applyFont="1">
      <alignment vertical="center"/>
    </xf>
    <xf numFmtId="49" fontId="9" fillId="5" borderId="28" xfId="0" quotePrefix="1" applyNumberFormat="1" applyFont="1" applyFill="1" applyBorder="1" applyAlignment="1">
      <alignment horizontal="centerContinuous" vertical="center"/>
    </xf>
    <xf numFmtId="176" fontId="9" fillId="5" borderId="28" xfId="0" applyNumberFormat="1" applyFont="1" applyFill="1" applyBorder="1" applyAlignment="1">
      <alignment horizontal="centerContinuous" vertical="center"/>
    </xf>
    <xf numFmtId="176" fontId="9" fillId="5" borderId="29" xfId="0" applyNumberFormat="1" applyFont="1" applyFill="1" applyBorder="1" applyAlignment="1">
      <alignment horizontal="centerContinuous" vertical="center"/>
    </xf>
    <xf numFmtId="187" fontId="9" fillId="5" borderId="35" xfId="0" applyNumberFormat="1" applyFont="1" applyFill="1" applyBorder="1" applyAlignment="1">
      <alignment horizontal="center" vertical="center"/>
    </xf>
    <xf numFmtId="181" fontId="9" fillId="5" borderId="36" xfId="0" applyNumberFormat="1" applyFont="1" applyFill="1" applyBorder="1" applyAlignment="1">
      <alignment horizontal="center" vertical="center"/>
    </xf>
    <xf numFmtId="181" fontId="9" fillId="5" borderId="37" xfId="0" applyNumberFormat="1" applyFont="1" applyFill="1" applyBorder="1" applyAlignment="1">
      <alignment horizontal="center" vertical="center"/>
    </xf>
    <xf numFmtId="181" fontId="9" fillId="5" borderId="38" xfId="0" applyNumberFormat="1" applyFont="1" applyFill="1" applyBorder="1" applyAlignment="1">
      <alignment horizontal="center" vertical="center"/>
    </xf>
    <xf numFmtId="181" fontId="9" fillId="5" borderId="39" xfId="0" applyNumberFormat="1" applyFont="1" applyFill="1" applyBorder="1" applyAlignment="1">
      <alignment horizontal="center" vertical="center"/>
    </xf>
    <xf numFmtId="176" fontId="13" fillId="0" borderId="27" xfId="0" applyNumberFormat="1" applyFont="1" applyBorder="1" applyAlignment="1">
      <alignment horizontal="left" vertical="center"/>
    </xf>
    <xf numFmtId="176" fontId="13" fillId="0" borderId="28" xfId="0" applyNumberFormat="1" applyFont="1" applyBorder="1" applyAlignment="1">
      <alignment horizontal="left" vertical="center"/>
    </xf>
    <xf numFmtId="0" fontId="14" fillId="0" borderId="40" xfId="0" applyFont="1" applyBorder="1" applyAlignment="1">
      <alignment horizontal="center" vertical="center"/>
    </xf>
    <xf numFmtId="184" fontId="9" fillId="0" borderId="41" xfId="0" applyNumberFormat="1" applyFont="1" applyBorder="1" applyAlignment="1">
      <alignment vertical="center" shrinkToFit="1"/>
    </xf>
    <xf numFmtId="184" fontId="9" fillId="0" borderId="42" xfId="0" applyNumberFormat="1" applyFont="1" applyBorder="1" applyAlignment="1">
      <alignment vertical="center" shrinkToFit="1"/>
    </xf>
    <xf numFmtId="184" fontId="9" fillId="0" borderId="43" xfId="0" applyNumberFormat="1" applyFont="1" applyBorder="1" applyAlignment="1">
      <alignment vertical="center" shrinkToFit="1"/>
    </xf>
    <xf numFmtId="184" fontId="9" fillId="0" borderId="44" xfId="0" applyNumberFormat="1" applyFont="1" applyBorder="1" applyAlignment="1">
      <alignment vertical="center" shrinkToFit="1"/>
    </xf>
    <xf numFmtId="0" fontId="14" fillId="0" borderId="27" xfId="0" applyFont="1" applyBorder="1" applyAlignment="1">
      <alignment horizontal="center" vertical="center"/>
    </xf>
    <xf numFmtId="184" fontId="9" fillId="0" borderId="30" xfId="0" applyNumberFormat="1" applyFont="1" applyBorder="1" applyAlignment="1">
      <alignment vertical="center" shrinkToFit="1"/>
    </xf>
    <xf numFmtId="184" fontId="9" fillId="0" borderId="47" xfId="0" applyNumberFormat="1" applyFont="1" applyBorder="1" applyAlignment="1">
      <alignment vertical="center" shrinkToFit="1"/>
    </xf>
    <xf numFmtId="184" fontId="9" fillId="0" borderId="48" xfId="0" applyNumberFormat="1" applyFont="1" applyBorder="1" applyAlignment="1">
      <alignment vertical="center" shrinkToFit="1"/>
    </xf>
    <xf numFmtId="184" fontId="9" fillId="0" borderId="49" xfId="0" applyNumberFormat="1" applyFont="1" applyBorder="1" applyAlignment="1">
      <alignment vertical="center" shrinkToFit="1"/>
    </xf>
    <xf numFmtId="0" fontId="14" fillId="0" borderId="45" xfId="0" applyFont="1" applyBorder="1" applyAlignment="1">
      <alignment horizontal="center" vertical="center"/>
    </xf>
    <xf numFmtId="176" fontId="13" fillId="0" borderId="45" xfId="0" applyNumberFormat="1" applyFont="1" applyBorder="1" applyAlignment="1">
      <alignment horizontal="left" vertical="center"/>
    </xf>
    <xf numFmtId="176" fontId="13" fillId="0" borderId="46" xfId="0" applyNumberFormat="1" applyFont="1" applyBorder="1" applyAlignment="1">
      <alignment horizontal="left" vertical="center"/>
    </xf>
    <xf numFmtId="0" fontId="14" fillId="0" borderId="29" xfId="0" applyFont="1" applyBorder="1" applyAlignment="1">
      <alignment horizontal="center" vertical="center"/>
    </xf>
    <xf numFmtId="185" fontId="9" fillId="0" borderId="30" xfId="0" applyNumberFormat="1" applyFont="1" applyBorder="1" applyAlignment="1">
      <alignment vertical="center" shrinkToFit="1"/>
    </xf>
    <xf numFmtId="185" fontId="9" fillId="0" borderId="47" xfId="0" applyNumberFormat="1" applyFont="1" applyBorder="1" applyAlignment="1">
      <alignment vertical="center" shrinkToFit="1"/>
    </xf>
    <xf numFmtId="185" fontId="9" fillId="0" borderId="48" xfId="0" applyNumberFormat="1" applyFont="1" applyBorder="1" applyAlignment="1">
      <alignment vertical="center" shrinkToFit="1"/>
    </xf>
    <xf numFmtId="185" fontId="9" fillId="0" borderId="49" xfId="0" applyNumberFormat="1" applyFont="1" applyBorder="1" applyAlignment="1">
      <alignment vertical="center" shrinkToFit="1"/>
    </xf>
    <xf numFmtId="185" fontId="9" fillId="0" borderId="41" xfId="0" applyNumberFormat="1" applyFont="1" applyBorder="1" applyAlignment="1">
      <alignment vertical="center" shrinkToFit="1"/>
    </xf>
    <xf numFmtId="185" fontId="9" fillId="0" borderId="42" xfId="0" applyNumberFormat="1" applyFont="1" applyBorder="1" applyAlignment="1">
      <alignment vertical="center" shrinkToFit="1"/>
    </xf>
    <xf numFmtId="185" fontId="9" fillId="0" borderId="43" xfId="0" applyNumberFormat="1" applyFont="1" applyBorder="1" applyAlignment="1">
      <alignment vertical="center" shrinkToFit="1"/>
    </xf>
    <xf numFmtId="185" fontId="9" fillId="0" borderId="44" xfId="0" applyNumberFormat="1" applyFont="1" applyBorder="1" applyAlignment="1">
      <alignment vertical="center" shrinkToFit="1"/>
    </xf>
    <xf numFmtId="0" fontId="14" fillId="0" borderId="50" xfId="0" applyFont="1" applyBorder="1" applyAlignment="1">
      <alignment horizontal="center" vertical="center"/>
    </xf>
    <xf numFmtId="185" fontId="9" fillId="0" borderId="52" xfId="0" applyNumberFormat="1" applyFont="1" applyBorder="1" applyAlignment="1">
      <alignment vertical="center" shrinkToFit="1"/>
    </xf>
    <xf numFmtId="185" fontId="9" fillId="0" borderId="53" xfId="0" applyNumberFormat="1" applyFont="1" applyBorder="1" applyAlignment="1">
      <alignment vertical="center" shrinkToFit="1"/>
    </xf>
    <xf numFmtId="185" fontId="9" fillId="0" borderId="54" xfId="0" applyNumberFormat="1" applyFont="1" applyBorder="1" applyAlignment="1">
      <alignment vertical="center" shrinkToFit="1"/>
    </xf>
    <xf numFmtId="185" fontId="9" fillId="0" borderId="55" xfId="0" applyNumberFormat="1" applyFont="1" applyBorder="1" applyAlignment="1">
      <alignment vertical="center" shrinkToFit="1"/>
    </xf>
    <xf numFmtId="9" fontId="9" fillId="0" borderId="30" xfId="1" applyFont="1" applyFill="1" applyBorder="1" applyAlignment="1">
      <alignment vertical="center" shrinkToFit="1"/>
    </xf>
    <xf numFmtId="9" fontId="9" fillId="0" borderId="47" xfId="1" applyFont="1" applyFill="1" applyBorder="1" applyAlignment="1">
      <alignment vertical="center" shrinkToFit="1"/>
    </xf>
    <xf numFmtId="9" fontId="9" fillId="0" borderId="48" xfId="1" applyFont="1" applyFill="1" applyBorder="1" applyAlignment="1">
      <alignment vertical="center" shrinkToFit="1"/>
    </xf>
    <xf numFmtId="9" fontId="9" fillId="0" borderId="49" xfId="1" applyFont="1" applyFill="1" applyBorder="1" applyAlignment="1">
      <alignment vertical="center" shrinkToFit="1"/>
    </xf>
    <xf numFmtId="9" fontId="9" fillId="0" borderId="41" xfId="1" applyFont="1" applyFill="1" applyBorder="1" applyAlignment="1">
      <alignment vertical="center" shrinkToFit="1"/>
    </xf>
    <xf numFmtId="9" fontId="9" fillId="0" borderId="42" xfId="1" applyFont="1" applyFill="1" applyBorder="1" applyAlignment="1">
      <alignment vertical="center" shrinkToFit="1"/>
    </xf>
    <xf numFmtId="9" fontId="9" fillId="0" borderId="43" xfId="1" applyFont="1" applyFill="1" applyBorder="1" applyAlignment="1">
      <alignment vertical="center" shrinkToFit="1"/>
    </xf>
    <xf numFmtId="9" fontId="9" fillId="0" borderId="44" xfId="1" applyFont="1" applyFill="1" applyBorder="1" applyAlignment="1">
      <alignment vertical="center" shrinkToFit="1"/>
    </xf>
    <xf numFmtId="9" fontId="9" fillId="0" borderId="52" xfId="1" applyFont="1" applyFill="1" applyBorder="1" applyAlignment="1">
      <alignment vertical="center" shrinkToFit="1"/>
    </xf>
    <xf numFmtId="9" fontId="9" fillId="0" borderId="53" xfId="1" applyFont="1" applyFill="1" applyBorder="1" applyAlignment="1">
      <alignment vertical="center" shrinkToFit="1"/>
    </xf>
    <xf numFmtId="9" fontId="9" fillId="0" borderId="54" xfId="1" applyFont="1" applyFill="1" applyBorder="1" applyAlignment="1">
      <alignment vertical="center" shrinkToFit="1"/>
    </xf>
    <xf numFmtId="9" fontId="9" fillId="0" borderId="55" xfId="1" applyFont="1" applyFill="1" applyBorder="1" applyAlignment="1">
      <alignment vertical="center" shrinkToFit="1"/>
    </xf>
    <xf numFmtId="176" fontId="2" fillId="0" borderId="0" xfId="7" applyFont="1">
      <alignment vertical="center"/>
    </xf>
    <xf numFmtId="180" fontId="4" fillId="3" borderId="9" xfId="7" applyNumberFormat="1" applyFont="1" applyFill="1" applyBorder="1" applyAlignment="1">
      <alignment horizontal="right" vertical="center"/>
    </xf>
    <xf numFmtId="0" fontId="4" fillId="3" borderId="6" xfId="0" applyFont="1" applyFill="1" applyBorder="1">
      <alignment vertical="center"/>
    </xf>
    <xf numFmtId="178" fontId="4" fillId="3" borderId="17" xfId="0" applyNumberFormat="1" applyFont="1" applyFill="1" applyBorder="1" applyAlignment="1">
      <alignment vertical="center" shrinkToFit="1"/>
    </xf>
    <xf numFmtId="178" fontId="4" fillId="3" borderId="5" xfId="0" applyNumberFormat="1" applyFont="1" applyFill="1" applyBorder="1" applyAlignment="1">
      <alignment vertical="center" shrinkToFit="1"/>
    </xf>
    <xf numFmtId="179" fontId="4" fillId="3" borderId="6" xfId="0" applyNumberFormat="1" applyFont="1" applyFill="1" applyBorder="1" applyAlignment="1">
      <alignment horizontal="left" vertical="center"/>
    </xf>
    <xf numFmtId="179" fontId="4" fillId="3" borderId="12" xfId="0" applyNumberFormat="1" applyFont="1" applyFill="1" applyBorder="1" applyAlignment="1">
      <alignment horizontal="left" vertical="center"/>
    </xf>
    <xf numFmtId="0" fontId="4" fillId="3" borderId="59" xfId="0" applyFont="1" applyFill="1" applyBorder="1">
      <alignment vertical="center"/>
    </xf>
    <xf numFmtId="0" fontId="4" fillId="2" borderId="6" xfId="0" applyFont="1" applyFill="1" applyBorder="1">
      <alignment vertical="center"/>
    </xf>
    <xf numFmtId="178" fontId="4" fillId="2" borderId="17" xfId="0" applyNumberFormat="1" applyFont="1" applyFill="1" applyBorder="1" applyAlignment="1">
      <alignment vertical="center" shrinkToFit="1"/>
    </xf>
    <xf numFmtId="178" fontId="4" fillId="2" borderId="5" xfId="0" applyNumberFormat="1" applyFont="1" applyFill="1" applyBorder="1" applyAlignment="1">
      <alignment vertical="center" shrinkToFit="1"/>
    </xf>
    <xf numFmtId="178" fontId="4" fillId="2" borderId="6" xfId="0" applyNumberFormat="1" applyFont="1" applyFill="1" applyBorder="1" applyAlignment="1">
      <alignment vertical="center" shrinkToFit="1"/>
    </xf>
    <xf numFmtId="179" fontId="4" fillId="2" borderId="6" xfId="0" applyNumberFormat="1" applyFont="1" applyFill="1" applyBorder="1" applyAlignment="1">
      <alignment horizontal="left" vertical="center"/>
    </xf>
    <xf numFmtId="181" fontId="4" fillId="4" borderId="1" xfId="0" applyNumberFormat="1" applyFont="1" applyFill="1" applyBorder="1" applyAlignment="1">
      <alignment horizontal="center" vertical="center"/>
    </xf>
    <xf numFmtId="178" fontId="4" fillId="2" borderId="16" xfId="0" applyNumberFormat="1" applyFont="1" applyFill="1" applyBorder="1">
      <alignment vertical="center"/>
    </xf>
    <xf numFmtId="178" fontId="4" fillId="2" borderId="19" xfId="0" applyNumberFormat="1" applyFont="1" applyFill="1" applyBorder="1">
      <alignment vertical="center"/>
    </xf>
    <xf numFmtId="178" fontId="4" fillId="4" borderId="12" xfId="0" applyNumberFormat="1" applyFont="1" applyFill="1" applyBorder="1" applyAlignment="1">
      <alignment vertical="center" shrinkToFit="1"/>
    </xf>
    <xf numFmtId="178" fontId="4" fillId="4" borderId="20" xfId="0" applyNumberFormat="1" applyFont="1" applyFill="1" applyBorder="1">
      <alignment vertical="center"/>
    </xf>
    <xf numFmtId="0" fontId="15" fillId="0" borderId="0" xfId="0" applyFont="1">
      <alignment vertical="center"/>
    </xf>
    <xf numFmtId="0" fontId="4" fillId="2" borderId="59" xfId="0" applyFont="1" applyFill="1" applyBorder="1">
      <alignment vertical="center"/>
    </xf>
    <xf numFmtId="9" fontId="4" fillId="2" borderId="11" xfId="1" applyFont="1" applyFill="1" applyBorder="1" applyAlignment="1">
      <alignment vertical="center" shrinkToFit="1"/>
    </xf>
    <xf numFmtId="9" fontId="4" fillId="2" borderId="12" xfId="1" applyFont="1" applyFill="1" applyBorder="1" applyAlignment="1">
      <alignment vertical="center" shrinkToFit="1"/>
    </xf>
    <xf numFmtId="0" fontId="4" fillId="0" borderId="58" xfId="0" applyFont="1" applyBorder="1">
      <alignment vertical="center"/>
    </xf>
    <xf numFmtId="188" fontId="4" fillId="3" borderId="22" xfId="1" applyNumberFormat="1" applyFont="1" applyFill="1" applyBorder="1" applyAlignment="1">
      <alignment vertical="center" shrinkToFit="1"/>
    </xf>
    <xf numFmtId="188" fontId="4" fillId="3" borderId="11" xfId="1" applyNumberFormat="1" applyFont="1" applyFill="1" applyBorder="1" applyAlignment="1">
      <alignment vertical="center" shrinkToFit="1"/>
    </xf>
    <xf numFmtId="188" fontId="4" fillId="3" borderId="12" xfId="1" applyNumberFormat="1" applyFont="1" applyFill="1" applyBorder="1" applyAlignment="1">
      <alignment vertical="center" shrinkToFit="1"/>
    </xf>
    <xf numFmtId="9" fontId="4" fillId="2" borderId="19" xfId="1" applyFont="1" applyFill="1" applyBorder="1" applyAlignment="1">
      <alignment vertical="center" shrinkToFit="1"/>
    </xf>
    <xf numFmtId="182" fontId="2" fillId="0" borderId="0" xfId="1" applyNumberFormat="1" applyFo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7" borderId="8" xfId="0" applyFont="1" applyFill="1" applyBorder="1">
      <alignment vertical="center"/>
    </xf>
    <xf numFmtId="0" fontId="4" fillId="7" borderId="7" xfId="0" applyFont="1" applyFill="1" applyBorder="1" applyAlignment="1">
      <alignment horizontal="center" vertical="center"/>
    </xf>
    <xf numFmtId="180" fontId="4" fillId="7" borderId="9" xfId="0" applyNumberFormat="1" applyFont="1" applyFill="1" applyBorder="1" applyAlignment="1">
      <alignment vertical="center" shrinkToFit="1"/>
    </xf>
    <xf numFmtId="178" fontId="4" fillId="7" borderId="9" xfId="0" applyNumberFormat="1" applyFont="1" applyFill="1" applyBorder="1" applyAlignment="1">
      <alignment vertical="center" shrinkToFit="1"/>
    </xf>
    <xf numFmtId="0" fontId="4" fillId="6" borderId="8" xfId="0" applyFont="1" applyFill="1" applyBorder="1">
      <alignment vertical="center"/>
    </xf>
    <xf numFmtId="0" fontId="4" fillId="6" borderId="7" xfId="0" applyFont="1" applyFill="1" applyBorder="1" applyAlignment="1">
      <alignment horizontal="center" vertical="center"/>
    </xf>
    <xf numFmtId="180" fontId="4" fillId="6" borderId="9" xfId="0" applyNumberFormat="1" applyFont="1" applyFill="1" applyBorder="1" applyAlignment="1">
      <alignment vertical="center" shrinkToFit="1"/>
    </xf>
    <xf numFmtId="178" fontId="4" fillId="6" borderId="9" xfId="0" applyNumberFormat="1" applyFont="1" applyFill="1" applyBorder="1" applyAlignment="1">
      <alignment vertical="center" shrinkToFit="1"/>
    </xf>
    <xf numFmtId="189" fontId="2" fillId="0" borderId="0" xfId="7" applyNumberFormat="1" applyFont="1">
      <alignment vertical="center"/>
    </xf>
    <xf numFmtId="0" fontId="4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58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176" fontId="4" fillId="0" borderId="17" xfId="7" applyFont="1" applyFill="1" applyBorder="1" applyAlignment="1">
      <alignment horizontal="center" vertical="center" shrinkToFit="1"/>
    </xf>
    <xf numFmtId="176" fontId="4" fillId="0" borderId="5" xfId="7" applyFont="1" applyFill="1" applyBorder="1" applyAlignment="1">
      <alignment horizontal="center" vertical="center" shrinkToFit="1"/>
    </xf>
    <xf numFmtId="176" fontId="4" fillId="0" borderId="6" xfId="7" applyFont="1" applyFill="1" applyBorder="1" applyAlignment="1">
      <alignment horizontal="center" vertical="center" shrinkToFit="1"/>
    </xf>
    <xf numFmtId="0" fontId="14" fillId="0" borderId="62" xfId="0" applyFont="1" applyBorder="1" applyAlignment="1">
      <alignment horizontal="center" vertical="center"/>
    </xf>
    <xf numFmtId="176" fontId="9" fillId="0" borderId="61" xfId="7" applyFont="1" applyFill="1" applyBorder="1" applyAlignment="1">
      <alignment vertical="center" shrinkToFit="1"/>
    </xf>
    <xf numFmtId="176" fontId="9" fillId="0" borderId="63" xfId="7" applyFont="1" applyFill="1" applyBorder="1" applyAlignment="1">
      <alignment vertical="center" shrinkToFit="1"/>
    </xf>
    <xf numFmtId="176" fontId="9" fillId="0" borderId="64" xfId="7" applyFont="1" applyFill="1" applyBorder="1" applyAlignment="1">
      <alignment vertical="center" shrinkToFit="1"/>
    </xf>
    <xf numFmtId="176" fontId="9" fillId="0" borderId="65" xfId="7" applyFont="1" applyFill="1" applyBorder="1" applyAlignment="1">
      <alignment vertical="center" shrinkToFit="1"/>
    </xf>
    <xf numFmtId="190" fontId="4" fillId="0" borderId="18" xfId="1" applyNumberFormat="1" applyFont="1" applyFill="1" applyBorder="1" applyAlignment="1">
      <alignment horizontal="right" vertical="center"/>
    </xf>
    <xf numFmtId="190" fontId="4" fillId="0" borderId="8" xfId="1" applyNumberFormat="1" applyFont="1" applyFill="1" applyBorder="1" applyAlignment="1">
      <alignment horizontal="right" vertical="center"/>
    </xf>
    <xf numFmtId="190" fontId="4" fillId="0" borderId="9" xfId="1" applyNumberFormat="1" applyFont="1" applyFill="1" applyBorder="1" applyAlignment="1">
      <alignment horizontal="right" vertical="center"/>
    </xf>
    <xf numFmtId="191" fontId="4" fillId="0" borderId="19" xfId="0" applyNumberFormat="1" applyFont="1" applyBorder="1" applyAlignment="1">
      <alignment horizontal="right" vertical="center"/>
    </xf>
    <xf numFmtId="191" fontId="4" fillId="0" borderId="11" xfId="7" applyNumberFormat="1" applyFont="1" applyFill="1" applyBorder="1" applyAlignment="1">
      <alignment horizontal="right" vertical="center"/>
    </xf>
    <xf numFmtId="191" fontId="4" fillId="0" borderId="12" xfId="7" applyNumberFormat="1" applyFont="1" applyFill="1" applyBorder="1" applyAlignment="1">
      <alignment horizontal="right" vertical="center"/>
    </xf>
    <xf numFmtId="0" fontId="4" fillId="0" borderId="9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177" fontId="4" fillId="0" borderId="0" xfId="0" applyNumberFormat="1" applyFont="1">
      <alignment vertical="center"/>
    </xf>
    <xf numFmtId="192" fontId="4" fillId="0" borderId="0" xfId="7" applyNumberFormat="1" applyFont="1">
      <alignment vertical="center"/>
    </xf>
    <xf numFmtId="179" fontId="4" fillId="3" borderId="9" xfId="0" applyNumberFormat="1" applyFont="1" applyFill="1" applyBorder="1" applyAlignment="1">
      <alignment horizontal="left" vertical="center" shrinkToFit="1"/>
    </xf>
    <xf numFmtId="179" fontId="4" fillId="3" borderId="9" xfId="0" applyNumberFormat="1" applyFont="1" applyFill="1" applyBorder="1" applyAlignment="1">
      <alignment horizontal="left" vertical="center" wrapText="1"/>
    </xf>
    <xf numFmtId="179" fontId="4" fillId="0" borderId="6" xfId="0" applyNumberFormat="1" applyFont="1" applyBorder="1" applyAlignment="1">
      <alignment vertical="center" wrapText="1"/>
    </xf>
    <xf numFmtId="179" fontId="4" fillId="0" borderId="9" xfId="0" applyNumberFormat="1" applyFont="1" applyBorder="1">
      <alignment vertical="center"/>
    </xf>
    <xf numFmtId="193" fontId="4" fillId="0" borderId="9" xfId="0" applyNumberFormat="1" applyFont="1" applyBorder="1" applyAlignment="1">
      <alignment vertical="center" shrinkToFit="1"/>
    </xf>
    <xf numFmtId="193" fontId="4" fillId="0" borderId="0" xfId="0" applyNumberFormat="1" applyFont="1">
      <alignment vertical="center"/>
    </xf>
    <xf numFmtId="193" fontId="2" fillId="0" borderId="0" xfId="0" applyNumberFormat="1" applyFont="1">
      <alignment vertical="center"/>
    </xf>
    <xf numFmtId="180" fontId="4" fillId="7" borderId="9" xfId="0" applyNumberFormat="1" applyFont="1" applyFill="1" applyBorder="1" applyAlignment="1">
      <alignment horizontal="right" vertical="center"/>
    </xf>
    <xf numFmtId="38" fontId="2" fillId="0" borderId="0" xfId="0" applyNumberFormat="1" applyFont="1">
      <alignment vertical="center"/>
    </xf>
    <xf numFmtId="38" fontId="4" fillId="0" borderId="0" xfId="0" applyNumberFormat="1" applyFont="1">
      <alignment vertical="center"/>
    </xf>
    <xf numFmtId="38" fontId="4" fillId="0" borderId="0" xfId="7" applyNumberFormat="1" applyFont="1">
      <alignment vertical="center"/>
    </xf>
    <xf numFmtId="38" fontId="4" fillId="0" borderId="0" xfId="1" applyNumberFormat="1" applyFont="1">
      <alignment vertical="center"/>
    </xf>
    <xf numFmtId="38" fontId="0" fillId="0" borderId="0" xfId="0" applyNumberForma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56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7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59" xfId="0" applyFont="1" applyFill="1" applyBorder="1" applyAlignment="1">
      <alignment horizontal="center" vertical="center"/>
    </xf>
    <xf numFmtId="0" fontId="4" fillId="4" borderId="60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left" vertical="center"/>
    </xf>
    <xf numFmtId="0" fontId="4" fillId="7" borderId="7" xfId="0" applyFont="1" applyFill="1" applyBorder="1" applyAlignment="1">
      <alignment horizontal="left" vertical="center"/>
    </xf>
    <xf numFmtId="0" fontId="4" fillId="7" borderId="10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right" vertical="center"/>
    </xf>
    <xf numFmtId="0" fontId="4" fillId="4" borderId="12" xfId="0" applyFont="1" applyFill="1" applyBorder="1" applyAlignment="1">
      <alignment horizontal="right" vertical="center"/>
    </xf>
    <xf numFmtId="0" fontId="4" fillId="3" borderId="13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14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176" fontId="13" fillId="0" borderId="50" xfId="0" applyNumberFormat="1" applyFont="1" applyBorder="1" applyAlignment="1">
      <alignment horizontal="left" vertical="center"/>
    </xf>
    <xf numFmtId="176" fontId="13" fillId="0" borderId="51" xfId="0" applyNumberFormat="1" applyFont="1" applyBorder="1" applyAlignment="1">
      <alignment horizontal="left" vertical="center"/>
    </xf>
    <xf numFmtId="176" fontId="13" fillId="0" borderId="45" xfId="0" applyNumberFormat="1" applyFont="1" applyBorder="1" applyAlignment="1">
      <alignment horizontal="left" vertical="center"/>
    </xf>
    <xf numFmtId="176" fontId="13" fillId="0" borderId="46" xfId="0" applyNumberFormat="1" applyFont="1" applyBorder="1" applyAlignment="1">
      <alignment horizontal="left" vertical="center"/>
    </xf>
    <xf numFmtId="176" fontId="9" fillId="5" borderId="30" xfId="0" applyNumberFormat="1" applyFont="1" applyFill="1" applyBorder="1" applyAlignment="1">
      <alignment horizontal="center" vertical="center"/>
    </xf>
    <xf numFmtId="176" fontId="9" fillId="5" borderId="34" xfId="0" applyNumberFormat="1" applyFont="1" applyFill="1" applyBorder="1" applyAlignment="1">
      <alignment horizontal="center" vertical="center"/>
    </xf>
    <xf numFmtId="0" fontId="9" fillId="5" borderId="27" xfId="0" applyFont="1" applyFill="1" applyBorder="1" applyAlignment="1">
      <alignment horizontal="center" vertical="center"/>
    </xf>
    <xf numFmtId="0" fontId="9" fillId="5" borderId="28" xfId="0" applyFont="1" applyFill="1" applyBorder="1" applyAlignment="1">
      <alignment horizontal="center" vertical="center"/>
    </xf>
    <xf numFmtId="0" fontId="9" fillId="5" borderId="29" xfId="0" applyFont="1" applyFill="1" applyBorder="1" applyAlignment="1">
      <alignment horizontal="center" vertical="center"/>
    </xf>
    <xf numFmtId="0" fontId="9" fillId="5" borderId="31" xfId="0" applyFont="1" applyFill="1" applyBorder="1" applyAlignment="1">
      <alignment horizontal="center" vertical="center"/>
    </xf>
    <xf numFmtId="0" fontId="9" fillId="5" borderId="32" xfId="0" applyFont="1" applyFill="1" applyBorder="1" applyAlignment="1">
      <alignment horizontal="center" vertical="center"/>
    </xf>
    <xf numFmtId="0" fontId="9" fillId="5" borderId="33" xfId="0" applyFont="1" applyFill="1" applyBorder="1" applyAlignment="1">
      <alignment horizontal="center" vertical="center"/>
    </xf>
    <xf numFmtId="0" fontId="2" fillId="7" borderId="0" xfId="0" applyFont="1" applyFill="1">
      <alignment vertical="center"/>
    </xf>
    <xf numFmtId="0" fontId="4" fillId="7" borderId="0" xfId="0" applyFont="1" applyFill="1">
      <alignment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181" fontId="4" fillId="7" borderId="21" xfId="0" applyNumberFormat="1" applyFont="1" applyFill="1" applyBorder="1" applyAlignment="1">
      <alignment horizontal="center" vertical="center"/>
    </xf>
    <xf numFmtId="181" fontId="4" fillId="7" borderId="3" xfId="0" applyNumberFormat="1" applyFont="1" applyFill="1" applyBorder="1" applyAlignment="1">
      <alignment horizontal="center" vertical="center"/>
    </xf>
    <xf numFmtId="0" fontId="4" fillId="7" borderId="5" xfId="0" applyFont="1" applyFill="1" applyBorder="1">
      <alignment vertical="center"/>
    </xf>
    <xf numFmtId="180" fontId="4" fillId="7" borderId="4" xfId="0" applyNumberFormat="1" applyFont="1" applyFill="1" applyBorder="1" applyAlignment="1">
      <alignment horizontal="right" vertical="center" shrinkToFit="1"/>
    </xf>
    <xf numFmtId="180" fontId="4" fillId="7" borderId="4" xfId="0" applyNumberFormat="1" applyFont="1" applyFill="1" applyBorder="1" applyAlignment="1">
      <alignment horizontal="center" vertical="center" shrinkToFit="1"/>
    </xf>
    <xf numFmtId="180" fontId="4" fillId="7" borderId="6" xfId="0" applyNumberFormat="1" applyFont="1" applyFill="1" applyBorder="1" applyAlignment="1">
      <alignment horizontal="center" vertical="center" shrinkToFit="1"/>
    </xf>
    <xf numFmtId="178" fontId="4" fillId="7" borderId="4" xfId="0" applyNumberFormat="1" applyFont="1" applyFill="1" applyBorder="1" applyAlignment="1">
      <alignment horizontal="right" vertical="center" shrinkToFit="1"/>
    </xf>
    <xf numFmtId="178" fontId="4" fillId="7" borderId="13" xfId="0" applyNumberFormat="1" applyFont="1" applyFill="1" applyBorder="1" applyAlignment="1">
      <alignment horizontal="right" vertical="center" shrinkToFit="1"/>
    </xf>
    <xf numFmtId="178" fontId="4" fillId="7" borderId="5" xfId="0" applyNumberFormat="1" applyFont="1" applyFill="1" applyBorder="1" applyAlignment="1">
      <alignment horizontal="right" vertical="center" shrinkToFit="1"/>
    </xf>
    <xf numFmtId="178" fontId="4" fillId="7" borderId="6" xfId="0" quotePrefix="1" applyNumberFormat="1" applyFont="1" applyFill="1" applyBorder="1" applyAlignment="1">
      <alignment vertical="center" shrinkToFit="1"/>
    </xf>
    <xf numFmtId="180" fontId="4" fillId="7" borderId="7" xfId="0" applyNumberFormat="1" applyFont="1" applyFill="1" applyBorder="1" applyAlignment="1">
      <alignment horizontal="right" vertical="center" shrinkToFit="1"/>
    </xf>
    <xf numFmtId="180" fontId="4" fillId="7" borderId="7" xfId="0" applyNumberFormat="1" applyFont="1" applyFill="1" applyBorder="1" applyAlignment="1">
      <alignment horizontal="center" vertical="center" shrinkToFit="1"/>
    </xf>
    <xf numFmtId="180" fontId="4" fillId="7" borderId="9" xfId="0" applyNumberFormat="1" applyFont="1" applyFill="1" applyBorder="1" applyAlignment="1">
      <alignment horizontal="center" vertical="center" shrinkToFit="1"/>
    </xf>
    <xf numFmtId="178" fontId="4" fillId="7" borderId="7" xfId="0" applyNumberFormat="1" applyFont="1" applyFill="1" applyBorder="1" applyAlignment="1">
      <alignment horizontal="right" vertical="center" shrinkToFit="1"/>
    </xf>
    <xf numFmtId="178" fontId="4" fillId="7" borderId="0" xfId="0" applyNumberFormat="1" applyFont="1" applyFill="1" applyAlignment="1">
      <alignment horizontal="right" vertical="center" shrinkToFit="1"/>
    </xf>
    <xf numFmtId="178" fontId="4" fillId="7" borderId="8" xfId="0" applyNumberFormat="1" applyFont="1" applyFill="1" applyBorder="1" applyAlignment="1">
      <alignment horizontal="right" vertical="center" shrinkToFit="1"/>
    </xf>
    <xf numFmtId="178" fontId="4" fillId="7" borderId="6" xfId="0" applyNumberFormat="1" applyFont="1" applyFill="1" applyBorder="1" applyAlignment="1">
      <alignment vertical="center" shrinkToFit="1"/>
    </xf>
    <xf numFmtId="0" fontId="4" fillId="7" borderId="11" xfId="0" applyFont="1" applyFill="1" applyBorder="1">
      <alignment vertical="center"/>
    </xf>
    <xf numFmtId="180" fontId="4" fillId="7" borderId="10" xfId="0" applyNumberFormat="1" applyFont="1" applyFill="1" applyBorder="1" applyAlignment="1">
      <alignment horizontal="right" vertical="center" shrinkToFit="1"/>
    </xf>
    <xf numFmtId="180" fontId="4" fillId="7" borderId="10" xfId="0" applyNumberFormat="1" applyFont="1" applyFill="1" applyBorder="1" applyAlignment="1">
      <alignment horizontal="center" vertical="center" shrinkToFit="1"/>
    </xf>
    <xf numFmtId="180" fontId="4" fillId="7" borderId="12" xfId="0" applyNumberFormat="1" applyFont="1" applyFill="1" applyBorder="1" applyAlignment="1">
      <alignment horizontal="center" vertical="center" shrinkToFit="1"/>
    </xf>
    <xf numFmtId="178" fontId="4" fillId="7" borderId="10" xfId="0" applyNumberFormat="1" applyFont="1" applyFill="1" applyBorder="1" applyAlignment="1">
      <alignment horizontal="right" vertical="center" shrinkToFit="1"/>
    </xf>
    <xf numFmtId="178" fontId="4" fillId="7" borderId="14" xfId="0" applyNumberFormat="1" applyFont="1" applyFill="1" applyBorder="1" applyAlignment="1">
      <alignment horizontal="right" vertical="center" shrinkToFit="1"/>
    </xf>
    <xf numFmtId="178" fontId="4" fillId="7" borderId="11" xfId="0" applyNumberFormat="1" applyFont="1" applyFill="1" applyBorder="1" applyAlignment="1">
      <alignment horizontal="right" vertical="center" shrinkToFit="1"/>
    </xf>
    <xf numFmtId="178" fontId="4" fillId="7" borderId="12" xfId="0" applyNumberFormat="1" applyFont="1" applyFill="1" applyBorder="1" applyAlignment="1">
      <alignment vertical="center" shrinkToFit="1"/>
    </xf>
    <xf numFmtId="180" fontId="4" fillId="7" borderId="9" xfId="0" applyNumberFormat="1" applyFont="1" applyFill="1" applyBorder="1" applyAlignment="1">
      <alignment horizontal="right" vertical="center" shrinkToFit="1"/>
    </xf>
    <xf numFmtId="178" fontId="4" fillId="7" borderId="7" xfId="0" applyNumberFormat="1" applyFont="1" applyFill="1" applyBorder="1" applyAlignment="1">
      <alignment horizontal="right" vertical="center" shrinkToFit="1"/>
    </xf>
    <xf numFmtId="178" fontId="4" fillId="7" borderId="0" xfId="0" applyNumberFormat="1" applyFont="1" applyFill="1" applyAlignment="1">
      <alignment horizontal="right" vertical="center" shrinkToFit="1"/>
    </xf>
    <xf numFmtId="178" fontId="4" fillId="7" borderId="8" xfId="0" applyNumberFormat="1" applyFont="1" applyFill="1" applyBorder="1" applyAlignment="1">
      <alignment horizontal="right" vertical="center" shrinkToFit="1"/>
    </xf>
    <xf numFmtId="178" fontId="4" fillId="7" borderId="9" xfId="0" applyNumberFormat="1" applyFont="1" applyFill="1" applyBorder="1" applyAlignment="1">
      <alignment vertical="center" shrinkToFit="1"/>
    </xf>
    <xf numFmtId="180" fontId="4" fillId="7" borderId="2" xfId="0" applyNumberFormat="1" applyFont="1" applyFill="1" applyBorder="1" applyAlignment="1">
      <alignment horizontal="right" vertical="center" shrinkToFit="1"/>
    </xf>
    <xf numFmtId="180" fontId="4" fillId="7" borderId="2" xfId="0" applyNumberFormat="1" applyFont="1" applyFill="1" applyBorder="1" applyAlignment="1">
      <alignment horizontal="center" vertical="center" shrinkToFit="1"/>
    </xf>
    <xf numFmtId="180" fontId="4" fillId="7" borderId="1" xfId="0" applyNumberFormat="1" applyFont="1" applyFill="1" applyBorder="1" applyAlignment="1">
      <alignment horizontal="center" vertical="center" shrinkToFit="1"/>
    </xf>
    <xf numFmtId="178" fontId="4" fillId="7" borderId="2" xfId="0" applyNumberFormat="1" applyFont="1" applyFill="1" applyBorder="1" applyAlignment="1">
      <alignment horizontal="right" vertical="center" shrinkToFit="1"/>
    </xf>
    <xf numFmtId="178" fontId="4" fillId="7" borderId="21" xfId="0" applyNumberFormat="1" applyFont="1" applyFill="1" applyBorder="1" applyAlignment="1">
      <alignment horizontal="right" vertical="center" shrinkToFit="1"/>
    </xf>
    <xf numFmtId="178" fontId="4" fillId="7" borderId="3" xfId="0" applyNumberFormat="1" applyFont="1" applyFill="1" applyBorder="1" applyAlignment="1">
      <alignment horizontal="right" vertical="center" shrinkToFit="1"/>
    </xf>
    <xf numFmtId="178" fontId="4" fillId="7" borderId="1" xfId="0" applyNumberFormat="1" applyFont="1" applyFill="1" applyBorder="1" applyAlignment="1">
      <alignment vertical="center" shrinkToFit="1"/>
    </xf>
    <xf numFmtId="0" fontId="14" fillId="7" borderId="27" xfId="0" applyFont="1" applyFill="1" applyBorder="1" applyAlignment="1">
      <alignment horizontal="center" vertical="center"/>
    </xf>
    <xf numFmtId="176" fontId="9" fillId="7" borderId="30" xfId="7" applyFont="1" applyFill="1" applyBorder="1" applyAlignment="1">
      <alignment vertical="center" shrinkToFit="1"/>
    </xf>
    <xf numFmtId="176" fontId="9" fillId="7" borderId="47" xfId="7" applyFont="1" applyFill="1" applyBorder="1" applyAlignment="1">
      <alignment vertical="center" shrinkToFit="1"/>
    </xf>
    <xf numFmtId="176" fontId="9" fillId="7" borderId="48" xfId="7" applyFont="1" applyFill="1" applyBorder="1" applyAlignment="1">
      <alignment vertical="center" shrinkToFit="1"/>
    </xf>
    <xf numFmtId="176" fontId="9" fillId="7" borderId="49" xfId="7" applyFont="1" applyFill="1" applyBorder="1" applyAlignment="1">
      <alignment vertical="center" shrinkToFit="1"/>
    </xf>
    <xf numFmtId="0" fontId="14" fillId="7" borderId="45" xfId="0" applyFont="1" applyFill="1" applyBorder="1" applyAlignment="1">
      <alignment horizontal="center" vertical="center"/>
    </xf>
    <xf numFmtId="176" fontId="9" fillId="7" borderId="41" xfId="7" applyFont="1" applyFill="1" applyBorder="1" applyAlignment="1">
      <alignment vertical="center" shrinkToFit="1"/>
    </xf>
    <xf numFmtId="176" fontId="9" fillId="7" borderId="42" xfId="7" applyFont="1" applyFill="1" applyBorder="1" applyAlignment="1">
      <alignment vertical="center" shrinkToFit="1"/>
    </xf>
    <xf numFmtId="176" fontId="9" fillId="7" borderId="43" xfId="7" applyFont="1" applyFill="1" applyBorder="1" applyAlignment="1">
      <alignment vertical="center" shrinkToFit="1"/>
    </xf>
    <xf numFmtId="176" fontId="9" fillId="7" borderId="44" xfId="7" applyFont="1" applyFill="1" applyBorder="1" applyAlignment="1">
      <alignment vertical="center" shrinkToFit="1"/>
    </xf>
    <xf numFmtId="0" fontId="14" fillId="7" borderId="50" xfId="0" applyFont="1" applyFill="1" applyBorder="1" applyAlignment="1">
      <alignment horizontal="center" vertical="center"/>
    </xf>
    <xf numFmtId="176" fontId="9" fillId="7" borderId="52" xfId="7" applyFont="1" applyFill="1" applyBorder="1" applyAlignment="1">
      <alignment vertical="center" shrinkToFit="1"/>
    </xf>
    <xf numFmtId="176" fontId="9" fillId="7" borderId="53" xfId="7" applyFont="1" applyFill="1" applyBorder="1" applyAlignment="1">
      <alignment vertical="center" shrinkToFit="1"/>
    </xf>
    <xf numFmtId="176" fontId="9" fillId="7" borderId="54" xfId="7" applyFont="1" applyFill="1" applyBorder="1" applyAlignment="1">
      <alignment vertical="center" shrinkToFit="1"/>
    </xf>
    <xf numFmtId="176" fontId="9" fillId="7" borderId="55" xfId="7" applyFont="1" applyFill="1" applyBorder="1" applyAlignment="1">
      <alignment vertical="center" shrinkToFit="1"/>
    </xf>
    <xf numFmtId="0" fontId="18" fillId="7" borderId="8" xfId="0" applyFont="1" applyFill="1" applyBorder="1">
      <alignment vertical="center"/>
    </xf>
    <xf numFmtId="180" fontId="18" fillId="7" borderId="7" xfId="0" applyNumberFormat="1" applyFont="1" applyFill="1" applyBorder="1" applyAlignment="1">
      <alignment horizontal="right" vertical="center" shrinkToFit="1"/>
    </xf>
    <xf numFmtId="180" fontId="18" fillId="7" borderId="7" xfId="0" applyNumberFormat="1" applyFont="1" applyFill="1" applyBorder="1" applyAlignment="1">
      <alignment horizontal="center" vertical="center" shrinkToFit="1"/>
    </xf>
    <xf numFmtId="180" fontId="18" fillId="7" borderId="9" xfId="0" applyNumberFormat="1" applyFont="1" applyFill="1" applyBorder="1" applyAlignment="1">
      <alignment horizontal="center" vertical="center" shrinkToFit="1"/>
    </xf>
    <xf numFmtId="178" fontId="18" fillId="7" borderId="7" xfId="0" applyNumberFormat="1" applyFont="1" applyFill="1" applyBorder="1" applyAlignment="1">
      <alignment horizontal="right" vertical="center" shrinkToFit="1"/>
    </xf>
    <xf numFmtId="178" fontId="18" fillId="7" borderId="0" xfId="0" applyNumberFormat="1" applyFont="1" applyFill="1" applyAlignment="1">
      <alignment horizontal="right" vertical="center" shrinkToFit="1"/>
    </xf>
    <xf numFmtId="178" fontId="18" fillId="7" borderId="8" xfId="0" applyNumberFormat="1" applyFont="1" applyFill="1" applyBorder="1" applyAlignment="1">
      <alignment horizontal="right" vertical="center" shrinkToFit="1"/>
    </xf>
    <xf numFmtId="178" fontId="18" fillId="7" borderId="9" xfId="0" applyNumberFormat="1" applyFont="1" applyFill="1" applyBorder="1" applyAlignment="1">
      <alignment vertical="center" shrinkToFit="1"/>
    </xf>
    <xf numFmtId="177" fontId="9" fillId="7" borderId="48" xfId="7" applyNumberFormat="1" applyFont="1" applyFill="1" applyBorder="1" applyAlignment="1">
      <alignment vertical="center" shrinkToFit="1"/>
    </xf>
    <xf numFmtId="177" fontId="9" fillId="7" borderId="43" xfId="7" applyNumberFormat="1" applyFont="1" applyFill="1" applyBorder="1" applyAlignment="1">
      <alignment vertical="center" shrinkToFit="1"/>
    </xf>
    <xf numFmtId="0" fontId="0" fillId="0" borderId="0" xfId="0" applyAlignment="1">
      <alignment horizontal="center" vertical="center"/>
    </xf>
  </cellXfs>
  <cellStyles count="8">
    <cellStyle name="백분율" xfId="1" builtinId="5"/>
    <cellStyle name="백분율 10" xfId="3" xr:uid="{00000000-0005-0000-0000-000001000000}"/>
    <cellStyle name="쉼표 [0]" xfId="7" builtinId="6"/>
    <cellStyle name="쉼표 [0] 10" xfId="2" xr:uid="{00000000-0005-0000-0000-000003000000}"/>
    <cellStyle name="쉼표 [0] 2" xfId="4" xr:uid="{00000000-0005-0000-0000-000004000000}"/>
    <cellStyle name="표준" xfId="0" builtinId="0"/>
    <cellStyle name="표준 2" xfId="5" xr:uid="{00000000-0005-0000-0000-000006000000}"/>
    <cellStyle name="표준 2 2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1.xml"/><Relationship Id="rId42" Type="http://schemas.openxmlformats.org/officeDocument/2006/relationships/externalLink" Target="externalLinks/externalLink32.xml"/><Relationship Id="rId47" Type="http://schemas.openxmlformats.org/officeDocument/2006/relationships/externalLink" Target="externalLinks/externalLink37.xml"/><Relationship Id="rId63" Type="http://schemas.openxmlformats.org/officeDocument/2006/relationships/externalLink" Target="externalLinks/externalLink53.xml"/><Relationship Id="rId68" Type="http://schemas.openxmlformats.org/officeDocument/2006/relationships/externalLink" Target="externalLinks/externalLink58.xml"/><Relationship Id="rId16" Type="http://schemas.openxmlformats.org/officeDocument/2006/relationships/externalLink" Target="externalLinks/externalLink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43.xml"/><Relationship Id="rId58" Type="http://schemas.openxmlformats.org/officeDocument/2006/relationships/externalLink" Target="externalLinks/externalLink48.xml"/><Relationship Id="rId66" Type="http://schemas.openxmlformats.org/officeDocument/2006/relationships/externalLink" Target="externalLinks/externalLink5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1.xml"/><Relationship Id="rId19" Type="http://schemas.openxmlformats.org/officeDocument/2006/relationships/externalLink" Target="externalLinks/externalLink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33.xml"/><Relationship Id="rId48" Type="http://schemas.openxmlformats.org/officeDocument/2006/relationships/externalLink" Target="externalLinks/externalLink38.xml"/><Relationship Id="rId56" Type="http://schemas.openxmlformats.org/officeDocument/2006/relationships/externalLink" Target="externalLinks/externalLink46.xml"/><Relationship Id="rId64" Type="http://schemas.openxmlformats.org/officeDocument/2006/relationships/externalLink" Target="externalLinks/externalLink54.xml"/><Relationship Id="rId69" Type="http://schemas.openxmlformats.org/officeDocument/2006/relationships/externalLink" Target="externalLinks/externalLink5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1.xml"/><Relationship Id="rId72" Type="http://schemas.openxmlformats.org/officeDocument/2006/relationships/externalLink" Target="externalLinks/externalLink62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8.xml"/><Relationship Id="rId46" Type="http://schemas.openxmlformats.org/officeDocument/2006/relationships/externalLink" Target="externalLinks/externalLink36.xml"/><Relationship Id="rId59" Type="http://schemas.openxmlformats.org/officeDocument/2006/relationships/externalLink" Target="externalLinks/externalLink49.xml"/><Relationship Id="rId67" Type="http://schemas.openxmlformats.org/officeDocument/2006/relationships/externalLink" Target="externalLinks/externalLink57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54" Type="http://schemas.openxmlformats.org/officeDocument/2006/relationships/externalLink" Target="externalLinks/externalLink44.xml"/><Relationship Id="rId62" Type="http://schemas.openxmlformats.org/officeDocument/2006/relationships/externalLink" Target="externalLinks/externalLink52.xml"/><Relationship Id="rId70" Type="http://schemas.openxmlformats.org/officeDocument/2006/relationships/externalLink" Target="externalLinks/externalLink6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39.xml"/><Relationship Id="rId57" Type="http://schemas.openxmlformats.org/officeDocument/2006/relationships/externalLink" Target="externalLinks/externalLink4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1.xml"/><Relationship Id="rId44" Type="http://schemas.openxmlformats.org/officeDocument/2006/relationships/externalLink" Target="externalLinks/externalLink34.xml"/><Relationship Id="rId52" Type="http://schemas.openxmlformats.org/officeDocument/2006/relationships/externalLink" Target="externalLinks/externalLink42.xml"/><Relationship Id="rId60" Type="http://schemas.openxmlformats.org/officeDocument/2006/relationships/externalLink" Target="externalLinks/externalLink50.xml"/><Relationship Id="rId65" Type="http://schemas.openxmlformats.org/officeDocument/2006/relationships/externalLink" Target="externalLinks/externalLink55.xml"/><Relationship Id="rId73" Type="http://schemas.openxmlformats.org/officeDocument/2006/relationships/externalLink" Target="externalLinks/externalLink6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9" Type="http://schemas.openxmlformats.org/officeDocument/2006/relationships/externalLink" Target="externalLinks/externalLink29.xml"/><Relationship Id="rId34" Type="http://schemas.openxmlformats.org/officeDocument/2006/relationships/externalLink" Target="externalLinks/externalLink24.xml"/><Relationship Id="rId50" Type="http://schemas.openxmlformats.org/officeDocument/2006/relationships/externalLink" Target="externalLinks/externalLink40.xml"/><Relationship Id="rId55" Type="http://schemas.openxmlformats.org/officeDocument/2006/relationships/externalLink" Target="externalLinks/externalLink4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50800</xdr:rowOff>
    </xdr:from>
    <xdr:to>
      <xdr:col>46</xdr:col>
      <xdr:colOff>762000</xdr:colOff>
      <xdr:row>40</xdr:row>
      <xdr:rowOff>203200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01D9FE5-9715-A273-90A7-46DB95083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41600"/>
          <a:ext cx="38735000" cy="6197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ind.kne.co.kr/DOC/&#49892;&#54665;/&#50521;&#49457;&#49328;&#52377;/KCAP7MAJ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KDS/PROJECT/&#52628;%20&#54413;%20&#47161;/&#52628;&#54413;&#52572;&#51333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/&#51201;&#4420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CELDOC/&#50872;&#51652;&#44277;&#53685;/&#52404;&#50977;/XLS/ALL-XLS/ULSAN/PRIC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WINDOWS/&#48148;&#53461;%20&#54868;&#47732;/&#44221;&#50689;&#51216;&#4968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&#44221;&#50689;&#44288;&#47532;(&#49900;&#49324;)/1.%20&#44160;&#51613;&#54028;&#51068;/2018&#45380;/(18.08)2018&#45380;&#49324;&#50629;&#44228;&#54925;&#44160;&#51613;(0828_15&#49884;)_3&#52264;&#49688;&#51221;&#49324;&#50629;&#44228;&#54925;/(18.08)2018&#45380;&#49324;&#50629;&#44228;&#54925;&#44160;&#51613;(0828_15&#49884;)_3&#52264;&#49688;&#51221;&#49324;&#50629;&#44228;&#54925;/(&#9426;&#50724;&#49496;)2018&#45380;%20&#49324;&#50629;&#44228;&#54925;%20&#44160;&#51613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TEAM-5/My%20Documents/dacom/&#50896;&#51452;~&#51228;&#52380;/&#50896;&#51452;&#52572;&#51333;/&#44277;&#53685;&#51088;&#4730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SE6380/TOP1/MISS_&#49688;/ORIGINAL/&#49688;_01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48149;&#51221;&#51020;/&#48149;&#51221;&#51020;/&#49444;&#48320;(&#47560;&#44048;)/&#49688;&#47049;&#49328;&#52636;/&#45824;&#50864;&#51089;&#50629;/&#48148;&#45797;&#47732;&#51201;&#49328;&#52636;.xls" TargetMode="External"/><Relationship Id="rId1" Type="http://schemas.openxmlformats.org/officeDocument/2006/relationships/externalLinkPath" Target="/&#48149;&#51221;&#51020;/&#48149;&#51221;&#51020;/&#49444;&#48320;(&#47560;&#44048;)/&#49688;&#47049;&#49328;&#52636;/&#45824;&#50864;&#51089;&#50629;/&#48148;&#45797;&#47732;&#51201;&#49328;&#52636;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TDUJ10/&#47928;&#49436;&#44277;&#50976;/BAE/JOJIC/&#50629;&#47924;.XLS" TargetMode="External"/><Relationship Id="rId1" Type="http://schemas.openxmlformats.org/officeDocument/2006/relationships/externalLinkPath" Target="/TDUJ10/&#47928;&#49436;&#44277;&#50976;/BAE/JOJIC/&#50629;&#47924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WN/My%20Documents/09.&#54217;&#44032;&#49892;&#49884;&#50629;&#47924;&#50672;&#46973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9701A/OUT/YES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Id5/d/&#49464;&#54036;&#45936;&#51060;&#53552;/99-Month-6/&#51204;&#54413;&#54840;&#53588;-6&#50900;10&#51068;-&#49688;&#51221;&#51228;&#52636;&#44204;&#51201;-&#49892;&#54665;2.xls" TargetMode="External"/><Relationship Id="rId1" Type="http://schemas.openxmlformats.org/officeDocument/2006/relationships/externalLinkPath" Target="/Id5/d/&#49464;&#54036;&#45936;&#51060;&#53552;/99-Month-6/&#51204;&#54413;&#54840;&#53588;-6&#50900;10&#51068;-&#49688;&#51221;&#51228;&#52636;&#44204;&#51201;-&#49892;&#54665;2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44608;&#52380;&#49688;/MY%20DOCUMENTS/1&#44204;&#51201;&#44288;&#47532;/2&#44288;&#44277;&#49324;/&#49569;&#54028;/&#45824;&#51204;&#50864;&#54200;.XLS" TargetMode="External"/><Relationship Id="rId1" Type="http://schemas.openxmlformats.org/officeDocument/2006/relationships/externalLinkPath" Target="/&#44608;&#52380;&#49688;/MY%20DOCUMENTS/1&#44204;&#51201;&#44288;&#47532;/2&#44288;&#44277;&#49324;/&#49569;&#54028;/&#45824;&#51204;&#50864;&#54200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WINDOWS/Temporary%20Internet%20Files/Content.IE5/V24143RL/&#51221;&#54868;&#51312;&#48169;&#51652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&#44608;&#54952;&#51221;/My%20Documents/&#45348;&#51060;&#53944;&#50728;%20&#48155;&#51008;%20&#54028;&#51068;/&#49688;&#54140;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2397;&#49900;&#51312;&#44221;/D/HNCDOC/&#50504;&#46041;-&#50689;&#51452;.xls" TargetMode="External"/><Relationship Id="rId1" Type="http://schemas.openxmlformats.org/officeDocument/2006/relationships/externalLinkPath" Target="/&#52397;&#49900;&#51312;&#44221;/D/HNCDOC/&#50504;&#46041;-&#50689;&#51452;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60;&#52285;&#51652;/&#51077;&#52272;&#50857;/My%20Documents/Khdata99/&#51648;&#51088;&#52404;/&#44053;&#50896;&#46020;/&#49345;&#51109;&#49548;&#46020;&#44036;(&#53468;&#48177;&#49884;)/&#49345;&#51109;&#49548;&#46020;/EST/civil/345kv&#44256;&#47161;/H&#54620;&#51204;&#51201;&#44201;.xls" TargetMode="External"/><Relationship Id="rId1" Type="http://schemas.openxmlformats.org/officeDocument/2006/relationships/externalLinkPath" Target="/&#51060;&#52285;&#51652;/&#51077;&#52272;&#50857;/My%20Documents/Khdata99/&#51648;&#51088;&#52404;/&#44053;&#50896;&#46020;/&#49345;&#51109;&#49548;&#46020;&#44036;(&#53468;&#48177;&#49884;)/&#49345;&#51109;&#49548;&#46020;/EST/civil/345kv&#44256;&#47161;/H&#54620;&#51204;&#51201;&#44201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WINDOWS/9605G/DS-LOAD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44608;&#47928;&#54788;/&#47196;&#52972;%20&#46356;&#49828;&#53356;%20(c)/Documents%20and%20Settings/&#48120;&#55148;/&#48148;&#53461;%20&#54868;&#47732;/CHUNGRYANG/588SILHANG/A&#48512;&#49549;&#46041;.XLS" TargetMode="External"/><Relationship Id="rId1" Type="http://schemas.openxmlformats.org/officeDocument/2006/relationships/externalLinkPath" Target="/&#44608;&#47928;&#54788;/&#47196;&#52972;%20&#46356;&#49828;&#53356;%20(c)/Documents%20and%20Settings/&#48120;&#55148;/&#48148;&#53461;%20&#54868;&#47732;/CHUNGRYANG/588SILHANG/A&#48512;&#49549;&#46041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204;&#51201;&#49436;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LOTUS/9605P/BB_C-BD/OUT/YE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/EXCEL/&#51473;&#44228;&#49548;&#4816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WINDOWS/Temporary%20Internet%20Files/Content.IE5/V24143RL/&#44148;&#52629;&#54016;/&#44277;&#49324;&#51109;/&#51077;&#52272;/991122%20&#45224;&#49436;&#50872;&#50669;&#49324;/&#44204;&#51201;&#49436;/&#44305;&#50864;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60;&#55148;&#49464;/PROJECT%20&#52572;&#51333;/project%20&#52572;&#51333;/&#51221;&#49688;&#51109;/&#49688;&#46041;&#51648;&#48169;&#49345;&#49688;&#46020;/&#51204;&#44592;/&#50696;&#49328;&#49436;/project%20&#52572;&#51333;/&#44592;&#53440;/&#48128;&#50577;&#49688;&#49688;/&#44592;&#53440;/ILWIPOH.XLS" TargetMode="External"/><Relationship Id="rId1" Type="http://schemas.openxmlformats.org/officeDocument/2006/relationships/externalLinkPath" Target="/&#51060;&#55148;&#49464;/PROJECT%20&#52572;&#51333;/project%20&#52572;&#51333;/&#51221;&#49688;&#51109;/&#49688;&#46041;&#51648;&#48169;&#49345;&#49688;&#46020;/&#51204;&#44592;/&#50696;&#49328;&#49436;/project%20&#52572;&#51333;/&#44592;&#53440;/&#48128;&#50577;&#49688;&#49688;/&#44592;&#53440;/ILWIPOH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&#45824;&#47749;/&#48148;&#53461;%20&#54868;&#47732;/&#54616;&#46020;&#48320;&#44221;(&#50976;&#49828;)/&#49888;&#44508;&#50500;&#51060;&#53596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&#49900;&#54788;&#53468;/My%20Documents/&#45348;&#51060;&#53944;&#50728;%20&#48155;&#51008;%20&#54028;&#51068;/&#53468;&#44536;&#44163;/&#49552;&#51061;&#48516;&#49437;/'99&#44221;&#48708;&#49436;&#49885;.xlw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60;&#51452;&#51076;/&#47196;&#52972;%20&#46356;&#49828;&#53356;%20(c)/1-KEC/KEC%20&#48372;&#49688;&#44277;&#49324;-&#54616;&#44592;%20&#55092;&#44032;&#44277;&#49324;/&#54876;&#49457;&#53444;&#44368;&#52404;&#44277;&#49324;20040818.xls" TargetMode="External"/><Relationship Id="rId1" Type="http://schemas.openxmlformats.org/officeDocument/2006/relationships/externalLinkPath" Target="/&#51060;&#51452;&#51076;/&#47196;&#52972;%20&#46356;&#49828;&#53356;%20(c)/1-KEC/KEC%20&#48372;&#49688;&#44277;&#49324;-&#54616;&#44592;%20&#55092;&#44032;&#44277;&#49324;/&#54876;&#49457;&#53444;&#44368;&#52404;&#44277;&#49324;20040818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&#51060;&#51228;&#47749;/My%20Documents/CoolMessenger%20Files/Received%20Files/&#49444;&#50501;%20&#45944;&#54588;&#45432;%20&#49324;&#50629;&#44228;&#54925;%20&#48320;&#44221;/1_12&#45380;%20&#49444;&#50501;&#52509;&#44292;&#44228;&#54925;(6&#50900;&#49688;&#51221;)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4&#52264;&#49444;&#48320;&#44592;&#49457;&#45236;&#50669;&#49436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user/Local%20Settings/Temporary%20Internet%20Files/Content.IE5/PFJJD1GE/&#50900;&#47568;&#48372;&#44256;/2004&#45380;%20&#50900;&#47568;&#48372;&#44256;/2004.09&#50900;/&#49688;&#54140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My%20Documents/&#51060;&#49849;&#51312;/&#54032;&#44288;&#48708;/98&#49324;&#50629;/&#52509;&#47924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My%20Documents/&#44148;&#52629;/&#48177;&#54868;&#51216;&#54252;&#54637;&#51216;/&#49888;-&#52572;&#51333;&#48169;&#54868;&#48169;&#48276;&#49492;&#53552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ocuments%20and%20Settings/&#51312;&#48124;&#44508;/Local%20Settings/Temporary%20Internet%20Files/Content.IE5/ILFSHKRA/DATA_BAK/HUDA/&#51204;&#46972;/&#51204;&#46972;&#48512;&#45824;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48124;&#48337;&#44396;/&#44277;&#50976;/MIN/QE/&#44400;&#49328;/REPORT.XLS" TargetMode="External"/><Relationship Id="rId1" Type="http://schemas.openxmlformats.org/officeDocument/2006/relationships/externalLinkPath" Target="/&#48124;&#48337;&#44396;/&#44277;&#50976;/MIN/QE/&#44400;&#49328;/REPORT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49552;&#54812;&#49689;/&#50896;-&#50864;%20&#45236;&#50669;&#49436;/&#48373;&#49324;&#50857;/&#50896;&#51221;%20-%20&#50864;&#51221;/&#44277;&#47924;/'99%20&#44228;&#54925;/NAKDONG/SILHAENG/SHINME.XLS" TargetMode="External"/><Relationship Id="rId1" Type="http://schemas.openxmlformats.org/officeDocument/2006/relationships/externalLinkPath" Target="/&#49552;&#54812;&#49689;/&#50896;-&#50864;%20&#45236;&#50669;&#49436;/&#48373;&#49324;&#50857;/&#50896;&#51221;%20-%20&#50864;&#51221;/&#44277;&#47924;/'99%20&#44228;&#54925;/NAKDONG/SILHAENG/SHINM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My%20Documents/&#44204;&#51201;-01/&#53468;&#50689;-01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60;&#54788;&#49437;/&#54861;&#52380;&#44400;/&#51648;&#49440;2001/&#50689;&#50629;&#51088;&#47308;/&#50629;&#52404;&#48324;/&#54861;&#52380;&#44400;/&#54861;&#52380;&#45236;&#50669;&#49436;/&#45236;&#50669;&#49436;/BIOENERGY/ULSAN/Basic/word&amp;xls/account/&#44592;&#44228;&#49444;&#44228;%20others.xls" TargetMode="External"/><Relationship Id="rId1" Type="http://schemas.openxmlformats.org/officeDocument/2006/relationships/externalLinkPath" Target="/&#51060;&#54788;&#49437;/&#54861;&#52380;&#44400;/&#51648;&#49440;2001/&#50689;&#50629;&#51088;&#47308;/&#50629;&#52404;&#48324;/&#54861;&#52380;&#44400;/&#54861;&#52380;&#45236;&#50669;&#49436;/&#45236;&#50669;&#49436;/BIOENERGY/ULSAN/Basic/word&amp;xls/account/&#44592;&#44228;&#49444;&#44228;%20others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SJD/PROJECT(&#44397;&#45236;/My%20Documents/&#45236;&#50669;.XLS" TargetMode="External"/><Relationship Id="rId1" Type="http://schemas.openxmlformats.org/officeDocument/2006/relationships/externalLinkPath" Target="/SJD/PROJECT(&#44397;&#45236;/My%20Documents/&#45236;&#50669;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60;&#52285;&#51652;/&#51077;&#52272;&#50857;/My%20Documents/&#53456;&#51652;&#45840;/&#53664;&#52384;&#51032;&#47280;.xls" TargetMode="External"/><Relationship Id="rId1" Type="http://schemas.openxmlformats.org/officeDocument/2006/relationships/externalLinkPath" Target="/&#51060;&#52285;&#51652;/&#51077;&#52272;&#50857;/My%20Documents/&#53456;&#51652;&#45840;/&#53664;&#52384;&#51032;&#47280;.xls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49552;&#54812;&#49689;/&#50896;-&#50864;%20&#45236;&#50669;&#49436;/&#50896;&#51221;%20-%20&#50864;&#51221;/&#44277;&#47924;/'99%20&#44228;&#54925;/NAKDONG/NAKD-J/SHINME.XLS" TargetMode="External"/><Relationship Id="rId1" Type="http://schemas.openxmlformats.org/officeDocument/2006/relationships/externalLinkPath" Target="/&#49552;&#54812;&#49689;/&#50896;-&#50864;%20&#45236;&#50669;&#49436;/&#50896;&#51221;%20-%20&#50864;&#51221;/&#44277;&#47924;/'99%20&#44228;&#54925;/NAKDONG/NAKD-J/SHINME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31/DATA/DONGA4.XLS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44608;&#47928;&#54788;/&#47196;&#52972;%20&#46356;&#49828;&#53356;%20(c)/Documents%20and%20Settings/&#48120;&#55148;/&#48148;&#53461;%20&#54868;&#47732;/CH/&#49892;&#54665;/&#45257;&#52380;/&#49888;&#44508;&#54200;&#49457;/&#44148;&#52629;&#44277;&#49324;.XLS" TargetMode="External"/><Relationship Id="rId1" Type="http://schemas.openxmlformats.org/officeDocument/2006/relationships/externalLinkPath" Target="/&#44608;&#47928;&#54788;/&#47196;&#52972;%20&#46356;&#49828;&#53356;%20(c)/Documents%20and%20Settings/&#48120;&#55148;/&#48148;&#53461;%20&#54868;&#47732;/CH/&#49892;&#54665;/&#45257;&#52380;/&#49888;&#44508;&#54200;&#49457;/&#44148;&#52629;&#44277;&#49324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WINDOWS/TEMP/&#51068;&#50948;&#45824;&#44032;&#54364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My%20Documents/&#44148;&#52629;/&#47560;&#44536;&#45367;&#51032;&#51221;&#48512;&#51216;/&#49888;-&#52572;&#51333;&#54869;&#51221;&#48169;&#54868;&#48169;&#48276;&#49492;&#53552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44284;&#50629;&#51473;/&#48372;&#51008;&#44284;&#50629;&#51473;/&#48372;&#51008;&#44400;&#49892;&#49884;&#49444;&#44228;&#48372;&#44256;&#49436;/&#45236;&#50669;/&#53664;&#47785;/&#46041;&#48512;&#44592;&#53440;&#48512;&#45824;&#44277;.xls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221;&#44540;/2002/KBS/EXCEL-DA/YANG/&#48516;&#45817;&#51204;&#44592;.XLS" TargetMode="External"/><Relationship Id="rId1" Type="http://schemas.openxmlformats.org/officeDocument/2006/relationships/externalLinkPath" Target="/&#51221;&#44540;/2002/KBS/EXCEL-DA/YANG/&#48516;&#45817;&#51204;&#44592;.XLS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60;&#51228;&#54785;(&#51652;&#51676;)/D/lee-work/work/&#50857;&#51064;-&#46041;&#48177;/&#47928;&#49436;%20&#51116;&#51089;&#50629;(030326)/&#45236;&#50669;&#49436;/&#45800;&#44032;,&#44032;&#49444;&#48708;&#54408;-1.xls" TargetMode="External"/><Relationship Id="rId1" Type="http://schemas.openxmlformats.org/officeDocument/2006/relationships/externalLinkPath" Target="/&#51060;&#51228;&#54785;(&#51652;&#51676;)/D/lee-work/work/&#50857;&#51064;-&#46041;&#48177;/&#47928;&#49436;%20&#51116;&#51089;&#50629;(030326)/&#45236;&#50669;&#49436;/&#45800;&#44032;,&#44032;&#49444;&#48708;&#54408;-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&#44221;&#51452;/&#48148;&#53461;%20&#54868;&#47732;/&#49884;&#49444;&#54016;&#50868;&#50689;&#44288;&#47144;/&#49884;&#49444;&#54016;/&#44288;&#47532;/&#49324;&#50629;&#44228;&#54925;&#49436;/2007&#45380;/&#50629;&#47924;&#51064;&#49688;&#51064;&#44228;/06&#45380;%20&#49324;&#50629;&#44228;&#54925;/&#50900;&#47568;&#48372;&#44256;/2004&#45380;%20&#50900;&#47568;&#48372;&#44256;/2004.09&#50900;/&#49688;&#54140;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2397;&#49900;&#51312;&#44221;/D/HNCDOC/J-DORO/0619/&#45824;&#44396;&#50504;&#46041;.xls" TargetMode="External"/><Relationship Id="rId1" Type="http://schemas.openxmlformats.org/officeDocument/2006/relationships/externalLinkPath" Target="/&#52397;&#49900;&#51312;&#44221;/D/HNCDOC/J-DORO/0619/&#45824;&#44396;&#50504;&#46041;.xls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60;&#52285;&#51652;/&#51077;&#52272;&#50857;/My%20Documents/Khdata99/&#44288;&#47532;&#52397;/&#49436;&#50872;/&#44053;&#48320;&#48513;&#47196;/My%20Documents/KHDATA/&#44288;&#47532;&#52397;/&#51652;&#51452;&#50864;&#54924;/&#53664;&#52384;&#51032;&#47280;.xls" TargetMode="External"/><Relationship Id="rId1" Type="http://schemas.openxmlformats.org/officeDocument/2006/relationships/externalLinkPath" Target="/&#51060;&#52285;&#51652;/&#51077;&#52272;&#50857;/My%20Documents/Khdata99/&#44288;&#47532;&#52397;/&#49436;&#50872;/&#44053;&#48320;&#48513;&#47196;/My%20Documents/KHDATA/&#44288;&#47532;&#52397;/&#51652;&#51452;&#50864;&#54924;/&#53664;&#52384;&#51032;&#47280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2005&#49324;&#50629;&#44228;&#54925;/&#50900;&#47568;&#48372;&#44256;/2004&#45380;%20&#50900;&#47568;&#48372;&#44256;/2004.09&#50900;/&#49688;&#54140;.xls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60;&#52285;&#51652;/&#51077;&#52272;&#50857;/My%20Documents/KHDATA/&#44288;&#47532;&#52397;/&#50896;&#45224;-&#50872;&#51652;/&#50896;&#45224;&#50872;&#51652;&#45209;&#52272;&#45236;&#50669;(99.4.13%20&#48512;&#49328;&#52397;).xls" TargetMode="External"/><Relationship Id="rId1" Type="http://schemas.openxmlformats.org/officeDocument/2006/relationships/externalLinkPath" Target="/&#51060;&#52285;&#51652;/&#51077;&#52272;&#50857;/My%20Documents/KHDATA/&#44288;&#47532;&#52397;/&#50896;&#45224;-&#50872;&#51652;/&#50896;&#45224;&#50872;&#51652;&#45209;&#52272;&#45236;&#50669;(99.4.13%20&#48512;&#49328;&#52397;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51068;&#50948;&#45824;&#44032;/&#51068;&#50948;&#45824;&#44032;(&#50896;&#51452;&#47924;&#49892;).xls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60;&#52285;&#51652;/&#51077;&#52272;&#50857;/My%20Documents/Khdata99/&#44288;&#47532;&#52397;/&#49436;&#50872;/&#44053;&#48320;&#48513;&#47196;/My%20Documents/KHDATA/&#44288;&#47532;&#52397;/&#50896;&#45224;-&#50872;&#51652;/&#50896;&#45224;&#50872;&#51652;&#45209;&#52272;&#45236;&#50669;(99.4.13%20&#48512;&#49328;&#52397;).xls" TargetMode="External"/><Relationship Id="rId1" Type="http://schemas.openxmlformats.org/officeDocument/2006/relationships/externalLinkPath" Target="/&#51060;&#52285;&#51652;/&#51077;&#52272;&#50857;/My%20Documents/Khdata99/&#44288;&#47532;&#52397;/&#49436;&#50872;/&#44053;&#48320;&#48513;&#47196;/My%20Documents/KHDATA/&#44288;&#47532;&#52397;/&#50896;&#45224;-&#50872;&#51652;/&#50896;&#45224;&#50872;&#51652;&#45209;&#52272;&#45236;&#50669;(99.4.13%20&#48512;&#49328;&#52397;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/SHEET/EXCEL/KHS/&#48512;&#45824;&#53664;&#47785;/&#48512;&#49328;&#51652;&#5057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IKSAN/&#51061;&#49328;&#49444;&#44228;.XLS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Willasdf/&#44256;&#47161;&#54224;&#49688;/TEMP/&#50872;&#51652;&#45236;&#50669;-&#44592;&#44228;.XLS" TargetMode="External"/><Relationship Id="rId1" Type="http://schemas.openxmlformats.org/officeDocument/2006/relationships/externalLinkPath" Target="/Willasdf/&#44256;&#47161;&#54224;&#49688;/TEMP/&#50872;&#51652;&#45236;&#50669;-&#44592;&#44228;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92.168.1.200/project%20b_f/WB/2000/&#54217;&#44032;&#49849;&#51652;/&#51204;&#52636;&#51077;&#51088;.xls" TargetMode="External"/><Relationship Id="rId1" Type="http://schemas.openxmlformats.org/officeDocument/2006/relationships/externalLinkPath" Target="/192.168.1.200/project%20b_f/WB/2000/&#54217;&#44032;&#49849;&#51652;/&#51204;&#52636;&#51077;&#510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&#54788;&#48169;_FILE/&#44204;&#51201;/&#55064;&#44221;&#46041;/&#55064;&#44221;&#46041;(&#49888;&#51068;)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160;&#45800;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/&#49900;&#49324;/2.%20&#44060;&#51064;&#47928;&#49436;&#54632;/4.%20&#50980;&#51333;&#54788;/PJT/&#54036;&#46972;&#54000;&#50880;%20&#54644;&#50868;&#45824;%20TFT/&#55184;&#49828;&#53580;&#51060;&#53944;%20&#54644;&#50868;&#45824;%20&#49468;&#53944;&#47092;_&#49324;&#50629;&#49457;%20&#44160;&#53664;_&#44277;&#44201;&#51201;%20&#51204;&#47581;(&#51064;&#50896;&#48372;&#51221;)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/&#49900;&#49324;/1.%20&#48512;&#49436;&#47928;&#49436;&#54632;/01.%20&#44221;&#50689;&#49892;&#51201;&#48372;&#44256;/2025&#45380;/8.%208&#50900;%20&#44221;&#50689;&#49892;&#51201;&#48372;&#44256;/1.%20&#44221;&#50689;&#49892;&#51201;&#48372;&#44256;/(25.08)%20&#49548;&#45432;&#51064;&#53552;&#45236;&#49492;&#45328;%20&#54840;&#53588;&#50532;&#47532;&#51312;&#53944;%20&#44221;&#50689;&#49892;&#51201;%20&#51665;&#44228;(0905.19)_&#44032;&#47560;&#4404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무"/>
      <sheetName val="장비"/>
      <sheetName val="자재"/>
      <sheetName val="산집"/>
      <sheetName val="산근1"/>
      <sheetName val="산근2"/>
      <sheetName val="조도계산서 (도서)"/>
      <sheetName val="MOTOR"/>
      <sheetName val="전기일위대가"/>
      <sheetName val="요율"/>
      <sheetName val="자재대"/>
      <sheetName val="인건비 "/>
      <sheetName val="내역서"/>
      <sheetName val="일위대가(계측기설치)"/>
      <sheetName val="제경비율"/>
    </sheetNames>
    <sheetDataSet>
      <sheetData sheetId="0" refreshError="1"/>
      <sheetData sheetId="1" refreshError="1">
        <row r="16">
          <cell r="M16">
            <v>20000</v>
          </cell>
        </row>
        <row r="17">
          <cell r="M17">
            <v>9570</v>
          </cell>
        </row>
        <row r="21">
          <cell r="M21">
            <v>4134</v>
          </cell>
        </row>
        <row r="33">
          <cell r="M33">
            <v>6593</v>
          </cell>
        </row>
        <row r="37">
          <cell r="M37">
            <v>8052</v>
          </cell>
        </row>
        <row r="41">
          <cell r="M41">
            <v>3855</v>
          </cell>
        </row>
        <row r="45">
          <cell r="M45">
            <v>3175</v>
          </cell>
        </row>
        <row r="49">
          <cell r="M49">
            <v>3477</v>
          </cell>
        </row>
        <row r="53">
          <cell r="M53">
            <v>5343</v>
          </cell>
        </row>
        <row r="57">
          <cell r="M57">
            <v>4422</v>
          </cell>
        </row>
        <row r="85">
          <cell r="M85">
            <v>4216</v>
          </cell>
        </row>
        <row r="125">
          <cell r="M125">
            <v>2305</v>
          </cell>
        </row>
        <row r="133">
          <cell r="M133">
            <v>5254</v>
          </cell>
        </row>
        <row r="161">
          <cell r="M161">
            <v>4273</v>
          </cell>
        </row>
        <row r="165">
          <cell r="M165">
            <v>7541</v>
          </cell>
        </row>
        <row r="177">
          <cell r="M177">
            <v>4989</v>
          </cell>
        </row>
        <row r="221">
          <cell r="M221">
            <v>1113</v>
          </cell>
        </row>
        <row r="237">
          <cell r="M237">
            <v>0</v>
          </cell>
        </row>
        <row r="241">
          <cell r="M241">
            <v>1723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적격점수"/>
      <sheetName val="심사평가"/>
      <sheetName val="자재인력"/>
      <sheetName val="설계실행"/>
      <sheetName val="관리비"/>
      <sheetName val="표지1"/>
      <sheetName val="총괄1"/>
      <sheetName val="하도사항1"/>
      <sheetName val="별지1"/>
      <sheetName val="토공11"/>
      <sheetName val="토공12"/>
      <sheetName val="토공13"/>
      <sheetName val="토공14"/>
      <sheetName val="토공15"/>
      <sheetName val="철콘11"/>
      <sheetName val="철콘12"/>
      <sheetName val="철콘13"/>
      <sheetName val="철콘14"/>
      <sheetName val="철콘15"/>
      <sheetName val="철강1"/>
      <sheetName val="표지2"/>
      <sheetName val="총괄2"/>
      <sheetName val="하도사항2"/>
      <sheetName val="별지2"/>
      <sheetName val="토공21"/>
      <sheetName val="토공22"/>
      <sheetName val="토공23"/>
      <sheetName val="토공24"/>
      <sheetName val="토공25"/>
      <sheetName val="철콘21"/>
      <sheetName val="철콘22"/>
      <sheetName val="철콘23"/>
      <sheetName val="철콘24"/>
      <sheetName val="철콘25"/>
      <sheetName val="철강2"/>
      <sheetName val="조경"/>
      <sheetName val="포장"/>
      <sheetName val="P-F"/>
      <sheetName val="선정.1"/>
      <sheetName val="선정.2"/>
      <sheetName val="선정.3"/>
      <sheetName val="선정.4"/>
      <sheetName val="선정.5"/>
      <sheetName val="견적결과"/>
      <sheetName val="집행(1)"/>
      <sheetName val="집행(2)"/>
      <sheetName val="합의서"/>
      <sheetName val="견적조건"/>
      <sheetName val="전기집계"/>
      <sheetName val="전기투찰"/>
      <sheetName val="토목총괄"/>
      <sheetName val="전기총괄"/>
      <sheetName val="입출재고현황 (2)"/>
      <sheetName val="내역서"/>
      <sheetName val="품셈TABLE"/>
      <sheetName val="횡배수관토공수량"/>
      <sheetName val="추풍최종"/>
      <sheetName val="INPUT"/>
      <sheetName val="양수장(기계)"/>
      <sheetName val="취수탑"/>
      <sheetName val="단가"/>
      <sheetName val="ABUT수량-A1"/>
      <sheetName val="설 계"/>
      <sheetName val="차액보증"/>
      <sheetName val="내역(설계)"/>
      <sheetName val="일위대가(가설)"/>
      <sheetName val="A-4"/>
      <sheetName val="통합"/>
      <sheetName val="45,46"/>
      <sheetName val="전기"/>
      <sheetName val="노임"/>
      <sheetName val="도급"/>
      <sheetName val="갑지"/>
      <sheetName val="2000년하반기"/>
      <sheetName val="기본DATA"/>
      <sheetName val="지급자재"/>
      <sheetName val="3F"/>
      <sheetName val="점수계산1-2"/>
      <sheetName val="표지"/>
      <sheetName val="단가표"/>
      <sheetName val="Sheet5"/>
      <sheetName val="기계내역"/>
      <sheetName val="전신환매도율"/>
      <sheetName val="BID"/>
      <sheetName val="일위대가(계측기설치)"/>
      <sheetName val="건축내역"/>
      <sheetName val="반중력식옹벽"/>
      <sheetName val="기초자료(x)"/>
      <sheetName val="2000년1차"/>
      <sheetName val="2000전체분"/>
      <sheetName val="전계가"/>
      <sheetName val="청천내"/>
      <sheetName val="토공실행"/>
      <sheetName val="공문"/>
      <sheetName val="낙찰표"/>
      <sheetName val="슬래브"/>
      <sheetName val="1호맨홀토공"/>
      <sheetName val="DC-O-4-S(설명서)"/>
      <sheetName val="국공유지및사유지"/>
      <sheetName val="98수문일위"/>
      <sheetName val="설계"/>
      <sheetName val="G.R300경비"/>
      <sheetName val="7.가스"/>
      <sheetName val="시멘트"/>
      <sheetName val="공사비집계"/>
      <sheetName val="MEXICO-C"/>
      <sheetName val="준검 내역서"/>
      <sheetName val="시화점실행"/>
      <sheetName val="SG"/>
      <sheetName val="개요"/>
      <sheetName val="EACT10"/>
      <sheetName val="교통대책내역"/>
      <sheetName val="원본"/>
      <sheetName val="BSD (2)"/>
      <sheetName val="내역"/>
      <sheetName val="ASP포장"/>
      <sheetName val="조명율표"/>
      <sheetName val="예산변경사항"/>
      <sheetName val="단가(반정1교-원주)"/>
      <sheetName val="원가"/>
      <sheetName val="내역표지"/>
      <sheetName val="공사내역"/>
      <sheetName val="단면 (2)"/>
      <sheetName val="1.취수장"/>
      <sheetName val="궤간정정"/>
      <sheetName val="면(37)"/>
      <sheetName val="면맞춤"/>
      <sheetName val="줄(37)"/>
      <sheetName val="줄맞춤"/>
      <sheetName val="유간(37)"/>
      <sheetName val="유간정정"/>
      <sheetName val="처짐(37)"/>
      <sheetName val="이음처짐"/>
      <sheetName val="위치(37)"/>
      <sheetName val="위치정정"/>
      <sheetName val="다지기(37)"/>
      <sheetName val="총다지기"/>
      <sheetName val="자갈치기(37)"/>
      <sheetName val="자갈치기"/>
      <sheetName val="분기보수"/>
      <sheetName val="기타"/>
      <sheetName val="APT"/>
      <sheetName val="부속동"/>
      <sheetName val="본관"/>
      <sheetName val="4)유동표"/>
      <sheetName val="부대내역"/>
      <sheetName val="일위대가"/>
      <sheetName val="구조물공"/>
      <sheetName val="배수공"/>
      <sheetName val="부대공"/>
      <sheetName val="토공"/>
      <sheetName val="포장공"/>
      <sheetName val="단면"/>
      <sheetName val="총공사내역서"/>
      <sheetName val="관급"/>
      <sheetName val="D-3109"/>
      <sheetName val="인건비"/>
      <sheetName val="현경"/>
      <sheetName val="물량집계"/>
      <sheetName val="현장"/>
      <sheetName val="관개"/>
      <sheetName val="danga"/>
      <sheetName val="ilch"/>
      <sheetName val="예산변경원인분석"/>
      <sheetName val="양수장내역"/>
      <sheetName val="별표집계"/>
      <sheetName val="EQUIPMENT -2"/>
      <sheetName val="말뚝기초"/>
      <sheetName val="일위대가표"/>
      <sheetName val="노무비"/>
      <sheetName val="Sheet2"/>
      <sheetName val="수량이동"/>
      <sheetName val="옹벽철근"/>
      <sheetName val="청산공사"/>
      <sheetName val="소요자금청구서 10월"/>
      <sheetName val="공사대금 12월"/>
      <sheetName val="장비 12월"/>
      <sheetName val="노무(출)12월"/>
      <sheetName val="Sheet1"/>
      <sheetName val="크레인"/>
      <sheetName val="지계차"/>
      <sheetName val="국제12"/>
      <sheetName val="원광12월"/>
      <sheetName val="서화12월."/>
      <sheetName val="기장건기"/>
      <sheetName val="도자"/>
      <sheetName val="팔팔건기"/>
      <sheetName val="팔팔건기 (2)"/>
      <sheetName val="운송"/>
      <sheetName val="최규헌"/>
      <sheetName val="인력"/>
      <sheetName val="목재"/>
      <sheetName val="앙카체"/>
      <sheetName val="철제"/>
      <sheetName val="일용직"/>
      <sheetName val="위"/>
      <sheetName val="아래"/>
      <sheetName val="전체"/>
      <sheetName val="차선도색현황"/>
      <sheetName val="남양내역"/>
      <sheetName val="3.공통공사대비"/>
      <sheetName val="장비"/>
      <sheetName val="산근1"/>
      <sheetName val="노무"/>
      <sheetName val="자재"/>
      <sheetName val="단가산출"/>
      <sheetName val="설계예산서"/>
      <sheetName val="설계개요"/>
      <sheetName val="전신"/>
      <sheetName val="직공비"/>
      <sheetName val="Macro1"/>
      <sheetName val="부안일위"/>
      <sheetName val="토목주소"/>
      <sheetName val="프랜트면허"/>
      <sheetName val="공사비예산서(토목분)"/>
      <sheetName val="하수실행"/>
      <sheetName val="Sheet1 (2)"/>
      <sheetName val="ITEM"/>
      <sheetName val="금액"/>
      <sheetName val="주방환기"/>
      <sheetName val="물량표"/>
      <sheetName val="준공시전망_원본"/>
      <sheetName val="소방사항"/>
      <sheetName val="EJ"/>
      <sheetName val="단가일람표"/>
      <sheetName val="C1ㅇ"/>
      <sheetName val="#REF"/>
      <sheetName val="원가계산서"/>
      <sheetName val="AIR SHOWER(3인용)"/>
      <sheetName val="이방변동"/>
      <sheetName val="DATA"/>
      <sheetName val="송라터널총괄"/>
      <sheetName val="매원개착터널총괄"/>
      <sheetName val="제수"/>
      <sheetName val="공기"/>
      <sheetName val="MAT"/>
      <sheetName val="을지"/>
      <sheetName val="좌측"/>
      <sheetName val="배수통관토공수량"/>
      <sheetName val="DATA 입력란"/>
      <sheetName val="1. 설계조건 2.단면가정 3. 하중계산"/>
      <sheetName val="기기리스트"/>
      <sheetName val="총괄표"/>
      <sheetName val="양수장기계"/>
      <sheetName val="Sheet17"/>
      <sheetName val="JUCKEYK"/>
      <sheetName val="변경후-SHEET"/>
      <sheetName val="IMPEADENCE MAP 취수장"/>
      <sheetName val="수량산출"/>
      <sheetName val="품셈총괄표"/>
      <sheetName val="처리현황"/>
      <sheetName val="학생내역"/>
      <sheetName val="Apt내역"/>
      <sheetName val="인사자료총집계"/>
      <sheetName val="전화번호DATA (2001)"/>
      <sheetName val="SCH"/>
      <sheetName val="직노"/>
      <sheetName val="경상비"/>
      <sheetName val="중기손료"/>
      <sheetName val="실행내역서 "/>
      <sheetName val="집계표"/>
      <sheetName val="토사(PE)"/>
      <sheetName val="별표"/>
      <sheetName val="자재조사표"/>
      <sheetName val="교량전기"/>
      <sheetName val="간접1"/>
      <sheetName val="1.설계조건"/>
      <sheetName val="일위대가목차"/>
      <sheetName val="기초1"/>
      <sheetName val="부대시설"/>
      <sheetName val="98비정기소모"/>
      <sheetName val="2.대외공문"/>
      <sheetName val="sw1"/>
      <sheetName val="NOMUBI"/>
      <sheetName val="갑지1"/>
      <sheetName val="XL4Poppy"/>
      <sheetName val="견적서"/>
      <sheetName val="견적대비"/>
      <sheetName val="식재총괄"/>
      <sheetName val="현장관리비 산출내역"/>
      <sheetName val="자압"/>
      <sheetName val="접지수량"/>
      <sheetName val="CODE"/>
      <sheetName val="총내역서"/>
      <sheetName val="일위대가_계측기설치_"/>
      <sheetName val="입출재고현황 _2_"/>
      <sheetName val="일반공사"/>
      <sheetName val="하수급견적대비"/>
      <sheetName val="설계내역서"/>
      <sheetName val="산출내역서집계표"/>
      <sheetName val="계산중"/>
      <sheetName val="횡배위치"/>
      <sheetName val="내역서단가산출용"/>
      <sheetName val="401"/>
      <sheetName val="가설공사내역"/>
      <sheetName val="주상도"/>
      <sheetName val="하조서"/>
      <sheetName val="내역서 "/>
      <sheetName val="정보"/>
      <sheetName val="대전-교대(A1-A2)"/>
      <sheetName val="Total"/>
      <sheetName val="흄관기초"/>
      <sheetName val="품셈(기초)"/>
      <sheetName val="전차선로 물량표"/>
      <sheetName val="부대공사비"/>
      <sheetName val="기초자료"/>
      <sheetName val="계약내역서(을지)"/>
      <sheetName val="DATE"/>
      <sheetName val="배수통관(좌)"/>
      <sheetName val="차수"/>
      <sheetName val="산근"/>
      <sheetName val="수량산출서"/>
      <sheetName val="sort"/>
      <sheetName val="을"/>
      <sheetName val="노임이"/>
      <sheetName val="Y-WORK"/>
      <sheetName val="BLOCK(1)"/>
      <sheetName val="인부신상자료"/>
      <sheetName val="날개벽수량표"/>
      <sheetName val="위치조서"/>
      <sheetName val="원가계산(2)"/>
      <sheetName val="날개벽"/>
      <sheetName val="200"/>
      <sheetName val="대목"/>
      <sheetName val="총괄내역서"/>
      <sheetName val="견적을지"/>
      <sheetName val="정부노임단가"/>
      <sheetName val="guard(mac)"/>
      <sheetName val="토공사"/>
      <sheetName val="DS적용내역서"/>
      <sheetName val="대비"/>
      <sheetName val="단위수량(출력X)"/>
      <sheetName val="수량집계"/>
      <sheetName val="8S발주관리대장"/>
      <sheetName val="MCC제원"/>
      <sheetName val="실행철강하도"/>
      <sheetName val="공사개요"/>
      <sheetName val="매입세"/>
      <sheetName val="FURNITURE-01"/>
      <sheetName val="토목"/>
      <sheetName val="기초입력"/>
      <sheetName val="지질조사"/>
      <sheetName val="자동제어"/>
      <sheetName val="6호기"/>
      <sheetName val="MOTOR"/>
      <sheetName val="실행대비"/>
      <sheetName val="환율change"/>
      <sheetName val="단가 및 재료비"/>
      <sheetName val="설계명세서"/>
      <sheetName val="단가대비표"/>
      <sheetName val="Requirement(Work Crew)"/>
      <sheetName val="구의33고"/>
      <sheetName val="제철"/>
      <sheetName val="Sheet10"/>
      <sheetName val="건축집계"/>
      <sheetName val="가도공"/>
      <sheetName val="용소리교"/>
      <sheetName val="견"/>
      <sheetName val="포장공사"/>
      <sheetName val="8.PILE  (돌출)"/>
      <sheetName val="옥외"/>
      <sheetName val="단가조사"/>
      <sheetName val="입찰보고"/>
      <sheetName val="97년추정손익계산서"/>
      <sheetName val="수정시산표"/>
      <sheetName val="취합표"/>
      <sheetName val="물량산출"/>
      <sheetName val="자료"/>
      <sheetName val="노임단가"/>
      <sheetName val="실행"/>
      <sheetName val="TEBAK2"/>
      <sheetName val="구미"/>
      <sheetName val="철거산출근거"/>
      <sheetName val="도급원가"/>
      <sheetName val="2공구산출내역"/>
      <sheetName val="실행내역"/>
      <sheetName val="현금"/>
      <sheetName val="데리네이타현황"/>
      <sheetName val="PAINT"/>
      <sheetName val="품셈표"/>
      <sheetName val="내역서1"/>
      <sheetName val="일위집계표"/>
      <sheetName val="현장별"/>
      <sheetName val="SLAB"/>
      <sheetName val="역T형"/>
      <sheetName val="보도공제면적"/>
      <sheetName val="산출"/>
      <sheetName val="지장물C"/>
      <sheetName val="LEGEND"/>
      <sheetName val="견적대비표"/>
      <sheetName val="L_RPTB02_01"/>
      <sheetName val="FACTOR"/>
      <sheetName val="수입"/>
      <sheetName val="s"/>
      <sheetName val="ETC"/>
      <sheetName val="물량"/>
      <sheetName val="2_대외공문"/>
      <sheetName val="금액내역서"/>
      <sheetName val="집계"/>
      <sheetName val="납부서"/>
      <sheetName val="단가산출1"/>
      <sheetName val="I一般比"/>
      <sheetName val="교각1"/>
      <sheetName val="1월"/>
      <sheetName val="배방교"/>
      <sheetName val="한일양산"/>
      <sheetName val="내역(전체)"/>
      <sheetName val="계약ITEM"/>
      <sheetName val="매입세율"/>
      <sheetName val="000000"/>
      <sheetName val="투찰가"/>
      <sheetName val="신기1-LINE별연장"/>
      <sheetName val="S0"/>
      <sheetName val="단면가정"/>
      <sheetName val="2003년내역"/>
      <sheetName val="현대물량"/>
      <sheetName val="토공집계표"/>
      <sheetName val="상가지급현황"/>
      <sheetName val="tggwan(mac)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정렬"/>
      <sheetName val="9GNG운반"/>
      <sheetName val="unit 4"/>
      <sheetName val="연결임시"/>
      <sheetName val="TEST1"/>
      <sheetName val="다이꾸"/>
      <sheetName val="4-3 보온 기본물량집계"/>
      <sheetName val="일위"/>
      <sheetName val="MAIN_TABLE"/>
      <sheetName val="기둥(원형)"/>
      <sheetName val="단가조건(02년)"/>
      <sheetName val="실행기성 갑지"/>
      <sheetName val="여흥"/>
      <sheetName val="계화배수"/>
      <sheetName val="단가비교"/>
      <sheetName val="단가산출서"/>
      <sheetName val="자금청구(건축)"/>
      <sheetName val="설계조건"/>
      <sheetName val="안정계산"/>
      <sheetName val="단면검토"/>
      <sheetName val="총집계표"/>
      <sheetName val="당초수량"/>
      <sheetName val="내역서(총괄)"/>
      <sheetName val="말뚝물량"/>
      <sheetName val="YM-IL1"/>
      <sheetName val="D25"/>
      <sheetName val="D16"/>
      <sheetName val="D22"/>
      <sheetName val="전체도급"/>
      <sheetName val="최종견"/>
      <sheetName val="건축-물가변동"/>
      <sheetName val="기계설비-물가변동"/>
      <sheetName val="EL90"/>
      <sheetName val="98지급계획"/>
      <sheetName val="제경비"/>
      <sheetName val="터파기및재료"/>
      <sheetName val="변경집계표"/>
      <sheetName val="현장관리비참조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조도계산서 (도서)"/>
      <sheetName val="손익분석"/>
      <sheetName val="변경별표"/>
      <sheetName val="유림골조"/>
      <sheetName val="전기일위대가"/>
      <sheetName val="수습"/>
      <sheetName val="손익현황"/>
      <sheetName val="잡비"/>
      <sheetName val="DAN"/>
      <sheetName val="원도급내역"/>
      <sheetName val="ELECTRIC"/>
      <sheetName val="CTEMCOST"/>
      <sheetName val="SCHEDULE"/>
      <sheetName val="토공(우물통,기타) "/>
      <sheetName val="기본단가"/>
      <sheetName val="TYPE-A"/>
      <sheetName val="주관사업"/>
      <sheetName val="수문일1"/>
      <sheetName val="종단계산"/>
      <sheetName val="양수장_기계_"/>
      <sheetName val="choose"/>
      <sheetName val="NYS"/>
      <sheetName val="전선"/>
      <sheetName val="3차토목내역"/>
      <sheetName val="경성자금"/>
      <sheetName val="부대공(BOQ)"/>
      <sheetName val="예가표"/>
      <sheetName val="배선(낙차)"/>
      <sheetName val="간접경상비"/>
      <sheetName val="FAX"/>
      <sheetName val="적용토목"/>
      <sheetName val="약품설비"/>
      <sheetName val="재료"/>
      <sheetName val="건축설비내역"/>
      <sheetName val="A"/>
      <sheetName val="WORK"/>
      <sheetName val="예산내역"/>
      <sheetName val="1-1"/>
      <sheetName val="보고서"/>
      <sheetName val="c_balju"/>
      <sheetName val="부표총괄"/>
      <sheetName val="공통부대비"/>
      <sheetName val="견적서(토공)"/>
      <sheetName val="공통비배부기준"/>
      <sheetName val="경비"/>
      <sheetName val="이름정의"/>
      <sheetName val="내역및총괄"/>
      <sheetName val="선정_1"/>
      <sheetName val="선정_2"/>
      <sheetName val="선정_3"/>
      <sheetName val="선정_4"/>
      <sheetName val="선정_5"/>
      <sheetName val="설_계"/>
      <sheetName val="입출재고현황_(2)"/>
      <sheetName val="G_R300경비"/>
      <sheetName val="7_가스"/>
      <sheetName val="준검_내역서"/>
      <sheetName val="BSD_(2)"/>
      <sheetName val="단면_(2)"/>
      <sheetName val="1_취수장"/>
      <sheetName val="소요자금청구서_10월"/>
      <sheetName val="공사대금_12월"/>
      <sheetName val="장비_12월"/>
      <sheetName val="서화12월_"/>
      <sheetName val="팔팔건기_(2)"/>
      <sheetName val="DATA_입력란"/>
      <sheetName val="1__설계조건_2_단면가정_3__하중계산"/>
      <sheetName val="EQUIPMENT_-2"/>
      <sheetName val="Sheet1_(2)"/>
      <sheetName val="AIR_SHOWER(3인용)"/>
      <sheetName val="IMPEADENCE_MAP_취수장"/>
      <sheetName val="전차선로_물량표"/>
      <sheetName val="내역서_"/>
      <sheetName val="간선계산"/>
      <sheetName val="중기가동(7)"/>
      <sheetName val="단가목록"/>
      <sheetName val="조경일람"/>
      <sheetName val="공사비SUM"/>
      <sheetName val="에너지동"/>
      <sheetName val="발파유용(3)"/>
      <sheetName val="도급내역(20061공구)"/>
      <sheetName val="Baby일위대가"/>
      <sheetName val="9902"/>
      <sheetName val="99총공사내역서"/>
      <sheetName val="조건표"/>
      <sheetName val="기흥하도용"/>
      <sheetName val="신표지1"/>
      <sheetName val="설치공사2"/>
      <sheetName val="6PILE  (돌출)"/>
      <sheetName val="BUDAI"/>
      <sheetName val="적용단가"/>
      <sheetName val="경산"/>
      <sheetName val="시중노임단가"/>
      <sheetName val="95MAKER"/>
      <sheetName val="횡날개수집"/>
      <sheetName val="찍기"/>
      <sheetName val="#3_일위대가목록"/>
      <sheetName val="기본사항"/>
      <sheetName val="INPUT-DATA"/>
      <sheetName val="갑지(추정)"/>
      <sheetName val="SUMMARY"/>
      <sheetName val="정공공사"/>
      <sheetName val="2000,9월 일위"/>
      <sheetName val="공통단가"/>
      <sheetName val="단위단가"/>
      <sheetName val="경상직원"/>
      <sheetName val="조건"/>
      <sheetName val="코드표"/>
      <sheetName val="재료비"/>
      <sheetName val="단가일람"/>
      <sheetName val="운반비"/>
      <sheetName val="부대대비"/>
      <sheetName val="냉연집계"/>
      <sheetName val="SLAB&quot;1&quot;"/>
      <sheetName val="대로근거"/>
      <sheetName val="플랜트 설치"/>
      <sheetName val="PI"/>
      <sheetName val="WEIGHT LIST"/>
      <sheetName val="산#2-1 (2)"/>
      <sheetName val="POL6차-PIPING"/>
      <sheetName val="산#3-1"/>
      <sheetName val="투찰"/>
      <sheetName val="판"/>
      <sheetName val="GAEYO"/>
      <sheetName val="내역(2000년)"/>
      <sheetName val="간접비"/>
      <sheetName val="이자율"/>
      <sheetName val="7.전산해석결과"/>
      <sheetName val="4.하중"/>
      <sheetName val="우각부검토"/>
      <sheetName val="SULKEA"/>
      <sheetName val="AC포장수량"/>
      <sheetName val="각종장비전압강하계산"/>
      <sheetName val="일위목록"/>
      <sheetName val="첨부파일"/>
      <sheetName val="증감대비"/>
      <sheetName val="토공총괄표"/>
      <sheetName val="3층LOAD"/>
      <sheetName val="1층LOAD"/>
      <sheetName val="환율"/>
      <sheetName val="과단위"/>
      <sheetName val="쌍송교"/>
      <sheetName val="제수변수량"/>
      <sheetName val="공기변수량"/>
      <sheetName val="구조물철거타공정이월"/>
      <sheetName val="포장복구집계"/>
      <sheetName val="내역서-2"/>
      <sheetName val="약품공급2"/>
      <sheetName val="일위집계"/>
      <sheetName val="각현장분석"/>
      <sheetName val="비탈면보호공수량산출"/>
      <sheetName val="(포장)BOQ-실적공사"/>
      <sheetName val="건축공사실행"/>
      <sheetName val="기초코드"/>
      <sheetName val="DB"/>
      <sheetName val="새공통"/>
      <sheetName val="지불내역1"/>
      <sheetName val="개산공사비"/>
      <sheetName val="능률(기성)"/>
      <sheetName val="7월11일"/>
      <sheetName val="추가예산"/>
      <sheetName val="토목내역서 (도급단가) (2)"/>
      <sheetName val="재료비단가(VALVE)"/>
      <sheetName val="공종목록표"/>
      <sheetName val="투찰(하수)"/>
      <sheetName val="PIPE"/>
      <sheetName val="총괄"/>
      <sheetName val="선반OPT"/>
      <sheetName val="1.전력공사"/>
      <sheetName val="8.DC"/>
      <sheetName val="3.전열"/>
      <sheetName val="2.조명제어"/>
      <sheetName val="국내조달(통합-1)"/>
      <sheetName val="월별수입"/>
      <sheetName val=" ｹ-ﾌﾞﾙ"/>
      <sheetName val="견적990322"/>
      <sheetName val="BEND LOSS"/>
      <sheetName val="Sheet4"/>
      <sheetName val="woo(mac)"/>
      <sheetName val="평3"/>
      <sheetName val="실행(1)"/>
      <sheetName val="옥외배관기본공량"/>
      <sheetName val="설비공사"/>
      <sheetName val="공사개요(사업승인변경)"/>
      <sheetName val="건축"/>
      <sheetName val="조명시설"/>
      <sheetName val="제경비율"/>
      <sheetName val="산3"/>
      <sheetName val="아스팔트 포장총괄집계표"/>
      <sheetName val="감독1130"/>
      <sheetName val="일위대가-1"/>
      <sheetName val="C_d"/>
      <sheetName val="총체보활공정표"/>
      <sheetName val="별제권_정리담보권"/>
      <sheetName val="전문품의"/>
      <sheetName val="예총"/>
      <sheetName val="수곡내역"/>
      <sheetName val="품셈"/>
      <sheetName val="바닥판(1)"/>
      <sheetName val="간접"/>
      <sheetName val="연습"/>
      <sheetName val="3.3"/>
      <sheetName val="발주현황"/>
      <sheetName val="MSG 수량"/>
      <sheetName val="REDUCER"/>
      <sheetName val="상각율"/>
      <sheetName val="직접공사비집계표_7"/>
      <sheetName val="공통가설_8"/>
      <sheetName val="기타시설"/>
      <sheetName val="판매시설"/>
      <sheetName val="주민복지관"/>
      <sheetName val="지하주차장"/>
      <sheetName val="TRE TABLE"/>
      <sheetName val="귀래 설계 공내역서"/>
      <sheetName val="검색"/>
      <sheetName val="총괄집계 "/>
      <sheetName val="단중표"/>
      <sheetName val="WE'T"/>
      <sheetName val="N賃率-職"/>
      <sheetName val="기준"/>
      <sheetName val="방배동내역(리라)"/>
      <sheetName val="부대공사총괄"/>
      <sheetName val="현장경비"/>
      <sheetName val="건축공사집계표"/>
      <sheetName val="방배동내역 (총괄)"/>
      <sheetName val="96보완계획7.12"/>
      <sheetName val="소야공정계획표"/>
      <sheetName val="기계내역서"/>
      <sheetName val="식재인부"/>
      <sheetName val="영동(D)"/>
      <sheetName val="SIL98"/>
      <sheetName val="광혁기성"/>
      <sheetName val="상부집계표"/>
      <sheetName val="요율"/>
      <sheetName val="자재단가"/>
      <sheetName val="간접비계산"/>
      <sheetName val="우배수"/>
      <sheetName val="빙축열내역대비입고현황"/>
      <sheetName val="부하계산서"/>
      <sheetName val="계산서"/>
      <sheetName val="3_공통공사대비"/>
      <sheetName val="경영상태"/>
      <sheetName val="토적계산"/>
      <sheetName val="sh1"/>
      <sheetName val="총괄-1"/>
      <sheetName val="월별품의현황"/>
      <sheetName val="예산M2"/>
      <sheetName val="물량표(신)"/>
      <sheetName val="날개벽(좌,우=60도-4개)"/>
      <sheetName val="충주"/>
      <sheetName val="시가지우회도로공내역서"/>
      <sheetName val="스포회원매출"/>
      <sheetName val="예정(3)"/>
      <sheetName val="SKETCH"/>
      <sheetName val="REINF."/>
      <sheetName val="LOADS"/>
      <sheetName val="CHECK1"/>
      <sheetName val="청구"/>
      <sheetName val="맨홀토공(3)"/>
      <sheetName val="SUB일위대가"/>
      <sheetName val="b_balju"/>
      <sheetName val="사본 - b_balju"/>
      <sheetName val="현장관리비내역서"/>
      <sheetName val="DATA98"/>
      <sheetName val="목창호"/>
      <sheetName val="교량"/>
      <sheetName val="일반설비내역서"/>
      <sheetName val="별표 "/>
      <sheetName val="오억미만"/>
      <sheetName val="세부내역"/>
      <sheetName val="중기"/>
      <sheetName val="덕전리"/>
      <sheetName val="archi(본사)"/>
      <sheetName val="주beam"/>
      <sheetName val="반중력식옹벽3.5"/>
      <sheetName val="용지매수"/>
      <sheetName val="2.입력sheet"/>
      <sheetName val="성남여성복지내역"/>
      <sheetName val="처리단락"/>
      <sheetName val="보차도경계석"/>
      <sheetName val="부하(성남)"/>
      <sheetName val="우수맨홀토공단위수량"/>
      <sheetName val="1.토공"/>
      <sheetName val="산출2-기기동력"/>
      <sheetName val="원형맨홀수량"/>
      <sheetName val="시설일위"/>
      <sheetName val="Type(123)"/>
      <sheetName val="기초자료입력"/>
      <sheetName val="고압"/>
      <sheetName val="광주운남을"/>
      <sheetName val="매립"/>
      <sheetName val="증감분석"/>
      <sheetName val="입찰내역서"/>
      <sheetName val="중기일위대가"/>
      <sheetName val="Customer Databas"/>
      <sheetName val="화해(함평)"/>
      <sheetName val="준공조서갑지"/>
      <sheetName val="기자재집계"/>
      <sheetName val="플랜트"/>
      <sheetName val="현장목차"/>
      <sheetName val="간이영수증"/>
      <sheetName val=" 토목 처리장도급내역서 "/>
      <sheetName val="현장관리비"/>
      <sheetName val="제출내역 (2)"/>
      <sheetName val="00건설추정대차대조표"/>
      <sheetName val="기본단가표"/>
      <sheetName val="7.PILE  (돌출)"/>
      <sheetName val="일위_파일"/>
      <sheetName val="하도급대비"/>
      <sheetName val="뚝토공"/>
      <sheetName val="화해(장성)"/>
      <sheetName val="b_balju_cho"/>
      <sheetName val="조건 (A)"/>
      <sheetName val="CAT_5"/>
      <sheetName val="B부대공"/>
      <sheetName val="철근총괄"/>
      <sheetName val="가시설수량"/>
      <sheetName val="2.단면가정3.모델링4.하중"/>
      <sheetName val="입력"/>
      <sheetName val="동력부하계산"/>
      <sheetName val="문산방향-교대(A2)"/>
      <sheetName val="삼보지질"/>
      <sheetName val="자금청구"/>
      <sheetName val="공사설계서"/>
      <sheetName val="저"/>
      <sheetName val="현금흐름"/>
      <sheetName val="9-1차이내역"/>
      <sheetName val="조명일위"/>
      <sheetName val="카메라"/>
      <sheetName val="장비비"/>
      <sheetName val="VENT"/>
      <sheetName val="해운대V-B"/>
      <sheetName val="업무처리전"/>
      <sheetName val="001"/>
      <sheetName val="순서도"/>
      <sheetName val="상 부"/>
      <sheetName val="입력DATA"/>
      <sheetName val="바닥판"/>
      <sheetName val="3BL공동구 수량"/>
      <sheetName val="공조기"/>
      <sheetName val="Macro2"/>
      <sheetName val="45_46"/>
      <sheetName val="산출근거"/>
      <sheetName val="뜃맟뭁돽띿맟?-BLDG"/>
      <sheetName val="1단계"/>
      <sheetName val="경비2내역"/>
      <sheetName val="열교환기"/>
      <sheetName val="계산내역(설비)"/>
      <sheetName val="광통신 견적내역서1"/>
      <sheetName val="LD"/>
      <sheetName val="단위세대물량"/>
      <sheetName val="지구단위계획"/>
      <sheetName val="장비손료"/>
      <sheetName val="MixBed"/>
      <sheetName val="CondPol"/>
      <sheetName val="품목"/>
      <sheetName val="부대토목"/>
      <sheetName val="TOT"/>
      <sheetName val="기성내역"/>
      <sheetName val="토목공사일반"/>
      <sheetName val="1안98Billing"/>
      <sheetName val="준공현장"/>
      <sheetName val="판매46"/>
      <sheetName val="수안보-MBR1"/>
      <sheetName val="집수정(600-700)"/>
      <sheetName val="단가비교표"/>
      <sheetName val="단가보완"/>
      <sheetName val="참조 (2)"/>
      <sheetName val="평균터파기고(1-2,ASP)"/>
      <sheetName val="갑근세납세필증명원"/>
      <sheetName val="종합"/>
      <sheetName val="가시설(TYPE-A)"/>
      <sheetName val="1-1평균터파기고(1)"/>
      <sheetName val="PROJECT BRIEF(EX.NEW)"/>
      <sheetName val="아파트_9"/>
      <sheetName val="합천내역"/>
      <sheetName val="토적_x0000__x0000_"/>
      <sheetName val="기본자료"/>
      <sheetName val="단"/>
      <sheetName val="수장"/>
      <sheetName val="건축내역서"/>
      <sheetName val="SAKUB"/>
      <sheetName val="방음벽기초(H=4m)"/>
      <sheetName val="선정_11"/>
      <sheetName val="선정_21"/>
      <sheetName val="선정_31"/>
      <sheetName val="선정_41"/>
      <sheetName val="선정_51"/>
      <sheetName val="설_계1"/>
      <sheetName val="입출재고현황_(2)1"/>
      <sheetName val="G_R300경비1"/>
      <sheetName val="BSD_(2)1"/>
      <sheetName val="7_가스1"/>
      <sheetName val="준검_내역서1"/>
      <sheetName val="Sheet1_(2)1"/>
      <sheetName val="단면_(2)1"/>
      <sheetName val="1_취수장1"/>
      <sheetName val="현장관리비_산출내역"/>
      <sheetName val="소요자금청구서_10월1"/>
      <sheetName val="공사대금_12월1"/>
      <sheetName val="장비_12월1"/>
      <sheetName val="서화12월_1"/>
      <sheetName val="팔팔건기_(2)1"/>
      <sheetName val="DATA_입력란1"/>
      <sheetName val="1__설계조건_2_단면가정_3__하중계산1"/>
      <sheetName val="EQUIPMENT_-21"/>
      <sheetName val="AIR_SHOWER(3인용)1"/>
      <sheetName val="IMPEADENCE_MAP_취수장1"/>
      <sheetName val="전차선로_물량표1"/>
      <sheetName val="내역서_1"/>
      <sheetName val="1_설계조건"/>
      <sheetName val="입출재고현황__2_"/>
      <sheetName val="토공(우물통,기타)_"/>
      <sheetName val="2_대외공문1"/>
      <sheetName val="단가_및_재료비"/>
      <sheetName val="실행내역서_"/>
      <sheetName val="전화번호DATA_(2001)"/>
      <sheetName val="4-3_보온_기본물량집계"/>
      <sheetName val="Data&amp;Result"/>
      <sheetName val="도장수량(하1)"/>
      <sheetName val="주형"/>
      <sheetName val="Requirement(Work_Crew)"/>
      <sheetName val="8_PILE__(돌출)"/>
      <sheetName val="Option"/>
      <sheetName val="와동25-3(변경)"/>
      <sheetName val="사전공사"/>
      <sheetName val="세골재  T2 변경 현황"/>
      <sheetName val="품목단가"/>
      <sheetName val="현황산출서"/>
      <sheetName val="말뚝지지력산정"/>
      <sheetName val="교대(A1)"/>
      <sheetName val="단위수량"/>
      <sheetName val="01"/>
      <sheetName val="동학"/>
      <sheetName val="동학1"/>
      <sheetName val="경북안동"/>
      <sheetName val="진해"/>
      <sheetName val="당항포"/>
      <sheetName val="일위(거제) "/>
      <sheetName val="농업기반"/>
      <sheetName val="일위(달서)"/>
      <sheetName val="일위(숭실)"/>
      <sheetName val="숭실1"/>
      <sheetName val="일위(완도)"/>
      <sheetName val="완도1"/>
      <sheetName val="내역(청마)"/>
      <sheetName val="내역(청마) (2)"/>
      <sheetName val="공사 Scope 표지"/>
      <sheetName val="공사 Scope"/>
      <sheetName val="원가표"/>
      <sheetName val="내역-1"/>
      <sheetName val="내역-2"/>
      <sheetName val="일위2"/>
      <sheetName val="일위3"/>
      <sheetName val="금융"/>
      <sheetName val="출자한도"/>
      <sheetName val="Sump,Pit,MH"/>
      <sheetName val="밸브설치"/>
      <sheetName val="표  지"/>
      <sheetName val="내역서변경성원"/>
      <sheetName val="활성탄 여과지토공"/>
      <sheetName val="내역1"/>
      <sheetName val="설직재-1"/>
      <sheetName val="REPORT"/>
      <sheetName val="ASALTOTA"/>
      <sheetName val="기계경비일람"/>
      <sheetName val="원가계산서(1차)"/>
      <sheetName val="단-토공"/>
      <sheetName val="진접"/>
      <sheetName val="목차"/>
      <sheetName val="조명_x0005__x0000_"/>
      <sheetName val="공사비"/>
      <sheetName val="1단지 단위세대 내역서"/>
      <sheetName val="업무분장"/>
      <sheetName val="대비표"/>
      <sheetName val="부서코드표"/>
      <sheetName val="6동"/>
      <sheetName val="골조"/>
      <sheetName val="0226"/>
      <sheetName val="식재가격"/>
      <sheetName val="J01"/>
      <sheetName val="깨기"/>
      <sheetName val="ⴭⴭⴭⴭ"/>
      <sheetName val="BRAKE"/>
      <sheetName val="시설투자"/>
      <sheetName val="11.1 단면hwp"/>
      <sheetName val="bi"/>
      <sheetName val="음료실행"/>
      <sheetName val="구분자"/>
      <sheetName val="변경후원본2"/>
      <sheetName val="날개벽(시점좌측)"/>
      <sheetName val="공정코드"/>
      <sheetName val="Ext. Stone-P"/>
      <sheetName val="12용지"/>
      <sheetName val="맨홀수량산출"/>
      <sheetName val="연돌일위집계"/>
      <sheetName val="2000.05"/>
      <sheetName val="CAPVC"/>
      <sheetName val="아파트"/>
      <sheetName val="직재"/>
      <sheetName val=" 일본대사 관저 누수 보수공사120719.xlsx"/>
      <sheetName val="구성비"/>
      <sheetName val="직접경비"/>
      <sheetName val="자재단가비교표"/>
      <sheetName val="자재수량"/>
      <sheetName val="안정검토"/>
      <sheetName val="1.수인터널"/>
      <sheetName val="명단"/>
      <sheetName val="기초정보입력"/>
      <sheetName val="피벗테이블데이터분석"/>
      <sheetName val="적용단위길이"/>
      <sheetName val="특수기호강도거푸집"/>
      <sheetName val="종배수관(신)"/>
      <sheetName val="자료입력"/>
      <sheetName val="수원역(전체분)설계서"/>
      <sheetName val="종배수관면벽신"/>
      <sheetName val="TOTAL3"/>
      <sheetName val="단가조사서"/>
      <sheetName val="공내역"/>
      <sheetName val="본부소개"/>
      <sheetName val="여암교"/>
      <sheetName val="SUMMARY(S)"/>
      <sheetName val="자동차폐수처리장"/>
      <sheetName val="목동세대 산출근거"/>
      <sheetName val="가연천"/>
      <sheetName val="장비가동"/>
      <sheetName val="공사별총괄표(도급)"/>
      <sheetName val="수 량 명 세 서 - 1"/>
      <sheetName val="입력변수"/>
      <sheetName val="중기사용료"/>
      <sheetName val="제수변 수량집계표(보통)"/>
      <sheetName val="평자재단가"/>
      <sheetName val="도담구내 개소별 명세"/>
      <sheetName val="laroux"/>
      <sheetName val="BJJIN"/>
      <sheetName val="총괄대장"/>
      <sheetName val="ES대장 양식"/>
      <sheetName val="공사비결정처별"/>
      <sheetName val="실정보고현황 (2)"/>
      <sheetName val="실정보고"/>
      <sheetName val="설변대장"/>
      <sheetName val="실정보고현황"/>
      <sheetName val="포항상수도"/>
      <sheetName val="포항상수도 (2)"/>
      <sheetName val="시화아파트보증현황"/>
      <sheetName val="시화아파트보증현황 (2)"/>
      <sheetName val="연결관암거"/>
      <sheetName val="결과조달"/>
      <sheetName val="매출그래프"/>
      <sheetName val="진도말"/>
      <sheetName val="환산표"/>
      <sheetName val="표층포설및다짐"/>
      <sheetName val="하중계산"/>
      <sheetName val="주요수량증감"/>
      <sheetName val="하남내역"/>
      <sheetName val="HANDHOLE(2)"/>
      <sheetName val="3.하중산정4.지지력"/>
      <sheetName val="총계"/>
      <sheetName val="Ⅴ-2.공종별내역"/>
      <sheetName val="주현(해보)"/>
      <sheetName val="주현(영광)"/>
      <sheetName val="조건_(A)"/>
      <sheetName val="조건_(A)1"/>
      <sheetName val="3_공통공사대비1"/>
      <sheetName val="현장관리비_산출내역1"/>
      <sheetName val="실행내역서_1"/>
      <sheetName val="단가_및_재료비1"/>
      <sheetName val="전화번호DATA_(2001)1"/>
      <sheetName val="1_설계조건1"/>
      <sheetName val="입출재고현황__2_1"/>
      <sheetName val="Requirement(Work_Crew)1"/>
      <sheetName val="8_PILE__(돌출)1"/>
      <sheetName val="토공(우물통,기타)_1"/>
      <sheetName val="sgbw"/>
      <sheetName val="실적"/>
      <sheetName val="입력(K0)"/>
      <sheetName val="팔당터널(1공구)"/>
      <sheetName val="본체"/>
      <sheetName val="전기혼잡제경비(45)"/>
      <sheetName val="데이타"/>
      <sheetName val="집행예산"/>
      <sheetName val="산식3"/>
      <sheetName val="관급자재"/>
      <sheetName val="4.장비손료"/>
      <sheetName val="단위가격"/>
      <sheetName val="절취및터파기"/>
      <sheetName val="흙쌓기도수로설치현황(1)"/>
      <sheetName val="토량산출서"/>
      <sheetName val="설산1.나"/>
      <sheetName val="본사S"/>
      <sheetName val="버스운행안내"/>
      <sheetName val="예방접종계획"/>
      <sheetName val="근태계획서"/>
      <sheetName val="구역화물"/>
      <sheetName val="패널"/>
      <sheetName val="토적표"/>
      <sheetName val="NYS(집계)"/>
      <sheetName val="개요입력"/>
      <sheetName val="수량기준"/>
      <sheetName val="단가기준"/>
      <sheetName val="동일대내"/>
      <sheetName val="BOX"/>
      <sheetName val="수정계획3"/>
      <sheetName val="COPING"/>
      <sheetName val="정보LIST"/>
      <sheetName val="가설공사"/>
      <sheetName val="내역서 (2)"/>
      <sheetName val="단양 00 아파트-세부내역"/>
      <sheetName val="포장총괄집계표"/>
      <sheetName val="5-6공구"/>
      <sheetName val="5-7공구"/>
      <sheetName val="5-8공구"/>
      <sheetName val="견적"/>
      <sheetName val="적용률"/>
      <sheetName val="1SGATE97"/>
      <sheetName val="총공비"/>
      <sheetName val="재료집계표"/>
      <sheetName val="노무비단가"/>
      <sheetName val="공통가설"/>
      <sheetName val="간접재료비산출표-27-30"/>
      <sheetName val="O＆P"/>
      <sheetName val="Sheet3"/>
      <sheetName val="소업1교"/>
      <sheetName val="당진1,2호기전선관설치및접지4차공사내역서-을지"/>
      <sheetName val="4.전기"/>
      <sheetName val="공종"/>
      <sheetName val="합의경상"/>
      <sheetName val="동원(3)"/>
      <sheetName val="외자배분"/>
      <sheetName val="외자내역"/>
      <sheetName val="부대공Ⅱ"/>
      <sheetName val="을-ATYPE"/>
      <sheetName val="특수선일위대가"/>
      <sheetName val="기안"/>
      <sheetName val="선정_12"/>
      <sheetName val="선정_22"/>
      <sheetName val="선정_32"/>
      <sheetName val="선정_42"/>
      <sheetName val="선정_52"/>
      <sheetName val="설_계2"/>
      <sheetName val="입출재고현황_(2)2"/>
      <sheetName val="7_가스2"/>
      <sheetName val="BSD_(2)2"/>
      <sheetName val="준검_내역서2"/>
      <sheetName val="G_R300경비2"/>
      <sheetName val="단면_(2)2"/>
      <sheetName val="1_취수장2"/>
      <sheetName val="소요자금청구서_10월2"/>
      <sheetName val="공사대금_12월2"/>
      <sheetName val="장비_12월2"/>
      <sheetName val="서화12월_2"/>
      <sheetName val="팔팔건기_(2)2"/>
      <sheetName val="EQUIPMENT_-22"/>
      <sheetName val="DATA_입력란2"/>
      <sheetName val="1__설계조건_2_단면가정_3__하중계산2"/>
      <sheetName val="Sheet1_(2)2"/>
      <sheetName val="AIR_SHOWER(3인용)2"/>
      <sheetName val="IMPEADENCE_MAP_취수장2"/>
      <sheetName val="내역서_2"/>
      <sheetName val="2_대외공문2"/>
      <sheetName val="전차선로_물량표2"/>
      <sheetName val="4-3_보온_기본물량집계1"/>
      <sheetName val="unit_4"/>
      <sheetName val="6PILE__(돌출)"/>
      <sheetName val="_ｹ-ﾌﾞﾙ"/>
      <sheetName val="실행기성_갑지"/>
      <sheetName val="플랜트_설치"/>
      <sheetName val="WEIGHT_LIST"/>
      <sheetName val="산#2-1_(2)"/>
      <sheetName val="7_전산해석결과"/>
      <sheetName val="4_하중"/>
      <sheetName val="3_3"/>
      <sheetName val="2000,9월_일위"/>
      <sheetName val="토목내역서_(도급단가)_(2)"/>
      <sheetName val="MSG_수량"/>
      <sheetName val="1_전력공사"/>
      <sheetName val="8_DC"/>
      <sheetName val="3_전열"/>
      <sheetName val="2_조명제어"/>
      <sheetName val="귀래_설계_공내역서"/>
      <sheetName val="총괄집계_"/>
      <sheetName val="Customer_Databas"/>
      <sheetName val="별표_"/>
      <sheetName val="반중력식옹벽3_5"/>
      <sheetName val="사본_-_b_balju"/>
      <sheetName val="2_입력sheet"/>
      <sheetName val="REINF_"/>
      <sheetName val="1_토공"/>
      <sheetName val="아스팔트_포장총괄집계표"/>
      <sheetName val="BEND_LOSS"/>
      <sheetName val="_토목_처리장도급내역서_"/>
      <sheetName val="TRE_TABLE"/>
      <sheetName val="상_부"/>
      <sheetName val="3BL공동구_수량"/>
      <sheetName val="96보완계획7_12"/>
      <sheetName val="제출내역_(2)"/>
      <sheetName val="참조_(2)"/>
      <sheetName val="방배동내역_(총괄)"/>
      <sheetName val="표__지"/>
      <sheetName val="7_PILE__(돌출)"/>
      <sheetName val="활성탄_여과지토공"/>
      <sheetName val="수_량_명_세_서_-_1"/>
      <sheetName val="_일본대사_관저_누수_보수공사120719_xlsx"/>
      <sheetName val="2_단면가정3_모델링4_하중"/>
      <sheetName val="광통신_견적내역서1"/>
      <sheetName val="PROJECT_BRIEF(EX_NEW)"/>
      <sheetName val="세골재__T2_변경_현황"/>
      <sheetName val="현장지지물물량"/>
      <sheetName val="수로교총재료집계"/>
      <sheetName val="22인공"/>
      <sheetName val="재료표"/>
      <sheetName val="NEYOK"/>
      <sheetName val="우수"/>
      <sheetName val="터널구조물산근"/>
      <sheetName val="3본사"/>
      <sheetName val="계림(함평)"/>
      <sheetName val="계림(장성)"/>
      <sheetName val="기안지"/>
      <sheetName val="현장일반사항"/>
      <sheetName val="득점현황"/>
      <sheetName val="동해title"/>
      <sheetName val="교각계산"/>
      <sheetName val="공통비총괄표"/>
      <sheetName val="주식"/>
      <sheetName val="Bill-7"/>
      <sheetName val="Bill-8"/>
      <sheetName val="Bill-6"/>
      <sheetName val="직원인원"/>
      <sheetName val="3차설계"/>
      <sheetName val="P-산#1-1(WOWA1)"/>
      <sheetName val="정보매체A동"/>
      <sheetName val="양식"/>
      <sheetName val="fursys"/>
      <sheetName val="9609추"/>
      <sheetName val="적격"/>
      <sheetName val="평가"/>
      <sheetName val="적정"/>
      <sheetName val="관리"/>
      <sheetName val="내역실행"/>
      <sheetName val="하도"/>
      <sheetName val="별지"/>
      <sheetName val="총괄설계"/>
      <sheetName val="내역설계"/>
      <sheetName val="조사"/>
      <sheetName val="의뢰"/>
      <sheetName val="AS"/>
      <sheetName val="여과지동"/>
      <sheetName val="단호교"/>
      <sheetName val="마포토정"/>
      <sheetName val="wall"/>
      <sheetName val="Front"/>
      <sheetName val="총괄갑 "/>
      <sheetName val="AS복구"/>
      <sheetName val="YES-T"/>
      <sheetName val="Table"/>
      <sheetName val="CAL"/>
      <sheetName val="99노임기준"/>
      <sheetName val="종합기별"/>
      <sheetName val="노무비명세서"/>
      <sheetName val="소요자재명세서"/>
      <sheetName val="일위대가목록"/>
      <sheetName val=" "/>
      <sheetName val="월간공정표(04월))"/>
      <sheetName val="하도급"/>
      <sheetName val="전열"/>
      <sheetName val="능률_x0000__x0000__x0005__x0000_"/>
      <sheetName val="금액유형"/>
      <sheetName val="국내"/>
      <sheetName val="1.개요및면적"/>
      <sheetName val="착공계(전체)"/>
      <sheetName val="방송(체육관)"/>
      <sheetName val="맨홀토공산출"/>
      <sheetName val="도로단위당"/>
      <sheetName val="FB25JN"/>
      <sheetName val="탑(을지)"/>
      <sheetName val="각종장비전압강하계"/>
      <sheetName val="현장관리비집계표"/>
      <sheetName val="상수도토공집계표"/>
      <sheetName val="Layout_Data "/>
      <sheetName val="집수A"/>
      <sheetName val="고창방향"/>
      <sheetName val="신흥교"/>
      <sheetName val="전도금"/>
      <sheetName val="건축공사이월"/>
      <sheetName val="세부내역(직접인건비)"/>
      <sheetName val="Sheet9"/>
      <sheetName val="집계표(육상)"/>
      <sheetName val="L-type"/>
      <sheetName val="가압장(토목)"/>
      <sheetName val="건설성적"/>
      <sheetName val="할증 "/>
      <sheetName val="노안2지구총(시행계획)"/>
      <sheetName val="CIVIL"/>
      <sheetName val="1.우편집중내역서"/>
      <sheetName val="4.2.1 마루높이 검토"/>
      <sheetName val="_x0000__x000a__x0000__x0005__x0000__x0006__x0000__x0007__x0000_"/>
      <sheetName val="_x0000_ _x0000__x0005__x0000__x0002__x0000__x000c__x0000_"/>
      <sheetName val="Ѐ਀ఀ؀؀଀"/>
      <sheetName val="_x0000__x0009__x0000__x0005__x0000__x0002__x0000__x000c__x0000_"/>
      <sheetName val="40단가산출서"/>
      <sheetName val="40집계"/>
      <sheetName val="공사개요(¡_x0000_Ԁ_x0000_䀀횶_x0009_"/>
      <sheetName val="우수공,맨홀,집수정"/>
      <sheetName val="7+160암거변경"/>
      <sheetName val="부대공자재"/>
      <sheetName val="입상내역"/>
      <sheetName val="토공집계"/>
      <sheetName val="CC16-내역서"/>
      <sheetName val="환_x0000_"/>
      <sheetName val="inter"/>
      <sheetName val="1승인신청서"/>
      <sheetName val="마산방향철근집계"/>
      <sheetName val="진주방향"/>
      <sheetName val="마산방향"/>
      <sheetName val="시행후면적"/>
      <sheetName val="공사개요(¡_x0000_Ԁ_x0000_䀀횶 "/>
      <sheetName val="계수시트"/>
      <sheetName val="대비내역"/>
      <sheetName val="2.주요계수총괄"/>
      <sheetName val="SUB일위대가(손료)"/>
      <sheetName val="계약서"/>
      <sheetName val="전체실행"/>
      <sheetName val="조경수량"/>
      <sheetName val="장척총괄"/>
      <sheetName val="전체제잡비"/>
      <sheetName val="참조-(1)"/>
      <sheetName val="선정_13"/>
      <sheetName val="선정_23"/>
      <sheetName val="선정_33"/>
      <sheetName val="선정_43"/>
      <sheetName val="선정_53"/>
      <sheetName val="입출재고현황_(2)3"/>
      <sheetName val="설_계3"/>
      <sheetName val="G_R300경비3"/>
      <sheetName val="7_가스3"/>
      <sheetName val="준검_내역서3"/>
      <sheetName val="BSD_(2)3"/>
      <sheetName val="단면_(2)3"/>
      <sheetName val="1_취수장3"/>
      <sheetName val="EQUIPMENT_-23"/>
      <sheetName val="소요자금청구서_10월3"/>
      <sheetName val="공사대금_12월3"/>
      <sheetName val="장비_12월3"/>
      <sheetName val="서화12월_3"/>
      <sheetName val="팔팔건기_(2)3"/>
      <sheetName val="3_공통공사대비2"/>
      <sheetName val="Sheet1_(2)3"/>
      <sheetName val="AIR_SHOWER(3인용)3"/>
      <sheetName val="DATA_입력란3"/>
      <sheetName val="1__설계조건_2_단면가정_3__하중계산3"/>
      <sheetName val="IMPEADENCE_MAP_취수장3"/>
      <sheetName val="전화번호DATA_(2001)2"/>
      <sheetName val="실행내역서_2"/>
      <sheetName val="1_설계조건2"/>
      <sheetName val="2_대외공문3"/>
      <sheetName val="현장관리비_산출내역2"/>
      <sheetName val="입출재고현황__2_2"/>
      <sheetName val="내역서_3"/>
      <sheetName val="전차선로_물량표3"/>
      <sheetName val="단가_및_재료비2"/>
      <sheetName val="Requirement(Work_Crew)2"/>
      <sheetName val="8_PILE__(돌출)2"/>
      <sheetName val="unit_41"/>
      <sheetName val="4-3_보온_기본물량집계2"/>
      <sheetName val="실행기성_갑지1"/>
      <sheetName val="조도계산서_(도서)"/>
      <sheetName val="토공(우물통,기타)_2"/>
      <sheetName val="6PILE__(돌출)1"/>
      <sheetName val="2000,9월_일위1"/>
      <sheetName val="플랜트_설치1"/>
      <sheetName val="WEIGHT_LIST1"/>
      <sheetName val="산#2-1_(2)1"/>
      <sheetName val="7_전산해석결과1"/>
      <sheetName val="4_하중1"/>
      <sheetName val="토목내역서_(도급단가)_(2)1"/>
      <sheetName val="1_전력공사1"/>
      <sheetName val="8_DC1"/>
      <sheetName val="3_전열1"/>
      <sheetName val="2_조명제어1"/>
      <sheetName val="_ｹ-ﾌﾞﾙ1"/>
      <sheetName val="BEND_LOSS1"/>
      <sheetName val="아스팔트_포장총괄집계표1"/>
      <sheetName val="3_31"/>
      <sheetName val="MSG_수량1"/>
      <sheetName val="TRE_TABLE1"/>
      <sheetName val="귀래_설계_공내역서1"/>
      <sheetName val="총괄집계_1"/>
      <sheetName val="방배동내역_(총괄)1"/>
      <sheetName val="96보완계획7_121"/>
      <sheetName val="REINF_1"/>
      <sheetName val="사본_-_b_balju1"/>
      <sheetName val="별표_1"/>
      <sheetName val="반중력식옹벽3_51"/>
      <sheetName val="2_입력sheet1"/>
      <sheetName val="1_토공1"/>
      <sheetName val="Customer_Databas1"/>
      <sheetName val="_토목_처리장도급내역서_1"/>
      <sheetName val="제출내역_(2)1"/>
      <sheetName val="7_PILE__(돌출)1"/>
      <sheetName val="조건_(A)2"/>
      <sheetName val="2_단면가정3_모델링4_하중1"/>
      <sheetName val="상_부1"/>
      <sheetName val="3BL공동구_수량1"/>
      <sheetName val="광통신_견적내역서11"/>
      <sheetName val="참조_(2)1"/>
      <sheetName val="PROJECT_BRIEF(EX_NEW)1"/>
      <sheetName val="세골재__T2_변경_현황1"/>
      <sheetName val="일위(거제)_"/>
      <sheetName val="내역(청마)_(2)"/>
      <sheetName val="공사_Scope_표지"/>
      <sheetName val="공사_Scope"/>
      <sheetName val="표__지1"/>
      <sheetName val="활성탄_여과지토공1"/>
      <sheetName val="조명"/>
      <sheetName val="1단지_단위세대_내역서"/>
      <sheetName val="11_1_단면hwp"/>
      <sheetName val="Ext__Stone-P"/>
      <sheetName val="2000_05"/>
      <sheetName val="_일본대사_관저_누수_보수공사120719_xlsx1"/>
      <sheetName val="1_수인터널"/>
      <sheetName val="목동세대_산출근거"/>
      <sheetName val="수_량_명_세_서_-_11"/>
      <sheetName val="제수변_수량집계표(보통)"/>
      <sheetName val="도담구내_개소별_명세"/>
      <sheetName val="ES대장_양식"/>
      <sheetName val="실정보고현황_(2)"/>
      <sheetName val="포항상수도_(2)"/>
      <sheetName val="시화아파트보증현황_(2)"/>
      <sheetName val="3_하중산정4_지지력"/>
      <sheetName val="Ⅴ-2_공종별내역"/>
      <sheetName val="4_장비손료"/>
      <sheetName val="설산1_나"/>
      <sheetName val="내역서_(2)"/>
      <sheetName val="단양_00_아파트-세부내역"/>
      <sheetName val="4_전기"/>
      <sheetName val="총괄갑_"/>
      <sheetName val="_"/>
      <sheetName val="능률"/>
      <sheetName val="1_개요및면적"/>
      <sheetName val="Layout_Data_"/>
      <sheetName val="할증_"/>
      <sheetName val="물질수지(2011)"/>
      <sheetName val="̀؀Ȁ턀"/>
      <sheetName val="̀؀Ȁ_x0000_"/>
      <sheetName val="C3"/>
      <sheetName val="1공구 배수통관 산출근거"/>
      <sheetName val="quotation"/>
      <sheetName val="미드수량"/>
      <sheetName val="참조자료"/>
      <sheetName val="수량산출1"/>
      <sheetName val="자재단가표"/>
      <sheetName val="문학간접"/>
      <sheetName val="토목내역서"/>
      <sheetName val="대치판정"/>
      <sheetName val="Vendors"/>
      <sheetName val="중기터파기"/>
      <sheetName val="변수값"/>
      <sheetName val="중기상차"/>
      <sheetName val="일위대가목록표"/>
      <sheetName val="전기,계장"/>
      <sheetName val="잉여처분"/>
      <sheetName val="2)보강토수량집계"/>
      <sheetName val="설계변경(수정전)"/>
      <sheetName val="공용정보"/>
      <sheetName val="미결사항"/>
      <sheetName val="투찰내역"/>
      <sheetName val="2차공사변경현장관리비"/>
      <sheetName val="토공산출(주차장)"/>
      <sheetName val="배수내역"/>
      <sheetName val="설계도1"/>
      <sheetName val="기초(1)"/>
      <sheetName val="공성대비표"/>
      <sheetName val="토목내역서 (도급단가)렀ꔇ砯"/>
      <sheetName val="환경기계공정표 (3)"/>
      <sheetName val="사통공사비"/>
      <sheetName val="산근터빈"/>
      <sheetName val="__"/>
      <sheetName val="등가관장표"/>
      <sheetName val="적현로"/>
      <sheetName val="설치자재"/>
      <sheetName val="그림"/>
      <sheetName val="구성1"/>
      <sheetName val="구성2"/>
      <sheetName val="구성3"/>
      <sheetName val="구성4"/>
      <sheetName val="그림2"/>
      <sheetName val="Mc1"/>
      <sheetName val="90.03실행 "/>
      <sheetName val="원내역"/>
      <sheetName val="청구내역(9807)"/>
      <sheetName val="내역(최종본4.5)"/>
      <sheetName val="종단耀⃤"/>
      <sheetName val="G2설비도급"/>
      <sheetName val="RE9604"/>
      <sheetName val="영업소실적"/>
      <sheetName val="97노임단가"/>
      <sheetName val="공종분류"/>
      <sheetName val="예산서"/>
      <sheetName val="5. FIREPROOF"/>
      <sheetName val="준공조서"/>
      <sheetName val="공사준공계"/>
      <sheetName val="준공검사보고서"/>
      <sheetName val="당초내역서"/>
      <sheetName val="주공 갑지"/>
      <sheetName val="인건비 "/>
      <sheetName val="3련 BOX"/>
      <sheetName val="평균높이산출근거"/>
      <sheetName val="횡배수관위치조서"/>
      <sheetName val="VXXXXXX"/>
      <sheetName val="골조시행"/>
      <sheetName val="장비투입계획"/>
      <sheetName val="직원투입계획"/>
      <sheetName val="배수공 시멘트 및 골재량 산출"/>
      <sheetName val="예가대비"/>
      <sheetName val="터널조도"/>
      <sheetName val="과천MAIN"/>
      <sheetName val="BND"/>
      <sheetName val="P.M 별"/>
      <sheetName val="자재코드"/>
      <sheetName val="TB-내역서"/>
      <sheetName val="연부97-1"/>
      <sheetName val="예산대비"/>
      <sheetName val="기계시공"/>
      <sheetName val="샤워실위생"/>
      <sheetName val="방음벽기초"/>
      <sheetName val="가격조사서"/>
      <sheetName val="VENDOR LIST"/>
      <sheetName val="다곡2교"/>
      <sheetName val="예산총괄표"/>
      <sheetName val="A 견적"/>
      <sheetName val="예산명세서"/>
      <sheetName val="工완성공사율"/>
      <sheetName val="기계경비(시간당)"/>
      <sheetName val="김포IO"/>
      <sheetName val="일지-H"/>
      <sheetName val="약전닥트"/>
      <sheetName val="FD"/>
      <sheetName val="건축부하"/>
      <sheetName val="FA설치명세"/>
      <sheetName val="99관저"/>
      <sheetName val="내역(청마- (2)"/>
      <sheetName val="집수정"/>
      <sheetName val="토적1"/>
      <sheetName val="샘플표지"/>
      <sheetName val="MTL$-INTER"/>
      <sheetName val="HW일위"/>
      <sheetName val="Ext__Stone-P1"/>
      <sheetName val="ES대장_양식1"/>
      <sheetName val="실정보고현황_(2)1"/>
      <sheetName val="포항상수도_(2)1"/>
      <sheetName val="시화아파트보증현황_(2)1"/>
      <sheetName val="도담구내_개소별_명세1"/>
      <sheetName val="1_수인터널1"/>
      <sheetName val="일위(거제)_1"/>
      <sheetName val="내역(청마)_(2)1"/>
      <sheetName val="공사_Scope_표지1"/>
      <sheetName val="공사_Scope1"/>
      <sheetName val="목동세대_산출근거1"/>
      <sheetName val="11_1_단면hwp1"/>
      <sheetName val="2000_051"/>
      <sheetName val="1단지_단위세대_내역서1"/>
      <sheetName val="제수변_수량집계표(보통)1"/>
      <sheetName val="선정_14"/>
      <sheetName val="선정_24"/>
      <sheetName val="선정_34"/>
      <sheetName val="선정_44"/>
      <sheetName val="선정_54"/>
      <sheetName val="설_계4"/>
      <sheetName val="입출재고현황_(2)4"/>
      <sheetName val="7_가스4"/>
      <sheetName val="준검_내역서4"/>
      <sheetName val="BSD_(2)4"/>
      <sheetName val="G_R300경비4"/>
      <sheetName val="단면_(2)4"/>
      <sheetName val="1_취수장4"/>
      <sheetName val="EQUIPMENT_-24"/>
      <sheetName val="IMPEADENCE_MAP_취수장4"/>
      <sheetName val="소요자금청구서_10월4"/>
      <sheetName val="공사대금_12월4"/>
      <sheetName val="장비_12월4"/>
      <sheetName val="서화12월_4"/>
      <sheetName val="팔팔건기_(2)4"/>
      <sheetName val="Sheet1_(2)4"/>
      <sheetName val="AIR_SHOWER(3인용)4"/>
      <sheetName val="3_공통공사대비3"/>
      <sheetName val="DATA_입력란4"/>
      <sheetName val="1__설계조건_2_단면가정_3__하중계산4"/>
      <sheetName val="1_설계조건3"/>
      <sheetName val="현장관리비_산출내역3"/>
      <sheetName val="2_대외공문4"/>
      <sheetName val="전차선로_물량표4"/>
      <sheetName val="내역서_4"/>
      <sheetName val="실행내역서_3"/>
      <sheetName val="입출재고현황__2_3"/>
      <sheetName val="단가_및_재료비3"/>
      <sheetName val="토공(우물통,기타)_3"/>
      <sheetName val="전화번호DATA_(2001)3"/>
      <sheetName val="4-3_보온_기본물량집계3"/>
      <sheetName val="Requirement(Work_Crew)3"/>
      <sheetName val="8_PILE__(돌출)3"/>
      <sheetName val="6PILE__(돌출)2"/>
      <sheetName val="unit_42"/>
      <sheetName val="_ｹ-ﾌﾞﾙ2"/>
      <sheetName val="플랜트_설치2"/>
      <sheetName val="WEIGHT_LIST2"/>
      <sheetName val="산#2-1_(2)2"/>
      <sheetName val="7_전산해석결과2"/>
      <sheetName val="4_하중2"/>
      <sheetName val="2000,9월_일위2"/>
      <sheetName val="실행기성_갑지2"/>
      <sheetName val="3_32"/>
      <sheetName val="토목내역서_(도급단가)_(2)2"/>
      <sheetName val="MSG_수량2"/>
      <sheetName val="1_전력공사2"/>
      <sheetName val="8_DC2"/>
      <sheetName val="3_전열2"/>
      <sheetName val="2_조명제어2"/>
      <sheetName val="REINF_2"/>
      <sheetName val="사본_-_b_balju2"/>
      <sheetName val="2_입력sheet2"/>
      <sheetName val="반중력식옹벽3_52"/>
      <sheetName val="귀래_설계_공내역서2"/>
      <sheetName val="총괄집계_2"/>
      <sheetName val="Customer_Databas2"/>
      <sheetName val="별표_2"/>
      <sheetName val="아스팔트_포장총괄집계표2"/>
      <sheetName val="BEND_LOSS2"/>
      <sheetName val="1_토공2"/>
      <sheetName val="_토목_처리장도급내역서_2"/>
      <sheetName val="96보완계획7_122"/>
      <sheetName val="7_PILE__(돌출)2"/>
      <sheetName val="참조_(2)2"/>
      <sheetName val="상_부2"/>
      <sheetName val="3BL공동구_수량2"/>
      <sheetName val="제출내역_(2)2"/>
      <sheetName val="방배동내역_(총괄)2"/>
      <sheetName val="2_단면가정3_모델링4_하중2"/>
      <sheetName val="광통신_견적내역서12"/>
      <sheetName val="TRE_TABLE2"/>
      <sheetName val="PROJECT_BRIEF(EX_NEW)2"/>
      <sheetName val="활성탄_여과지토공2"/>
      <sheetName val="세골재__T2_변경_현황2"/>
      <sheetName val="_일본대사_관저_누수_보수공사120719_xlsx2"/>
      <sheetName val="Ext__Stone-P2"/>
      <sheetName val="ES대장_양식2"/>
      <sheetName val="실정보고현황_(2)2"/>
      <sheetName val="포항상수도_(2)2"/>
      <sheetName val="시화아파트보증현황_(2)2"/>
      <sheetName val="표__지2"/>
      <sheetName val="수_량_명_세_서_-_12"/>
      <sheetName val="도담구내_개소별_명세2"/>
      <sheetName val="1_수인터널2"/>
      <sheetName val="일위(거제)_2"/>
      <sheetName val="내역(청마)_(2)2"/>
      <sheetName val="공사_Scope_표지2"/>
      <sheetName val="공사_Scope2"/>
      <sheetName val="목동세대_산출근거2"/>
      <sheetName val="11_1_단면hwp2"/>
      <sheetName val="2000_052"/>
      <sheetName val="1단지_단위세대_내역서2"/>
      <sheetName val="제수변_수량집계표(보통)2"/>
      <sheetName val="구조     ."/>
      <sheetName val="수주추정"/>
      <sheetName val="업체별기성내역"/>
      <sheetName val="추진계획서"/>
      <sheetName val="능률(기성怀"/>
      <sheetName val="능률(기성쀀"/>
      <sheetName val="능률(기성砀"/>
      <sheetName val="능률(기성԰"/>
      <sheetName val="능률(기성倀"/>
      <sheetName val="능률(기성ጀ"/>
      <sheetName val="능률(기성䠀"/>
      <sheetName val="능률(기성 "/>
      <sheetName val="구조"/>
      <sheetName val="BOX(1.5X1.5)"/>
      <sheetName val="전문품"/>
      <sheetName val="난이도"/>
      <sheetName val="단가산출2"/>
      <sheetName val="중기사용료산출근거"/>
      <sheetName val="제잡비요율"/>
      <sheetName val="설비"/>
      <sheetName val="집계장(대목_실행)"/>
      <sheetName val="하도급업체"/>
      <sheetName val="제경餀ኘ"/>
      <sheetName val="남양시작동010313100%"/>
      <sheetName val="공사개요(¡"/>
      <sheetName val="CB"/>
      <sheetName val="변화치수"/>
      <sheetName val="mcc일위대가"/>
      <sheetName val="재료단가"/>
      <sheetName val="암거날개벽재료집계"/>
      <sheetName val="근로자자료입력"/>
      <sheetName val="3지구단위"/>
      <sheetName val="하천제원"/>
      <sheetName val="Pier 3"/>
      <sheetName val="(포장)BOQ-실적공ꀀ"/>
      <sheetName val="Paint,Fire-Proof,Insul(48)"/>
      <sheetName val="기초단가"/>
      <sheetName val="CABLE SIZE-3"/>
      <sheetName val="총괄표(을)"/>
      <sheetName val="대운산출"/>
      <sheetName val="현장관리贈%͈"/>
      <sheetName val="음성cable"/>
      <sheetName val="WE轰翟"/>
      <sheetName val="WE鈀쑷"/>
      <sheetName val="WE述쑷"/>
      <sheetName val="WE鐠犘"/>
      <sheetName val="WE犘"/>
      <sheetName val="1.전_x0010_"/>
      <sheetName val="1.전׃"/>
      <sheetName val="WE軐鳅"/>
      <sheetName val="WE賀鳅"/>
      <sheetName val="국내조달(朌Õ羈ᕑ_x0000_"/>
      <sheetName val="2002공임"/>
      <sheetName val="2002자재가격"/>
      <sheetName val="파일항타"/>
      <sheetName val="BSD _2_"/>
      <sheetName val="빙축열내역대_x0000__x0000__x0005__x0000_憐"/>
      <sheetName val="EVALUATE"/>
      <sheetName val="분야별 집계표"/>
      <sheetName val="인테리어"/>
      <sheetName val="원가계산서(인테리어)"/>
      <sheetName val="공종별집계표(인테리어)"/>
      <sheetName val="공종별내역서(인테리어)"/>
      <sheetName val="기계설비"/>
      <sheetName val="원가계산서(기계설비)"/>
      <sheetName val="공종별집계표(기계설비)"/>
      <sheetName val="공종별내역서(기계설비)"/>
      <sheetName val="원가(전기)"/>
      <sheetName val="총괄표(전기)"/>
      <sheetName val="내역서(전기)"/>
      <sheetName val="통신"/>
      <sheetName val="원가(통신)"/>
      <sheetName val="총괄표(통신)"/>
      <sheetName val="내역서(통신)"/>
      <sheetName val="소방설비"/>
      <sheetName val="원가계산서(소방설비)"/>
      <sheetName val="공종별집계표(소방설비)"/>
      <sheetName val="공종별내역서(소방설비)"/>
      <sheetName val="소방전기"/>
      <sheetName val="원가(소방전기)"/>
      <sheetName val="총괄표(소방전기)"/>
      <sheetName val="내역서(소방전기)"/>
      <sheetName val="중기단가목록"/>
      <sheetName val="중기단가산출서"/>
      <sheetName val=" 공사설정 "/>
      <sheetName val="경비_원본"/>
      <sheetName val="원가산출근거"/>
      <sheetName val="Macro(전선)"/>
      <sheetName val="빙축열내역대_x0000__x0000__x0005__x0000_鲀"/>
      <sheetName val="날개벽(좌,우=60"/>
      <sheetName val="SRC-B3U2"/>
      <sheetName val="기성2"/>
      <sheetName val="기본일위"/>
      <sheetName val="단가입력창"/>
      <sheetName val="콘크리트"/>
      <sheetName val="선수금"/>
      <sheetName val="Master Schedule_161025.xlsx"/>
      <sheetName val="계약정보"/>
      <sheetName val="착공-공문"/>
      <sheetName val="착공계"/>
      <sheetName val="예정공정표"/>
      <sheetName val="현장대리인계"/>
      <sheetName val="수첩사본"/>
      <sheetName val="재직증명서"/>
      <sheetName val="위임장"/>
      <sheetName val="계약내역서"/>
      <sheetName val="계약내역서-1"/>
      <sheetName val="인원장비투입"/>
      <sheetName val="안전관리계획서"/>
      <sheetName val="산업안전보건관리비사용계획서"/>
      <sheetName val="환경관리계획서"/>
      <sheetName val="환경보전비사용계획서"/>
      <sheetName val="품질관리"/>
      <sheetName val="착공전사진표지"/>
      <sheetName val="사진대지"/>
      <sheetName val="주배관TYPE현황"/>
      <sheetName val="현장식당(1)"/>
      <sheetName val="열린교실"/>
      <sheetName val="물량내역"/>
      <sheetName val="비용"/>
      <sheetName val="기초ၒ_x0000_"/>
      <sheetName val="갈현동"/>
      <sheetName val="기초_x0000__x0000_"/>
      <sheetName val="말뚝설계"/>
      <sheetName val="최적단면"/>
      <sheetName val="산출근거1"/>
      <sheetName val="(C)원내역"/>
      <sheetName val="설계가"/>
      <sheetName val="중로근거"/>
      <sheetName val="묘발입력"/>
      <sheetName val="변경총괄표"/>
      <sheetName val="공동도급 지분"/>
      <sheetName val="첨부(원가상승분석)"/>
      <sheetName val="내역검토"/>
      <sheetName val="재무가정"/>
      <sheetName val="뜃맟뭁돽띿맟_-BLDG"/>
      <sheetName val="시설물일위"/>
      <sheetName val="내역서 표지 "/>
      <sheetName val="원가계산서(전기)"/>
      <sheetName val="예산"/>
      <sheetName val="가공비"/>
      <sheetName val="공사비총괄표"/>
      <sheetName val="5단지"/>
      <sheetName val="내역서(당초변경)"/>
      <sheetName val="SCHE"/>
      <sheetName val="UPRI"/>
      <sheetName val="기성"/>
      <sheetName val="기계단가"/>
      <sheetName val="계획고"/>
      <sheetName val="AHU집계"/>
      <sheetName val="공조기휀"/>
      <sheetName val="Definitions"/>
      <sheetName val="Material&amp;Equipment"/>
      <sheetName val="EP0618"/>
      <sheetName val="아스팔트 포장총괄집계㕈"/>
      <sheetName val="건축원가"/>
      <sheetName val="날개벽(좌,우=60_x0000__x0000__x0005__x0000_銠"/>
      <sheetName val="COVER"/>
      <sheetName val="조명 _x0000_"/>
      <sheetName val="각종장비닑⾂_x0005__x0000__x0000_"/>
      <sheetName val="각종장비׃⽯_x0000__x0000_▰_x0000_"/>
      <sheetName val=" 토목 처리장도_xd804_㉙_x0005_"/>
      <sheetName val="토목내역서 (도급단가) (_x0000__x0000_"/>
      <sheetName val="선정.ဲ"/>
      <sheetName val="전문޸á"/>
      <sheetName val="부대공사"/>
      <sheetName val="95M㦘&quot;ｐɉ"/>
      <sheetName val="95M㑸4鉨M"/>
      <sheetName val="빙축열내역대"/>
      <sheetName val="Sheet13"/>
      <sheetName val="Sheet14"/>
      <sheetName val="단중표-ST"/>
      <sheetName val="기존단가 (2)"/>
      <sheetName val="별제권_정ԯ_x0000_缀_x0000_"/>
      <sheetName val="별제권_정ﻔ_xded5_ԯ_x0000_"/>
      <sheetName val="별제권_정ﻔᣕԯ_x0000_"/>
      <sheetName val="별제권_정ﻔ⫕ԯ_x0000_"/>
      <sheetName val="COVER-P"/>
      <sheetName val="부안변전"/>
      <sheetName val="세부내역서"/>
      <sheetName val="물가자료"/>
      <sheetName val="시점교대"/>
      <sheetName val="상부집계_x0005_"/>
      <sheetName val="상부집계誀"/>
      <sheetName val="상부집계"/>
      <sheetName val="물질수지"/>
      <sheetName val="선정_15"/>
      <sheetName val="선정_25"/>
      <sheetName val="선정_35"/>
      <sheetName val="선정_45"/>
      <sheetName val="선정_55"/>
      <sheetName val="설_계5"/>
      <sheetName val="입출재고현황_(2)5"/>
      <sheetName val="G_R300경비5"/>
      <sheetName val="BSD_(2)5"/>
      <sheetName val="7_가스5"/>
      <sheetName val="준검_내역서5"/>
      <sheetName val="Sheet1_(2)5"/>
      <sheetName val="단면_(2)5"/>
      <sheetName val="1_취수장5"/>
      <sheetName val="IMPEADENCE_MAP_취수장5"/>
      <sheetName val="1_설계조건4"/>
      <sheetName val="EQUIPMENT_-25"/>
      <sheetName val="소요자금청구서_10월5"/>
      <sheetName val="공사대금_12월5"/>
      <sheetName val="장비_12월5"/>
      <sheetName val="서화12월_5"/>
      <sheetName val="팔팔건기_(2)5"/>
      <sheetName val="DATA_입력란5"/>
      <sheetName val="1__설계조건_2_단면가정_3__하중계산5"/>
      <sheetName val="현장관리비_산출내역4"/>
      <sheetName val="전화번호DATA_(2001)4"/>
      <sheetName val="2_대외공문5"/>
      <sheetName val="내역서_5"/>
      <sheetName val="8_PILE__(돌출)4"/>
      <sheetName val="AIR_SHOWER(3인용)5"/>
      <sheetName val="3_공통공사대비4"/>
      <sheetName val="실행내역서_4"/>
      <sheetName val="입출재고현황__2_4"/>
      <sheetName val="전차선로_물량표5"/>
      <sheetName val="단가_및_재료비4"/>
      <sheetName val="4-3_보온_기본물량집계4"/>
      <sheetName val="Requirement(Work_Crew)4"/>
      <sheetName val="실행기성_갑지3"/>
      <sheetName val="unit_43"/>
      <sheetName val="토공(우물통,기타)_4"/>
      <sheetName val="6PILE__(돌출)3"/>
      <sheetName val="_ｹ-ﾌﾞﾙ3"/>
      <sheetName val="7_전산해석결과3"/>
      <sheetName val="4_하중3"/>
      <sheetName val="플랜트_설치3"/>
      <sheetName val="WEIGHT_LIST3"/>
      <sheetName val="산#2-1_(2)3"/>
      <sheetName val="3_33"/>
      <sheetName val="1_전력공사3"/>
      <sheetName val="8_DC3"/>
      <sheetName val="3_전열3"/>
      <sheetName val="2_조명제어3"/>
      <sheetName val="2000,9월_일위3"/>
      <sheetName val="토목내역서_(도급단가)_(2)3"/>
      <sheetName val="귀래_설계_공내역서3"/>
      <sheetName val="아스팔트_포장총괄집계표3"/>
      <sheetName val="별표_3"/>
      <sheetName val="Customer_Databas3"/>
      <sheetName val="총괄집계_3"/>
      <sheetName val="MSG_수량3"/>
      <sheetName val="2_입력sheet3"/>
      <sheetName val="반중력식옹벽3_53"/>
      <sheetName val="사본_-_b_balju3"/>
      <sheetName val="REINF_3"/>
      <sheetName val="BEND_LOSS3"/>
      <sheetName val="_토목_처리장도급내역서_3"/>
      <sheetName val="1_토공3"/>
      <sheetName val="조건_(A)3"/>
      <sheetName val="방배동내역_(총괄)3"/>
      <sheetName val="Ext__Stone-P3"/>
      <sheetName val="3BL공동구_수량3"/>
      <sheetName val="활성탄_여과지토공3"/>
      <sheetName val="96보완계획7_123"/>
      <sheetName val="상_부3"/>
      <sheetName val="참조_(2)3"/>
      <sheetName val="제출내역_(2)3"/>
      <sheetName val="세골재__T2_변경_현황3"/>
      <sheetName val="TRE_TABLE3"/>
      <sheetName val="2_단면가정3_모델링4_하중3"/>
      <sheetName val="7_PILE__(돌출)3"/>
      <sheetName val="PROJECT_BRIEF(EX_NEW)3"/>
      <sheetName val="광통신_견적내역서13"/>
      <sheetName val="_일본대사_관저_누수_보수공사120719_xlsx3"/>
      <sheetName val="ES대장_양식3"/>
      <sheetName val="실정보고현황_(2)3"/>
      <sheetName val="포항상수도_(2)3"/>
      <sheetName val="시화아파트보증현황_(2)3"/>
      <sheetName val="1_수인터널3"/>
      <sheetName val="일위(거제)_3"/>
      <sheetName val="내역(청마)_(2)3"/>
      <sheetName val="공사_Scope_표지3"/>
      <sheetName val="공사_Scope3"/>
      <sheetName val="제수변_수량집계표(보통)3"/>
      <sheetName val="2000_053"/>
      <sheetName val="표__지3"/>
      <sheetName val="목동세대_산출근거3"/>
      <sheetName val="도담구내_개소별_명세3"/>
      <sheetName val="수_량_명_세_서_-_13"/>
      <sheetName val="4_장비손료1"/>
      <sheetName val="11_1_단면hwp3"/>
      <sheetName val="3_하중산정4_지지력1"/>
      <sheetName val="설산1_나1"/>
      <sheetName val="내역서_(2)1"/>
      <sheetName val="단양_00_아파트-세부내역1"/>
      <sheetName val="1단지_단위세대_내역서3"/>
      <sheetName val="4_2_1_마루높이_검토"/>
      <sheetName val="공사개요(¡Ԁ䀀횶_"/>
      <sheetName val="1_우편집중내역서"/>
      <sheetName val="1공구_배수통관_산출근거"/>
      <sheetName val="A_견적"/>
      <sheetName val="5__FIREPROOF"/>
      <sheetName val="2_주요계수총괄"/>
      <sheetName val="인건비_"/>
      <sheetName val="P_M_별"/>
      <sheetName val="3련_BOX"/>
      <sheetName val="배수공_시멘트_및_골재량_산출"/>
      <sheetName val="90_03실행_"/>
      <sheetName val="내역(최종본4_5)"/>
      <sheetName val="내역(청마-_(2)"/>
      <sheetName val="1_전"/>
      <sheetName val="1_전׃"/>
      <sheetName val="토목내역서_(도급단가)렀ꔇ砯"/>
      <sheetName val="환경기계공정표_(3)"/>
      <sheetName val="주공_갑지"/>
      <sheetName val="VENDOR_LIST"/>
      <sheetName val="BOX(1_5X1_5)"/>
      <sheetName val="구조______"/>
      <sheetName val="CABLE_SIZE-3"/>
      <sheetName val="Pier_3"/>
      <sheetName val="분야별_집계표"/>
      <sheetName val="_공사설정_"/>
      <sheetName val="EQT-ESTN"/>
      <sheetName val="토적??"/>
      <sheetName val="총체보활偤°"/>
      <sheetName val="여수토토적"/>
      <sheetName val="증감내역서"/>
      <sheetName val="수목단가"/>
      <sheetName val="토목내역서 (도급단_x0000__x0000__x0005__x0000_퍀ӷ"/>
      <sheetName val="FAB4생산"/>
      <sheetName val="빙축열내역대비입_x0000__x0000__x0005_"/>
      <sheetName val="내역(협의)"/>
      <sheetName val="현장관리_x0000__x0000__x0000_"/>
      <sheetName val="STS내역서"/>
      <sheetName val="단위량당중기"/>
      <sheetName val="실행품의서"/>
      <sheetName val="cable산출"/>
      <sheetName val="choၒ_x0000__x0000_"/>
      <sheetName val="20관리비율"/>
      <sheetName val="토적계산서"/>
      <sheetName val="투찰_x0000__x0000__x0005__x0000_"/>
      <sheetName val="별제권_정ԯ"/>
      <sheetName val="자재가격"/>
      <sheetName val="내역및"/>
      <sheetName val="월간"/>
      <sheetName val="40총괄"/>
      <sheetName val="(포장)BOQ-실_x0005__x0000_"/>
      <sheetName val="(포장)BOQ-실_x0000__x0000_界"/>
      <sheetName val="필리핀전용요청"/>
      <sheetName val="능률(기성䀀"/>
      <sheetName val="능률(기성쌌"/>
      <sheetName val="능률(기성鬀"/>
      <sheetName val="능률(기성⠀"/>
      <sheetName val="능률(기성/"/>
      <sheetName val="능률(기성쌑"/>
      <sheetName val="능률(기성쌔"/>
      <sheetName val="능률(기성က"/>
      <sheetName val="능률(기성쌈"/>
      <sheetName val="공통부'ሀ"/>
      <sheetName val="토목내역서 (_x0000__x0000_Ԁ_x0000_倀䞓ꜙ_x0001__x0000_"/>
      <sheetName val="토목내역서 (ⶌ쌈괅/_x0000_ꠀp_x0000_"/>
      <sheetName val="삼성전기"/>
      <sheetName val="J100"/>
      <sheetName val="Financ. Overview"/>
      <sheetName val="Toolbox"/>
      <sheetName val="变量单"/>
      <sheetName val="화전내"/>
      <sheetName val="월별"/>
      <sheetName val="월별뀀"/>
      <sheetName val="시설장비"/>
      <sheetName val="맨홀공제"/>
      <sheetName val="접속도로1"/>
      <sheetName val="접속도로"/>
      <sheetName val="사업내역"/>
      <sheetName val="우각부보강"/>
      <sheetName val="횡 연장"/>
      <sheetName val="공작물조직표(용배수)"/>
      <sheetName val="날개수량1.5"/>
      <sheetName val="계산서(곡선부)"/>
      <sheetName val="위치"/>
      <sheetName val="VA_code"/>
      <sheetName val="유입부 (2)"/>
      <sheetName val="유입부"/>
      <sheetName val="HO ENG MH CAL"/>
      <sheetName val="견적서(토공曘"/>
      <sheetName val="가정급수관"/>
      <sheetName val="교각(P1)수량"/>
      <sheetName val="교대시점"/>
      <sheetName val="2.조명제¬"/>
      <sheetName val="당초"/>
      <sheetName val="노임(1차)"/>
      <sheetName val="토목내역서 (도급단가)ꗝ1푘ᛐ"/>
      <sheetName val="토목내역서 (도급단가)Ȍ_x0000_釈ɡ"/>
      <sheetName val="본공사"/>
      <sheetName val="원형1호맨홀토공수량"/>
      <sheetName val="호형별물량"/>
      <sheetName val="토목내역서 (도급단"/>
      <sheetName val="안산기계장치"/>
      <sheetName val="천방교접속"/>
      <sheetName val="대포2교접속"/>
      <sheetName val="CPM챠트"/>
      <sheetName val="95M槜で_x0000__x0000_"/>
      <sheetName val="기초촠ͻ"/>
      <sheetName val="가공"/>
      <sheetName val="간지"/>
      <sheetName val="SIL9惥"/>
      <sheetName val="퇴직금(울산천상)"/>
      <sheetName val="각종장비닑⾂_x0005_"/>
      <sheetName val="각종장비׃⽯"/>
      <sheetName val="수지예산"/>
      <sheetName val="음성방향"/>
      <sheetName val="기초일위"/>
      <sheetName val="식재수량표"/>
      <sheetName val="식재일위"/>
      <sheetName val="공정회의자료(월요일 10시까지)"/>
      <sheetName val="일위대가D"/>
      <sheetName val="95M萘Ä헾〃"/>
      <sheetName val="토목내역서 ("/>
      <sheetName val="토목내역서 (ⶌ쌈괅/"/>
      <sheetName val="교대"/>
      <sheetName val="95M_x0000__x0000__x0005__x0000_"/>
      <sheetName val="95M槜〽_x0000__x0000_"/>
      <sheetName val="전 기"/>
      <sheetName val="DATA2000"/>
      <sheetName val="설계변경내역서"/>
      <sheetName val="95M槜⿙_x0000__x0000_"/>
      <sheetName val="HX"/>
      <sheetName val="제안서"/>
      <sheetName val="행정표준(1)"/>
      <sheetName val="행정표준(2)"/>
      <sheetName val="예산서新"/>
      <sheetName val="부대(갑)"/>
      <sheetName val="아파트(갑)"/>
      <sheetName val="빙축열내역대비입"/>
      <sheetName val="선정_16"/>
      <sheetName val="선정_26"/>
      <sheetName val="선정_36"/>
      <sheetName val="선정_46"/>
      <sheetName val="선정_56"/>
      <sheetName val="입출재고현황_(2)6"/>
      <sheetName val="설_계6"/>
      <sheetName val="7_가스6"/>
      <sheetName val="준검_내역서6"/>
      <sheetName val="BSD_(2)6"/>
      <sheetName val="단면_(2)6"/>
      <sheetName val="1_취수장6"/>
      <sheetName val="G_R300경비6"/>
      <sheetName val="소요자금청구서_10월6"/>
      <sheetName val="공사대금_12월6"/>
      <sheetName val="장비_12월6"/>
      <sheetName val="서화12월_6"/>
      <sheetName val="팔팔건기_(2)6"/>
      <sheetName val="EQUIPMENT_-26"/>
      <sheetName val="Sheet1_(2)6"/>
      <sheetName val="AIR_SHOWER(3인용)6"/>
      <sheetName val="3_공통공사대비5"/>
      <sheetName val="DATA_입력란6"/>
      <sheetName val="1__설계조건_2_단면가정_3__하중계산6"/>
      <sheetName val="IMPEADENCE_MAP_취수장6"/>
      <sheetName val="내역서_6"/>
      <sheetName val="전차선로_물량표6"/>
      <sheetName val="단가_및_재료비5"/>
      <sheetName val="현장관리비_산출내역5"/>
      <sheetName val="전화번호DATA_(2001)5"/>
      <sheetName val="1_설계조건5"/>
      <sheetName val="2_대외공문6"/>
      <sheetName val="실행내역서_5"/>
      <sheetName val="입출재고현황__2_5"/>
      <sheetName val="Requirement(Work_Crew)5"/>
      <sheetName val="8_PILE__(돌출)5"/>
      <sheetName val="4-3_보온_기본물량집계5"/>
      <sheetName val="토공(우물통,기타)_5"/>
      <sheetName val="6PILE__(돌출)4"/>
      <sheetName val="실행기성_갑지4"/>
      <sheetName val="unit_44"/>
      <sheetName val="토목내역서_(도급단가)_(2)4"/>
      <sheetName val="7_전산해석결과4"/>
      <sheetName val="4_하중4"/>
      <sheetName val="플랜트_설치4"/>
      <sheetName val="_ｹ-ﾌﾞﾙ4"/>
      <sheetName val="2000,9월_일위4"/>
      <sheetName val="1_전력공사4"/>
      <sheetName val="8_DC4"/>
      <sheetName val="3_전열4"/>
      <sheetName val="2_조명제어4"/>
      <sheetName val="WEIGHT_LIST4"/>
      <sheetName val="산#2-1_(2)4"/>
      <sheetName val="3_34"/>
      <sheetName val="MSG_수량4"/>
      <sheetName val="별표_4"/>
      <sheetName val="Customer_Databas4"/>
      <sheetName val="총괄집계_4"/>
      <sheetName val="아스팔트_포장총괄집계표4"/>
      <sheetName val="귀래_설계_공내역서4"/>
      <sheetName val="1_토공4"/>
      <sheetName val="반중력식옹벽3_54"/>
      <sheetName val="2_입력sheet4"/>
      <sheetName val="96보완계획7_124"/>
      <sheetName val="BEND_LOSS4"/>
      <sheetName val="사본_-_b_balju4"/>
      <sheetName val="참조_(2)4"/>
      <sheetName val="_토목_처리장도급내역서_4"/>
      <sheetName val="방배동내역_(총괄)4"/>
      <sheetName val="REINF_4"/>
      <sheetName val="조건_(A)4"/>
      <sheetName val="상_부4"/>
      <sheetName val="3BL공동구_수량4"/>
      <sheetName val="제출내역_(2)4"/>
      <sheetName val="Ext__Stone-P4"/>
      <sheetName val="활성탄_여과지토공4"/>
      <sheetName val="세골재__T2_변경_현황4"/>
      <sheetName val="TRE_TABLE4"/>
      <sheetName val="2_단면가정3_모델링4_하중4"/>
      <sheetName val="7_PILE__(돌출)4"/>
      <sheetName val="PROJECT_BRIEF(EX_NEW)4"/>
      <sheetName val="광통신_견적내역서14"/>
      <sheetName val="_일본대사_관저_누수_보수공사120719_xlsx4"/>
      <sheetName val="ES대장_양식4"/>
      <sheetName val="실정보고현황_(2)4"/>
      <sheetName val="포항상수도_(2)4"/>
      <sheetName val="시화아파트보증현황_(2)4"/>
      <sheetName val="1_수인터널4"/>
      <sheetName val="일위(거제)_4"/>
      <sheetName val="내역(청마)_(2)4"/>
      <sheetName val="공사_Scope_표지4"/>
      <sheetName val="공사_Scope4"/>
      <sheetName val="제수변_수량집계표(보통)4"/>
      <sheetName val="2000_054"/>
      <sheetName val="표__지4"/>
      <sheetName val="목동세대_산출근거4"/>
      <sheetName val="도담구내_개소별_명세4"/>
      <sheetName val="수_량_명_세_서_-_14"/>
      <sheetName val="4_장비손료2"/>
      <sheetName val="11_1_단면hwp4"/>
      <sheetName val="3_하중산정4_지지력2"/>
      <sheetName val="설산1_나2"/>
      <sheetName val="Ⅴ-2_공종별내역1"/>
      <sheetName val="내역서_(2)2"/>
      <sheetName val="단양_00_아파트-세부내역2"/>
      <sheetName val="4_전기1"/>
      <sheetName val="_1"/>
      <sheetName val="1단지_단위세대_내역서4"/>
      <sheetName val="1_개요및면적1"/>
      <sheetName val="총괄갑_1"/>
      <sheetName val="4_2_1_마루높이_검토1"/>
      <sheetName val="Layout_Data_1"/>
      <sheetName val="1_우편집중내역서1"/>
      <sheetName val="1공구_배수통관_산출근거1"/>
      <sheetName val="A_견적1"/>
      <sheetName val="5__FIREPROOF1"/>
      <sheetName val="2_주요계수총괄1"/>
      <sheetName val="인건비_1"/>
      <sheetName val="할증_1"/>
      <sheetName val="배수공_시멘트_및_골재량_산출1"/>
      <sheetName val="P_M_별1"/>
      <sheetName val="3련_BOX1"/>
      <sheetName val="90_03실행_1"/>
      <sheetName val="내역(최종본4_5)1"/>
      <sheetName val="내역(청마-_(2)1"/>
      <sheetName val="주공_갑지1"/>
      <sheetName val="VENDOR_LIST1"/>
      <sheetName val="BOX(1_5X1_5)1"/>
      <sheetName val="구조______1"/>
      <sheetName val="분야별_집계표1"/>
      <sheetName val="_공사설정_1"/>
      <sheetName val="Pier_31"/>
      <sheetName val="토목내역서_(도급단가)렀ꔇ砯1"/>
      <sheetName val="환경기계공정표_(3)1"/>
      <sheetName val="CABLE_SIZE-31"/>
      <sheetName val="1_전׃1"/>
      <sheetName val="토목내역서_(도급단가)_("/>
      <sheetName val="별제권_정ﻔԯ"/>
      <sheetName val="Master_Schedule_161025_xlsx"/>
      <sheetName val="조명_"/>
      <sheetName val="내역서_표지_"/>
      <sheetName val="아스팔트_포장총괄집계㕈"/>
      <sheetName val="공동도급_지분"/>
      <sheetName val="관로토공집계표"/>
      <sheetName val="일위(PN)"/>
      <sheetName val="토공a"/>
      <sheetName val="[추풍최종.xls]능률(기성/"/>
      <sheetName val="Eq. Mobilization"/>
      <sheetName val="토공운반 내역"/>
      <sheetName val="결재판"/>
      <sheetName val="[추풍최종.xls]A__KDS_PROJECT______2"/>
      <sheetName val="소방"/>
      <sheetName val="AILC004"/>
      <sheetName val="Quantity"/>
      <sheetName val="ESCON"/>
      <sheetName val="SITE-E"/>
      <sheetName val="6MONTHS"/>
      <sheetName val="MAIN GATE HOUSE"/>
      <sheetName val="Macro(차단기)"/>
      <sheetName val="RAB AR&amp;STR"/>
      <sheetName val="SEX"/>
      <sheetName val="Xuly Data"/>
      <sheetName val="A6"/>
      <sheetName val="7.3.2.D(BASE)_Sorting"/>
      <sheetName val="송전기본"/>
      <sheetName val="방배동내역(리라_x0000_"/>
      <sheetName val="예빐"/>
      <sheetName val="예酰"/>
      <sheetName val="예쁀"/>
      <sheetName val="사  업  비  수  지  예  산  서"/>
      <sheetName val="공예을"/>
      <sheetName val="일위대가-2"/>
      <sheetName val="BUD¬鐀"/>
      <sheetName val="BUDʬ_x0000_"/>
      <sheetName val="BUDఀ"/>
      <sheetName val="BUD劚_x0010_"/>
      <sheetName val="상부집계跀"/>
      <sheetName val="자재테이블"/>
      <sheetName val="내역_FILE"/>
      <sheetName val="설치공사䠍"/>
      <sheetName val="코드鄃"/>
      <sheetName val="맨홀토공(_x0000__x0000_"/>
      <sheetName val="철근량"/>
      <sheetName val="1_취수d_x0000_"/>
      <sheetName val="특별교실"/>
      <sheetName val="9609Aß"/>
      <sheetName val="SO416"/>
      <sheetName val="  한국 AMP ASP-23 판매가격  "/>
      <sheetName val="회차별합계"/>
      <sheetName val="BSM9601"/>
      <sheetName val="HCDec05"/>
      <sheetName val="별제권_정ﻔ?ԯ"/>
      <sheetName val=" 토목 처리장도?_x0005_"/>
      <sheetName val="바닥_x0000__x0000_Ā_x0000_"/>
      <sheetName val="[추풍최종.xls]A__KDS_PROJECT______3"/>
      <sheetName val="cho_x0000__x0000__x0005_"/>
      <sheetName val="구조물철거타_x0000__x0000_Ԁ_x0000_"/>
      <sheetName val="98지급계಺"/>
      <sheetName val="코드²"/>
      <sheetName val="대로"/>
      <sheetName val="WEON"/>
      <sheetName val="본선 토공 분배표"/>
      <sheetName val="지수적용공사비내역서"/>
      <sheetName val="[추풍최종.xls]A__KDS_PROJECT______4"/>
      <sheetName val="[추풍최종.xls]A__KDS_PROJECT______5"/>
      <sheetName val="확인서"/>
      <sheetName val="유형처분"/>
      <sheetName val="견적서세부내용"/>
      <sheetName val="견적내용입력"/>
      <sheetName val="발신정보"/>
      <sheetName val="입적6-10"/>
      <sheetName val="광꣒ô倀"/>
      <sheetName val="SUM"/>
      <sheetName val="지불내_x0000__x0000_"/>
      <sheetName val="_x0000__x000a__x0000__x0005__x0"/>
      <sheetName val="_x0000_ _x0000__x0005__x0000__x"/>
      <sheetName val="_x0000__x0009__x0000__x0005__x0"/>
      <sheetName val="빙축열내역대_x0000__x0000__x0005__x00"/>
      <sheetName val="날개벽(좌,우=60_x0000__x0000__x0005_"/>
      <sheetName val="토목내역서 (도급단_x0000__x0000__x0005_"/>
      <sheetName val="토목내역서 (_x0000__x0000_Ԁ_x0000_倀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/>
      <sheetData sheetId="1253"/>
      <sheetData sheetId="1254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/>
      <sheetData sheetId="1290" refreshError="1"/>
      <sheetData sheetId="1291" refreshError="1"/>
      <sheetData sheetId="1292" refreshError="1"/>
      <sheetData sheetId="1293" refreshError="1"/>
      <sheetData sheetId="1294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/>
      <sheetData sheetId="1435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/>
      <sheetData sheetId="1443"/>
      <sheetData sheetId="1444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/>
      <sheetData sheetId="1462"/>
      <sheetData sheetId="1463"/>
      <sheetData sheetId="1464"/>
      <sheetData sheetId="1465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/>
      <sheetData sheetId="1484" refreshError="1"/>
      <sheetData sheetId="1485" refreshError="1"/>
      <sheetData sheetId="1486" refreshError="1"/>
      <sheetData sheetId="1487" refreshError="1"/>
      <sheetData sheetId="1488"/>
      <sheetData sheetId="1489" refreshError="1"/>
      <sheetData sheetId="1490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/>
      <sheetData sheetId="1504"/>
      <sheetData sheetId="1505" refreshError="1"/>
      <sheetData sheetId="1506"/>
      <sheetData sheetId="1507" refreshError="1"/>
      <sheetData sheetId="1508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/>
      <sheetData sheetId="1701" refreshError="1"/>
      <sheetData sheetId="1702" refreshError="1"/>
      <sheetData sheetId="1703" refreshError="1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/>
      <sheetData sheetId="1805" refreshError="1"/>
      <sheetData sheetId="1806" refreshError="1"/>
      <sheetData sheetId="1807" refreshError="1"/>
      <sheetData sheetId="1808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/>
      <sheetData sheetId="2049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/>
      <sheetData sheetId="2242"/>
      <sheetData sheetId="2243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/>
      <sheetData sheetId="2267"/>
      <sheetData sheetId="2268" refreshError="1"/>
      <sheetData sheetId="2269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/>
      <sheetData sheetId="2279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결과조달"/>
      <sheetName val="laroux"/>
      <sheetName val="반포-봉암"/>
      <sheetName val="표지"/>
      <sheetName val="집계표"/>
      <sheetName val="변경예산안"/>
      <sheetName val="변경예산안 (2)"/>
      <sheetName val="입찰안"/>
      <sheetName val="차액보증"/>
      <sheetName val="기초코드"/>
      <sheetName val="조건표"/>
      <sheetName val="MAIN_TABLE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설계"/>
      <sheetName val="적격"/>
      <sheetName val="sw1"/>
      <sheetName val="일위(토목)"/>
      <sheetName val="입출재고현황 (2)"/>
      <sheetName val="교각1"/>
      <sheetName val="목표세부명세"/>
      <sheetName val="장비"/>
      <sheetName val="조도계산서 (도서)"/>
      <sheetName val="BID9697"/>
      <sheetName val="#REF"/>
      <sheetName val="예정(3)"/>
      <sheetName val="제출내역 (2)"/>
      <sheetName val="설계개요"/>
      <sheetName val="SG"/>
      <sheetName val="경비2내역"/>
      <sheetName val="수문보고"/>
      <sheetName val="내역"/>
      <sheetName val="교각계산"/>
      <sheetName val="보도경계블럭"/>
      <sheetName val="4.2.1 마루높이 검토"/>
      <sheetName val="단가"/>
      <sheetName val="SLAB&quot;1&quot;"/>
      <sheetName val="ABUT수량-A1"/>
      <sheetName val="하수급견적대비"/>
      <sheetName val="일위대가표"/>
      <sheetName val="Sheet1"/>
      <sheetName val="횡배수관토공수량"/>
      <sheetName val="BID"/>
      <sheetName val="steel data sheet"/>
      <sheetName val="cal"/>
      <sheetName val="부대공사비"/>
      <sheetName val="설 계"/>
      <sheetName val="Pier 3"/>
      <sheetName val="106C0300"/>
      <sheetName val="전체제잡비"/>
      <sheetName val="준검 내역서"/>
      <sheetName val="내역서"/>
      <sheetName val="IMPEADENCE MAP 취수장"/>
      <sheetName val="EQUIPMENT -2"/>
      <sheetName val="소요자재"/>
      <sheetName val="현장지지물물량"/>
      <sheetName val="금액내역서"/>
      <sheetName val="(1)본선수량집계"/>
      <sheetName val="노임"/>
      <sheetName val="인건비"/>
      <sheetName val="입찰"/>
      <sheetName val="현경"/>
      <sheetName val="백호우계수"/>
      <sheetName val="건축내역"/>
      <sheetName val="진접"/>
      <sheetName val="설치공사2"/>
      <sheetName val="2.대외공문"/>
      <sheetName val="BQ"/>
      <sheetName val="Sheet5"/>
      <sheetName val="입찰내역 발주처 양식"/>
      <sheetName val="sum1 (2)"/>
      <sheetName val="연돌일위집계"/>
      <sheetName val="음료실행"/>
      <sheetName val="공사비집계"/>
      <sheetName val="실행철강하도"/>
      <sheetName val="날개벽"/>
      <sheetName val="기초공"/>
      <sheetName val="일반공사"/>
      <sheetName val="기둥(원형)"/>
      <sheetName val="업체별통장계좌번호"/>
      <sheetName val="EP0618"/>
      <sheetName val="수량산출"/>
      <sheetName val="주현(해보)"/>
      <sheetName val="주현(영광)"/>
      <sheetName val="ilch"/>
      <sheetName val="NOMUBI"/>
      <sheetName val="일위대가목차"/>
      <sheetName val="터파기및재료"/>
      <sheetName val="출력표"/>
      <sheetName val="단면 (2)"/>
      <sheetName val="유림골조"/>
      <sheetName val="A-4"/>
      <sheetName val="공종별내역서(토목-1)"/>
      <sheetName val="노임단가"/>
      <sheetName val="자재단가"/>
      <sheetName val="내역서(전체)"/>
      <sheetName val="내역서 (08,07)"/>
      <sheetName val="공사비예산서(토목분)"/>
      <sheetName val="내역(중앙)"/>
      <sheetName val="내역(창신)"/>
      <sheetName val="철근단면적"/>
      <sheetName val="변경예산안_(2)"/>
      <sheetName val="1. 설계조건 2.단면가정 3. 하중계산"/>
      <sheetName val="DATA 입력란"/>
      <sheetName val="용산3(영광)"/>
      <sheetName val="Proposal"/>
      <sheetName val="6PILE  (돌출)"/>
      <sheetName val="ELECTRIC"/>
      <sheetName val="CTEMCOST"/>
      <sheetName val="SCHEDULE"/>
      <sheetName val="동원(3)"/>
      <sheetName val="1.설계조건"/>
      <sheetName val="Sheet6"/>
      <sheetName val="INPUT"/>
      <sheetName val="예산변경사항"/>
      <sheetName val="손익분석"/>
      <sheetName val="철거산출근거"/>
      <sheetName val="예가표"/>
      <sheetName val="관로토공집계표"/>
      <sheetName val="sort"/>
      <sheetName val="견적대비표"/>
      <sheetName val="신호기1"/>
      <sheetName val="2F 회의실견적(5_14 일대)"/>
      <sheetName val="주형"/>
      <sheetName val="시험물량산출"/>
      <sheetName val="설계조건"/>
      <sheetName val="단면검토"/>
      <sheetName val="침하계"/>
      <sheetName val="구역화물"/>
      <sheetName val="01"/>
      <sheetName val="전체철근집계"/>
      <sheetName val="청천내"/>
      <sheetName val="공정"/>
      <sheetName val="수량산출서"/>
      <sheetName val="연수동"/>
      <sheetName val="Customer Databas"/>
      <sheetName val="건축원가계산서"/>
      <sheetName val="산출근거"/>
      <sheetName val="일대"/>
      <sheetName val="Sheet3"/>
      <sheetName val="기초단가"/>
      <sheetName val="TRE TABLE"/>
      <sheetName val="DATA"/>
      <sheetName val="본선 토공 분배표"/>
      <sheetName val="건내역"/>
      <sheetName val="지급자재"/>
      <sheetName val="집계"/>
      <sheetName val="견적서"/>
      <sheetName val="FAB별"/>
      <sheetName val="총괄원가"/>
      <sheetName val="지분"/>
      <sheetName val="직불"/>
      <sheetName val="기성검사원 (2차분)"/>
      <sheetName val="기성부분산출서"/>
      <sheetName val="부하(성남)"/>
      <sheetName val="설비단가표"/>
      <sheetName val="국내"/>
      <sheetName val="가격조사서"/>
      <sheetName val="변경예산안_(2)1"/>
      <sheetName val="하도급기성_(2)"/>
      <sheetName val="하도급단가산출_(2)"/>
      <sheetName val="입출재고현황_(2)"/>
      <sheetName val="조도계산서_(도서)"/>
      <sheetName val="제출내역_(2)"/>
      <sheetName val="4_2_1_마루높이_검토"/>
      <sheetName val="steel_data_sheet"/>
      <sheetName val="설_계"/>
      <sheetName val="Pier_3"/>
      <sheetName val="준검_내역서"/>
      <sheetName val="IMPEADENCE_MAP_취수장"/>
      <sheetName val="EQUIPMENT_-2"/>
      <sheetName val="2_대외공문"/>
      <sheetName val="입찰내역_발주처_양식"/>
      <sheetName val="sum1_(2)"/>
      <sheetName val="단면_(2)"/>
      <sheetName val="내역서_(08,07)"/>
      <sheetName val="1__설계조건_2_단면가정_3__하중계산"/>
      <sheetName val="DATA_입력란"/>
      <sheetName val="6PILE__(돌출)"/>
      <sheetName val="1_설계조건"/>
      <sheetName val="2F_회의실견적(5_14_일대)"/>
      <sheetName val="Customer_Databas"/>
      <sheetName val="TRE_TABLE"/>
      <sheetName val="본선_토공_분배표"/>
      <sheetName val="기성검사원_(2차분)"/>
      <sheetName val="갑지"/>
      <sheetName val="밸브설치"/>
      <sheetName val="경상비"/>
      <sheetName val="부안일위"/>
      <sheetName val="2000년1차"/>
      <sheetName val="데이타"/>
      <sheetName val="산출내역서집계표"/>
      <sheetName val="일위대가"/>
      <sheetName val="정공공사"/>
      <sheetName val="원가계산"/>
      <sheetName val="실행대비"/>
      <sheetName val="공사개요"/>
      <sheetName val="1공구 건정토건 철콘"/>
      <sheetName val="2공구하도급내역서"/>
      <sheetName val="도급내역"/>
      <sheetName val="세부내역"/>
      <sheetName val="연결임시"/>
      <sheetName val="구조물공"/>
      <sheetName val="대비"/>
      <sheetName val="투찰추정"/>
      <sheetName val="도급내역5+800"/>
      <sheetName val="수목표준대가"/>
      <sheetName val="JUCKEYK"/>
      <sheetName val="토량1-1"/>
      <sheetName val="부대공"/>
      <sheetName val="도급금액"/>
      <sheetName val="재노경"/>
      <sheetName val="일위대가(가설)"/>
      <sheetName val="단위단가"/>
      <sheetName val="적현로"/>
      <sheetName val="배수공"/>
      <sheetName val="Sheet1 (2)"/>
      <sheetName val="변경내역서"/>
      <sheetName val="1공구 건정토건 토공"/>
      <sheetName val="식재인부"/>
      <sheetName val="경상직원"/>
      <sheetName val="조건"/>
      <sheetName val="수목단가"/>
      <sheetName val="시설수량표"/>
      <sheetName val="식재수량표"/>
      <sheetName val="2000전체분"/>
      <sheetName val="포장공"/>
      <sheetName val="일위대가(1)"/>
      <sheetName val="원가계산서"/>
      <sheetName val="전체"/>
      <sheetName val="관급자재"/>
      <sheetName val="제경비"/>
      <sheetName val="초기화면"/>
      <sheetName val="총공사내역서"/>
      <sheetName val="200"/>
      <sheetName val="토공사"/>
      <sheetName val="정렬"/>
      <sheetName val="토공"/>
      <sheetName val="계약내역서"/>
      <sheetName val="전체도급"/>
      <sheetName val="직공비"/>
      <sheetName val="CODE"/>
      <sheetName val="전기"/>
      <sheetName val="을"/>
      <sheetName val="부대대비"/>
      <sheetName val="냉연집계"/>
      <sheetName val="MOTOR"/>
      <sheetName val="부하계산서"/>
      <sheetName val="충주"/>
      <sheetName val="구조물철거타공정이월"/>
      <sheetName val="사용성검토"/>
      <sheetName val="대치판정"/>
      <sheetName val="TEL"/>
      <sheetName val="안정검토"/>
      <sheetName val="DATE"/>
      <sheetName val="경비실"/>
      <sheetName val="공제내역"/>
      <sheetName val="TOWER 10TON"/>
      <sheetName val="TOWER 12TON"/>
      <sheetName val="말뚝물량"/>
      <sheetName val="D-623D"/>
      <sheetName val="단중표-ST"/>
      <sheetName val="Sheet4"/>
      <sheetName val="ENE-CAL 1"/>
      <sheetName val="토공계산서(부체도로)"/>
      <sheetName val="PIPE"/>
      <sheetName val="방음벽기초"/>
      <sheetName val="예산총괄"/>
      <sheetName val="COVER"/>
      <sheetName val="운반"/>
      <sheetName val="품셈표"/>
      <sheetName val="단중"/>
      <sheetName val="날개벽(좌,우=45도,75도)"/>
      <sheetName val="Sheet13"/>
      <sheetName val="Sheet14"/>
      <sheetName val="Sheet9"/>
      <sheetName val="최적단면"/>
      <sheetName val="말뚝지지력산정"/>
      <sheetName val="약품공급2"/>
      <sheetName val="옹벽"/>
      <sheetName val="차선도색현황"/>
      <sheetName val="조명시설"/>
      <sheetName val="하도급기성_(2)1"/>
      <sheetName val="하도급단가산출_(2)1"/>
      <sheetName val="제출내역_(2)1"/>
      <sheetName val="입출재고현황_(2)1"/>
      <sheetName val="총괄표"/>
      <sheetName val="소야공정계획표"/>
      <sheetName val=" 견적서"/>
      <sheetName val="제-노임"/>
      <sheetName val="제직재"/>
      <sheetName val="데리네이타현황"/>
      <sheetName val="ITB COST"/>
      <sheetName val="투찰"/>
      <sheetName val="CON포장수량"/>
      <sheetName val="CONUNIT"/>
      <sheetName val="도급"/>
      <sheetName val="배수통관(좌)"/>
      <sheetName val="N賃率-職"/>
      <sheetName val="8.PILE  (돌출)"/>
      <sheetName val="단면가정"/>
      <sheetName val="PUMP"/>
      <sheetName val="wall"/>
      <sheetName val="포장직선구간"/>
      <sheetName val="중기일위대가"/>
      <sheetName val="TYPE-1"/>
      <sheetName val="설계예산2"/>
      <sheetName val="20-25"/>
      <sheetName val="4.장비손료"/>
      <sheetName val="토목"/>
      <sheetName val="공통부대비"/>
      <sheetName val="방배동내역(리라)"/>
      <sheetName val="부대공사총괄"/>
      <sheetName val="현장경비"/>
      <sheetName val="건축공사집계표"/>
      <sheetName val="Sheet10"/>
      <sheetName val="전기자료"/>
      <sheetName val="전신환매도율"/>
      <sheetName val="JIB CRANE,HOIST"/>
      <sheetName val="1호맨홀토공"/>
      <sheetName val="A"/>
      <sheetName val="1TL종점(1)"/>
      <sheetName val="공문"/>
      <sheetName val="97수주잔고"/>
      <sheetName val="P.M 별"/>
      <sheetName val="입력"/>
      <sheetName val="공통공사"/>
      <sheetName val="변경내역"/>
      <sheetName val="Sheet2"/>
      <sheetName val="내역(한신APT)"/>
      <sheetName val="C1ㅇ"/>
      <sheetName val="점수계산1-2"/>
      <sheetName val="계약서"/>
      <sheetName val="대로근거"/>
      <sheetName val="식재"/>
      <sheetName val="시설물"/>
      <sheetName val="식재출력용"/>
      <sheetName val="유지관리"/>
      <sheetName val="일위(PN)"/>
      <sheetName val="부속동"/>
      <sheetName val=" 냉각수펌프"/>
      <sheetName val="은행"/>
      <sheetName val="금융비용"/>
      <sheetName val="경비"/>
      <sheetName val="설계내역서"/>
      <sheetName val="아파트 기성내역서"/>
      <sheetName val="견적"/>
      <sheetName val="VENDOR LIST"/>
      <sheetName val="BSD (2)"/>
      <sheetName val="전계가"/>
      <sheetName val="수안보-MBR1"/>
      <sheetName val="Sheet17"/>
      <sheetName val="1062-X방향 "/>
      <sheetName val="노무비단가"/>
      <sheetName val="ENE-CAL_1"/>
      <sheetName val="차수별내역서"/>
      <sheetName val="원가계산(가교설치)"/>
      <sheetName val="대비표표지"/>
      <sheetName val="하도급대비(내역서)"/>
      <sheetName val="내역서(가교설치)"/>
      <sheetName val="공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서"/>
      <sheetName val="금액총괄표"/>
      <sheetName val="금액내역서"/>
      <sheetName val="8.1)골프(대중)"/>
      <sheetName val="Eq. Mobiliz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"/>
      <sheetName val="평가데이터"/>
      <sheetName val="사정율"/>
      <sheetName val="경영상태(PQ)"/>
      <sheetName val="시공여유율(PQ)"/>
      <sheetName val="100억이상"/>
      <sheetName val="시공여유율(100억)"/>
      <sheetName val="50억이상"/>
      <sheetName val="10억이상"/>
      <sheetName val="10억미만(전기.통신)"/>
      <sheetName val="DATA2000"/>
      <sheetName val="우수명단"/>
      <sheetName val="금액내역서"/>
      <sheetName val="공통비총괄표"/>
      <sheetName val="10억미만(전기_통신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《요약》"/>
      <sheetName val="３.매출"/>
      <sheetName val="1)객실"/>
      <sheetName val="３.매출(직영)"/>
      <sheetName val="2)식음"/>
      <sheetName val="3)부대"/>
      <sheetName val="4)아쿠아"/>
      <sheetName val="5)스포츠"/>
      <sheetName val="6)골프"/>
      <sheetName val="7)유통"/>
      <sheetName val="8)임대"/>
      <sheetName val="４.1)직접손익"/>
      <sheetName val="2)총손익"/>
      <sheetName val="3)유형별손익"/>
      <sheetName val="5.인력계획"/>
      <sheetName val="※영업부문별"/>
      <sheetName val="※오션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031">
          <cell r="AJ1031">
            <v>5623.3720313005851</v>
          </cell>
        </row>
        <row r="1032">
          <cell r="AJ1032">
            <v>903.35403874513383</v>
          </cell>
        </row>
        <row r="1033">
          <cell r="AJ1033">
            <v>2918.96848021604</v>
          </cell>
        </row>
        <row r="1034">
          <cell r="AJ1034">
            <v>10.075566750629724</v>
          </cell>
        </row>
        <row r="1035">
          <cell r="AJ1035">
            <v>0</v>
          </cell>
        </row>
        <row r="1036">
          <cell r="AJ1036">
            <v>825.54796917318765</v>
          </cell>
        </row>
        <row r="1038">
          <cell r="AJ1038">
            <v>0</v>
          </cell>
        </row>
        <row r="1039">
          <cell r="AJ1039">
            <v>0</v>
          </cell>
        </row>
        <row r="1041">
          <cell r="AJ1041">
            <v>328.18476504820637</v>
          </cell>
        </row>
        <row r="1042">
          <cell r="AJ1042">
            <v>48.849913536476549</v>
          </cell>
        </row>
        <row r="1043">
          <cell r="AJ1043">
            <v>0</v>
          </cell>
        </row>
        <row r="1044">
          <cell r="AJ1044">
            <v>0</v>
          </cell>
        </row>
        <row r="1045">
          <cell r="AJ1045">
            <v>0</v>
          </cell>
        </row>
        <row r="1046">
          <cell r="AJ1046">
            <v>0</v>
          </cell>
        </row>
        <row r="1047">
          <cell r="AJ1047">
            <v>0</v>
          </cell>
        </row>
        <row r="1048">
          <cell r="AJ1048">
            <v>0</v>
          </cell>
        </row>
        <row r="1049">
          <cell r="AJ1049">
            <v>671.57637343436204</v>
          </cell>
        </row>
        <row r="1050">
          <cell r="AJ1050">
            <v>0</v>
          </cell>
        </row>
        <row r="1051">
          <cell r="AJ1051">
            <v>71.710493276375317</v>
          </cell>
        </row>
        <row r="1052">
          <cell r="AJ1052">
            <v>72.586404301856405</v>
          </cell>
        </row>
        <row r="1053">
          <cell r="AJ1053">
            <v>0</v>
          </cell>
        </row>
        <row r="1055">
          <cell r="AJ1055">
            <v>0</v>
          </cell>
        </row>
        <row r="1056">
          <cell r="AJ1056">
            <v>0</v>
          </cell>
        </row>
        <row r="1057">
          <cell r="AJ1057">
            <v>0</v>
          </cell>
        </row>
        <row r="1058">
          <cell r="AJ1058">
            <v>0</v>
          </cell>
        </row>
        <row r="1059">
          <cell r="AJ1059">
            <v>0</v>
          </cell>
        </row>
        <row r="1061">
          <cell r="AJ1061">
            <v>0</v>
          </cell>
        </row>
        <row r="1062">
          <cell r="AJ1062">
            <v>1321.9079469497658</v>
          </cell>
        </row>
        <row r="1064">
          <cell r="AJ1064">
            <v>0</v>
          </cell>
        </row>
        <row r="1065">
          <cell r="AJ1065">
            <v>0</v>
          </cell>
        </row>
        <row r="1066">
          <cell r="AJ1066">
            <v>0</v>
          </cell>
        </row>
        <row r="1067">
          <cell r="AJ1067">
            <v>0</v>
          </cell>
        </row>
        <row r="1068">
          <cell r="AJ1068">
            <v>0</v>
          </cell>
        </row>
        <row r="1069">
          <cell r="AJ1069">
            <v>0</v>
          </cell>
        </row>
        <row r="1071">
          <cell r="AJ1071">
            <v>1267.218824569854</v>
          </cell>
        </row>
        <row r="1072">
          <cell r="AJ1072">
            <v>98.603160064117247</v>
          </cell>
        </row>
        <row r="1073">
          <cell r="AJ1073">
            <v>5.2667735287382644</v>
          </cell>
        </row>
        <row r="1074">
          <cell r="AJ1074">
            <v>0</v>
          </cell>
        </row>
        <row r="1075">
          <cell r="AJ1075">
            <v>0</v>
          </cell>
        </row>
        <row r="1076">
          <cell r="AJ1076">
            <v>0</v>
          </cell>
        </row>
        <row r="1077">
          <cell r="AJ1077">
            <v>688.86649874055411</v>
          </cell>
        </row>
        <row r="1078">
          <cell r="AJ1078">
            <v>0</v>
          </cell>
        </row>
        <row r="1080">
          <cell r="AJ1080">
            <v>2.7341424318754299</v>
          </cell>
        </row>
        <row r="1081">
          <cell r="AJ1081">
            <v>21.918937485688119</v>
          </cell>
        </row>
        <row r="1082">
          <cell r="AJ1082">
            <v>17.467684751624645</v>
          </cell>
        </row>
        <row r="1084">
          <cell r="AJ1084">
            <v>0.76940691550263329</v>
          </cell>
        </row>
        <row r="1085">
          <cell r="AJ1085">
            <v>0</v>
          </cell>
        </row>
        <row r="1086">
          <cell r="AJ1086">
            <v>0</v>
          </cell>
        </row>
        <row r="1087">
          <cell r="AJ1087">
            <v>0</v>
          </cell>
        </row>
        <row r="1088">
          <cell r="AJ1088">
            <v>0</v>
          </cell>
        </row>
        <row r="1089">
          <cell r="AJ1089">
            <v>0</v>
          </cell>
        </row>
        <row r="1091">
          <cell r="AJ1091">
            <v>182.64695435199735</v>
          </cell>
        </row>
        <row r="1092">
          <cell r="AJ1092">
            <v>0</v>
          </cell>
        </row>
        <row r="1093">
          <cell r="AJ1093">
            <v>0</v>
          </cell>
        </row>
        <row r="1094">
          <cell r="AJ1094">
            <v>0</v>
          </cell>
        </row>
        <row r="1095">
          <cell r="AJ1095">
            <v>0</v>
          </cell>
        </row>
        <row r="1096">
          <cell r="AJ1096">
            <v>894.8165751437183</v>
          </cell>
        </row>
        <row r="1097">
          <cell r="AJ1097">
            <v>414.43095946874291</v>
          </cell>
        </row>
        <row r="1098">
          <cell r="AJ1098">
            <v>0</v>
          </cell>
        </row>
        <row r="1100">
          <cell r="AJ1100">
            <v>0</v>
          </cell>
        </row>
        <row r="1101">
          <cell r="AJ1101">
            <v>0</v>
          </cell>
        </row>
        <row r="1102">
          <cell r="AJ1102">
            <v>0</v>
          </cell>
        </row>
        <row r="1103">
          <cell r="AJ1103">
            <v>0</v>
          </cell>
        </row>
        <row r="1104">
          <cell r="AJ1104">
            <v>0</v>
          </cell>
        </row>
        <row r="1105">
          <cell r="AJ1105">
            <v>0</v>
          </cell>
        </row>
        <row r="1106">
          <cell r="AJ1106">
            <v>0</v>
          </cell>
        </row>
        <row r="1107">
          <cell r="AJ1107">
            <v>0</v>
          </cell>
        </row>
        <row r="1108">
          <cell r="AJ1108">
            <v>0</v>
          </cell>
        </row>
        <row r="1109">
          <cell r="AJ1109">
            <v>0</v>
          </cell>
        </row>
      </sheetData>
      <sheetData sheetId="13"/>
      <sheetData sheetId="14"/>
      <sheetData sheetId="15"/>
      <sheetData sheetId="1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"/>
      <sheetName val="전기일위대가"/>
      <sheetName val="단가"/>
      <sheetName val="공통자료"/>
      <sheetName val="_REF"/>
      <sheetName val="노임조정"/>
      <sheetName val="품셈TABLE"/>
      <sheetName val="단면 (2)"/>
      <sheetName val="공사비예산서(토목분)"/>
      <sheetName val="관급자재집계표"/>
      <sheetName val="금액내역서"/>
      <sheetName val="200"/>
      <sheetName val="Baby일위대가"/>
      <sheetName val="SG"/>
      <sheetName val="개요"/>
      <sheetName val="당초"/>
      <sheetName val="BOX 본체"/>
      <sheetName val="배수유공블럭"/>
      <sheetName val="말뚝지지력산정"/>
      <sheetName val="ELECTRIC"/>
      <sheetName val="CTEMCOST"/>
      <sheetName val="SCHEDULE"/>
      <sheetName val="경영상태"/>
      <sheetName val="대림경상68억"/>
      <sheetName val="내역서"/>
      <sheetName val="공사비집계"/>
      <sheetName val="C-직노1"/>
      <sheetName val="구조물철거타공정이월"/>
      <sheetName val="__"/>
      <sheetName val="인건-측정"/>
      <sheetName val="조명시설"/>
      <sheetName val="가격조사서"/>
      <sheetName val="노임단가"/>
      <sheetName val="결과조달"/>
      <sheetName val="입찰안"/>
      <sheetName val="S003031"/>
      <sheetName val="여과지동"/>
      <sheetName val="기초자료"/>
      <sheetName val="골조시행"/>
      <sheetName val="산출2-기기동력"/>
      <sheetName val="산출3-유도등"/>
      <sheetName val="산출2-동력"/>
      <sheetName val="산출2-피뢰침"/>
      <sheetName val="CAT_5"/>
      <sheetName val="날개벽(시점좌측)"/>
      <sheetName val="DANGA"/>
      <sheetName val="덤프"/>
      <sheetName val="교각1"/>
      <sheetName val="집계"/>
      <sheetName val="#REF"/>
      <sheetName val="기본일위"/>
      <sheetName val="직노"/>
      <sheetName val="내역서2안"/>
      <sheetName val="실행내역"/>
      <sheetName val="일위대가(계측기설치)"/>
      <sheetName val="40총괄"/>
      <sheetName val="40집계"/>
      <sheetName val="단가 "/>
      <sheetName val="일위대가 (PM)"/>
      <sheetName val="노임"/>
      <sheetName val="DATA"/>
      <sheetName val="양수장(기계)"/>
      <sheetName val="Sheet13"/>
      <sheetName val="Sheet14"/>
      <sheetName val="P-J"/>
      <sheetName val="수량산출서(전기계장)"/>
      <sheetName val="설치공사"/>
      <sheetName val="설계명세서"/>
      <sheetName val="일위대가목차"/>
      <sheetName val="하수BOX이설"/>
      <sheetName val="plan&amp;section of foundation"/>
      <sheetName val="design criteria"/>
      <sheetName val="단가산출2"/>
      <sheetName val="EKOG10건축"/>
      <sheetName val="자료입력"/>
      <sheetName val="전기"/>
      <sheetName val="A-4"/>
      <sheetName val="지급자재"/>
      <sheetName val="수목표준대가"/>
      <sheetName val="표지"/>
      <sheetName val="할증"/>
      <sheetName val="DATE"/>
      <sheetName val="물가대비표"/>
      <sheetName val="COVER"/>
      <sheetName val="토공A"/>
      <sheetName val="총괄표"/>
      <sheetName val="Macro(전선)"/>
      <sheetName val="총괄내역서"/>
      <sheetName val="BOX전기내역"/>
      <sheetName val="기성내역서"/>
      <sheetName val="2F 회의실견적(5_14 일대)"/>
      <sheetName val="Sheet1"/>
      <sheetName val="전체철근집계"/>
      <sheetName val="방조제+선착장+배수갑문+부대공+1-2방조제"/>
      <sheetName val="설계내역서"/>
      <sheetName val="점수계산1-2"/>
      <sheetName val="T13(P68~72,78)"/>
      <sheetName val="252K444"/>
      <sheetName val="관로토공집계표"/>
      <sheetName val="산정표"/>
      <sheetName val="노무비 경비"/>
      <sheetName val="산재 안전"/>
      <sheetName val="40단가산출서"/>
      <sheetName val="장비"/>
      <sheetName val="노무"/>
      <sheetName val="설계"/>
      <sheetName val="계산근거"/>
      <sheetName val="견적990322"/>
      <sheetName val="공문"/>
      <sheetName val="갑지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Sheet3"/>
      <sheetName val="연돌일위집계"/>
      <sheetName val="1062-X방향 "/>
      <sheetName val="하부철근수량"/>
      <sheetName val="수량산출서"/>
      <sheetName val="3.공통공사대비"/>
      <sheetName val="간선계산"/>
      <sheetName val="원형맨홀수량"/>
      <sheetName val="woo(mac)"/>
      <sheetName val="견적서"/>
      <sheetName val="Supplement2"/>
      <sheetName val="교통신호등"/>
      <sheetName val="N賃率-職"/>
      <sheetName val="직재"/>
      <sheetName val="터파기및재료"/>
      <sheetName val="조명율표"/>
      <sheetName val="hvac(제어동)"/>
      <sheetName val="일위목록"/>
      <sheetName val="노무비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단위수량"/>
      <sheetName val="1.설계조건"/>
      <sheetName val="수량이동"/>
      <sheetName val="단가대비표"/>
      <sheetName val="투찰금액"/>
      <sheetName val="설직재-1"/>
      <sheetName val="Sheet2"/>
      <sheetName val="BweData"/>
      <sheetName val="제직재"/>
      <sheetName val="기계내역"/>
      <sheetName val="준검 내역서"/>
      <sheetName val="평가데이터"/>
      <sheetName val="H-pile(298x299)"/>
      <sheetName val="H-pile(250x250)"/>
      <sheetName val="Recovered_Sheet22"/>
      <sheetName val="Recovered_Sheet21"/>
      <sheetName val="Recovered_Sheet37"/>
      <sheetName val="Y-WORK"/>
      <sheetName val="FILE1"/>
      <sheetName val="Sheet1 (2)"/>
      <sheetName val="노원열병합  건축공사기성내역서"/>
      <sheetName val="96까지"/>
      <sheetName val="97년"/>
      <sheetName val="98이후"/>
      <sheetName val="정공공사"/>
      <sheetName val="2000,9월 일위"/>
      <sheetName val="공통단가"/>
      <sheetName val="단가조사"/>
      <sheetName val="단위단가"/>
      <sheetName val="경상직원"/>
      <sheetName val="조건"/>
      <sheetName val="코드표"/>
      <sheetName val="재료비"/>
      <sheetName val="단가일람"/>
      <sheetName val="조경일람"/>
      <sheetName val="운반비"/>
      <sheetName val="단가표"/>
      <sheetName val="전체도급"/>
      <sheetName val="부대대비"/>
      <sheetName val="냉연집계"/>
      <sheetName val="예가표"/>
      <sheetName val="ENE-CAL 1"/>
      <sheetName val="내역서(당초변경)"/>
      <sheetName val="견적"/>
      <sheetName val="30신설일위대가"/>
      <sheetName val="30집계표"/>
      <sheetName val="결재란"/>
      <sheetName val="6호기"/>
      <sheetName val="BOQ(전체)"/>
      <sheetName val="철거산출근거"/>
      <sheetName val="직공비"/>
      <sheetName val="중기일위대가"/>
      <sheetName val="Macro(차단기)"/>
      <sheetName val="데이타"/>
      <sheetName val="프랜트면허"/>
      <sheetName val="토목주소"/>
      <sheetName val="공사원가계산서"/>
      <sheetName val="FORM-0"/>
      <sheetName val="내역"/>
      <sheetName val="예산변경사항"/>
      <sheetName val="저"/>
      <sheetName val="단가산출서"/>
      <sheetName val="인건비"/>
      <sheetName val="토목"/>
      <sheetName val="TEST1"/>
      <sheetName val="SULKEA"/>
      <sheetName val="잔수량(작성)"/>
      <sheetName val="도급"/>
      <sheetName val="2.단면가정"/>
      <sheetName val="input (2)"/>
      <sheetName val="심부구속"/>
      <sheetName val="1"/>
      <sheetName val="기초계산 (2)"/>
      <sheetName val="구조계산"/>
      <sheetName val="말뚝기초"/>
      <sheetName val="공내역"/>
      <sheetName val="내역및총괄"/>
      <sheetName val="Sheet4"/>
      <sheetName val="CODE"/>
      <sheetName val="표지 (2)"/>
      <sheetName val="표지 (3)"/>
      <sheetName val="표지 (4)"/>
      <sheetName val="표지 (5)"/>
      <sheetName val="목차"/>
      <sheetName val="요약"/>
      <sheetName val="목적"/>
      <sheetName val="전제"/>
      <sheetName val="계산기준"/>
      <sheetName val="간지"/>
      <sheetName val="일위(PN)"/>
      <sheetName val="현장관리비 산출내역"/>
      <sheetName val="일반공사"/>
      <sheetName val="자재단가비교표"/>
      <sheetName val="전체"/>
      <sheetName val="전계가"/>
      <sheetName val="제경비율"/>
      <sheetName val="을"/>
      <sheetName val="공종별집계표"/>
      <sheetName val="공종별세부사항"/>
      <sheetName val="공종별내역서(견적용)"/>
      <sheetName val="W-현원가"/>
      <sheetName val="외주현황9905"/>
      <sheetName val="D-3109"/>
      <sheetName val="1호맨홀토공"/>
      <sheetName val="data2"/>
      <sheetName val="별표"/>
      <sheetName val="자재조사표"/>
      <sheetName val="archi(본사)"/>
      <sheetName val="대비"/>
      <sheetName val="laroux"/>
      <sheetName val="반포-봉암"/>
      <sheetName val="조건표"/>
      <sheetName val="Module1"/>
      <sheetName val="차액보증"/>
      <sheetName val="★도급내역"/>
      <sheetName val="1공구 건정토건 토공"/>
      <sheetName val="밸브설치"/>
      <sheetName val="부대공사비"/>
      <sheetName val="적격"/>
      <sheetName val="공용정보"/>
      <sheetName val="sum1 (2)"/>
      <sheetName val="일위대가(가설)"/>
      <sheetName val="MOTOR"/>
      <sheetName val="일위대가표"/>
      <sheetName val="유림골조"/>
      <sheetName val="공통부대비"/>
      <sheetName val="4.전기"/>
      <sheetName val="공사비총괄표"/>
      <sheetName val="asd"/>
      <sheetName val="01"/>
      <sheetName val="배수공 주요자재 집계표"/>
      <sheetName val="●내역"/>
      <sheetName val="건축단가"/>
      <sheetName val="공사내역"/>
      <sheetName val="수량산출서 갑지"/>
      <sheetName val="집계표"/>
      <sheetName val="자료"/>
      <sheetName val="DATE2001"/>
      <sheetName val="COPING"/>
      <sheetName val="옵션"/>
      <sheetName val="합산자재"/>
      <sheetName val="일대목차"/>
      <sheetName val="노임근거"/>
      <sheetName val="공사비증감"/>
      <sheetName val="토공계산서(부체도로)"/>
      <sheetName val="VXXXXX"/>
      <sheetName val="입출재고현황 (2)"/>
      <sheetName val="TYPE A"/>
      <sheetName val="모델링"/>
      <sheetName val="하중계산"/>
      <sheetName val="실행분개"/>
      <sheetName val="램머"/>
      <sheetName val="금호"/>
      <sheetName val="패널"/>
      <sheetName val="토공사"/>
      <sheetName val="내역표지"/>
      <sheetName val="목표세부명세"/>
      <sheetName val="Total"/>
      <sheetName val="신우"/>
      <sheetName val="가도공"/>
      <sheetName val="처리단락"/>
      <sheetName val="변화치수"/>
      <sheetName val="2006기계경비산출표"/>
      <sheetName val="BOX_본체"/>
      <sheetName val="1.수인터널"/>
      <sheetName val="Sheet9"/>
      <sheetName val="Sheet10"/>
      <sheetName val="간선"/>
      <sheetName val="발전기"/>
      <sheetName val="GEN"/>
      <sheetName val="환경기계공정표 (3)"/>
      <sheetName val="일집"/>
      <sheetName val="일위"/>
      <sheetName val="중기비"/>
      <sheetName val="국공유지및사유지"/>
      <sheetName val="화전내"/>
      <sheetName val="방배동내역(리라)"/>
      <sheetName val="공통가설"/>
      <sheetName val="현장경비"/>
      <sheetName val="건축공사집계표"/>
      <sheetName val="방배동내역 (총괄)"/>
      <sheetName val="부대공사총괄"/>
      <sheetName val="PAD TR보호대기초"/>
      <sheetName val="가로등기초"/>
      <sheetName val="HANDHOLE(2)"/>
      <sheetName val="교각토공"/>
      <sheetName val="부속동"/>
      <sheetName val="산출내역서집계표"/>
      <sheetName val="Sheet15"/>
      <sheetName val="포장공"/>
      <sheetName val="D-경비1"/>
      <sheetName val="식생블럭단위수량"/>
      <sheetName val="기둥(원형)"/>
      <sheetName val="공사원가"/>
      <sheetName val="EQ-R1"/>
      <sheetName val="공량산출서"/>
      <sheetName val="대운산출"/>
      <sheetName val="배관단가조사서"/>
      <sheetName val="제-노임"/>
      <sheetName val="연습"/>
      <sheetName val="MCC제원"/>
      <sheetName val="단면_(2)"/>
      <sheetName val="BOX_본체1"/>
      <sheetName val="단가_"/>
      <sheetName val="일위대가_(PM)"/>
      <sheetName val="plan&amp;section_of_foundation"/>
      <sheetName val="design_criteria"/>
      <sheetName val="2F_회의실견적(5_14_일대)"/>
      <sheetName val="노무비_경비"/>
      <sheetName val="산재_안전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1062-X방향_"/>
      <sheetName val="3_공통공사대비"/>
      <sheetName val="1_설계조건"/>
      <sheetName val="준검_내역서"/>
      <sheetName val="Sheet1_(2)"/>
      <sheetName val="노원열병합__건축공사기성내역서"/>
      <sheetName val="2000,9월_일위"/>
      <sheetName val="ENE-CAL_1"/>
      <sheetName val="2_단면가정"/>
      <sheetName val="input_(2)"/>
      <sheetName val="기초계산_(2)"/>
      <sheetName val="표지_(2)"/>
      <sheetName val="표지_(3)"/>
      <sheetName val="표지_(4)"/>
      <sheetName val="표지_(5)"/>
      <sheetName val="현장관리비_산출내역"/>
      <sheetName val="1공구_건정토건_토공"/>
      <sheetName val="sum1_(2)"/>
      <sheetName val="4_전기"/>
      <sheetName val="배수공_주요자재_집계표"/>
      <sheetName val="수량산출서_갑지"/>
      <sheetName val="입출재고현황_(2)"/>
      <sheetName val="TYPE_A"/>
      <sheetName val="1_수인터널"/>
      <sheetName val="환경기계공정표_(3)"/>
      <sheetName val="방배동내역_(총괄)"/>
      <sheetName val="PAD_TR보호대기초"/>
      <sheetName val="DATA2000"/>
      <sheetName val="노무비 근거"/>
      <sheetName val="Sheet6"/>
      <sheetName val="약품공급2"/>
      <sheetName val="1단계"/>
      <sheetName val="집계표(OPTION)"/>
      <sheetName val="단면가정"/>
      <sheetName val="기본"/>
      <sheetName val="대비표"/>
      <sheetName val="부하계산서"/>
      <sheetName val="퇴비산출근거"/>
      <sheetName val="교각계산"/>
      <sheetName val="연결임시"/>
      <sheetName val="예정(3)"/>
      <sheetName val="동원(3)"/>
      <sheetName val="교량전기"/>
      <sheetName val="고창방향"/>
      <sheetName val="WORK"/>
      <sheetName val="4-3 보온 기본물량집계"/>
      <sheetName val="2002상반기노임기준"/>
      <sheetName val="수질정화시설"/>
      <sheetName val="J01"/>
      <sheetName val="DATA98"/>
      <sheetName val="sw1"/>
      <sheetName val="대전21토목내역서"/>
      <sheetName val="의뢰서"/>
      <sheetName val="1.0표준품셈"/>
      <sheetName val="1.0계산품셈"/>
      <sheetName val="6PILE  (돌출)"/>
      <sheetName val="변경내역대비표(2)"/>
      <sheetName val="내역분개"/>
      <sheetName val="I一般比"/>
      <sheetName val="단가산출"/>
      <sheetName val="아파트기별"/>
      <sheetName val="공리일"/>
      <sheetName val="IW-LIST"/>
      <sheetName val="MAIN"/>
      <sheetName val="원가(총괄-4단지)"/>
      <sheetName val="공예을"/>
      <sheetName val="부하(성남)"/>
      <sheetName val="장기차입금"/>
      <sheetName val="내역서 "/>
      <sheetName val="1995년 섹터별 매출"/>
      <sheetName val="Curves"/>
      <sheetName val="Tables"/>
      <sheetName val="설산1.나"/>
      <sheetName val="본사S"/>
      <sheetName val="000000"/>
      <sheetName val="E01-02(EV-1-LBS)"/>
      <sheetName val="IMPEADENCE MAP 취수장"/>
      <sheetName val="분전반"/>
      <sheetName val="원가계산서"/>
      <sheetName val="원가계산서_"/>
      <sheetName val="1st"/>
      <sheetName val="주방환기"/>
      <sheetName val="TYPE-A"/>
      <sheetName val="BID"/>
      <sheetName val="AP1"/>
      <sheetName val="철근단면적"/>
      <sheetName val="옹벽"/>
      <sheetName val="기계경비(시간당)"/>
      <sheetName val="계화총괄"/>
      <sheetName val="계화배수(3대)"/>
      <sheetName val="c_balju"/>
      <sheetName val="1.우편집중내역서"/>
      <sheetName val="산근"/>
      <sheetName val="변경공종별내역서"/>
      <sheetName val="B"/>
      <sheetName val="기초공"/>
      <sheetName val="문학간접"/>
      <sheetName val="esc"/>
      <sheetName val="Pier 3"/>
      <sheetName val="INPUT"/>
      <sheetName val="자재"/>
      <sheetName val="산근1"/>
      <sheetName val="ABUT수량-A1"/>
      <sheetName val="DATA1"/>
      <sheetName val="시멘트"/>
      <sheetName val="단면치수"/>
      <sheetName val="J直材4"/>
      <sheetName val="공종별내역서"/>
      <sheetName val="단락전류-A"/>
      <sheetName val="VS P-Q"/>
      <sheetName val="각형맨홀"/>
      <sheetName val="CCTV내역서"/>
      <sheetName val="수로단위수량"/>
      <sheetName val="설계개요"/>
      <sheetName val="금융비용"/>
      <sheetName val="취수탑"/>
      <sheetName val="간접비"/>
      <sheetName val="사급자재"/>
      <sheetName val="guard(mac)"/>
      <sheetName val="소야공정계획표"/>
      <sheetName val="갑지(추정)"/>
      <sheetName val="경산"/>
      <sheetName val="총괄"/>
      <sheetName val="J형측구단위수량"/>
      <sheetName val="적용기준"/>
      <sheetName val="단가산근"/>
      <sheetName val="적용단가"/>
      <sheetName val="주경기-오배수"/>
      <sheetName val="SLAB&quot;1&quot;"/>
      <sheetName val="APT"/>
      <sheetName val="COST"/>
      <sheetName val="맨홀수량"/>
      <sheetName val="REINF."/>
      <sheetName val="수입"/>
      <sheetName val="3지구단위"/>
      <sheetName val="설계예산서"/>
      <sheetName val="PIPE"/>
      <sheetName val="FLANGE"/>
      <sheetName val="VALVE"/>
      <sheetName val="내역_FILE"/>
      <sheetName val="일위_FILE"/>
      <sheetName val="일위대가_수정"/>
      <sheetName val="공정"/>
      <sheetName val="산출계산"/>
      <sheetName val="계산"/>
      <sheetName val="양식_일위대가"/>
      <sheetName val="양식_자재"/>
      <sheetName val="양식_동원인원"/>
      <sheetName val="양식_공구손료"/>
      <sheetName val="양식_내역서"/>
      <sheetName val="설계설명"/>
      <sheetName val="예정공정"/>
      <sheetName val="동원"/>
      <sheetName val="총(관로+케이블)"/>
      <sheetName val="총공사"/>
      <sheetName val="준공내역서(총괄)"/>
      <sheetName val="준공내역서"/>
      <sheetName val="지입자재"/>
      <sheetName val="일위대가 (2)"/>
      <sheetName val="자재근거"/>
      <sheetName val="일위대가산출근거"/>
      <sheetName val="공구손료"/>
      <sheetName val="소요노력"/>
      <sheetName val="MdlSul"/>
      <sheetName val="공정코드"/>
      <sheetName val="9.2단가산출서"/>
      <sheetName val="손료"/>
      <sheetName val="부대"/>
      <sheetName val="일위CODE"/>
      <sheetName val="재료-CODE"/>
      <sheetName val="손익분석"/>
      <sheetName val="하조서"/>
      <sheetName val="토목단가"/>
      <sheetName val="물가"/>
      <sheetName val="ilch"/>
      <sheetName val="일위대가 (PMIS)"/>
      <sheetName val="금융"/>
      <sheetName val="MEXICO-C"/>
      <sheetName val="AAA"/>
      <sheetName val="부안일위"/>
      <sheetName val="횡배수관토공수량"/>
      <sheetName val="1 자원총괄"/>
      <sheetName val="H-PILE 박기"/>
      <sheetName val="사전공사"/>
      <sheetName val="EP0618"/>
      <sheetName val="기초단가"/>
      <sheetName val="3.하중산정4.지지력"/>
      <sheetName val="1.설계기준"/>
      <sheetName val="I.설계조건"/>
      <sheetName val="주형"/>
      <sheetName val="3.바닥판설계"/>
      <sheetName val="EQUIPMENT -2"/>
      <sheetName val="설직재_1"/>
      <sheetName val=" 상부공통집계(총괄)"/>
      <sheetName val="내역서(펌프장)"/>
      <sheetName val="플랜트 설치"/>
      <sheetName val="부대공Ⅱ"/>
      <sheetName val="정부노임단가"/>
      <sheetName val="U-TYPE(1)"/>
      <sheetName val="보차도경계석"/>
      <sheetName val="원가서"/>
      <sheetName val="교대(A1-A2)"/>
      <sheetName val="설계조건"/>
      <sheetName val="우,오수"/>
      <sheetName val="하천제원"/>
      <sheetName val="CAB_OD"/>
      <sheetName val="원형측구(B-type)"/>
      <sheetName val="건내역(초)"/>
      <sheetName val="DIRECT WORK"/>
      <sheetName val="chitimc"/>
      <sheetName val="출자한도"/>
      <sheetName val="단가 및 재료비"/>
      <sheetName val="신당동집계표"/>
      <sheetName val="설계내역"/>
      <sheetName val="토공정보"/>
      <sheetName val="설명서 "/>
      <sheetName val="총괄집계표"/>
      <sheetName val="총괄원가계산서"/>
      <sheetName val="총괄원가계산서 (업체제공)"/>
      <sheetName val="귀래 설계 공내역서"/>
      <sheetName val="하수급견적대비"/>
      <sheetName val="연장산출서"/>
      <sheetName val="관기초단위수량( type A)"/>
      <sheetName val="관기초단위수량( type B)"/>
      <sheetName val="관기초단위수량(type C)"/>
      <sheetName val="관기초단위수량(type D"/>
      <sheetName val="관기초단위수량(type E)"/>
      <sheetName val="설계명세서(선로)"/>
      <sheetName val="원형1호맨홀토공수량"/>
      <sheetName val="산업"/>
      <sheetName val="노단"/>
      <sheetName val="9"/>
      <sheetName val="마감사양"/>
      <sheetName val="전력구구조물산근"/>
      <sheetName val="합천내역"/>
      <sheetName val="지수"/>
      <sheetName val="결재갑지"/>
      <sheetName val="일위대가(건축)"/>
      <sheetName val="본사공가현황"/>
      <sheetName val="견적대비표"/>
      <sheetName val="관급자재"/>
      <sheetName val="이전비"/>
      <sheetName val="LOAD 5 Wind "/>
      <sheetName val="0708"/>
      <sheetName val="99노임기준"/>
      <sheetName val="E01_02_EV_1_LBS_"/>
      <sheetName val="L형옹벽단위수량(35)"/>
      <sheetName val="L형옹벽단위수량(25)"/>
      <sheetName val="자판실행"/>
      <sheetName val="김포IO"/>
      <sheetName val="일지-H"/>
      <sheetName val="약전닥트"/>
      <sheetName val="FD"/>
      <sheetName val="건축부하"/>
      <sheetName val="FA설치명세"/>
      <sheetName val="LD"/>
      <sheetName val="홍보비디오"/>
      <sheetName val="실행"/>
      <sheetName val="품"/>
      <sheetName val="전동기 SPEC"/>
      <sheetName val="예산내역서"/>
      <sheetName val="TYPE별집계"/>
      <sheetName val="토목수량(공정)"/>
      <sheetName val="공종단가"/>
      <sheetName val="증감대비"/>
      <sheetName val="품셈(기초)"/>
      <sheetName val="설계예산내역서"/>
      <sheetName val="설계예산2"/>
      <sheetName val="현장지지물물량"/>
      <sheetName val="실행기성 갑지"/>
      <sheetName val="AC포장수량"/>
      <sheetName val="8.PILE  (돌출)"/>
      <sheetName val="2.단가산출서(총괄)"/>
      <sheetName val="5.일위대가"/>
      <sheetName val="설비단가표"/>
      <sheetName val="제경비(3차분)"/>
      <sheetName val="1공구산출"/>
      <sheetName val="일위대가(공원,광장)"/>
      <sheetName val="공원.광장집계"/>
      <sheetName val="일위대가(가로등1공구)"/>
      <sheetName val="1공구집계"/>
      <sheetName val="일위대가(가로등지구외공구)"/>
      <sheetName val="지구외집계"/>
      <sheetName val="일위대가산출근거-1"/>
      <sheetName val="전기자료"/>
      <sheetName val="전기공사-공종구분"/>
      <sheetName val="COVERSHEET"/>
      <sheetName val="XZLC004_PART2"/>
      <sheetName val="7.PILE  (돌출)"/>
      <sheetName val="사진대지"/>
      <sheetName val="발주수량표"/>
      <sheetName val="청산공사"/>
      <sheetName val="SP-B1"/>
      <sheetName val=""/>
      <sheetName val="내역서을지"/>
      <sheetName val="판가반영"/>
      <sheetName val="경제성분석"/>
      <sheetName val="유화"/>
      <sheetName val="HISTORICAL"/>
      <sheetName val="FORECASTING"/>
      <sheetName val="hGH정제"/>
      <sheetName val="95월별매출"/>
      <sheetName val="산출및내역"/>
      <sheetName val="수량산출"/>
      <sheetName val="MATRLDATA"/>
      <sheetName val="1.2단락전류"/>
      <sheetName val="인건비 "/>
      <sheetName val="맨홀수량산출"/>
      <sheetName val="계산중"/>
      <sheetName val="횡배위치"/>
      <sheetName val="배관내역"/>
      <sheetName val="AS포장복구 "/>
      <sheetName val="삭제금지단가"/>
      <sheetName val="DB"/>
      <sheetName val="FRP내역서"/>
      <sheetName val="건축"/>
      <sheetName val="집"/>
      <sheetName val="대포2교접속"/>
      <sheetName val="양수장내역"/>
      <sheetName val="관개"/>
      <sheetName val="원가계산서구조조정"/>
      <sheetName val="장비명"/>
      <sheetName val="입력시트"/>
      <sheetName val="입찰보고"/>
      <sheetName val="단"/>
      <sheetName val="수안보-MBR1"/>
      <sheetName val="결재판"/>
      <sheetName val="PRD투입장비계획"/>
      <sheetName val="일위(설)"/>
      <sheetName val="6PILE__(돌출)"/>
      <sheetName val="노무비_근거"/>
      <sheetName val="1_0표준품셈"/>
      <sheetName val="1_0계산품셈"/>
      <sheetName val="IMPEADENCE_MAP_취수장"/>
      <sheetName val="내역서_"/>
      <sheetName val="1995년_섹터별_매출"/>
      <sheetName val="설산1_나"/>
      <sheetName val="YES-T"/>
      <sheetName val="사통"/>
      <sheetName val="0226"/>
      <sheetName val="견적단가"/>
      <sheetName val="물량표S"/>
      <sheetName val="Laser Alignment Target Spec"/>
      <sheetName val="Laser Focus Spec"/>
      <sheetName val="도면자료제출일정"/>
      <sheetName val="공통"/>
      <sheetName val="2.대외공문"/>
      <sheetName val="건축내역서"/>
      <sheetName val="설비내역서"/>
      <sheetName val="전기내역서"/>
      <sheetName val="부대내역"/>
      <sheetName val="참조(X)"/>
      <sheetName val="허용전류-IEC DATA"/>
      <sheetName val="2. 차단기 용량계산"/>
      <sheetName val="3.3 전력간선 굵기"/>
      <sheetName val="1.4 부하계산서(환산계수)"/>
      <sheetName val="2.  단락전류의 계산"/>
      <sheetName val="1.2 부하계산서"/>
      <sheetName val="관일"/>
      <sheetName val="1SPAN"/>
      <sheetName val="단면_(2)1"/>
      <sheetName val="준검_내역서1"/>
      <sheetName val="Pier_3"/>
      <sheetName val="1_우편집중내역서"/>
      <sheetName val="4-3_보온_기본물량집계"/>
      <sheetName val="3_하중산정4_지지력"/>
      <sheetName val="1_설계기준"/>
      <sheetName val="I_설계조건"/>
      <sheetName val="3_바닥판설계"/>
      <sheetName val="EQUIPMENT_-2"/>
      <sheetName val="H-PILE_박기"/>
      <sheetName val="_상부공통집계(총괄)"/>
      <sheetName val="REINF_"/>
      <sheetName val="플랜트_설치"/>
      <sheetName val="가설공사내역"/>
      <sheetName val="401"/>
      <sheetName val="오산운암4-2BL  기성세부"/>
      <sheetName val="SHEAR1"/>
      <sheetName val="member design"/>
      <sheetName val="working load at the btm ft."/>
      <sheetName val="soil bearing check"/>
      <sheetName val="조도계산(1)"/>
      <sheetName val="산출근거"/>
      <sheetName val="건설기계"/>
    </sheetNames>
    <sheetDataSet>
      <sheetData sheetId="0" refreshError="1">
        <row r="732">
          <cell r="A732" t="str">
            <v>K02</v>
          </cell>
          <cell r="B732">
            <v>47</v>
          </cell>
          <cell r="C732">
            <v>0</v>
          </cell>
          <cell r="D732" t="str">
            <v>제 47 호표</v>
          </cell>
          <cell r="E732" t="str">
            <v>프라임코팅</v>
          </cell>
          <cell r="F732">
            <v>0</v>
          </cell>
          <cell r="G732">
            <v>0</v>
          </cell>
          <cell r="H732" t="str">
            <v>MC-1</v>
          </cell>
          <cell r="I732">
            <v>0</v>
          </cell>
          <cell r="J732">
            <v>0</v>
          </cell>
          <cell r="K732">
            <v>0</v>
          </cell>
          <cell r="L732" t="str">
            <v>근거 : 건설12-11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 t="str">
            <v>단위 : 100m2</v>
          </cell>
        </row>
        <row r="733">
          <cell r="A733" t="str">
            <v/>
          </cell>
          <cell r="B733">
            <v>0</v>
          </cell>
          <cell r="C733">
            <v>0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/>
          </cell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C735">
            <v>0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C736">
            <v>0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C737">
            <v>0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41">
          <cell r="D741" t="str">
            <v>보통인부</v>
          </cell>
          <cell r="E741">
            <v>0</v>
          </cell>
          <cell r="F741" t="str">
            <v>인</v>
          </cell>
          <cell r="G741">
            <v>0.12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34900</v>
          </cell>
          <cell r="M741">
            <v>4188</v>
          </cell>
          <cell r="N741">
            <v>0</v>
          </cell>
          <cell r="O741">
            <v>0</v>
          </cell>
          <cell r="P741">
            <v>4188</v>
          </cell>
        </row>
        <row r="742">
          <cell r="A742" t="str">
            <v/>
          </cell>
        </row>
        <row r="743">
          <cell r="A743" t="str">
            <v/>
          </cell>
        </row>
        <row r="744">
          <cell r="A744" t="str">
            <v/>
          </cell>
        </row>
        <row r="745">
          <cell r="A745" t="str">
            <v/>
          </cell>
          <cell r="B745">
            <v>0</v>
          </cell>
          <cell r="C745" t="str">
            <v>K02</v>
          </cell>
          <cell r="D745" t="str">
            <v>계</v>
          </cell>
          <cell r="E745" t="str">
            <v>제 47 호표</v>
          </cell>
          <cell r="F745">
            <v>0</v>
          </cell>
          <cell r="G745">
            <v>0</v>
          </cell>
          <cell r="H745">
            <v>0</v>
          </cell>
          <cell r="I745">
            <v>14440</v>
          </cell>
          <cell r="J745">
            <v>0</v>
          </cell>
          <cell r="K745">
            <v>0</v>
          </cell>
          <cell r="L745">
            <v>0</v>
          </cell>
          <cell r="M745">
            <v>6916</v>
          </cell>
          <cell r="N745">
            <v>0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C1400">
            <v>0</v>
          </cell>
          <cell r="D1400" t="str">
            <v>제 93 호표</v>
          </cell>
          <cell r="E1400" t="str">
            <v>관용접(Φ400mm)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 t="str">
            <v>근거 : 건설17-8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 t="str">
            <v>단위 : 개소/6m</v>
          </cell>
        </row>
        <row r="1401">
          <cell r="A1401" t="str">
            <v/>
          </cell>
          <cell r="B1401">
            <v>0</v>
          </cell>
          <cell r="C1401">
            <v>0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 t="str">
            <v/>
          </cell>
          <cell r="B1402">
            <v>0</v>
          </cell>
          <cell r="C1402">
            <v>0</v>
          </cell>
          <cell r="D1402">
            <v>0</v>
          </cell>
          <cell r="E1402">
            <v>0</v>
          </cell>
          <cell r="F1402">
            <v>0</v>
          </cell>
          <cell r="G1402">
            <v>0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C1403">
            <v>0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C1404">
            <v>0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0">
          <cell r="D1410" t="str">
            <v>용접공</v>
          </cell>
          <cell r="E1410">
            <v>0</v>
          </cell>
          <cell r="F1410" t="str">
            <v>인</v>
          </cell>
          <cell r="G1410">
            <v>0.54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65500</v>
          </cell>
          <cell r="M1410">
            <v>35370</v>
          </cell>
          <cell r="N1410">
            <v>0</v>
          </cell>
          <cell r="O1410">
            <v>0</v>
          </cell>
          <cell r="P1410">
            <v>35370</v>
          </cell>
        </row>
        <row r="1411">
          <cell r="A1411" t="str">
            <v/>
          </cell>
        </row>
        <row r="1412">
          <cell r="A1412" t="str">
            <v/>
          </cell>
        </row>
        <row r="1413">
          <cell r="A1413" t="str">
            <v/>
          </cell>
          <cell r="B1413">
            <v>0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1472</v>
          </cell>
          <cell r="L1413">
            <v>0</v>
          </cell>
          <cell r="M1413">
            <v>35370</v>
          </cell>
          <cell r="N1413">
            <v>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C1516">
            <v>0</v>
          </cell>
          <cell r="D1516" t="str">
            <v>제 101 호표</v>
          </cell>
          <cell r="E1516" t="str">
            <v>인력 터파기(풍화암 및 연암)</v>
          </cell>
          <cell r="F1516">
            <v>0</v>
          </cell>
          <cell r="G1516">
            <v>0</v>
          </cell>
          <cell r="H1516" t="str">
            <v>인력(2-3)</v>
          </cell>
          <cell r="I1516">
            <v>0</v>
          </cell>
          <cell r="J1516">
            <v>0</v>
          </cell>
          <cell r="K1516">
            <v>0</v>
          </cell>
          <cell r="L1516" t="str">
            <v>근거 : 토공3-1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 t="str">
            <v>단위 :㎥</v>
          </cell>
        </row>
        <row r="1517">
          <cell r="A1517" t="str">
            <v/>
          </cell>
          <cell r="B1517">
            <v>0</v>
          </cell>
          <cell r="C1517">
            <v>0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/>
          </cell>
          <cell r="B1518">
            <v>0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C1519">
            <v>0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C1520">
            <v>0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7">
          <cell r="D1527" t="str">
            <v>할석공</v>
          </cell>
          <cell r="E1527">
            <v>0</v>
          </cell>
          <cell r="F1527" t="str">
            <v>인</v>
          </cell>
          <cell r="G1527">
            <v>2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65700</v>
          </cell>
          <cell r="M1527">
            <v>131400</v>
          </cell>
          <cell r="N1527">
            <v>0</v>
          </cell>
          <cell r="O1527">
            <v>0</v>
          </cell>
          <cell r="P1527">
            <v>131400</v>
          </cell>
          <cell r="Q1527" t="str">
            <v>50%까지 할증가능</v>
          </cell>
        </row>
        <row r="1528">
          <cell r="A1528" t="str">
            <v/>
          </cell>
        </row>
        <row r="1529">
          <cell r="A1529" t="str">
            <v/>
          </cell>
          <cell r="B1529">
            <v>0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166300</v>
          </cell>
          <cell r="N1529">
            <v>0</v>
          </cell>
          <cell r="O1529">
            <v>0</v>
          </cell>
          <cell r="P1529">
            <v>166300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_sheet"/>
      <sheetName val="LEGEND"/>
      <sheetName val="노무"/>
      <sheetName val="장비"/>
      <sheetName val="입출재고현황 (2)"/>
      <sheetName val="일위대가"/>
      <sheetName val="코드표"/>
      <sheetName val="개인성적표"/>
      <sheetName val="금액내역서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금액"/>
      <sheetName val="집계"/>
      <sheetName val="AREA"/>
      <sheetName val="SCH"/>
      <sheetName val="Sheet1"/>
      <sheetName val="실행철강하도"/>
      <sheetName val="ABUT수량-A1"/>
      <sheetName val="내역서"/>
      <sheetName val="tggwan(mac)"/>
      <sheetName val="입출재고현황 (2)"/>
      <sheetName val="화재 탐지 설비"/>
      <sheetName val="설계기준 및 하중계산"/>
      <sheetName val="2000전체분"/>
      <sheetName val="2000년1차"/>
      <sheetName val="바닥면적산출"/>
      <sheetName val="실행내역서 "/>
      <sheetName val="현금"/>
      <sheetName val="원가계산"/>
      <sheetName val="총괄"/>
      <sheetName val="공량산출서"/>
      <sheetName val="실행(ALT1)"/>
      <sheetName val="비교표"/>
      <sheetName val="PROJECT BRIEF"/>
      <sheetName val="갑지(추정)"/>
      <sheetName val="COVER"/>
      <sheetName val="장비"/>
      <sheetName val="노무"/>
      <sheetName val="갑지"/>
      <sheetName val="입출재고현황_(2)"/>
      <sheetName val="화재_탐지_설비"/>
      <sheetName val="설계기준_및_하중계산"/>
      <sheetName val="실행내역서_"/>
      <sheetName val="PROJECT_BRIEF"/>
    </sheetNames>
    <sheetDataSet>
      <sheetData sheetId="0"/>
      <sheetData sheetId="1"/>
      <sheetData sheetId="2"/>
      <sheetData sheetId="3">
        <row r="3">
          <cell r="E3" t="str">
            <v>구분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p2-1"/>
      <sheetName val="갑지"/>
      <sheetName val="입찰안"/>
      <sheetName val="OUT"/>
      <sheetName val="일위(PN)"/>
      <sheetName val="외주현황.wq1"/>
      <sheetName val="영업.일1"/>
      <sheetName val="갑지1"/>
      <sheetName val="공사명입력"/>
      <sheetName val="근로자자료입력"/>
      <sheetName val="참고자료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01"/>
      <sheetName val="업무"/>
      <sheetName val="2.대외공문"/>
      <sheetName val="SG"/>
      <sheetName val="5.WIRE적용LIST"/>
      <sheetName val="항목(1)"/>
      <sheetName val="THEME CODE"/>
      <sheetName val="CR CODE"/>
      <sheetName val="부서CODE"/>
      <sheetName val="FORM-0"/>
      <sheetName val="날개벽수량표"/>
      <sheetName val="분납 2"/>
      <sheetName val="SAM (2)"/>
      <sheetName val="단면 (2)"/>
      <sheetName val="CONCRETE"/>
      <sheetName val="수입"/>
      <sheetName val="물가시세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관람석제출"/>
      <sheetName val="조건 (A)"/>
      <sheetName val="DATE"/>
      <sheetName val="일괄인쇄"/>
      <sheetName val="대비표"/>
      <sheetName val="총괄표"/>
      <sheetName val="소화실적"/>
      <sheetName val="임_x005f_x0002__x005f_x0000_蘠t_x005f_x0000__x005f_x0000_"/>
      <sheetName val="시험장S자로가로등공사"/>
      <sheetName val="업무계획1"/>
      <sheetName val="임_x005f_x005f_x005f_x0002__x005f_x005f_x005f_x0000_蘠t_x"/>
      <sheetName val="월별수입"/>
      <sheetName val="을"/>
      <sheetName val="전체내역 (2)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임_x0002_?蘠t??_x0001_"/>
      <sheetName val="[업무.XLS塅䕃⹌塅E9월"/>
      <sheetName val="남양시작동010313100%"/>
      <sheetName val="부하(성남)"/>
      <sheetName val="DRUM"/>
      <sheetName val="SKETCH"/>
      <sheetName val="예산대비"/>
      <sheetName val="9"/>
      <sheetName val="10상"/>
      <sheetName val="제안서"/>
      <sheetName val="행정표준(1)"/>
      <sheetName val="행정표준(2)"/>
      <sheetName val="내역서"/>
      <sheetName val="금액내역서"/>
      <sheetName val="임_x005f_x005f_x005f_x005f_x005f_x005f_x005f_x005f_x005f"/>
      <sheetName val="임_x005f_x005f_x005f_x0002_"/>
      <sheetName val="임_x005f_x0002_?蘠t??_x005f_x0001_"/>
      <sheetName val="12월 기타"/>
      <sheetName val="배수공"/>
      <sheetName val="간지"/>
      <sheetName val="3분기"/>
      <sheetName val="CAUDIT"/>
      <sheetName val="Ring"/>
      <sheetName val="매립"/>
      <sheetName val="5.단면설계"/>
      <sheetName val="금융비용"/>
      <sheetName val="石油類"/>
      <sheetName val="_REF"/>
      <sheetName val="임_x005f_x0002__蘠t___x005f_x0001_"/>
      <sheetName val="_업무.XLS塅䕃⹌塅E9월"/>
      <sheetName val="96수출"/>
      <sheetName val="날개벽(시점좌측)"/>
      <sheetName val="설계조건"/>
      <sheetName val="도"/>
      <sheetName val="임_x0002__蘠t___x0001_"/>
      <sheetName val="캐완일정표 "/>
      <sheetName val="major"/>
      <sheetName val="집계표"/>
      <sheetName val="간접비"/>
      <sheetName val="대비"/>
      <sheetName val="1공구"/>
      <sheetName val="2공구"/>
      <sheetName val="대공종"/>
      <sheetName val="시행내역서(1공구-참조)"/>
      <sheetName val="2014년 표준단가"/>
      <sheetName val="개시전표"/>
      <sheetName val="공사집계"/>
      <sheetName val="약품공급2"/>
      <sheetName val="2000년1차"/>
      <sheetName val="단가일람"/>
      <sheetName val="조경일람"/>
      <sheetName val="조명율표"/>
      <sheetName val="Variables"/>
      <sheetName val="부속동"/>
      <sheetName val="교각계산"/>
      <sheetName val="토목주소"/>
      <sheetName val="프랜트면허"/>
      <sheetName val="工완성공사율"/>
      <sheetName val="간이연락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PE"/>
      <sheetName val="참고"/>
      <sheetName val="PE-KR"/>
      <sheetName val="HISYEARSALE"/>
      <sheetName val="김창균"/>
      <sheetName val="유림골조"/>
      <sheetName val="DESIGN"/>
      <sheetName val="출입구총집계"/>
      <sheetName val="임_x0002__x0000_蘠t_x"/>
      <sheetName val="임_x005f_x0002__x005"/>
      <sheetName val="카렌스센터계량기설치공사"/>
      <sheetName val="_R_x0000__x0000_"/>
      <sheetName val="출퇴근"/>
      <sheetName val="방음벽기초"/>
      <sheetName val="임_x005f_x005f_x005f_x005f_x005f_x005f_x005f_x0002_"/>
      <sheetName val="임_x005f_x005f_x005f_x0002__蘠t___x005f_x005f_x0001"/>
      <sheetName val="무전표"/>
      <sheetName val="TEST1"/>
      <sheetName val="II손익관리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코드정보"/>
      <sheetName val="임_x005f_x0002_?蘠t??_x0栀ṋ㠀"/>
      <sheetName val="임_x005f_x0002_?蘠t??_x0栀ṋ렀̣"/>
      <sheetName val="day"/>
      <sheetName val="Varia_x0000__x0000__x0005__x0000_"/>
      <sheetName val="Varia"/>
      <sheetName val="1.설계조건"/>
      <sheetName val="임_x005f_x0002_?蘠t??_x0럷⩦0_x0000_"/>
      <sheetName val="환율"/>
      <sheetName val="외자배분"/>
      <sheetName val="외자내역"/>
      <sheetName val="부하계산서"/>
      <sheetName val="9GNG운반"/>
      <sheetName val="포장절단"/>
      <sheetName val="__"/>
      <sheetName val="매크로"/>
      <sheetName val="조직도_(6)3"/>
      <sheetName val="경비통장_잔액1월3"/>
      <sheetName val="환전표_1월3"/>
      <sheetName val="경리보고서_1월3"/>
      <sheetName val="일반경비_1월3"/>
      <sheetName val="투자예산_1월3"/>
      <sheetName val="임차보증금_1월3"/>
      <sheetName val="경비통장_잔액2월3"/>
      <sheetName val="환전표_2월3"/>
      <sheetName val="경리보고서__2월3"/>
      <sheetName val="일반경비_2월3"/>
      <sheetName val="투자예산_2월3"/>
      <sheetName val="임차보증금_2월3"/>
      <sheetName val="경비통장_잔액3월3"/>
      <sheetName val="환전표_3월3"/>
      <sheetName val="경리보고서__3월3"/>
      <sheetName val="일반경비_3월3"/>
      <sheetName val="투자예산_3월3"/>
      <sheetName val="임차보증금_3월3"/>
      <sheetName val="경비통장_잔액4월3"/>
      <sheetName val="환전표_4월3"/>
      <sheetName val="경리보고서_4월3"/>
      <sheetName val="일반경비_4월3"/>
      <sheetName val="투자예산_4월3"/>
      <sheetName val="임차보증금_4월3"/>
      <sheetName val="환전표_5월3"/>
      <sheetName val="경비통장_잔액5월3"/>
      <sheetName val="경리보고서__5월3"/>
      <sheetName val="일반경비_5월3"/>
      <sheetName val="투자예산_5월3"/>
      <sheetName val="임차보증금_5월3"/>
      <sheetName val="경비통장_잔액6월3"/>
      <sheetName val="환전표_6월3"/>
      <sheetName val="경리보고서__6월3"/>
      <sheetName val="일반경비_6월3"/>
      <sheetName val="투자예산_6월3"/>
      <sheetName val="임차보증금_6월3"/>
      <sheetName val="경비통장_잔액7월3"/>
      <sheetName val="환전표_7월3"/>
      <sheetName val="경리보고서__7월3"/>
      <sheetName val="일반경비_7월3"/>
      <sheetName val="투자예산_7월3"/>
      <sheetName val="임차보증금_7월3"/>
      <sheetName val="환전표_8월3"/>
      <sheetName val="경비통장_잔액8월3"/>
      <sheetName val="경리보고서__8월3"/>
      <sheetName val="일반경비_8월3"/>
      <sheetName val="투자예산_8월3"/>
      <sheetName val="임차보증금_8월3"/>
      <sheetName val="환전표_9월3"/>
      <sheetName val="경리보고서__9월3"/>
      <sheetName val="일반경비_9월3"/>
      <sheetName val="투자예산_9월3"/>
      <sheetName val="임차보증금_9월3"/>
      <sheetName val="환전표_10월3"/>
      <sheetName val="경리보고서_10월3"/>
      <sheetName val="일반경비_10월3"/>
      <sheetName val="투자예산_10월3"/>
      <sheetName val="임차보증금_10월3"/>
      <sheetName val="환전표_11월3"/>
      <sheetName val="경리보고서_11월3"/>
      <sheetName val="일반경비_11월3"/>
      <sheetName val="투자예산_11월3"/>
      <sheetName val="임차보증금_11월3"/>
      <sheetName val="경리보고서_11월-23"/>
      <sheetName val="환전표_12월3"/>
      <sheetName val="경리보고서_12월3"/>
      <sheetName val="일반경비_12월3"/>
      <sheetName val="투자예산_12월3"/>
      <sheetName val="임차보증금_12월3"/>
      <sheetName val="경리보고서_12월-23"/>
      <sheetName val="환전표_12월_(2)3"/>
      <sheetName val="본사송금내역12월_(2)3"/>
      <sheetName val="잔액_(2)3"/>
      <sheetName val="경리보고서_12월_(2)3"/>
      <sheetName val="항목별명세표12월_(2)3"/>
      <sheetName val="외주현황_wq12"/>
      <sheetName val="5_WIRE적용LIST"/>
      <sheetName val="영업_일12"/>
      <sheetName val="분납_2"/>
      <sheetName val="SAM_(2)"/>
      <sheetName val="2_대외공문"/>
      <sheetName val="THEME_CODE"/>
      <sheetName val="CR_CODE"/>
      <sheetName val="[업무_XLS塅䕃⹌塅E9월"/>
      <sheetName val="단면_(2)"/>
      <sheetName val="소상_&quot;1&quot;"/>
      <sheetName val="조건_(A)"/>
      <sheetName val="전체내역_(2)"/>
      <sheetName val="임"/>
      <sheetName val="12월_기타"/>
      <sheetName val="5_단면설계"/>
      <sheetName val="_업무_XLS塅䕃⹌塅E9월"/>
      <sheetName val="2014년_표준단가"/>
      <sheetName val="요약표"/>
      <sheetName val="2. 사업장명 및 TO입력"/>
      <sheetName val="근태표"/>
      <sheetName val="7.조리원수당입력"/>
      <sheetName val="Macro1"/>
      <sheetName val="(드롭다운)"/>
      <sheetName val="FAB별"/>
      <sheetName val="구조물철거타공정이월"/>
      <sheetName val="신우"/>
      <sheetName val="기성집계"/>
      <sheetName val="입출재고현황 (2)"/>
      <sheetName val="내역대비표(코크스)"/>
      <sheetName val="변경내역(코크스)"/>
      <sheetName val="location"/>
      <sheetName val="2"/>
      <sheetName val="RD제품개발투자비(매가)"/>
      <sheetName val="1.설계기준"/>
      <sheetName val="원가계산서"/>
      <sheetName val="인사자료총집계"/>
      <sheetName val="설계내역서"/>
      <sheetName val="IRPJ"/>
      <sheetName val="CSLL"/>
      <sheetName val="DRE"/>
      <sheetName val="Variação cambial-USD"/>
      <sheetName val="IRRF CDB"/>
      <sheetName val="Despesas Indedutiveis"/>
      <sheetName val="Lalur 1.0007 -Derivativos"/>
      <sheetName val="Thin Capital-Juros"/>
      <sheetName val="손익"/>
      <sheetName val="18"/>
      <sheetName val="DATA2000"/>
      <sheetName val="기준표"/>
      <sheetName val="Development"/>
      <sheetName val="인자"/>
      <sheetName val="_업무.XLS塅y_x0000_Ԁ_x0000_䀀᚝"/>
      <sheetName val="_업무.XLS塅y_x0000_က묓렂鸗"/>
      <sheetName val="_업무.XLS塅y_x0000_ကἓ렃ȗ"/>
      <sheetName val="Drop-Down"/>
      <sheetName val="Location code"/>
      <sheetName val="lists"/>
      <sheetName val="Notes"/>
      <sheetName val="980710"/>
      <sheetName val="KEY"/>
      <sheetName val="_업무.XLS塅䕃⹌塅_x0000__x0000_愘"/>
      <sheetName val="_업무.XLS塅䕃⹌塅_x0000__x0000_墈"/>
      <sheetName val="성과급조정"/>
      <sheetName val="106C0300"/>
      <sheetName val="임_x005f_x005f_x005f_x005f_x005f_x005f_x줄彥0_x0000_栀b_x0000__x0000_栀䜈"/>
      <sheetName val="임_x005f_x0002__蘠t___x00_x0000__x0000__x0005_"/>
      <sheetName val="_업무.XLS塅䕃⹌塅_x0000__x0000_ǌ"/>
      <sheetName val="인부신상자료"/>
      <sheetName val="임_x005f_x005F_x005f"/>
      <sheetName val="임_x005f_x0002__蘠t___x005f_x005f_x0001"/>
      <sheetName val="95년12월말"/>
      <sheetName val="p.m 별"/>
      <sheetName val="_업무.XLS塅y"/>
      <sheetName val="임_x005f_x005f_x005f_x005f_x005f_x005f_x줄彥0"/>
      <sheetName val="_업무.XLS塅䕃⹌塅"/>
      <sheetName val="임_x005f_x0002__蘠t___x00"/>
      <sheetName val="임_x005f_x005f_x005f_x005F_x005f_x0002__x005"/>
      <sheetName val="임_x005f_x005f_x005f_x005F_x005f_x005f_x005f"/>
      <sheetName val=" 하우스키핑_Daily Report_0601.xlsx"/>
      <sheetName val="임_x005f_x005f_x줄彥0"/>
      <sheetName val="발신정보"/>
      <sheetName val="임_x005f_x005f_x005f_x005f_x005f_x005f_x005f_x005f_x_x0000__x0000__x0005__x0000_"/>
      <sheetName val="주식"/>
      <sheetName val="Sheet4"/>
      <sheetName val="기둥(원형)"/>
      <sheetName val="6PILE  (돌출)"/>
      <sheetName val="청산공사"/>
      <sheetName val="locations"/>
      <sheetName val="xxxxxx"/>
      <sheetName val="※현금미지급"/>
      <sheetName val="※현업회신"/>
      <sheetName val="임_x005f_x0002_?蘠t??_x0쌂伅/_x0000_"/>
      <sheetName val="임_x005f_x005f_x005f_x005f_x005f_x005f_x005f_x005f_x"/>
      <sheetName val="목표세부명세"/>
      <sheetName val="조명시설"/>
      <sheetName val="임_x005f_x0002__蘠t___⭆_x0000_Ā"/>
      <sheetName val="조직"/>
      <sheetName val="조직도_(6)4"/>
      <sheetName val="경비통장_잔액1월4"/>
      <sheetName val="환전표_1월4"/>
      <sheetName val="경리보고서_1월4"/>
      <sheetName val="일반경비_1월4"/>
      <sheetName val="투자예산_1월4"/>
      <sheetName val="임차보증금_1월4"/>
      <sheetName val="경비통장_잔액2월4"/>
      <sheetName val="환전표_2월4"/>
      <sheetName val="경리보고서__2월4"/>
      <sheetName val="일반경비_2월4"/>
      <sheetName val="투자예산_2월4"/>
      <sheetName val="임차보증금_2월4"/>
      <sheetName val="경비통장_잔액3월4"/>
      <sheetName val="환전표_3월4"/>
      <sheetName val="경리보고서__3월4"/>
      <sheetName val="일반경비_3월4"/>
      <sheetName val="투자예산_3월4"/>
      <sheetName val="임차보증금_3월4"/>
      <sheetName val="경비통장_잔액4월4"/>
      <sheetName val="환전표_4월4"/>
      <sheetName val="경리보고서_4월4"/>
      <sheetName val="일반경비_4월4"/>
      <sheetName val="투자예산_4월4"/>
      <sheetName val="임차보증금_4월4"/>
      <sheetName val="환전표_5월4"/>
      <sheetName val="경비통장_잔액5월4"/>
      <sheetName val="경리보고서__5월4"/>
      <sheetName val="일반경비_5월4"/>
      <sheetName val="투자예산_5월4"/>
      <sheetName val="임차보증금_5월4"/>
      <sheetName val="경비통장_잔액6월4"/>
      <sheetName val="환전표_6월4"/>
      <sheetName val="경리보고서__6월4"/>
      <sheetName val="일반경비_6월4"/>
      <sheetName val="투자예산_6월4"/>
      <sheetName val="임차보증금_6월4"/>
      <sheetName val="경비통장_잔액7월4"/>
      <sheetName val="환전표_7월4"/>
      <sheetName val="경리보고서__7월4"/>
      <sheetName val="일반경비_7월4"/>
      <sheetName val="투자예산_7월4"/>
      <sheetName val="임차보증금_7월4"/>
      <sheetName val="환전표_8월4"/>
      <sheetName val="경비통장_잔액8월4"/>
      <sheetName val="경리보고서__8월4"/>
      <sheetName val="일반경비_8월4"/>
      <sheetName val="투자예산_8월4"/>
      <sheetName val="임차보증금_8월4"/>
      <sheetName val="환전표_9월4"/>
      <sheetName val="경리보고서__9월4"/>
      <sheetName val="일반경비_9월4"/>
      <sheetName val="투자예산_9월4"/>
      <sheetName val="임차보증금_9월4"/>
      <sheetName val="환전표_10월4"/>
      <sheetName val="경리보고서_10월4"/>
      <sheetName val="일반경비_10월4"/>
      <sheetName val="투자예산_10월4"/>
      <sheetName val="임차보증금_10월4"/>
      <sheetName val="환전표_11월4"/>
      <sheetName val="경리보고서_11월4"/>
      <sheetName val="일반경비_11월4"/>
      <sheetName val="투자예산_11월4"/>
      <sheetName val="임차보증금_11월4"/>
      <sheetName val="경리보고서_11월-24"/>
      <sheetName val="환전표_12월4"/>
      <sheetName val="경리보고서_12월4"/>
      <sheetName val="일반경비_12월4"/>
      <sheetName val="투자예산_12월4"/>
      <sheetName val="임차보증금_12월4"/>
      <sheetName val="경리보고서_12월-24"/>
      <sheetName val="환전표_12월_(2)4"/>
      <sheetName val="본사송금내역12월_(2)4"/>
      <sheetName val="잔액_(2)4"/>
      <sheetName val="경리보고서_12월_(2)4"/>
      <sheetName val="항목별명세표12월_(2)4"/>
      <sheetName val="외주현황_wq13"/>
      <sheetName val="5_WIRE적용LIST1"/>
      <sheetName val="영업_일13"/>
      <sheetName val="분납_21"/>
      <sheetName val="SAM_(2)1"/>
      <sheetName val="2_대외공문1"/>
      <sheetName val="THEME_CODE1"/>
      <sheetName val="CR_CODE1"/>
      <sheetName val="[업무_XLS塅䕃⹌塅E9월1"/>
      <sheetName val="단면_(2)1"/>
      <sheetName val="소상_&quot;1&quot;1"/>
      <sheetName val="조건_(A)1"/>
      <sheetName val="전체내역_(2)1"/>
      <sheetName val="12월_기타1"/>
      <sheetName val="5_단면설계1"/>
      <sheetName val="_업무_XLS塅䕃⹌塅E9월1"/>
      <sheetName val="2014년_표준단가1"/>
      <sheetName val="캐완일정표_"/>
      <sheetName val="Supplier List"/>
      <sheetName val="토목품셈"/>
      <sheetName val="임_x005f_x0002__蘠t___ 鸴喉瘯"/>
      <sheetName val="임_x005f_x005f_x005f_x005F_x"/>
      <sheetName val="기안"/>
      <sheetName val="개산공사비"/>
      <sheetName val="EACT10"/>
      <sheetName val="실행예산-변경분"/>
      <sheetName val="공문"/>
      <sheetName val="임_x0002__x005"/>
      <sheetName val="입력"/>
      <sheetName val="[업무.XLS]임_x005f_x0002_?蘠t??_x0쌂伅/_x0000_"/>
      <sheetName val="TRIM-Y3"/>
      <sheetName val="04.23"/>
      <sheetName val="은행"/>
      <sheetName val="현장관리비 산출내역"/>
      <sheetName val="임_x005f_x0002__蘠t___⭆"/>
      <sheetName val="음료실행"/>
      <sheetName val="재료비"/>
      <sheetName val="_업무.XLS塅䕃⹌塅ၒ_x0000__x0000_"/>
      <sheetName val="아산추가1220"/>
      <sheetName val="교ၒ_x0000__x0000_"/>
      <sheetName val="품의서(신규)"/>
      <sheetName val="세부인출내역"/>
      <sheetName val="요약,인출내역(카메라)"/>
      <sheetName val="사업비집행내역"/>
      <sheetName val="운영계좌"/>
      <sheetName val="분양수입금_아파트"/>
      <sheetName val="분양수입금_발코니 및 옵션"/>
      <sheetName val="대출금적립계좌"/>
      <sheetName val="계좌사본"/>
      <sheetName val="별첨 Cashflow"/>
      <sheetName val="[업무.XLS][업무.XLS]__x005f_x0002___t___2"/>
      <sheetName val="공통부대비"/>
      <sheetName val="Data List"/>
      <sheetName val="Categoria"/>
      <sheetName val="1-2_Trade rece. reason of delay"/>
      <sheetName val=""/>
      <sheetName val="임_x005f_x005f_x蹀ᇘ_x0000_癚"/>
      <sheetName val="임_x005f_x005f_x躠蒯è_x0000_ꈶ"/>
      <sheetName val="DNW"/>
      <sheetName val="여흥"/>
      <sheetName val="장비"/>
      <sheetName val="조도계산서 (도서)"/>
      <sheetName val="목록"/>
      <sheetName val="Ⅲ-2"/>
      <sheetName val="Varia߸⥇䏀ͩ"/>
      <sheetName val="Assumptions"/>
      <sheetName val="임_x005f_x005f_x蹀ᇘ"/>
      <sheetName val="임_x005f_x005f_x躠蒯è"/>
      <sheetName val="Tender"/>
      <sheetName val="주관사업"/>
      <sheetName val="M1master"/>
      <sheetName val="CALC"/>
      <sheetName val="DATASHEET"/>
      <sheetName val="Definitions"/>
      <sheetName val="재질단가"/>
      <sheetName val="가2"/>
      <sheetName val="조직도_(6)5"/>
      <sheetName val="경비통장_잔액1월5"/>
      <sheetName val="환전표_1월5"/>
      <sheetName val="경리보고서_1월5"/>
      <sheetName val="일반경비_1월5"/>
      <sheetName val="투자예산_1월5"/>
      <sheetName val="임차보증금_1월5"/>
      <sheetName val="경비통장_잔액2월5"/>
      <sheetName val="환전표_2월5"/>
      <sheetName val="경리보고서__2월5"/>
      <sheetName val="일반경비_2월5"/>
      <sheetName val="투자예산_2월5"/>
      <sheetName val="임차보증금_2월5"/>
      <sheetName val="경비통장_잔액3월5"/>
      <sheetName val="환전표_3월5"/>
      <sheetName val="경리보고서__3월5"/>
      <sheetName val="일반경비_3월5"/>
      <sheetName val="투자예산_3월5"/>
      <sheetName val="임차보증금_3월5"/>
      <sheetName val="경비통장_잔액4월5"/>
      <sheetName val="환전표_4월5"/>
      <sheetName val="경리보고서_4월5"/>
      <sheetName val="일반경비_4월5"/>
      <sheetName val="투자예산_4월5"/>
      <sheetName val="임차보증금_4월5"/>
      <sheetName val="환전표_5월5"/>
      <sheetName val="경비통장_잔액5월5"/>
      <sheetName val="경리보고서__5월5"/>
      <sheetName val="일반경비_5월5"/>
      <sheetName val="투자예산_5월5"/>
      <sheetName val="임차보증금_5월5"/>
      <sheetName val="경비통장_잔액6월5"/>
      <sheetName val="환전표_6월5"/>
      <sheetName val="경리보고서__6월5"/>
      <sheetName val="일반경비_6월5"/>
      <sheetName val="투자예산_6월5"/>
      <sheetName val="임차보증금_6월5"/>
      <sheetName val="경비통장_잔액7월5"/>
      <sheetName val="환전표_7월5"/>
      <sheetName val="경리보고서__7월5"/>
      <sheetName val="일반경비_7월5"/>
      <sheetName val="투자예산_7월5"/>
      <sheetName val="임차보증금_7월5"/>
      <sheetName val="환전표_8월5"/>
      <sheetName val="경비통장_잔액8월5"/>
      <sheetName val="경리보고서__8월5"/>
      <sheetName val="일반경비_8월5"/>
      <sheetName val="투자예산_8월5"/>
      <sheetName val="임차보증금_8월5"/>
      <sheetName val="환전표_9월5"/>
      <sheetName val="경리보고서__9월5"/>
      <sheetName val="일반경비_9월5"/>
      <sheetName val="투자예산_9월5"/>
      <sheetName val="임차보증금_9월5"/>
      <sheetName val="환전표_10월5"/>
      <sheetName val="경리보고서_10월5"/>
      <sheetName val="일반경비_10월5"/>
      <sheetName val="투자예산_10월5"/>
      <sheetName val="임차보증금_10월5"/>
      <sheetName val="환전표_11월5"/>
      <sheetName val="경리보고서_11월5"/>
      <sheetName val="일반경비_11월5"/>
      <sheetName val="투자예산_11월5"/>
      <sheetName val="임차보증금_11월5"/>
      <sheetName val="경리보고서_11월-25"/>
      <sheetName val="환전표_12월5"/>
      <sheetName val="경리보고서_12월5"/>
      <sheetName val="일반경비_12월5"/>
      <sheetName val="투자예산_12월5"/>
      <sheetName val="임차보증금_12월5"/>
      <sheetName val="경리보고서_12월-25"/>
      <sheetName val="환전표_12월_(2)5"/>
      <sheetName val="본사송금내역12월_(2)5"/>
      <sheetName val="잔액_(2)5"/>
      <sheetName val="경리보고서_12월_(2)5"/>
      <sheetName val="항목별명세표12월_(2)5"/>
      <sheetName val="외주현황_wq14"/>
      <sheetName val="5_WIRE적용LIST2"/>
      <sheetName val="영업_일14"/>
      <sheetName val="분납_22"/>
      <sheetName val="SAM_(2)2"/>
      <sheetName val="2_대외공문2"/>
      <sheetName val="THEME_CODE2"/>
      <sheetName val="CR_CODE2"/>
      <sheetName val="[업무_XLS塅䕃⹌塅E9월2"/>
      <sheetName val="단면_(2)2"/>
      <sheetName val="소상_&quot;1&quot;2"/>
      <sheetName val="조건_(A)2"/>
      <sheetName val="전체내역_(2)2"/>
      <sheetName val="12월_기타2"/>
      <sheetName val="5_단면설계2"/>
      <sheetName val="_업무_XLS塅䕃⹌塅E9월2"/>
      <sheetName val="2014년_표준단가2"/>
      <sheetName val="캐완일정표_1"/>
      <sheetName val="CHA_REV"/>
      <sheetName val="GAMMA_1"/>
      <sheetName val="FJK_0"/>
      <sheetName val="98년2월종합감리업무일지_"/>
      <sheetName val="98년2월공사일지_"/>
      <sheetName val="98년1월종합감리업무일지_"/>
      <sheetName val="98년1월공사일지_"/>
      <sheetName val="1_설계조건"/>
      <sheetName val="Variação_cambial-USD"/>
      <sheetName val="IRRF_CDB"/>
      <sheetName val="Despesas_Indedutiveis"/>
      <sheetName val="Lalur_1_0007_-Derivativos"/>
      <sheetName val="Thin_Capital-Juros"/>
      <sheetName val="입출재고현황_(2)"/>
      <sheetName val="2__사업장명_및_TO입력"/>
      <sheetName val="7_조리원수당입력"/>
      <sheetName val="1_설계기준"/>
      <sheetName val="Location_code"/>
      <sheetName val="_업무_XLS塅yԀ䀀᚝"/>
      <sheetName val="_업무_XLS塅yက묓렂鸗"/>
      <sheetName val="_업무_XLS塅yကἓ렃ȗ"/>
      <sheetName val="p_m_별"/>
      <sheetName val="_업무_XLS塅䕃⹌塅愘"/>
      <sheetName val="_업무_XLS塅䕃⹌塅墈"/>
      <sheetName val="_업무_XLS塅䕃⹌塅ǌ"/>
      <sheetName val="_업무_XLS塅y"/>
      <sheetName val="Supplier_List"/>
      <sheetName val="_업무_XLS塅䕃⹌塅"/>
      <sheetName val="6PILE__(돌출)"/>
      <sheetName val="04_23"/>
      <sheetName val="1-2_Trade_rece__reason_of_delay"/>
      <sheetName val="Data_List"/>
      <sheetName val="9-1차이내역."/>
      <sheetName val="CD-실적"/>
      <sheetName val="협조전"/>
      <sheetName val="시산표"/>
      <sheetName val="Sheet6"/>
      <sheetName val="일반관리비"/>
      <sheetName val="비교표"/>
      <sheetName val="인원계획-미화"/>
      <sheetName val="영동(D)"/>
      <sheetName val="임_x005f_x005F_x"/>
    </sheetNames>
    <sheetDataSet>
      <sheetData sheetId="0" refreshError="1">
        <row r="1">
          <cell r="A1" t="str">
            <v>고객써비스팀 업무분장(1996.11.15일 현재)</v>
          </cell>
          <cell r="E1">
            <v>0</v>
          </cell>
          <cell r="F1">
            <v>0</v>
          </cell>
          <cell r="J1">
            <v>0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>
        <row r="1">
          <cell r="A1" t="str">
            <v>▣ Exchange Rate Control</v>
          </cell>
        </row>
      </sheetData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>
        <row r="1">
          <cell r="A1" t="str">
            <v>▣ Exchange Rate Control</v>
          </cell>
        </row>
      </sheetData>
      <sheetData sheetId="410" refreshError="1"/>
      <sheetData sheetId="411" refreshError="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 refreshError="1"/>
      <sheetData sheetId="441" refreshError="1"/>
      <sheetData sheetId="442" refreshError="1"/>
      <sheetData sheetId="443">
        <row r="1">
          <cell r="A1" t="str">
            <v>▣ Exchange Rate Control</v>
          </cell>
        </row>
      </sheetData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 refreshError="1"/>
      <sheetData sheetId="484" refreshError="1"/>
      <sheetData sheetId="485" refreshError="1"/>
      <sheetData sheetId="486"/>
      <sheetData sheetId="487" refreshError="1"/>
      <sheetData sheetId="488" refreshError="1"/>
      <sheetData sheetId="489">
        <row r="1">
          <cell r="A1" t="str">
            <v>▣ Exchange Rate Control</v>
          </cell>
        </row>
      </sheetData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/>
      <sheetData sheetId="522"/>
      <sheetData sheetId="523"/>
      <sheetData sheetId="524"/>
      <sheetData sheetId="525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>
        <row r="1">
          <cell r="A1" t="str">
            <v>▣ Exchange Rate Control</v>
          </cell>
        </row>
      </sheetData>
      <sheetData sheetId="537">
        <row r="1">
          <cell r="A1" t="str">
            <v>▣ Exchange Rate Control</v>
          </cell>
        </row>
      </sheetData>
      <sheetData sheetId="538">
        <row r="1">
          <cell r="A1" t="str">
            <v>▣ Exchange Rate Control</v>
          </cell>
        </row>
      </sheetData>
      <sheetData sheetId="539">
        <row r="1">
          <cell r="A1" t="str">
            <v>▣ Exchange Rate Control</v>
          </cell>
        </row>
      </sheetData>
      <sheetData sheetId="540">
        <row r="1">
          <cell r="A1" t="str">
            <v>▣ Exchange Rate Control</v>
          </cell>
        </row>
      </sheetData>
      <sheetData sheetId="541">
        <row r="1">
          <cell r="A1" t="str">
            <v>▣ Exchange Rate Control</v>
          </cell>
        </row>
      </sheetData>
      <sheetData sheetId="542">
        <row r="1">
          <cell r="A1" t="str">
            <v>▣ Exchange Rate Control</v>
          </cell>
        </row>
      </sheetData>
      <sheetData sheetId="543">
        <row r="1">
          <cell r="A1" t="str">
            <v>▣ Exchange Rate Control</v>
          </cell>
        </row>
      </sheetData>
      <sheetData sheetId="544">
        <row r="1">
          <cell r="A1" t="str">
            <v>▣ Exchange Rate Control</v>
          </cell>
        </row>
      </sheetData>
      <sheetData sheetId="545">
        <row r="1">
          <cell r="A1" t="str">
            <v>▣ Exchange Rate Control</v>
          </cell>
        </row>
      </sheetData>
      <sheetData sheetId="546">
        <row r="1">
          <cell r="A1" t="str">
            <v>▣ Exchange Rate Control</v>
          </cell>
        </row>
      </sheetData>
      <sheetData sheetId="547">
        <row r="1">
          <cell r="A1" t="str">
            <v>▣ Exchange Rate Control</v>
          </cell>
        </row>
      </sheetData>
      <sheetData sheetId="548">
        <row r="1">
          <cell r="A1" t="str">
            <v>▣ Exchange Rate Control</v>
          </cell>
        </row>
      </sheetData>
      <sheetData sheetId="549">
        <row r="1">
          <cell r="A1" t="str">
            <v>▣ Exchange Rate Control</v>
          </cell>
        </row>
      </sheetData>
      <sheetData sheetId="550">
        <row r="1">
          <cell r="A1" t="str">
            <v>▣ Exchange Rate Control</v>
          </cell>
        </row>
      </sheetData>
      <sheetData sheetId="551">
        <row r="1">
          <cell r="A1" t="str">
            <v>▣ Exchange Rate Control</v>
          </cell>
        </row>
      </sheetData>
      <sheetData sheetId="552">
        <row r="1">
          <cell r="A1" t="str">
            <v>▣ Exchange Rate Control</v>
          </cell>
        </row>
      </sheetData>
      <sheetData sheetId="553">
        <row r="1">
          <cell r="A1" t="str">
            <v>▣ Exchange Rate Control</v>
          </cell>
        </row>
      </sheetData>
      <sheetData sheetId="554">
        <row r="1">
          <cell r="A1" t="str">
            <v>▣ Exchange Rate Control</v>
          </cell>
        </row>
      </sheetData>
      <sheetData sheetId="555">
        <row r="1">
          <cell r="A1" t="str">
            <v>▣ Exchange Rate Control</v>
          </cell>
        </row>
      </sheetData>
      <sheetData sheetId="556">
        <row r="1">
          <cell r="A1" t="str">
            <v>▣ Exchange Rate Control</v>
          </cell>
        </row>
      </sheetData>
      <sheetData sheetId="557">
        <row r="1">
          <cell r="A1" t="str">
            <v>▣ Exchange Rate Control</v>
          </cell>
        </row>
      </sheetData>
      <sheetData sheetId="558">
        <row r="1">
          <cell r="A1" t="str">
            <v>▣ Exchange Rate Control</v>
          </cell>
        </row>
      </sheetData>
      <sheetData sheetId="559">
        <row r="1">
          <cell r="A1" t="str">
            <v>▣ Exchange Rate Control</v>
          </cell>
        </row>
      </sheetData>
      <sheetData sheetId="560">
        <row r="1">
          <cell r="A1" t="str">
            <v>▣ Exchange Rate Control</v>
          </cell>
        </row>
      </sheetData>
      <sheetData sheetId="561">
        <row r="1">
          <cell r="A1" t="str">
            <v>▣ Exchange Rate Control</v>
          </cell>
        </row>
      </sheetData>
      <sheetData sheetId="562">
        <row r="1">
          <cell r="A1" t="str">
            <v>▣ Exchange Rate Control</v>
          </cell>
        </row>
      </sheetData>
      <sheetData sheetId="563">
        <row r="1">
          <cell r="A1" t="str">
            <v>▣ Exchange Rate Control</v>
          </cell>
        </row>
      </sheetData>
      <sheetData sheetId="564">
        <row r="1">
          <cell r="A1" t="str">
            <v>▣ Exchange Rate Control</v>
          </cell>
        </row>
      </sheetData>
      <sheetData sheetId="565">
        <row r="1">
          <cell r="A1" t="str">
            <v>▣ Exchange Rate Control</v>
          </cell>
        </row>
      </sheetData>
      <sheetData sheetId="566">
        <row r="1">
          <cell r="A1" t="str">
            <v>▣ Exchange Rate Control</v>
          </cell>
        </row>
      </sheetData>
      <sheetData sheetId="567">
        <row r="1">
          <cell r="A1" t="str">
            <v>▣ Exchange Rate Control</v>
          </cell>
        </row>
      </sheetData>
      <sheetData sheetId="568">
        <row r="1">
          <cell r="A1" t="str">
            <v>▣ Exchange Rate Control</v>
          </cell>
        </row>
      </sheetData>
      <sheetData sheetId="569">
        <row r="1">
          <cell r="A1" t="str">
            <v>▣ Exchange Rate Control</v>
          </cell>
        </row>
      </sheetData>
      <sheetData sheetId="570">
        <row r="1">
          <cell r="A1" t="str">
            <v>▣ Exchange Rate Control</v>
          </cell>
        </row>
      </sheetData>
      <sheetData sheetId="571">
        <row r="1">
          <cell r="A1" t="str">
            <v>▣ Exchange Rate Control</v>
          </cell>
        </row>
      </sheetData>
      <sheetData sheetId="572">
        <row r="1">
          <cell r="A1" t="str">
            <v>▣ Exchange Rate Control</v>
          </cell>
        </row>
      </sheetData>
      <sheetData sheetId="573">
        <row r="1">
          <cell r="A1" t="str">
            <v>▣ Exchange Rate Control</v>
          </cell>
        </row>
      </sheetData>
      <sheetData sheetId="574">
        <row r="1">
          <cell r="A1" t="str">
            <v>▣ Exchange Rate Control</v>
          </cell>
        </row>
      </sheetData>
      <sheetData sheetId="575">
        <row r="1">
          <cell r="A1" t="str">
            <v>▣ Exchange Rate Control</v>
          </cell>
        </row>
      </sheetData>
      <sheetData sheetId="576">
        <row r="1">
          <cell r="A1" t="str">
            <v>▣ Exchange Rate Control</v>
          </cell>
        </row>
      </sheetData>
      <sheetData sheetId="577">
        <row r="1">
          <cell r="A1" t="str">
            <v>▣ Exchange Rate Control</v>
          </cell>
        </row>
      </sheetData>
      <sheetData sheetId="578">
        <row r="1">
          <cell r="A1" t="str">
            <v>▣ Exchange Rate Control</v>
          </cell>
        </row>
      </sheetData>
      <sheetData sheetId="579">
        <row r="1">
          <cell r="A1" t="str">
            <v>▣ Exchange Rate Control</v>
          </cell>
        </row>
      </sheetData>
      <sheetData sheetId="580">
        <row r="1">
          <cell r="A1" t="str">
            <v>▣ Exchange Rate Control</v>
          </cell>
        </row>
      </sheetData>
      <sheetData sheetId="581">
        <row r="1">
          <cell r="A1" t="str">
            <v>▣ Exchange Rate Control</v>
          </cell>
        </row>
      </sheetData>
      <sheetData sheetId="582">
        <row r="1">
          <cell r="A1" t="str">
            <v>▣ Exchange Rate Control</v>
          </cell>
        </row>
      </sheetData>
      <sheetData sheetId="583">
        <row r="1">
          <cell r="A1" t="str">
            <v>▣ Exchange Rate Control</v>
          </cell>
        </row>
      </sheetData>
      <sheetData sheetId="584">
        <row r="1">
          <cell r="A1" t="str">
            <v>▣ Exchange Rate Control</v>
          </cell>
        </row>
      </sheetData>
      <sheetData sheetId="585">
        <row r="1">
          <cell r="A1" t="str">
            <v>▣ Exchange Rate Control</v>
          </cell>
        </row>
      </sheetData>
      <sheetData sheetId="586">
        <row r="1">
          <cell r="A1" t="str">
            <v>▣ Exchange Rate Control</v>
          </cell>
        </row>
      </sheetData>
      <sheetData sheetId="587">
        <row r="1">
          <cell r="A1" t="str">
            <v>▣ Exchange Rate Control</v>
          </cell>
        </row>
      </sheetData>
      <sheetData sheetId="588">
        <row r="1">
          <cell r="A1" t="str">
            <v>▣ Exchange Rate Control</v>
          </cell>
        </row>
      </sheetData>
      <sheetData sheetId="589">
        <row r="1">
          <cell r="A1" t="str">
            <v>▣ Exchange Rate Control</v>
          </cell>
        </row>
      </sheetData>
      <sheetData sheetId="590">
        <row r="1">
          <cell r="A1" t="str">
            <v>▣ Exchange Rate Control</v>
          </cell>
        </row>
      </sheetData>
      <sheetData sheetId="591">
        <row r="1">
          <cell r="A1" t="str">
            <v>▣ Exchange Rate Control</v>
          </cell>
        </row>
      </sheetData>
      <sheetData sheetId="592">
        <row r="1">
          <cell r="A1" t="str">
            <v>▣ Exchange Rate Control</v>
          </cell>
        </row>
      </sheetData>
      <sheetData sheetId="593">
        <row r="1">
          <cell r="A1" t="str">
            <v>▣ Exchange Rate Control</v>
          </cell>
        </row>
      </sheetData>
      <sheetData sheetId="594">
        <row r="1">
          <cell r="A1" t="str">
            <v>▣ Exchange Rate Control</v>
          </cell>
        </row>
      </sheetData>
      <sheetData sheetId="595">
        <row r="1">
          <cell r="A1" t="str">
            <v>▣ Exchange Rate Control</v>
          </cell>
        </row>
      </sheetData>
      <sheetData sheetId="596">
        <row r="1">
          <cell r="A1" t="str">
            <v>▣ Exchange Rate Control</v>
          </cell>
        </row>
      </sheetData>
      <sheetData sheetId="597">
        <row r="1">
          <cell r="A1" t="str">
            <v>▣ Exchange Rate Control</v>
          </cell>
        </row>
      </sheetData>
      <sheetData sheetId="598">
        <row r="1">
          <cell r="A1" t="str">
            <v>▣ Exchange Rate Control</v>
          </cell>
        </row>
      </sheetData>
      <sheetData sheetId="599">
        <row r="1">
          <cell r="A1" t="str">
            <v>▣ Exchange Rate Control</v>
          </cell>
        </row>
      </sheetData>
      <sheetData sheetId="600">
        <row r="1">
          <cell r="A1" t="str">
            <v>▣ Exchange Rate Control</v>
          </cell>
        </row>
      </sheetData>
      <sheetData sheetId="601">
        <row r="1">
          <cell r="A1" t="str">
            <v>▣ Exchange Rate Control</v>
          </cell>
        </row>
      </sheetData>
      <sheetData sheetId="602">
        <row r="1">
          <cell r="A1" t="str">
            <v>▣ Exchange Rate Control</v>
          </cell>
        </row>
      </sheetData>
      <sheetData sheetId="603">
        <row r="1">
          <cell r="A1" t="str">
            <v>▣ Exchange Rate Control</v>
          </cell>
        </row>
      </sheetData>
      <sheetData sheetId="604">
        <row r="1">
          <cell r="A1" t="str">
            <v>▣ Exchange Rate Control</v>
          </cell>
        </row>
      </sheetData>
      <sheetData sheetId="605">
        <row r="1">
          <cell r="A1" t="str">
            <v>▣ Exchange Rate Control</v>
          </cell>
        </row>
      </sheetData>
      <sheetData sheetId="606">
        <row r="1">
          <cell r="A1" t="str">
            <v>▣ Exchange Rate Control</v>
          </cell>
        </row>
      </sheetData>
      <sheetData sheetId="607">
        <row r="1">
          <cell r="A1" t="str">
            <v>▣ Exchange Rate Control</v>
          </cell>
        </row>
      </sheetData>
      <sheetData sheetId="608">
        <row r="1">
          <cell r="A1" t="str">
            <v>▣ Exchange Rate Control</v>
          </cell>
        </row>
      </sheetData>
      <sheetData sheetId="609">
        <row r="1">
          <cell r="A1" t="str">
            <v>▣ Exchange Rate Control</v>
          </cell>
        </row>
      </sheetData>
      <sheetData sheetId="610">
        <row r="1">
          <cell r="A1" t="str">
            <v>▣ Exchange Rate Control</v>
          </cell>
        </row>
      </sheetData>
      <sheetData sheetId="611">
        <row r="1">
          <cell r="A1" t="str">
            <v>▣ Exchange Rate Control</v>
          </cell>
        </row>
      </sheetData>
      <sheetData sheetId="612">
        <row r="1">
          <cell r="A1" t="str">
            <v>▣ Exchange Rate Control</v>
          </cell>
        </row>
      </sheetData>
      <sheetData sheetId="613">
        <row r="1">
          <cell r="A1" t="str">
            <v>▣ Exchange Rate Control</v>
          </cell>
        </row>
      </sheetData>
      <sheetData sheetId="614">
        <row r="1">
          <cell r="A1" t="str">
            <v>▣ Exchange Rate Control</v>
          </cell>
        </row>
      </sheetData>
      <sheetData sheetId="615">
        <row r="1">
          <cell r="A1" t="str">
            <v>▣ Exchange Rate Control</v>
          </cell>
        </row>
      </sheetData>
      <sheetData sheetId="616">
        <row r="1">
          <cell r="A1" t="str">
            <v>▣ Exchange Rate Control</v>
          </cell>
        </row>
      </sheetData>
      <sheetData sheetId="617">
        <row r="1">
          <cell r="A1" t="str">
            <v>▣ Exchange Rate Control</v>
          </cell>
        </row>
      </sheetData>
      <sheetData sheetId="618">
        <row r="1">
          <cell r="A1" t="str">
            <v>▣ Exchange Rate Control</v>
          </cell>
        </row>
      </sheetData>
      <sheetData sheetId="619">
        <row r="1">
          <cell r="A1" t="str">
            <v>▣ Exchange Rate Control</v>
          </cell>
        </row>
      </sheetData>
      <sheetData sheetId="620">
        <row r="1">
          <cell r="A1" t="str">
            <v>▣ Exchange Rate Control</v>
          </cell>
        </row>
      </sheetData>
      <sheetData sheetId="621">
        <row r="1">
          <cell r="A1" t="str">
            <v>▣ Exchange Rate Control</v>
          </cell>
        </row>
      </sheetData>
      <sheetData sheetId="622">
        <row r="1">
          <cell r="A1" t="str">
            <v>▣ Exchange Rate Control</v>
          </cell>
        </row>
      </sheetData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>
        <row r="1">
          <cell r="A1" t="str">
            <v>▣ Exchange Rate Control</v>
          </cell>
        </row>
      </sheetData>
      <sheetData sheetId="644">
        <row r="1">
          <cell r="A1" t="str">
            <v>▣ Exchange Rate Control</v>
          </cell>
        </row>
      </sheetData>
      <sheetData sheetId="645">
        <row r="1">
          <cell r="A1" t="str">
            <v>▣ Exchange Rate Control</v>
          </cell>
        </row>
      </sheetData>
      <sheetData sheetId="646">
        <row r="1">
          <cell r="A1" t="str">
            <v>▣ Exchange Rate Control</v>
          </cell>
        </row>
      </sheetData>
      <sheetData sheetId="647">
        <row r="1">
          <cell r="A1" t="str">
            <v>▣ Exchange Rate Control</v>
          </cell>
        </row>
      </sheetData>
      <sheetData sheetId="648">
        <row r="1">
          <cell r="A1" t="str">
            <v>▣ Exchange Rate Control</v>
          </cell>
        </row>
      </sheetData>
      <sheetData sheetId="649">
        <row r="1">
          <cell r="A1" t="str">
            <v>▣ Exchange Rate Control</v>
          </cell>
        </row>
      </sheetData>
      <sheetData sheetId="650">
        <row r="1">
          <cell r="A1" t="str">
            <v>▣ Exchange Rate Control</v>
          </cell>
        </row>
      </sheetData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>
        <row r="1">
          <cell r="A1" t="str">
            <v>▣ Exchange Rate Control</v>
          </cell>
        </row>
      </sheetData>
      <sheetData sheetId="675">
        <row r="1">
          <cell r="A1" t="str">
            <v>▣ Exchange Rate Control</v>
          </cell>
        </row>
      </sheetData>
      <sheetData sheetId="676" refreshError="1"/>
      <sheetData sheetId="677" refreshError="1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>
        <row r="1">
          <cell r="A1" t="str">
            <v>▣ Exchange Rate Control</v>
          </cell>
        </row>
      </sheetData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/>
      <sheetData sheetId="707"/>
      <sheetData sheetId="708"/>
      <sheetData sheetId="709">
        <row r="1">
          <cell r="A1" t="str">
            <v>▣ Exchange Rate Control</v>
          </cell>
        </row>
      </sheetData>
      <sheetData sheetId="710"/>
      <sheetData sheetId="711"/>
      <sheetData sheetId="712">
        <row r="1">
          <cell r="A1" t="str">
            <v>▣ Exchange Rate Control</v>
          </cell>
        </row>
      </sheetData>
      <sheetData sheetId="713"/>
      <sheetData sheetId="714"/>
      <sheetData sheetId="715">
        <row r="1">
          <cell r="A1" t="str">
            <v>▣ Exchange Rate Control</v>
          </cell>
        </row>
      </sheetData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>
        <row r="1">
          <cell r="A1" t="str">
            <v>▣ Exchange Rate Control</v>
          </cell>
        </row>
      </sheetData>
      <sheetData sheetId="726"/>
      <sheetData sheetId="727"/>
      <sheetData sheetId="728">
        <row r="1">
          <cell r="A1" t="str">
            <v>▣ Exchange Rate Control</v>
          </cell>
        </row>
      </sheetData>
      <sheetData sheetId="729"/>
      <sheetData sheetId="730"/>
      <sheetData sheetId="731">
        <row r="1">
          <cell r="A1" t="str">
            <v>▣ Exchange Rate Control</v>
          </cell>
        </row>
      </sheetData>
      <sheetData sheetId="732">
        <row r="1">
          <cell r="A1" t="str">
            <v>▣ Exchange Rate Control</v>
          </cell>
        </row>
      </sheetData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>
        <row r="1">
          <cell r="A1" t="str">
            <v>▣ Exchange Rate Control</v>
          </cell>
        </row>
      </sheetData>
      <sheetData sheetId="742"/>
      <sheetData sheetId="743"/>
      <sheetData sheetId="744">
        <row r="1">
          <cell r="A1" t="str">
            <v>▣ Exchange Rate Control</v>
          </cell>
        </row>
      </sheetData>
      <sheetData sheetId="745"/>
      <sheetData sheetId="746"/>
      <sheetData sheetId="747"/>
      <sheetData sheetId="748">
        <row r="1">
          <cell r="A1" t="str">
            <v>▣ Exchange Rate Control</v>
          </cell>
        </row>
      </sheetData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>
        <row r="1">
          <cell r="A1" t="str">
            <v>▣ Exchange Rate Control</v>
          </cell>
        </row>
      </sheetData>
      <sheetData sheetId="758"/>
      <sheetData sheetId="759"/>
      <sheetData sheetId="760">
        <row r="1">
          <cell r="A1" t="str">
            <v>▣ Exchange Rate Control</v>
          </cell>
        </row>
      </sheetData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>
        <row r="1">
          <cell r="A1" t="str">
            <v>▣ Exchange Rate Control</v>
          </cell>
        </row>
      </sheetData>
      <sheetData sheetId="775">
        <row r="1">
          <cell r="A1" t="str">
            <v>▣ Exchange Rate Control</v>
          </cell>
        </row>
      </sheetData>
      <sheetData sheetId="776">
        <row r="1">
          <cell r="A1" t="str">
            <v>▣ Exchange Rate Control</v>
          </cell>
        </row>
      </sheetData>
      <sheetData sheetId="777">
        <row r="1">
          <cell r="A1" t="str">
            <v>▣ Exchange Rate Control</v>
          </cell>
        </row>
      </sheetData>
      <sheetData sheetId="778">
        <row r="1">
          <cell r="A1" t="str">
            <v>▣ Exchange Rate Control</v>
          </cell>
        </row>
      </sheetData>
      <sheetData sheetId="779">
        <row r="1">
          <cell r="A1" t="str">
            <v>▣ Exchange Rate Control</v>
          </cell>
        </row>
      </sheetData>
      <sheetData sheetId="780">
        <row r="1">
          <cell r="A1" t="str">
            <v>▣ Exchange Rate Control</v>
          </cell>
        </row>
      </sheetData>
      <sheetData sheetId="781">
        <row r="1">
          <cell r="A1" t="str">
            <v>▣ Exchange Rate Control</v>
          </cell>
        </row>
      </sheetData>
      <sheetData sheetId="782">
        <row r="1">
          <cell r="A1" t="str">
            <v>▣ Exchange Rate Control</v>
          </cell>
        </row>
      </sheetData>
      <sheetData sheetId="783">
        <row r="1">
          <cell r="A1" t="str">
            <v>▣ Exchange Rate Control</v>
          </cell>
        </row>
      </sheetData>
      <sheetData sheetId="784">
        <row r="1">
          <cell r="A1" t="str">
            <v>▣ Exchange Rate Control</v>
          </cell>
        </row>
      </sheetData>
      <sheetData sheetId="785">
        <row r="1">
          <cell r="A1" t="str">
            <v>▣ Exchange Rate Control</v>
          </cell>
        </row>
      </sheetData>
      <sheetData sheetId="786">
        <row r="1">
          <cell r="A1" t="str">
            <v>▣ Exchange Rate Control</v>
          </cell>
        </row>
      </sheetData>
      <sheetData sheetId="787">
        <row r="1">
          <cell r="A1" t="str">
            <v>▣ Exchange Rate Control</v>
          </cell>
        </row>
      </sheetData>
      <sheetData sheetId="788">
        <row r="1">
          <cell r="A1" t="str">
            <v>▣ Exchange Rate Control</v>
          </cell>
        </row>
      </sheetData>
      <sheetData sheetId="789">
        <row r="1">
          <cell r="A1" t="str">
            <v>▣ Exchange Rate Control</v>
          </cell>
        </row>
      </sheetData>
      <sheetData sheetId="790">
        <row r="1">
          <cell r="A1" t="str">
            <v>▣ Exchange Rate Control</v>
          </cell>
        </row>
      </sheetData>
      <sheetData sheetId="791">
        <row r="1">
          <cell r="A1" t="str">
            <v>▣ Exchange Rate Control</v>
          </cell>
        </row>
      </sheetData>
      <sheetData sheetId="792">
        <row r="1">
          <cell r="A1" t="str">
            <v>▣ Exchange Rate Control</v>
          </cell>
        </row>
      </sheetData>
      <sheetData sheetId="793">
        <row r="1">
          <cell r="A1" t="str">
            <v>▣ Exchange Rate Control</v>
          </cell>
        </row>
      </sheetData>
      <sheetData sheetId="794">
        <row r="1">
          <cell r="A1" t="str">
            <v>▣ Exchange Rate Control</v>
          </cell>
        </row>
      </sheetData>
      <sheetData sheetId="795">
        <row r="1">
          <cell r="A1" t="str">
            <v>▣ Exchange Rate Control</v>
          </cell>
        </row>
      </sheetData>
      <sheetData sheetId="796">
        <row r="1">
          <cell r="A1" t="str">
            <v>▣ Exchange Rate Control</v>
          </cell>
        </row>
      </sheetData>
      <sheetData sheetId="797" refreshError="1"/>
      <sheetData sheetId="798" refreshError="1"/>
      <sheetData sheetId="799" refreshError="1"/>
      <sheetData sheetId="800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/>
      <sheetData sheetId="818" refreshError="1"/>
      <sheetData sheetId="819"/>
      <sheetData sheetId="820">
        <row r="1">
          <cell r="B1" t="str">
            <v xml:space="preserve"> 전남 영광 공동주택 신축사업 사업비 인출 세부내역 (21차)</v>
          </cell>
        </row>
      </sheetData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>
        <row r="1">
          <cell r="A1" t="str">
            <v>▣ Exchange Rate Control</v>
          </cell>
        </row>
      </sheetData>
      <sheetData sheetId="958">
        <row r="1">
          <cell r="A1" t="str">
            <v>▣ Exchange Rate Control</v>
          </cell>
        </row>
      </sheetData>
      <sheetData sheetId="959">
        <row r="1">
          <cell r="A1" t="str">
            <v>▣ Exchange Rate Control</v>
          </cell>
        </row>
      </sheetData>
      <sheetData sheetId="960">
        <row r="1">
          <cell r="A1" t="str">
            <v>▣ Exchange Rate Control</v>
          </cell>
        </row>
      </sheetData>
      <sheetData sheetId="961">
        <row r="1">
          <cell r="A1" t="str">
            <v>▣ Exchange Rate Control</v>
          </cell>
        </row>
      </sheetData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연락"/>
      <sheetName val="평가실시내역"/>
      <sheetName val="전산.평가대상자용"/>
      <sheetName val="전산.1차평가자용"/>
      <sheetName val="전산.2차평가자용"/>
      <sheetName val="평가자배정"/>
      <sheetName val="#REF"/>
      <sheetName val="예가표"/>
      <sheetName val="09.평가실시업무연락"/>
      <sheetName val="예산"/>
      <sheetName val="업무분장"/>
      <sheetName val="Eq. Mobilization"/>
      <sheetName val="유림골조"/>
      <sheetName val="일위대가"/>
      <sheetName val="전산_평가대상자용"/>
      <sheetName val="전산_1차평가자용"/>
      <sheetName val="전산_2차평가자용"/>
      <sheetName val="09_평가실시업무연락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RAGE"/>
      <sheetName val="Y-WORK"/>
      <sheetName val="YES"/>
      <sheetName val="조명율표"/>
      <sheetName val="설계예산서"/>
      <sheetName val="수량집계"/>
      <sheetName val="총괄"/>
      <sheetName val="토목"/>
      <sheetName val="가로등내역서"/>
      <sheetName val="DATA"/>
      <sheetName val="입찰안"/>
      <sheetName val="#REF"/>
      <sheetName val="내역서"/>
      <sheetName val="전선 및 전선관"/>
      <sheetName val="기계경비"/>
      <sheetName val="단가조사"/>
      <sheetName val="1.수인터널"/>
      <sheetName val="INPUT"/>
      <sheetName val="수량산출서"/>
      <sheetName val="2000.11월설계내역"/>
      <sheetName val="일위대가"/>
      <sheetName val="터파기및재료"/>
      <sheetName val="단가"/>
      <sheetName val="총괄표"/>
      <sheetName val="말뚝지지력산정"/>
      <sheetName val="집계표"/>
      <sheetName val="단가산출"/>
      <sheetName val="실행철강하도"/>
      <sheetName val="내역서2안"/>
      <sheetName val="소야공정계획표"/>
      <sheetName val="봉양~조차장간고하개명(신설)"/>
      <sheetName val="준검 내역서"/>
      <sheetName val="XXXXXX"/>
      <sheetName val="표지"/>
      <sheetName val="1.수변전설비공사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산출근거"/>
      <sheetName val="주상도"/>
      <sheetName val="하조서"/>
      <sheetName val="내역"/>
      <sheetName val="보증수수료산출"/>
      <sheetName val="6호기"/>
      <sheetName val="수량산출"/>
      <sheetName val="가로등"/>
      <sheetName val="Sheet1 (2)"/>
      <sheetName val="내역서(전기)"/>
      <sheetName val="bid"/>
      <sheetName val="공사비예산서(토목분)"/>
      <sheetName val="각형맨홀"/>
      <sheetName val="수목단가"/>
      <sheetName val="시설수량표"/>
      <sheetName val="식재수량표"/>
      <sheetName val="일위목록"/>
      <sheetName val="자재단가"/>
      <sheetName val="부대내역"/>
      <sheetName val="JUCK"/>
      <sheetName val="참조-(1)"/>
      <sheetName val="일위대가표"/>
      <sheetName val="구조물철거타공정이월"/>
      <sheetName val="신우"/>
      <sheetName val="Sheet1"/>
      <sheetName val="교각1"/>
      <sheetName val="토공"/>
      <sheetName val="대치판정"/>
      <sheetName val="단가 및 재료비"/>
      <sheetName val="정부노임단가"/>
      <sheetName val="3BL공동구 수량"/>
      <sheetName val="Total"/>
      <sheetName val="원가계산"/>
      <sheetName val="2000년1차"/>
      <sheetName val="ETC"/>
      <sheetName val="수목데이타 "/>
      <sheetName val="변압기 및 발전기 용량"/>
      <sheetName val="ASP포장"/>
      <sheetName val="돌망태단위수량"/>
      <sheetName val="단가산출서(기계)"/>
      <sheetName val="말뚝물량"/>
      <sheetName val="예산변경사항"/>
      <sheetName val="표지 (2)"/>
      <sheetName val="에너지동"/>
      <sheetName val="연습"/>
      <sheetName val="데이타"/>
      <sheetName val="상수도토공집계표"/>
      <sheetName val="점수계산1-2"/>
      <sheetName val="특별교실"/>
      <sheetName val="기숙사"/>
      <sheetName val="화장실"/>
      <sheetName val="총집계-1"/>
      <sheetName val="총집계-2"/>
      <sheetName val="원가-1"/>
      <sheetName val="원가-2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기안"/>
      <sheetName val="갑지"/>
      <sheetName val="견적서"/>
      <sheetName val="호계"/>
      <sheetName val="제암"/>
      <sheetName val="월마트"/>
      <sheetName val="월드컵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내역(설계)"/>
      <sheetName val="부대공사비"/>
      <sheetName val="현장관리비집계표"/>
      <sheetName val="Macro1"/>
      <sheetName val="일위대가(목록)"/>
      <sheetName val="재료비"/>
      <sheetName val="공구원가계산"/>
      <sheetName val="기계경비시간당손료목록"/>
      <sheetName val="요율"/>
      <sheetName val="자재대"/>
      <sheetName val="코드표"/>
      <sheetName val="MOTOR"/>
      <sheetName val="입찰결과(DATA)"/>
      <sheetName val="설계내역서"/>
      <sheetName val="ITEM"/>
      <sheetName val="- INFORMATION -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단가비교표"/>
      <sheetName val="Module11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대비"/>
      <sheetName val="CABLE SIZE-3"/>
      <sheetName val="EQUIP-H"/>
      <sheetName val="경비_원본"/>
      <sheetName val="일위대가표(유단가)"/>
      <sheetName val="부속동"/>
      <sheetName val="소요자재"/>
      <sheetName val="노무산출서"/>
      <sheetName val="물가자료"/>
      <sheetName val="품의서"/>
      <sheetName val="부하계산서"/>
      <sheetName val="물가시세"/>
      <sheetName val="SG"/>
      <sheetName val="전신환매도율"/>
      <sheetName val="EACT10"/>
      <sheetName val="산출내역서집계표"/>
      <sheetName val="원가계산서 (총괄)"/>
      <sheetName val="원가계산서 (건축)"/>
      <sheetName val="(총괄집계)"/>
      <sheetName val="건축공사"/>
      <sheetName val="방음벽기초(H=4m)"/>
      <sheetName val="간선계산"/>
      <sheetName val="단가조사서"/>
      <sheetName val="일반공사"/>
      <sheetName val="을"/>
      <sheetName val="FILE1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남양시작동자105노65기1.3화1.2"/>
      <sheetName val="직노"/>
      <sheetName val="실행내역"/>
      <sheetName val="200"/>
      <sheetName val="참고"/>
      <sheetName val="공사개요"/>
      <sheetName val="동력부하(도산)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ÀÏÀ§´ë°¡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³»¿ª¼­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점검총괄"/>
      <sheetName val="1차증가원가계산"/>
      <sheetName val="AS포장복구 "/>
      <sheetName val="공종별원가계산"/>
      <sheetName val="말고개터널조명전압강하"/>
      <sheetName val="예산갑지"/>
      <sheetName val="LP-S"/>
      <sheetName val="N賃率-職"/>
      <sheetName val="자재목록"/>
      <sheetName val="설계가"/>
      <sheetName val="BOX전기내역"/>
      <sheetName val="단면 (2)"/>
      <sheetName val="간접비"/>
      <sheetName val="토목원가계산서"/>
      <sheetName val="토목원가"/>
      <sheetName val="집계장"/>
      <sheetName val="설계내역"/>
      <sheetName val="제외공종"/>
      <sheetName val="기계원가계산서"/>
      <sheetName val="기계원가"/>
      <sheetName val="집계"/>
      <sheetName val="가설내역"/>
      <sheetName val="갑지(가로)"/>
      <sheetName val="표지목차간지"/>
      <sheetName val="예산조서-총괄"/>
      <sheetName val="예산조서-신공항1"/>
      <sheetName val="가설물"/>
      <sheetName val="K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내역구성"/>
      <sheetName val="4원가"/>
      <sheetName val="임시급식"/>
      <sheetName val="옥외가스"/>
      <sheetName val="임시급식 (2)"/>
      <sheetName val="목차"/>
      <sheetName val="BQ"/>
      <sheetName val="견적조건"/>
      <sheetName val="견적조건(을지)"/>
      <sheetName val="대구실행"/>
      <sheetName val="Baby일위대가"/>
      <sheetName val="0.집계"/>
      <sheetName val="구역화물"/>
      <sheetName val="단가일람"/>
      <sheetName val="unit 4"/>
      <sheetName val="Summary Sheets"/>
      <sheetName val="일위목록-기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6동"/>
      <sheetName val="부대공Ⅱ"/>
      <sheetName val="Chart1"/>
      <sheetName val="단위내역목록"/>
      <sheetName val="단위내역서"/>
      <sheetName val="원가(1)"/>
      <sheetName val="원가(2)"/>
      <sheetName val="공량산출서"/>
      <sheetName val="적용(기계)"/>
      <sheetName val="간접1"/>
      <sheetName val="9-1차이내역"/>
      <sheetName val="20관리비율"/>
      <sheetName val="외주"/>
      <sheetName val=" 상부공통집계(총괄)"/>
      <sheetName val="기계경비(시간당)"/>
      <sheetName val="램머"/>
      <sheetName val="연결관산출조서"/>
      <sheetName val="기계내역"/>
      <sheetName val="2000전체분"/>
      <sheetName val="일반수량"/>
      <sheetName val="VA_code"/>
      <sheetName val="노임"/>
      <sheetName val="가감수량"/>
      <sheetName val="맨홀수량산출"/>
      <sheetName val="우수맨홀공제단위수량"/>
      <sheetName val="본선차로수량집계표"/>
      <sheetName val="스톱로그내역"/>
      <sheetName val="수주현황2월"/>
      <sheetName val="타공종이기"/>
      <sheetName val="수입"/>
      <sheetName val="토공유동표"/>
      <sheetName val="교각계산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JUCKEYK"/>
      <sheetName val="조건표"/>
      <sheetName val="JJ"/>
      <sheetName val="설계"/>
      <sheetName val="설 계"/>
      <sheetName val="식생블럭단위수량"/>
      <sheetName val="전기일위대가"/>
      <sheetName val="단면(RW1)"/>
      <sheetName val="WORK"/>
      <sheetName val="시설물일위"/>
      <sheetName val="비교표"/>
      <sheetName val="소비자가"/>
      <sheetName val="ilch"/>
      <sheetName val="예정(3)"/>
      <sheetName val="동원(3)"/>
      <sheetName val="을지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기초단가"/>
      <sheetName val="가로등부표"/>
      <sheetName val="조도계산서 (도서)"/>
      <sheetName val="LOPCALC"/>
      <sheetName val="재료"/>
      <sheetName val="매립"/>
      <sheetName val="MAIN_TABLE"/>
      <sheetName val="1.설계조건"/>
      <sheetName val="일위대가목차"/>
      <sheetName val="제경비율"/>
      <sheetName val="아산추가1220"/>
      <sheetName val="3-1.CB"/>
      <sheetName val="XL4Poppy"/>
      <sheetName val="98지급계획"/>
      <sheetName val="당초"/>
      <sheetName val="본공사"/>
      <sheetName val="DANGA"/>
      <sheetName val="A-4"/>
      <sheetName val="IMP(MAIN)"/>
      <sheetName val="IMP (REACTOR)"/>
      <sheetName val="차액보증"/>
      <sheetName val="오산갈곳"/>
      <sheetName val="맨홀수량집계"/>
      <sheetName val="설계조건"/>
      <sheetName val="날개벽(TYPE3)"/>
      <sheetName val="1.설계기준"/>
      <sheetName val="터널조도"/>
      <sheetName val="현황CODE"/>
      <sheetName val="손익현황"/>
      <sheetName val="3차설계"/>
      <sheetName val="기둥(원형)"/>
      <sheetName val="ABUT수량-A1"/>
      <sheetName val="주형"/>
      <sheetName val="밸브설치"/>
      <sheetName val="3.바닥판설계"/>
      <sheetName val="안정계산"/>
      <sheetName val="단면검토"/>
      <sheetName val="원가"/>
      <sheetName val="일위집계표"/>
      <sheetName val="2006기계경비산출표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소방사항"/>
      <sheetName val="기성"/>
      <sheetName val="기성내역 진짜"/>
      <sheetName val="기성갑지"/>
      <sheetName val="2회기성사정"/>
      <sheetName val="3회기성갑지"/>
      <sheetName val="3회총괄"/>
      <sheetName val="3회기성"/>
      <sheetName val="TRE TABLE"/>
      <sheetName val="수로교총재료집계"/>
      <sheetName val="CTEMCOST"/>
      <sheetName val="관로"/>
      <sheetName val="통장출금액"/>
      <sheetName val="Macro(차단기)"/>
      <sheetName val="조경일람"/>
      <sheetName val="일위대가목록"/>
      <sheetName val="하수급견적대비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001"/>
      <sheetName val="노무비"/>
      <sheetName val="총계"/>
      <sheetName val="입찰보고"/>
      <sheetName val="1차설계변경내역"/>
      <sheetName val="노무비단가"/>
      <sheetName val="일위대가(가설)"/>
      <sheetName val="실행내역서"/>
      <sheetName val="인건비"/>
      <sheetName val="BID-도로"/>
      <sheetName val="내력서"/>
      <sheetName val="대창(함평)-창열"/>
      <sheetName val="대창(장성)"/>
      <sheetName val="경비2내역"/>
      <sheetName val="현장관리비내역서"/>
      <sheetName val="DATA1"/>
      <sheetName val="포장복구집계"/>
      <sheetName val="공사비"/>
      <sheetName val="가드레일산근"/>
      <sheetName val="수량집계표"/>
      <sheetName val="수량"/>
      <sheetName val="단가비교"/>
      <sheetName val="적용2002"/>
      <sheetName val="중기"/>
      <sheetName val="교대(A1-A2)"/>
      <sheetName val="정화조동내역"/>
      <sheetName val="45,46"/>
      <sheetName val="교대(A1)"/>
      <sheetName val="단위수량"/>
      <sheetName val="관리사무소"/>
      <sheetName val="대구-교대(A1-A2)"/>
      <sheetName val="원형1호맨홀토공수량"/>
      <sheetName val="REACTION(USD지진시)"/>
      <sheetName val="안정검토"/>
      <sheetName val="REACTION(USE평시)"/>
      <sheetName val="일위대가표 (2)"/>
      <sheetName val="단가대비표"/>
      <sheetName val="Testing"/>
      <sheetName val="계화배수"/>
      <sheetName val="I一般比"/>
      <sheetName val="조명시설"/>
      <sheetName val="방음벽 기초 일반수량"/>
      <sheetName val="I.설계조건"/>
      <sheetName val="단면가정"/>
      <sheetName val="부재력정리"/>
      <sheetName val="BLOCK(1)"/>
      <sheetName val="단면치수"/>
      <sheetName val="NEYOK"/>
      <sheetName val="토목내역"/>
      <sheetName val="수안보-MBR1"/>
      <sheetName val="입력DATA"/>
      <sheetName val="°©Áö"/>
      <sheetName val="°ø»ç¿ø°¡°è»ê¼­"/>
      <sheetName val="ÃÑ³»¿ª¼­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µ¿¿ø(3)"/>
      <sheetName val="¿¹Á¤(3)"/>
      <sheetName val="ÁÖÇü"/>
      <sheetName val="8. 안정검토"/>
      <sheetName val="건축"/>
      <sheetName val="단가산출서 (2)"/>
      <sheetName val="단가산출서"/>
      <sheetName val="Sheet17"/>
      <sheetName val="재정비직인"/>
      <sheetName val="재정비내역"/>
      <sheetName val="지적고시내역"/>
      <sheetName val="철거산출근거"/>
      <sheetName val="단위단가"/>
      <sheetName val="금리계산"/>
      <sheetName val="98NS-N"/>
      <sheetName val="3.공통공사대비"/>
      <sheetName val="90.03실행 "/>
      <sheetName val="자료입력"/>
      <sheetName val="제-노임"/>
      <sheetName val="제직재"/>
      <sheetName val="96보완계획7.12"/>
      <sheetName val="지진시"/>
      <sheetName val="6PILE  (돌출)"/>
      <sheetName val="토량산출서"/>
      <sheetName val="부대시설"/>
      <sheetName val="Apt내역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ßÀû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BJJIN"/>
      <sheetName val="시공계획"/>
      <sheetName val="기자재대비표"/>
      <sheetName val="15"/>
      <sheetName val="의왕내역"/>
      <sheetName val="현장설명서"/>
      <sheetName val="견적조건서"/>
      <sheetName val="시공일반사항"/>
      <sheetName val="현장설명서갑지"/>
      <sheetName val="하도급선정의뢰서(습식공사)"/>
      <sheetName val="앉음벽 (2)"/>
      <sheetName val="설계예시"/>
      <sheetName val="DATA 입력란"/>
      <sheetName val="1. 설계조건 2.단면가정 3. 하중계산"/>
      <sheetName val="guard(mac)"/>
      <sheetName val="품셈TABLE"/>
      <sheetName val="품셈표"/>
      <sheetName val="부대대비"/>
      <sheetName val="냉연집계"/>
      <sheetName val="BSD (2)"/>
      <sheetName val="산출내역서"/>
      <sheetName val="저"/>
      <sheetName val="SLAB&quot;1&quot;"/>
      <sheetName val="경상비"/>
      <sheetName val="노임이"/>
      <sheetName val="견적의뢰서"/>
      <sheetName val="5.정산서"/>
      <sheetName val="물량표"/>
      <sheetName val="일반수량총괄"/>
      <sheetName val="총괄집계표"/>
      <sheetName val="자  재"/>
      <sheetName val="직공비"/>
      <sheetName val="주관사업"/>
      <sheetName val="수문일1"/>
      <sheetName val="발주설계서(당초)"/>
      <sheetName val="가설건물"/>
      <sheetName val="금액내역서"/>
      <sheetName val="공사비집계"/>
      <sheetName val="신공항A-9(원가수정)"/>
      <sheetName val="평교-내역"/>
      <sheetName val="BASIC (2)"/>
      <sheetName val="아파트기별"/>
      <sheetName val="공리일"/>
      <sheetName val="몰탈재료산출"/>
      <sheetName val="단위목록"/>
      <sheetName val="기계경비목록"/>
      <sheetName val="관급"/>
      <sheetName val="포장공"/>
      <sheetName val="DATE"/>
      <sheetName val="단가목록"/>
      <sheetName val="입출재고현황 (2)"/>
      <sheetName val="변경비교-을"/>
      <sheetName val="부하LOAD"/>
      <sheetName val="옹벽수량집계"/>
      <sheetName val="1SPAN"/>
      <sheetName val="AILC004"/>
      <sheetName val="기초코드"/>
      <sheetName val="실행갑지"/>
      <sheetName val="PO-BOQ"/>
      <sheetName val="기자재비"/>
      <sheetName val="약품설비"/>
      <sheetName val="36신설수량"/>
      <sheetName val="cost"/>
      <sheetName val="견적대비"/>
      <sheetName val="준공평가"/>
      <sheetName val="실행간접비용"/>
      <sheetName val="토량1-1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설계기준 및 하중계산"/>
      <sheetName val="입력값"/>
      <sheetName val="전기혼잡제경비(45)"/>
      <sheetName val="현장관리비 "/>
      <sheetName val="진주방향"/>
      <sheetName val="마산방향"/>
      <sheetName val="2000,9월 일위"/>
      <sheetName val="사각맨홀"/>
      <sheetName val="출력X"/>
      <sheetName val="제수변수량"/>
      <sheetName val="공기변수량"/>
      <sheetName val="Mc1"/>
      <sheetName val="지급자재"/>
      <sheetName val="세부내역"/>
      <sheetName val="48일위"/>
      <sheetName val="48수량"/>
      <sheetName val="22수량"/>
      <sheetName val="49일위"/>
      <sheetName val="22일위"/>
      <sheetName val="49수량"/>
      <sheetName val="P-산#1-1(WOWA1)"/>
      <sheetName val="제품별"/>
      <sheetName val="견적990322"/>
      <sheetName val="노임(1차)"/>
      <sheetName val="단가표"/>
      <sheetName val="제수"/>
      <sheetName val="공기"/>
      <sheetName val="9GNG운반"/>
      <sheetName val="백호우계수"/>
      <sheetName val="원가계산서"/>
      <sheetName val="정화조방수미장"/>
      <sheetName val="인건비 "/>
      <sheetName val="공사별 가중치 산출근거(토목)"/>
      <sheetName val="가중치근거(조경)"/>
      <sheetName val="2공구산출내역"/>
      <sheetName val="검사조서"/>
      <sheetName val="검사원"/>
      <sheetName val="집계(총괄)"/>
      <sheetName val="구성비"/>
      <sheetName val="실적보고"/>
      <sheetName val="표준안전집계"/>
      <sheetName val="표준안전내역"/>
      <sheetName val="목동1절주.bh01"/>
      <sheetName val="증栀ᙿ가"/>
      <sheetName val="영구청"/>
      <sheetName val="영구청이설"/>
      <sheetName val="사당2"/>
      <sheetName val="사당4"/>
      <sheetName val="사당4이설"/>
      <sheetName val="교대2"/>
      <sheetName val="교대2이설"/>
      <sheetName val="교대3"/>
      <sheetName val="교대3이설"/>
      <sheetName val="수서3"/>
      <sheetName val="수서3이설"/>
      <sheetName val="영구청afc"/>
      <sheetName val="ⴭⴭⴭⴭ"/>
      <sheetName val="물량산출근거"/>
      <sheetName val="CONCRETE"/>
      <sheetName val="설산1.나"/>
      <sheetName val="본사S"/>
      <sheetName val="전압강하계산"/>
      <sheetName val="D-3503"/>
      <sheetName val="과천MAIN"/>
      <sheetName val="조건"/>
      <sheetName val="여흥"/>
      <sheetName val="48전력선로일위"/>
      <sheetName val="계수시트"/>
      <sheetName val="AIR SHOWER(3인용)"/>
      <sheetName val="2F 회의실견적(5_14 일대)"/>
      <sheetName val="재집"/>
      <sheetName val="직재"/>
      <sheetName val="손익분석"/>
      <sheetName val="ITB COST"/>
      <sheetName val="전산.평가대상자용"/>
      <sheetName val="단가견적조사표"/>
      <sheetName val="22단가(철거)"/>
      <sheetName val="49단가"/>
      <sheetName val="49단가(철거)"/>
      <sheetName val="22단가"/>
      <sheetName val="실행(표지,갑,을)"/>
      <sheetName val="금액결정"/>
      <sheetName val="토사(PE)"/>
      <sheetName val="경산(을)"/>
      <sheetName val="Macro2"/>
      <sheetName val="basic"/>
      <sheetName val="본선토량운반계산서(1)0"/>
      <sheetName val="b_balju_cho"/>
      <sheetName val="전차선로 물량표"/>
      <sheetName val="건축내역서 (경제상무실)"/>
      <sheetName val="중기일위대가"/>
      <sheetName val="물가"/>
      <sheetName val="경산"/>
      <sheetName val="건축개요"/>
      <sheetName val="일위대가(계측기설치)"/>
      <sheetName val="HRSG SMALL07220"/>
      <sheetName val="통합내역"/>
      <sheetName val="기계경비일람"/>
      <sheetName val="FAX"/>
      <sheetName val="저리조양"/>
      <sheetName val="코드"/>
      <sheetName val="copy"/>
      <sheetName val="서식"/>
      <sheetName val="인건-측정"/>
      <sheetName val="가시설단위수량"/>
      <sheetName val="SORCE1"/>
      <sheetName val="산근"/>
      <sheetName val="하중산정"/>
      <sheetName val="공사별 가중치 산출근거(건축)"/>
      <sheetName val="주차구획선수량"/>
      <sheetName val="1안"/>
      <sheetName val="자재단가표"/>
      <sheetName val="고창터널(고창방향)"/>
      <sheetName val="할증 "/>
      <sheetName val="총집계표"/>
      <sheetName val="plan&amp;section of foundation"/>
      <sheetName val="9811"/>
      <sheetName val="투찰내역"/>
      <sheetName val="COVER-P"/>
      <sheetName val="기본단가"/>
      <sheetName val="영업소실적"/>
      <sheetName val="LD일"/>
      <sheetName val="FA설치명세"/>
      <sheetName val="FD"/>
      <sheetName val="증감대비"/>
      <sheetName val="공종단가"/>
      <sheetName val="AS복구"/>
      <sheetName val="중기터파기"/>
      <sheetName val="변수값"/>
      <sheetName val="중기상차"/>
      <sheetName val="품셈"/>
      <sheetName val="재료집계"/>
      <sheetName val="MACRO(MCC)"/>
      <sheetName val="데리네이타현황"/>
      <sheetName val="일위대가(출입)"/>
      <sheetName val="종합기별"/>
      <sheetName val="노무비명세서"/>
      <sheetName val="소요자재명세서"/>
      <sheetName val="2000_11월설계내역"/>
      <sheetName val="전선_및_전선관"/>
      <sheetName val="1_수변전설비공사"/>
      <sheetName val="2__동력설비_공사"/>
      <sheetName val="3__조명설비공사"/>
      <sheetName val="4__접지설비공사"/>
      <sheetName val="5__통신설비_공사"/>
      <sheetName val="6__전기방식설비공사"/>
      <sheetName val="6_전기방식_설비공사(2)"/>
      <sheetName val="7_방호설비공사"/>
      <sheetName val="8_가설전기공사"/>
      <sheetName val="복구량산정_및_전용회선_사용"/>
      <sheetName val="4월_실적추정(건축+토목)"/>
      <sheetName val="4월_실적추정(건축)"/>
      <sheetName val="준검_내역서"/>
      <sheetName val="1_수인터널"/>
      <sheetName val="수목데이타_"/>
      <sheetName val="변압기_및_발전기_용량"/>
      <sheetName val="단가_및_재료비"/>
      <sheetName val="-_INFORMATION_-"/>
      <sheetName val="1_수변전설비"/>
      <sheetName val="2_전력간선"/>
      <sheetName val="3_동력"/>
      <sheetName val="4_전등"/>
      <sheetName val="5_전열"/>
      <sheetName val="6_약전"/>
      <sheetName val="7_소방"/>
      <sheetName val="8_방송"/>
      <sheetName val="9_조명제어"/>
      <sheetName val="10_철거공사"/>
      <sheetName val="남양시작동자105노65기1_3화1_2"/>
      <sheetName val="3BL공동구_수량"/>
      <sheetName val="표지_(2)"/>
      <sheetName val="품셈기준"/>
      <sheetName val="탑(을지)"/>
      <sheetName val="LEGEND"/>
      <sheetName val="명세서"/>
      <sheetName val="시멘트"/>
      <sheetName val="내역서01"/>
      <sheetName val="적용기준"/>
      <sheetName val="공내역"/>
      <sheetName val="접속도로1"/>
      <sheetName val="설계명세서"/>
      <sheetName val="개요"/>
      <sheetName val="Data&amp;Result"/>
      <sheetName val="약품공급2"/>
      <sheetName val="보차도경계석"/>
      <sheetName val="날개벽수량표"/>
      <sheetName val="총괄내역서"/>
      <sheetName val="현관"/>
      <sheetName val="전체내역서"/>
      <sheetName val="설명"/>
      <sheetName val="간접"/>
      <sheetName val="접속슬라브"/>
      <sheetName val="G.R300경비"/>
      <sheetName val="가격조사서"/>
      <sheetName val="교통량조사"/>
      <sheetName val="차도조도계산"/>
      <sheetName val="기본DATA"/>
      <sheetName val="기초자료입력"/>
      <sheetName val="역집계1"/>
      <sheetName val="설직재-1"/>
      <sheetName val="선정요령"/>
      <sheetName val="주방환기"/>
      <sheetName val="과세표준율-2"/>
      <sheetName val="면적분양가"/>
      <sheetName val="분양면적(1123)"/>
      <sheetName val="출력소스"/>
      <sheetName val="토목주소"/>
      <sheetName val="프랜트면허"/>
      <sheetName val="기기리스트"/>
      <sheetName val="CIVIL"/>
      <sheetName val="sw1"/>
      <sheetName val="결과조달"/>
      <sheetName val="건축내역"/>
      <sheetName val="부안일위"/>
      <sheetName val="정공공사"/>
      <sheetName val="실행대비"/>
      <sheetName val="청천내"/>
      <sheetName val="1공구 건정토건 철콘"/>
      <sheetName val="2공구하도급내역서"/>
      <sheetName val="도급내역"/>
      <sheetName val="연결임시"/>
      <sheetName val="구조물공"/>
      <sheetName val="투찰추정"/>
      <sheetName val="도급내역5+800"/>
      <sheetName val="수목표준대가"/>
      <sheetName val="부대공"/>
      <sheetName val="도급금액"/>
      <sheetName val="재노경"/>
      <sheetName val="적현로"/>
      <sheetName val="배수공"/>
      <sheetName val="변경내역서"/>
      <sheetName val="1공구 건정토건 토공"/>
      <sheetName val="식재인부"/>
      <sheetName val="경상직원"/>
      <sheetName val="일위대가(1)"/>
      <sheetName val="전체"/>
      <sheetName val="관급자재"/>
      <sheetName val="제경비"/>
      <sheetName val="초기화면"/>
      <sheetName val="총공사내역서"/>
      <sheetName val="토공사"/>
      <sheetName val="정렬"/>
      <sheetName val="계약내역서"/>
      <sheetName val="전체도급"/>
      <sheetName val="CODE"/>
      <sheetName val="전기"/>
      <sheetName val="부하(성남)"/>
      <sheetName val="충주"/>
      <sheetName val="진접"/>
      <sheetName val="공제구간조서"/>
      <sheetName val="버스운행안내"/>
      <sheetName val="예방접종계획"/>
      <sheetName val="근태계획서"/>
      <sheetName val="금호"/>
      <sheetName val="조명일위"/>
      <sheetName val="APT"/>
      <sheetName val="진우+대광"/>
      <sheetName val="1-1"/>
      <sheetName val="1단계"/>
      <sheetName val="율촌법률사무소2내역"/>
      <sheetName val="백암비스타내역"/>
      <sheetName val="Rates"/>
      <sheetName val="대,유,램"/>
      <sheetName val="우배수"/>
      <sheetName val="맨홀"/>
      <sheetName val="예산명세서"/>
      <sheetName val="J直材4"/>
      <sheetName val="연부97-1"/>
      <sheetName val="갑지1"/>
      <sheetName val="지주목시비량산출서"/>
      <sheetName val="99총공사내역서"/>
      <sheetName val="고등학교"/>
      <sheetName val="제1장"/>
      <sheetName val="제2장"/>
      <sheetName val="제3장"/>
      <sheetName val="제4장"/>
      <sheetName val="5장공내역서"/>
      <sheetName val="제6장"/>
      <sheetName val="직불동의서"/>
      <sheetName val="확약서"/>
      <sheetName val="전자입찰"/>
      <sheetName val="7작업장인수인계서"/>
      <sheetName val="3특기시방서"/>
      <sheetName val="일위대가목록(1)"/>
      <sheetName val="단가대비표(1)"/>
      <sheetName val="수질정화시설"/>
      <sheetName val="통로box전기"/>
      <sheetName val="밧데리"/>
      <sheetName val="사급자재"/>
      <sheetName val="지주설치제원"/>
      <sheetName val="인상효1"/>
      <sheetName val="내역(중앙)"/>
      <sheetName val="내역(창신)"/>
      <sheetName val="단위량당중기"/>
      <sheetName val="IMPEADENCE MAP 취수장"/>
      <sheetName val="일위"/>
      <sheetName val="BEND LOSS"/>
      <sheetName val="견적율"/>
      <sheetName val="견"/>
      <sheetName val="메서,변+증"/>
      <sheetName val="상가지급현황"/>
      <sheetName val="문학간접"/>
      <sheetName val="집수A"/>
      <sheetName val="시운전연료"/>
      <sheetName val="위치조서"/>
      <sheetName val="NOMUBI"/>
      <sheetName val="C3"/>
      <sheetName val="가공비"/>
      <sheetName val="D-3109"/>
      <sheetName val="도로경계블럭단위수량"/>
      <sheetName val="도로경계블럭단위토공"/>
      <sheetName val="L형측구단위수량"/>
      <sheetName val="L형측구연장조서"/>
      <sheetName val="부하"/>
      <sheetName val="도체종-상수표"/>
      <sheetName val="연동내역서"/>
      <sheetName val="인수공총괄"/>
      <sheetName val="덕소내역"/>
      <sheetName val="지수"/>
      <sheetName val="기계설비"/>
      <sheetName val="철거집계"/>
      <sheetName val="한강운반비"/>
      <sheetName val="자재"/>
      <sheetName val="공통(20-91)"/>
      <sheetName val="내역."/>
      <sheetName val="부대"/>
      <sheetName val="장비"/>
      <sheetName val="SRC-B3U2"/>
      <sheetName val="현대물량"/>
      <sheetName val="이름정의"/>
      <sheetName val="초기화면1"/>
      <sheetName val="MFAB"/>
      <sheetName val="MFRT"/>
      <sheetName val="MPKG"/>
      <sheetName val="MPRD"/>
      <sheetName val="금액"/>
      <sheetName val="배수문수량산출(3)"/>
      <sheetName val="3련 BOX"/>
      <sheetName val="전력구구조물산근"/>
      <sheetName val="1"/>
      <sheetName val="(A)내역서"/>
      <sheetName val="13LPMCC"/>
      <sheetName val="sub"/>
      <sheetName val="토공(우물통,기타) "/>
      <sheetName val="목록"/>
      <sheetName val="1.범위"/>
      <sheetName val="2.편성"/>
      <sheetName val="3개요"/>
      <sheetName val="5내역"/>
      <sheetName val="6.GAS"/>
      <sheetName val="7임급실"/>
      <sheetName val="미제출"/>
      <sheetName val="소방1"/>
      <sheetName val="소방2"/>
      <sheetName val="왜UP"/>
      <sheetName val="마장"/>
      <sheetName val="투찰가"/>
      <sheetName val="KMT물량"/>
      <sheetName val="A갑지"/>
      <sheetName val="사전공사"/>
      <sheetName val="소포내역 (2)"/>
      <sheetName val="암거단위"/>
      <sheetName val="aa"/>
      <sheetName val="Customer Databas"/>
      <sheetName val="현금흐름"/>
      <sheetName val="내역서 (2)"/>
      <sheetName val="집수정(600-700)"/>
      <sheetName val="49-119"/>
      <sheetName val="노원열병합  건축공사기성내역서"/>
      <sheetName val="공종별내역서"/>
      <sheetName val="L_RPTA05_목록"/>
      <sheetName val="설비내역서"/>
      <sheetName val="건축내역서"/>
      <sheetName val="전기내역서"/>
      <sheetName val="1.¼öº¯Àü¼³ºñ"/>
      <sheetName val="2.Àü·Â°£¼±"/>
      <sheetName val="3.µ¿·Â"/>
      <sheetName val="4.Àüµî"/>
      <sheetName val="5.Àü¿­"/>
      <sheetName val="6.¾àÀü"/>
      <sheetName val="7.¼Ò¹æ"/>
      <sheetName val="8.¹æ¼Û"/>
      <sheetName val="9.Á¶¸íÁ¦¾î"/>
      <sheetName val="10.Ã¶°Å°ø»ç"/>
      <sheetName val="³²¾ç½ÃÀÛµ¿ÀÚ105³ë65±â1.3È­1.2"/>
      <sheetName val="À»"/>
      <sheetName val="ºÎÇÏ°è»ê¼­"/>
      <sheetName val="À»Áö"/>
      <sheetName val="Á¶µµ°è»ê¼­ (µµ¼­)"/>
      <sheetName val="°ßÀûÁ¶°Ç"/>
      <sheetName val="°ßÀûÁ¶°Ç(À»Áö)"/>
      <sheetName val="Á÷³ë"/>
      <sheetName val="½ÇÇà³»¿ª"/>
      <sheetName val="역T형교대(말뚝기초)"/>
      <sheetName val="12월31일"/>
      <sheetName val="COVER"/>
      <sheetName val="EQUIPMENT -2"/>
      <sheetName val="고분전시관"/>
      <sheetName val="설비"/>
      <sheetName val="빌딩 안내"/>
      <sheetName val="MBR9"/>
      <sheetName val="공비대비"/>
      <sheetName val="Macro(전선)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사진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전기2005"/>
      <sheetName val="통신2005"/>
      <sheetName val="계산식"/>
      <sheetName val="가도공"/>
      <sheetName val="1._x0018_변전설비"/>
      <sheetName val="현장예산"/>
      <sheetName val="Macro3"/>
      <sheetName val="3.자재비(총괄)"/>
      <sheetName val="평가데이터"/>
      <sheetName val="실행예산"/>
      <sheetName val="연결관암거"/>
      <sheetName val="관접합및부설"/>
      <sheetName val="U-TYPE(1)"/>
      <sheetName val="SULKEA"/>
      <sheetName val="아파트건축"/>
      <sheetName val="잔수량(작성)"/>
      <sheetName val="BOQ(전체)"/>
      <sheetName val="48평단가"/>
      <sheetName val="57단가"/>
      <sheetName val="54평단가"/>
      <sheetName val="66평단가"/>
      <sheetName val="61단가"/>
      <sheetName val="89평단가"/>
      <sheetName val="84평단가"/>
      <sheetName val="1공구(을)"/>
      <sheetName val="대공종"/>
      <sheetName val="적상기초자료"/>
      <sheetName val="화재 탐지 설비"/>
      <sheetName val="적용공정"/>
      <sheetName val="L_RPTB02_01"/>
      <sheetName val="주사무실종합"/>
      <sheetName val="효동"/>
      <sheetName val="기초자료"/>
      <sheetName val="여과지동"/>
      <sheetName val="내역표지"/>
      <sheetName val="전체철근집계"/>
      <sheetName val="토목공사"/>
      <sheetName val="토공산출(주차장)"/>
      <sheetName val="발신정보"/>
      <sheetName val="건축공사실행"/>
      <sheetName val="적용단위길이"/>
      <sheetName val="피벗테이블데이터분석"/>
      <sheetName val="특수기호강도거푸집"/>
      <sheetName val="종배수관면벽신"/>
      <sheetName val="종배수관(신)"/>
      <sheetName val="대로근거"/>
      <sheetName val="성서방향-교대(A2)"/>
      <sheetName val="상행-교대(A1)"/>
      <sheetName val="매매"/>
      <sheetName val="전신"/>
      <sheetName val="기간등록"/>
      <sheetName val="유림골조"/>
      <sheetName val="★도급내역"/>
      <sheetName val="단면설계"/>
      <sheetName val="신표지1"/>
      <sheetName val="관리,부대비"/>
      <sheetName val="제진기"/>
      <sheetName val="MIJIBI"/>
      <sheetName val="건축직"/>
      <sheetName val="과세내역(세부)"/>
      <sheetName val="1공구(입찰내역)"/>
      <sheetName val="중간부"/>
      <sheetName val="일위대가 집계표"/>
      <sheetName val="횡배수관토공수량"/>
      <sheetName val="노임,재료비"/>
      <sheetName val="연돌일위집계"/>
      <sheetName val="설계기준"/>
      <sheetName val="내역1"/>
      <sheetName val="tggwan(mac)"/>
      <sheetName val="화설내"/>
      <sheetName val="웅진교-S2"/>
      <sheetName val="3.내역서"/>
      <sheetName val="송우내역서"/>
      <sheetName val="배수관토공"/>
      <sheetName val="플랜트 설치"/>
      <sheetName val="차수공개요"/>
      <sheetName val="01AC"/>
      <sheetName val="인공(100P,배선반)"/>
      <sheetName val="설내역서 "/>
      <sheetName val="DB"/>
      <sheetName val="전기공사"/>
      <sheetName val="입력"/>
      <sheetName val="납부서"/>
      <sheetName val="기흥하도용"/>
      <sheetName val="일위대가(여기까지)"/>
      <sheetName val="J"/>
      <sheetName val="단위_xdc00_ὗ␀"/>
      <sheetName val="건축내역(진해석동)"/>
      <sheetName val="수성페인트도장 내역서"/>
      <sheetName val="개보수공사BM"/>
      <sheetName val="장문교(대전)"/>
      <sheetName val="본선 토공 분배표"/>
      <sheetName val="1.토공"/>
      <sheetName val="제출내역 (2)"/>
      <sheetName val="6공구(당초)"/>
      <sheetName val="산근1"/>
      <sheetName val="70%"/>
      <sheetName val="투찰"/>
      <sheetName val="관리,공감"/>
      <sheetName val="입찰"/>
      <sheetName val="1,2공구원가계산서"/>
      <sheetName val="1공구산출내역서"/>
      <sheetName val="현경"/>
      <sheetName val="전화번호DATA (2001)"/>
      <sheetName val="노무"/>
      <sheetName val="자압"/>
      <sheetName val="106C0300"/>
      <sheetName val="Piping(Methanol)"/>
      <sheetName val="사급자재(1단계)"/>
      <sheetName val="조명투자및환수계획"/>
      <sheetName val="제조중간결과"/>
      <sheetName val="변화치수"/>
      <sheetName val="시중노임단가"/>
      <sheetName val="구조물터파기수량집계"/>
      <sheetName val="배수공 시멘트 및 골재량 산출"/>
      <sheetName val="J01"/>
      <sheetName val="집수정"/>
      <sheetName val="공내ᰖ"/>
      <sheetName val="날개벽(시점좌측)"/>
      <sheetName val="수량이동"/>
      <sheetName val="단면"/>
      <sheetName val="노무비 근거"/>
      <sheetName val="열린교실"/>
      <sheetName val="1.우편집중내역서"/>
      <sheetName val="경산锼_x0013_閄"/>
      <sheetName val="합의경상"/>
      <sheetName val="단면瑌)"/>
      <sheetName val="22단"/>
      <sheetName val="22단锼"/>
      <sheetName val="기초자료입력및 K치 확인"/>
      <sheetName val="AS_x0005__x0000_"/>
      <sheetName val="소업1교"/>
      <sheetName val="8.현장관리비"/>
      <sheetName val="7.안전관리비"/>
      <sheetName val="내역서비교"/>
      <sheetName val="공통가설"/>
      <sheetName val="기타시설"/>
      <sheetName val="판매시설"/>
      <sheetName val="아파트"/>
      <sheetName val="주민복지관"/>
      <sheetName val="지하주차장"/>
      <sheetName val="SCHEDULE"/>
      <sheetName val="LAB"/>
      <sheetName val="Inquiry"/>
      <sheetName val="진주䈀ᅪ"/>
      <sheetName val="2공구수량"/>
      <sheetName val="c_balju"/>
      <sheetName val="별표 "/>
      <sheetName val="CC16-내역서"/>
      <sheetName val="매입세"/>
      <sheetName val="신공"/>
      <sheetName val="표층포설및다짐"/>
      <sheetName val="별표"/>
      <sheetName val="사원등록"/>
      <sheetName val="호봉 (2)"/>
      <sheetName val="균열"/>
      <sheetName val="암거날개벽재료집계"/>
      <sheetName val="효성CB 1P기초"/>
      <sheetName val="단가및재료비"/>
      <sheetName val="노᠀⁷"/>
      <sheetName val="유첨#2"/>
      <sheetName val="교각별수량"/>
      <sheetName val="원가산출서"/>
      <sheetName val="Dae_Jiju"/>
      <sheetName val="Sikje_ingun"/>
      <sheetName val="TREE_D"/>
      <sheetName val="공종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96정변2"/>
      <sheetName val="총수량집계표"/>
      <sheetName val="CB"/>
      <sheetName val="CS2"/>
      <sheetName val="오동"/>
      <sheetName val="대조"/>
      <sheetName val="나한"/>
      <sheetName val="INPUT(덕도방향-시점)"/>
      <sheetName val="실행예산서"/>
      <sheetName val="기본단가표"/>
      <sheetName val="TABLE"/>
      <sheetName val="유동표(변경)"/>
      <sheetName val="급명"/>
      <sheetName val="내역서(토목)"/>
      <sheetName val=" 견적서"/>
      <sheetName val="단  가  대  비  표"/>
      <sheetName val="일  위  대  가  목  록"/>
      <sheetName val="2000년 공정표"/>
      <sheetName val="교각별철근수량집계표"/>
      <sheetName val="L형옹벽측구"/>
      <sheetName val="토공계산서(부체도로)"/>
      <sheetName val="const."/>
      <sheetName val="동해title"/>
      <sheetName val="변경내역을"/>
      <sheetName val="펌프장수량산출(토)"/>
      <sheetName val="남양구조시험동"/>
      <sheetName val="세목전체"/>
      <sheetName val="갑지(추정)"/>
      <sheetName val="본부소개"/>
      <sheetName val="CHITIET VL-NC-TT -1p"/>
      <sheetName val="TDTKP1"/>
      <sheetName val="bearing"/>
      <sheetName val="통신물량"/>
      <sheetName val="가설공사내역"/>
      <sheetName val="기본설계도급항목"/>
      <sheetName val="EQ-R1"/>
      <sheetName val="화해(함평)"/>
      <sheetName val="화해(장성)"/>
      <sheetName val="Á¡°ËÃÑ°ý"/>
      <sheetName val="»ó¼öµµÅä°øÁý°èÇ¥"/>
      <sheetName val="°ßÀû´ëºñ"/>
      <sheetName val="ÀÏÀ§´ë°¡Ç¥(À¯´Ü°¡)"/>
      <sheetName val="ÀÚÀç¸ñ·Ï"/>
      <sheetName val="20°ü¸®ºñÀ²"/>
      <sheetName val="담장산출"/>
      <sheetName val="BOX(1.5X1.5)"/>
      <sheetName val="TYPE-A"/>
      <sheetName val=" 총괄표"/>
      <sheetName val="자재집계"/>
      <sheetName val="2BOX본체"/>
      <sheetName val="도장수량(하1)"/>
      <sheetName val="사업수지"/>
      <sheetName val="기계경비단가"/>
      <sheetName val="내역서(총)"/>
      <sheetName val="CON'C"/>
      <sheetName val="경영상태"/>
      <sheetName val="토공A"/>
      <sheetName val="전체공내역서"/>
      <sheetName val="퍼스트"/>
      <sheetName val="현금"/>
      <sheetName val="경비"/>
      <sheetName val="명단원자료(이전)"/>
      <sheetName val="영동(D)"/>
      <sheetName val="원가서"/>
      <sheetName val="증감분석"/>
      <sheetName val="인사자료총집계"/>
      <sheetName val="용소리교"/>
      <sheetName val="단가(반정1교-원주)"/>
      <sheetName val="단가산출1"/>
      <sheetName val="98수문일위"/>
      <sheetName val="삼보지질"/>
      <sheetName val="7.전산해석결과"/>
      <sheetName val="4.하중"/>
      <sheetName val="우각부검토"/>
      <sheetName val="기초입력"/>
      <sheetName val="기성내역서표지"/>
      <sheetName val="2.주요계수총괄"/>
      <sheetName val="교통대책내역"/>
      <sheetName val="가계부"/>
      <sheetName val="제품목록"/>
      <sheetName val="매입매출관리"/>
      <sheetName val="AS포장복구_"/>
      <sheetName val="설-원가"/>
      <sheetName val="전체_1설계"/>
      <sheetName val="자재일람"/>
      <sheetName val="견적"/>
      <sheetName val="NYS"/>
      <sheetName val="loading"/>
      <sheetName val="Factor"/>
      <sheetName val="w't table"/>
      <sheetName val="UR2-Calculation"/>
      <sheetName val="Main"/>
      <sheetName val="노임변동률"/>
      <sheetName val="COMPRESSOR"/>
      <sheetName val="4차원가계산서"/>
      <sheetName val="Man Power &amp; Comp"/>
      <sheetName val="예산M12A"/>
      <sheetName val="환율-LIBOR"/>
      <sheetName val="품종별-이름"/>
      <sheetName val=" 갑  지 "/>
      <sheetName val="Y_WORK"/>
      <sheetName val="부서현황"/>
      <sheetName val="총괄서"/>
      <sheetName val="Option"/>
      <sheetName val="입적표"/>
      <sheetName val="판"/>
      <sheetName val="실행내역서 "/>
      <sheetName val="현장설က_x0000_蠀ᛟ"/>
      <sheetName val="학생내역"/>
      <sheetName val="스케즐"/>
      <sheetName val="PAINT"/>
      <sheetName val="박스토공"/>
      <sheetName val="가시설흙막이"/>
      <sheetName val="연령현황"/>
      <sheetName val="구리토평1전기"/>
      <sheetName val="기성공제요청서"/>
      <sheetName val="하도기성내역 수정"/>
      <sheetName val="기성공제 동의서"/>
      <sheetName val="기성공제 합의서(쓰레기처리비)"/>
      <sheetName val="sum1 (2)"/>
      <sheetName val="월선수금"/>
      <sheetName val="IP좌표"/>
      <sheetName val="지장물C"/>
      <sheetName val="General Data"/>
      <sheetName val="DATA(BAC)"/>
      <sheetName val="working load at the btm ft."/>
      <sheetName val="stability check"/>
      <sheetName val="design criteria"/>
      <sheetName val="design load"/>
      <sheetName val="일용노임단가"/>
      <sheetName val="Site Expenses"/>
      <sheetName val="공사비 내역 (가)"/>
      <sheetName val="대외공문"/>
      <sheetName val="DWPM"/>
      <sheetName val="CA지입"/>
      <sheetName val="TOT"/>
      <sheetName val="노무비산출"/>
      <sheetName val="WEON"/>
      <sheetName val="경상"/>
      <sheetName val="가설"/>
      <sheetName val="969910( R)"/>
      <sheetName val="전장품(관리용)"/>
      <sheetName val="3.하중산정4.지지력"/>
      <sheetName val="LD"/>
      <sheetName val="접지수량"/>
      <sheetName val="내역전기"/>
      <sheetName val="CLAUSE"/>
      <sheetName val="약품설︀"/>
      <sheetName val="36신丵〒_x0005_"/>
      <sheetName val="총체보활공정표"/>
      <sheetName val="22단가(철完9"/>
      <sheetName val="지질조사"/>
      <sheetName val="TEL"/>
      <sheetName val="T1"/>
      <sheetName val="단가결정"/>
      <sheetName val="A(Rev.3)"/>
      <sheetName val="부총"/>
      <sheetName val="신공항A-9헾】_x0005__x0000__x0000_"/>
      <sheetName val="견적대비표"/>
      <sheetName val="아산경희980422"/>
      <sheetName val="Front"/>
      <sheetName val="wall"/>
      <sheetName val="cal"/>
      <sheetName val="자재비"/>
      <sheetName val="공사비증감"/>
      <sheetName val="기초ա_x0000_"/>
      <sheetName val="물량尜"/>
      <sheetName val="토공,철콘"/>
      <sheetName val="교량하부공"/>
      <sheetName val="대,怀፵"/>
      <sheetName val="변경비丵〒_x0005_"/>
      <sheetName val="물량丵"/>
      <sheetName val="광혁기성"/>
      <sheetName val="º¯°æ»çÀ5"/>
      <sheetName val="AILC005"/>
      <sheetName val="AILC00_x0000_"/>
      <sheetName val="대림경상68억"/>
      <sheetName val="역T형"/>
      <sheetName val="품셈집계표"/>
      <sheetName val="자재조사표"/>
      <sheetName val="일반부표집계표"/>
      <sheetName val="품목"/>
      <sheetName val="전선_및_전선ࠝ"/>
      <sheetName val="산근(목록)"/>
      <sheetName val="이형관중량"/>
      <sheetName val="NAMES"/>
      <sheetName val="기자재׃"/>
      <sheetName val="갑지(0_x0000_"/>
      <sheetName val="단0_x0000_退"/>
      <sheetName val="갑지(렀뚣瘉"/>
      <sheetName val="갑지(_x0000_뎰瘇"/>
      <sheetName val="단면별연장"/>
      <sheetName val="분수공별 면적"/>
      <sheetName val="관로조직표"/>
      <sheetName val="기자재_x0000_"/>
      <sheetName val="전기 원가계산서"/>
      <sheetName val="단0_x0000__x0000_"/>
      <sheetName val="단ူ_x0000_䠀"/>
      <sheetName val="기자재壸"/>
      <sheetName val="기자재嬨"/>
      <sheetName val="기자재蔈"/>
      <sheetName val="견적대ﱀ"/>
      <sheetName val="견적대₨"/>
      <sheetName val="기자재游"/>
      <sheetName val="기자재೨"/>
      <sheetName val="기자재箘"/>
      <sheetName val="기자재"/>
      <sheetName val="기자재à"/>
      <sheetName val="기자재灰"/>
      <sheetName val="s"/>
      <sheetName val="집계표(공종별)"/>
      <sheetName val="22단헾"/>
      <sheetName val="상 부"/>
      <sheetName val="차선도색현황"/>
      <sheetName val="단가적용(터널)"/>
      <sheetName val="단위가격"/>
      <sheetName val="단위가격_할증"/>
      <sheetName val="Instruction"/>
      <sheetName val="총괄집䠄ᡏ"/>
      <sheetName val="제"/>
      <sheetName val="일위대가 "/>
      <sheetName val="전선"/>
      <sheetName val="CABLE"/>
      <sheetName val="4.2.1 마루높이 검토"/>
      <sheetName val="이토변실(A3-LINE)"/>
      <sheetName val="4)유동표"/>
      <sheetName val="견적단가"/>
      <sheetName val="산출및내역"/>
      <sheetName val="적용(기尜_x0013_"/>
      <sheetName val="2.1  노무비 평균단가산출"/>
      <sheetName val="3CHBDC"/>
      <sheetName val="1-11조직표"/>
      <sheetName val="96.12"/>
      <sheetName val="포쐀䑣"/>
      <sheetName val="포䠟⥏"/>
      <sheetName val="포䠠⥏"/>
      <sheetName val="포䈀㙪"/>
      <sheetName val="22단丵"/>
      <sheetName val="예산M6-B"/>
      <sheetName val="01"/>
      <sheetName val="조경"/>
      <sheetName val="정산입력"/>
      <sheetName val="COPING"/>
      <sheetName val="SLIDES"/>
      <sheetName val="하중계산"/>
      <sheetName val="E.P.T수량산출서"/>
      <sheetName val="물량집계"/>
      <sheetName val="개산공사비"/>
      <sheetName val="현장지지물물량"/>
      <sheetName val="장비경비"/>
      <sheetName val="전체제잡비"/>
      <sheetName val="감액총괄표"/>
      <sheetName val="단위목헾"/>
      <sheetName val="산출내역(K2)"/>
      <sheetName val="P.M 별"/>
      <sheetName val="인부신상자료"/>
      <sheetName val="사각맨0"/>
      <sheetName val="105,106,107동"/>
      <sheetName val="수로교총재료齘_x0013_"/>
      <sheetName val="통신단가조사"/>
      <sheetName val="산출2-기기동력"/>
      <sheetName val="견적의ᰀ፜"/>
      <sheetName val="사각맨᠜"/>
      <sheetName val="공기԰_x0000_缀"/>
      <sheetName val="설계睮め_x0005_"/>
      <sheetName val="MAT"/>
      <sheetName val="CF"/>
      <sheetName val="A 견적"/>
      <sheetName val="전기일위목록"/>
      <sheetName val="RE9604"/>
      <sheetName val="환"/>
      <sheetName val="적용기준표(98년상반기)"/>
      <sheetName val="집1"/>
      <sheetName val="SE-611"/>
      <sheetName val="날개벽"/>
      <sheetName val="woo(mac)"/>
      <sheetName val="개소별수량산출"/>
      <sheetName val="거푸집물량"/>
      <sheetName val="토공실행"/>
      <sheetName val="일위_파일"/>
      <sheetName val="L-type"/>
      <sheetName val="BOQ"/>
      <sheetName val="EKOG10건축"/>
      <sheetName val="중기목록"/>
      <sheetName val="구간산출"/>
      <sheetName val="보할공정"/>
      <sheetName val="Ext. Stone-P"/>
      <sheetName val="단"/>
      <sheetName val="전력"/>
      <sheetName val="토공집계표"/>
      <sheetName val="COL"/>
      <sheetName val="간선"/>
      <sheetName val="계약표지"/>
      <sheetName val="분양가격표"/>
      <sheetName val="Working(wo WTs)"/>
      <sheetName val="주조정실"/>
      <sheetName val="Requirements"/>
      <sheetName val="전압"/>
      <sheetName val="조도"/>
      <sheetName val="동력"/>
      <sheetName val="원가계산하도"/>
      <sheetName val="단위_x0000__x0000_尀"/>
      <sheetName val="단위ࠀᎄ䰀"/>
      <sheetName val="단위倀❹缀"/>
      <sheetName val="단위耀ὡ"/>
      <sheetName val="공사진행"/>
      <sheetName val="견적서(대외) (2)"/>
      <sheetName val="__MAIN"/>
      <sheetName val="°úÃµMAIN"/>
      <sheetName val="ÅÍ³ÎÁ¶µµ"/>
      <sheetName val="1.¼³°è±âÁØ"/>
      <sheetName val="3Â÷¼³°è"/>
      <sheetName val="³ëÀÓ"/>
      <sheetName val="ÇöÈ²CODE"/>
      <sheetName val="¼ÕÀÍÇöÈ²"/>
      <sheetName val="±âµÕ(¿øÇü)"/>
      <sheetName val="¿Ëº®"/>
      <sheetName val="´Ü°¡ºñ±³Ç¥"/>
      <sheetName val="ABUT¼ö·®-A1"/>
      <sheetName val="¹ëºê¼³Ä¡"/>
      <sheetName val="3.¹Ù´ÚÆÇ¼³°è"/>
      <sheetName val="Á¶°Ç"/>
      <sheetName val="¿©Èï"/>
      <sheetName val="tÇü"/>
      <sheetName val="1.¼öº¯Àü¼³ºñ°ø»ç"/>
      <sheetName val="2. µ¿·Â¼³ºñ °ø»ç"/>
      <sheetName val="3. Á¶¸í¼³ºñ°ø»ç"/>
      <sheetName val="4. Á¢Áö¼³ºñ°ø»ç"/>
      <sheetName val="5. Åë½Å¼³ºñ °ø»ç"/>
      <sheetName val="6. Àü±â¹æ½Ä¼³ºñ°ø»ç"/>
      <sheetName val="6.Àü±â¹æ½Ä ¼³ºñ°ø»ç(2)"/>
      <sheetName val="7.¹æÈ£¼³ºñ°ø»ç"/>
      <sheetName val="8.°¡¼³Àü±â°ø»ç"/>
      <sheetName val="»êÃâ±Ù°Å"/>
      <sheetName val="Á¡¼ö°è»ê1-2"/>
      <sheetName val="ÃÑ°è"/>
      <sheetName val="¼ö¾Èº¸-MBR1"/>
      <sheetName val="ÀÔ·ÂDATA"/>
      <sheetName val="8. ¾ÈÁ¤°ËÅä"/>
      <sheetName val="ÇöÀåÁöÁö¹°¹°·®"/>
      <sheetName val="9GNG¿î¹Ý"/>
      <sheetName val="¿µ¾÷¼Ò½ÇÀû"/>
      <sheetName val="°ø»çÁøÇà"/>
      <sheetName val="°ßÀû¼­(´ë¿Ü) (2)"/>
      <sheetName val="ÀÎ°Ç-ÃøÁ¤"/>
      <sheetName val="6PILE  (µ¹Ãâ)"/>
      <sheetName val="현장"/>
      <sheetName val="철근량 검토"/>
      <sheetName val="MCC제원"/>
      <sheetName val="통합"/>
      <sheetName val="BOX"/>
      <sheetName val="STBOX"/>
      <sheetName val="H-PILE수량집계"/>
      <sheetName val="산출(전주P7)"/>
      <sheetName val="TC표지"/>
      <sheetName val="H PILE수량"/>
      <sheetName val="8.PILE  (돌출)"/>
      <sheetName val="Piping Design Data"/>
      <sheetName val="종배수관"/>
      <sheetName val="工완성공사율"/>
      <sheetName val="T6-6(2)"/>
      <sheetName val="Upgrades pricing"/>
      <sheetName val="Ampecity Data"/>
      <sheetName val="공사기본자료"/>
      <sheetName val="우각부보강"/>
      <sheetName val="본체"/>
      <sheetName val="유기공정"/>
      <sheetName val="3_바닥판설계"/>
      <sheetName val="내역(가지)"/>
      <sheetName val="기준액"/>
      <sheetName val="와동25-3(변경)"/>
      <sheetName val="기계"/>
      <sheetName val="7.1유효폭"/>
      <sheetName val="변경서식"/>
      <sheetName val="MACRO(전선관)"/>
      <sheetName val="특수선일위대가"/>
      <sheetName val="Project Brief"/>
      <sheetName val="연습장소"/>
      <sheetName val="상세내역,전력산출서"/>
      <sheetName val="2003상반기노임기준"/>
      <sheetName val="적점"/>
      <sheetName val="IBASE"/>
      <sheetName val="Cost bd-&quot;A&quot;"/>
      <sheetName val="원내역서 그대로"/>
      <sheetName val="시가지우회도로공내역서"/>
      <sheetName val="파이프"/>
      <sheetName val="결합부검토"/>
      <sheetName val="2"/>
      <sheetName val="중기조종사 단위단가"/>
      <sheetName val="회로내역(승인)"/>
      <sheetName val="기술자료 (연수)"/>
      <sheetName val="산재 안전"/>
      <sheetName val="노무비 경비"/>
      <sheetName val="산정표"/>
      <sheetName val="SLAB"/>
      <sheetName val="공사비총괄표"/>
      <sheetName val="BQ(실행)"/>
      <sheetName val="실행비교"/>
      <sheetName val="기계실"/>
      <sheetName val="PART_DISCOUNT"/>
      <sheetName val="변경실행(2차) "/>
      <sheetName val="공통비"/>
      <sheetName val="VENDOR LIST"/>
      <sheetName val="TYPE집계표"/>
      <sheetName val="호표"/>
      <sheetName val="현장관리비"/>
      <sheetName val="설계산출표지"/>
      <sheetName val="공정량산출내역서 "/>
      <sheetName val="기준표"/>
      <sheetName val="보호공"/>
      <sheetName val="0.갑지"/>
      <sheetName val="구의33고"/>
      <sheetName val="건축공사 집계표"/>
      <sheetName val="골조"/>
      <sheetName val="기초일위"/>
      <sheetName val="총(신설)"/>
      <sheetName val="기본일위"/>
      <sheetName val="eq_data"/>
      <sheetName val="96작생능"/>
      <sheetName val="평가내역"/>
      <sheetName val="직접인건비"/>
      <sheetName val="토공대가"/>
      <sheetName val="구조대가"/>
      <sheetName val="포설대가1"/>
      <sheetName val="부대대가"/>
      <sheetName val="FOOTING단면력"/>
      <sheetName val="B.O.M"/>
      <sheetName val="설계개요"/>
      <sheetName val="화전내"/>
      <sheetName val="21301동"/>
      <sheetName val="hvac(제어동)"/>
      <sheetName val="단위세대"/>
      <sheetName val="설계내역(2001)"/>
      <sheetName val="계산근거"/>
      <sheetName val="기준비용"/>
      <sheetName val="내역서(당초변경)"/>
      <sheetName val="물가대비표"/>
      <sheetName val="단가보완"/>
      <sheetName val="맨홀토공수량"/>
      <sheetName val="관람석제출"/>
      <sheetName val="제원.설계조건"/>
      <sheetName val="type-F"/>
      <sheetName val="협조전"/>
      <sheetName val="입찰견적보고서"/>
      <sheetName val="단가산출집계"/>
      <sheetName val="기초공"/>
      <sheetName val="골조시행"/>
      <sheetName val="96수출"/>
      <sheetName val="설명서 "/>
      <sheetName val="내부부하"/>
      <sheetName val="다이꾸"/>
      <sheetName val="SKETCH"/>
      <sheetName val="MEXICO-C"/>
      <sheetName val="공통부대비"/>
      <sheetName val="FAB별"/>
      <sheetName val="공주-교대(A1)"/>
      <sheetName val="실행"/>
      <sheetName val="단가조사-1"/>
      <sheetName val="단가조사-2"/>
      <sheetName val="현장별계약현황('98.10.31)"/>
      <sheetName val="현장관리비데이타"/>
      <sheetName val="1)fs"/>
      <sheetName val="구조     ."/>
      <sheetName val="중기사용료"/>
      <sheetName val="ELECTRIC"/>
      <sheetName val="TYPE-1"/>
      <sheetName val="단가 "/>
      <sheetName val="투자효율분석"/>
      <sheetName val="견적내역"/>
      <sheetName val="일집"/>
      <sheetName val="견적서세부내용"/>
      <sheetName val="견적내용입력"/>
      <sheetName val="공사내역서(을)실행"/>
      <sheetName val="보합"/>
      <sheetName val="시설일위"/>
      <sheetName val="DATA 입력부"/>
      <sheetName val="승용"/>
      <sheetName val="Recovered_Sheet1"/>
      <sheetName val="원가상세내역"/>
      <sheetName val="2004경영(비목별)"/>
      <sheetName val="2004경영"/>
      <sheetName val="직원동원SCH"/>
      <sheetName val="계획금액"/>
      <sheetName val="단중표"/>
      <sheetName val="차종별"/>
      <sheetName val="변경후-SHEET"/>
      <sheetName val="도급양식"/>
      <sheetName val="장비집계"/>
      <sheetName val="GI-LIST"/>
      <sheetName val="손익집계(공장별)"/>
      <sheetName val="설계명세서(선로)"/>
      <sheetName val="보호"/>
      <sheetName val="성남여성복지내역"/>
      <sheetName val="간지"/>
      <sheetName val="토공(완충)"/>
      <sheetName val="mcc일위대가"/>
      <sheetName val="가설공사"/>
      <sheetName val="건축원가계산서"/>
      <sheetName val="ATS단가"/>
      <sheetName val="내역(전체)"/>
      <sheetName val="횡배수관"/>
      <sheetName val="원형맨홀수량"/>
      <sheetName val="원본"/>
      <sheetName val="단가표 "/>
      <sheetName val="차수"/>
      <sheetName val="안양1공구_건축"/>
      <sheetName val="북방3터널"/>
      <sheetName val="예산서"/>
      <sheetName val="등록업체"/>
      <sheetName val="esc"/>
      <sheetName val="도급예산내역서봉투"/>
      <sheetName val="도급예산내역서총괄표"/>
      <sheetName val="을부담운반비"/>
      <sheetName val="운반비산출"/>
      <sheetName val="방송노임"/>
      <sheetName val="보도경계블럭"/>
      <sheetName val="LIST"/>
      <sheetName val="모델링"/>
      <sheetName val="출력-내역서"/>
      <sheetName val="EUPDAT2"/>
      <sheetName val="hvac내역서(제어동)"/>
      <sheetName val="단락전류-A"/>
      <sheetName val="DPRKMHDT"/>
      <sheetName val="부표총괄"/>
      <sheetName val="Tot-sum"/>
      <sheetName val="우수"/>
      <sheetName val="하도급변경대비표"/>
      <sheetName val="2000용수잠관-수량집계"/>
      <sheetName val="공사내역"/>
      <sheetName val="투입(관수_건축)"/>
      <sheetName val="투입(APT500)"/>
      <sheetName val="투입(분당)"/>
      <sheetName val="작성지침서2)"/>
      <sheetName val="투입스케쥴양식"/>
      <sheetName val="투입(APT1200)"/>
      <sheetName val="투입(평촌)"/>
      <sheetName val="투입(APT1000)"/>
      <sheetName val="계약내역서(을지)"/>
      <sheetName val="빗물받이(910-510-410)"/>
      <sheetName val="영흥TL(UP,DOWN) "/>
      <sheetName val="sheets"/>
      <sheetName val="강북라우터"/>
      <sheetName val="합천내역"/>
      <sheetName val="220 (2)"/>
      <sheetName val="총인원"/>
      <sheetName val="직급인원"/>
      <sheetName val="OPGW기별"/>
      <sheetName val="관기성공.내"/>
      <sheetName val="중동상가"/>
      <sheetName val="조명율데이타"/>
      <sheetName val="TYPE-B 평균H"/>
      <sheetName val="평균높이산출근거"/>
      <sheetName val="횡배수관위치조서"/>
      <sheetName val="공사비내역서"/>
      <sheetName val="2002하반기노임기준"/>
      <sheetName val="본부장"/>
      <sheetName val="구동"/>
      <sheetName val="공조기"/>
      <sheetName val="대림산업"/>
      <sheetName val="unit"/>
      <sheetName val="교대"/>
      <sheetName val="내역서(전체)"/>
      <sheetName val="내역(토목)"/>
      <sheetName val="5.공종별예산내역서"/>
      <sheetName val="토공정보"/>
      <sheetName val="두앙"/>
      <sheetName val="깨기수량"/>
      <sheetName val="세부견적서(DAS Call Back)"/>
      <sheetName val="단중표-ST"/>
      <sheetName val="PIPE"/>
      <sheetName val="VALVE"/>
      <sheetName val="샤워실위생"/>
      <sheetName val="현장경비"/>
      <sheetName val="노원열병합  건축렀こ렀䡟ԯ_x0000_缀"/>
      <sheetName val="노원열병합  건축렀䡟ԯ_x0000_缀_x0000__x0000_"/>
      <sheetName val="노원열병합  건축︀ᇕ԰_x0000_缀_x0000__x0000_"/>
      <sheetName val="노원열병합  건축ﻕᇕ԰_x0000_缀_x0000__x0000_"/>
      <sheetName val="하부철근수량"/>
      <sheetName val="입찰사유서 제4공종 (흙깎기)"/>
      <sheetName val="D16"/>
      <sheetName val="D25"/>
      <sheetName val="D22"/>
      <sheetName val="적용토목"/>
      <sheetName val="명세"/>
      <sheetName val="견적서(1)"/>
      <sheetName val="Top PO"/>
      <sheetName val="2234"/>
      <sheetName val="조립1부실적"/>
      <sheetName val="5월"/>
      <sheetName val="능률"/>
      <sheetName val="Despacho (c.civil)"/>
      <sheetName val="1을"/>
      <sheetName val="감가상각"/>
      <sheetName val="인원"/>
      <sheetName val="자판실행"/>
      <sheetName val="내역총괄"/>
      <sheetName val="내역총괄2"/>
      <sheetName val="내역총괄3"/>
      <sheetName val="단위세대물량"/>
      <sheetName val="낙찰표"/>
      <sheetName val="9-1차이내역."/>
      <sheetName val="1호인버트수량"/>
      <sheetName val="석축설면"/>
      <sheetName val="법면단"/>
      <sheetName val="대비표"/>
      <sheetName val="자단"/>
      <sheetName val="변경품셈"/>
      <sheetName val="예산내역서"/>
      <sheetName val="CALCULATION"/>
      <sheetName val="WIND-EQ"/>
      <sheetName val="송전재료비"/>
      <sheetName val="FEXS"/>
      <sheetName val="전기설계변경"/>
      <sheetName val="Proposal"/>
      <sheetName val="EQT-ESTN"/>
      <sheetName val="PUMP SHT"/>
      <sheetName val="FIN TUBE"/>
      <sheetName val="HED. &amp; PIPE"/>
      <sheetName val="회사99"/>
      <sheetName val="OCT.FDN"/>
      <sheetName val="97 사업추정(WEKI)"/>
      <sheetName val="실행(1)"/>
      <sheetName val="프로젝트"/>
      <sheetName val="WING3"/>
      <sheetName val="기지국"/>
      <sheetName val="자재조사표(참고용)"/>
      <sheetName val="분전함신설"/>
      <sheetName val="접지1종"/>
      <sheetName val="3련 B_x0005__x0000_"/>
      <sheetName val="기성수금(단단위)"/>
      <sheetName val="원가매출(단단위)"/>
      <sheetName val="아수배전(1회)"/>
      <sheetName val="인건비_조사"/>
      <sheetName val="적용건축"/>
      <sheetName val="설치 일위대가(4԰_x0000_缀_x0000__x0000__x0000_"/>
      <sheetName val="99년신청"/>
      <sheetName val="콘_재료분리(1)"/>
      <sheetName val="내역서 "/>
      <sheetName val="경율산정"/>
      <sheetName val="변경품셈총괄"/>
      <sheetName val="설계일반"/>
      <sheetName val="토목검측서"/>
      <sheetName val="유림총괄"/>
      <sheetName val="기성내역서"/>
      <sheetName val="PAD TR보호대기초"/>
      <sheetName val="가로등기초"/>
      <sheetName val="HANDHOLE(2)"/>
      <sheetName val="바닥판"/>
      <sheetName val="2000_x0005__x0000__x0000_"/>
      <sheetName val="견적사양비교표"/>
      <sheetName val="2002상반기노임기준"/>
      <sheetName val="N頀ᚃ"/>
      <sheetName val="N"/>
      <sheetName val="BabyÀÏÀ§´ë°¡"/>
      <sheetName val="NìüëÒ-òÅ"/>
      <sheetName val="°£¼±°è»ê"/>
      <sheetName val="´ë±¸½ÇÇà"/>
      <sheetName val="0.Áý°è"/>
      <sheetName val="Ç¥Áö (2)"/>
      <sheetName val="¸Å¸³"/>
      <sheetName val="¿ø°¡°è»ê"/>
      <sheetName val="1.ÀüÂ÷¼±Á¶Á¤"/>
      <sheetName val="2.Á¶°¡¼±Á¶Á¤"/>
      <sheetName val="3.±ÞÀü¼±½Å¼³"/>
      <sheetName val="4.±ÞÀü¼±Ã¶°Å"/>
      <sheetName val="위성"/>
      <sheetName val="입고장부 (4)"/>
      <sheetName val="산출목록표"/>
      <sheetName val="수원공"/>
      <sheetName val="구분자"/>
      <sheetName val="그림"/>
      <sheetName val="구성1"/>
      <sheetName val="구성2"/>
      <sheetName val="구성3"/>
      <sheetName val="구성4"/>
      <sheetName val="그림2"/>
      <sheetName val="69.03%"/>
      <sheetName val="변경내역100%"/>
      <sheetName val="변경내역98%"/>
      <sheetName val="변경내역96%"/>
      <sheetName val="변경내역92%"/>
      <sheetName val="변경내역88%"/>
      <sheetName val="변경내역84.52%"/>
      <sheetName val="E총"/>
      <sheetName val="Languages"/>
      <sheetName val="Vari by Vendor"/>
      <sheetName val="DATA-UPS"/>
      <sheetName val="공조기(삭제)"/>
      <sheetName val="예산조서(무선)"/>
      <sheetName val="예산M11A"/>
      <sheetName val="단가비교표_공통1"/>
      <sheetName val="일(4)"/>
      <sheetName val="EP0618"/>
      <sheetName val="3본사"/>
      <sheetName val="(2)"/>
      <sheetName val="년도별노임표"/>
      <sheetName val="중기목록표"/>
      <sheetName val="원내역서3"/>
      <sheetName val="3도로"/>
      <sheetName val="101동"/>
      <sheetName val="성내동"/>
      <sheetName val="AHU집계"/>
      <sheetName val="공조기휀"/>
      <sheetName val="계양가시설"/>
      <sheetName val="삼성전기"/>
      <sheetName val="B부대공"/>
      <sheetName val="일목"/>
      <sheetName val="º¯°æ»çÀþ"/>
      <sheetName val="현황산출서"/>
      <sheetName val="제수변︀ᇕ"/>
      <sheetName val="º¯°æ»çÀ_x0000_"/>
      <sheetName val="결과조Ⴚ"/>
      <sheetName val="결과조º"/>
      <sheetName val="º¯°æ»çÀ¸"/>
      <sheetName val="º¯°æ»çÀ "/>
      <sheetName val="제수변﹔ᇕ"/>
      <sheetName val="º¯°æ»çÀB"/>
      <sheetName val="단가일䊱"/>
      <sheetName val="K1자재(3차등)"/>
      <sheetName val="도급"/>
      <sheetName val="총괄-1"/>
      <sheetName val="홈통받이수량"/>
      <sheetName val="단위중량"/>
      <sheetName val="기본"/>
      <sheetName val="단위집계표"/>
      <sheetName val="공통가설공사"/>
      <sheetName val="당사"/>
      <sheetName val="토적표"/>
      <sheetName val="공사수행방안"/>
      <sheetName val=" 토목 처리장도급내역서 "/>
      <sheetName val="기초및구체공"/>
      <sheetName val="Data2"/>
      <sheetName val="일위목차"/>
      <sheetName val="2000년하반기"/>
      <sheetName val="1.취수장"/>
      <sheetName val="전체내ﰀ⁗"/>
      <sheetName val="내역서-전체낙찰율"/>
      <sheetName val="전체내저፺"/>
      <sheetName val="동원인원산출"/>
      <sheetName val="제수변䊱ᅪ"/>
      <sheetName val="내역서단가산출용"/>
      <sheetName val="인건비堀"/>
      <sheetName val="전체내堀᎟"/>
      <sheetName val="전체내︀ᇕ"/>
      <sheetName val="전체내怀፵"/>
      <sheetName val="변경비鰀፰"/>
      <sheetName val="㰀"/>
      <sheetName val="주관锼_x0013_"/>
      <sheetName val="2호맨홀공제수량"/>
      <sheetName val="위치"/>
      <sheetName val="공작물조직표(용배수)"/>
      <sheetName val="날개수량1.5"/>
      <sheetName val="내역서(기성청구)"/>
      <sheetName val="자재 집계표"/>
      <sheetName val="000000"/>
      <sheetName val="재료단가"/>
      <sheetName val="우수공"/>
      <sheetName val="원가계墬ᥓ"/>
      <sheetName val="원가계Ⴌ_x0000_"/>
      <sheetName val="CAT_5"/>
      <sheetName val="관로토공집계표"/>
      <sheetName val="세부내역(직접인건비)"/>
      <sheetName val="토 적 표"/>
      <sheetName val="골재산출"/>
      <sheetName val="3회기성헾】"/>
      <sheetName val="변경비교헾】"/>
      <sheetName val="접속도로"/>
      <sheetName val="횡배위치"/>
      <sheetName val="계산중"/>
      <sheetName val="예산조서(︀ᇕ԰"/>
      <sheetName val="일위산출"/>
      <sheetName val="1차 내역서"/>
      <sheetName val="몰탈㔀቎԰_x0000_"/>
      <sheetName val="몰탈䠊ፓ倀놡"/>
      <sheetName val="몰탈䠋ፓ頀뫻"/>
      <sheetName val="몰탈䠠ፓ瀀멗"/>
      <sheetName val="몰탈䠊ፓ "/>
      <sheetName val="몰탈䠉ፓ退"/>
      <sheetName val="몰탈䠉ፓ退ꠍ"/>
      <sheetName val="몰탈䠑ፓ뀀짅"/>
      <sheetName val="TOEC"/>
      <sheetName val="몰탈䠊ፓ㠀擞"/>
      <sheetName val="bdata-출력안함"/>
      <sheetName val="공리공제"/>
      <sheetName val="준공정산"/>
      <sheetName val="자재ᰀ፜搀"/>
      <sheetName val="발전기"/>
      <sheetName val="GEN"/>
      <sheetName val="부대공집계표"/>
      <sheetName val="관일"/>
      <sheetName val="노무비(DB)_이후 출력XXXXXX"/>
      <sheetName val="3회기성䃸〒"/>
      <sheetName val="3회기성_x0005__x0000_"/>
      <sheetName val="3회기성吸("/>
      <sheetName val="3회기성ⱂ⿌"/>
      <sheetName val="3회기성埀0"/>
      <sheetName val="철거산출헾】"/>
      <sheetName val="철거산출午_x0013_"/>
      <sheetName val="VS P-Q"/>
      <sheetName val="기초코徸"/>
      <sheetName val="5.°í¹è¼±Ã¶°Å"/>
      <sheetName val="6.°í¾ÐÄÉÀÌºí½Å¼³"/>
      <sheetName val="7.ºñÀý¿¬¼±Á¶Á¤"/>
      <sheetName val="8.°¡µ¿ºê·¡Å°Æ®ÀÌ¼³"/>
      <sheetName val="9.HÇü°­ÁÖ½Å¼³(9m)"/>
      <sheetName val="10.°­°üÁÖ½Å¼³(9m)"/>
      <sheetName val="11.H°­ÁÖÃ¶°Å(11m)"/>
      <sheetName val="11.HÇü°­±âÃÊ"/>
      <sheetName val="13.°­°üÁÖ±âÃÊ"/>
      <sheetName val="14.Àå·ÂÁ¶Á¤ÀåÄ¡½Å¼³"/>
      <sheetName val="15.Àå·ÂÁ¶Á¤ÀåÄ¡Ã¶°Å   "/>
      <sheetName val="16.ÄÜÁÖÃ¶°Å(9m)"/>
      <sheetName val="17.Áö¼±½Å¼³(º¸Åë)"/>
      <sheetName val="18.Áö¼±½Å¼³(vÇü)"/>
      <sheetName val="19.Áö¼±Ã¶°Å"/>
      <sheetName val="20.±âÁß°³Æó±â½Å¼³"/>
      <sheetName val="±âÃÊ´Ü°¡"/>
      <sheetName val="¾Æ»êÃß°¡1220"/>
      <sheetName val="98Áö±Þ°èÈ¹"/>
      <sheetName val="´çÃÊ"/>
      <sheetName val="1.¼³°èÁ¶°Ç"/>
      <sheetName val="Àç·á"/>
      <sheetName val="°¡·ÎµîºÎÇ¥"/>
      <sheetName val="Á¦°æºñÀ²"/>
      <sheetName val="³»¿ª(¼³°è)"/>
      <sheetName val="½Ä»ýºí·°´ÜÀ§¼ö·®"/>
      <sheetName val="Á¤ºÎ³ëÀÓ´Ü°¡"/>
      <sheetName val="가CP"/>
      <sheetName val="견적서1"/>
      <sheetName val="MANUFACTORY"/>
      <sheetName val="IMF Code"/>
      <sheetName val="일반맨홀수량집계"/>
      <sheetName val="설변물량"/>
      <sheetName val="날개벽(TYPE1)"/>
      <sheetName val="401"/>
      <sheetName val="내역서(삼호)"/>
      <sheetName val="변압기"/>
      <sheetName val="발전기용량-1"/>
      <sheetName val="발전기용량-2"/>
      <sheetName val="출력전에보세요"/>
      <sheetName val="전력간선(일반)"/>
      <sheetName val="전력간선(동력)"/>
      <sheetName val="MCC-B-A"/>
      <sheetName val="MCC-B-B"/>
      <sheetName val="MCC-B-C"/>
      <sheetName val="ACCOUNT(RECEP)"/>
      <sheetName val="부하(동력)"/>
      <sheetName val="ILLUMINANCE"/>
      <sheetName val="계산DATA"/>
      <sheetName val="전류"/>
      <sheetName val="데이터북"/>
      <sheetName val="조명참고자료"/>
      <sheetName val="Cable schedule"/>
      <sheetName val="V-data"/>
      <sheetName val="L-data"/>
      <sheetName val="P-data"/>
      <sheetName val="소일위대가코드표"/>
      <sheetName val="수안보-_x0005__x0000__x0000_"/>
      <sheetName val="UPDATA"/>
      <sheetName val="원가계산서(남측)"/>
      <sheetName val="5사남"/>
      <sheetName val="각종장비전압강하계산"/>
      <sheetName val="시중노임(공사)"/>
      <sheetName val="설계변경내역 98"/>
      <sheetName val="금액결揄"/>
      <sheetName val="기존구조물철거집계계표"/>
      <sheetName val="내역서(교량)전체"/>
      <sheetName val="대창(함평)"/>
      <sheetName val="암거공"/>
      <sheetName val="2.2.2입적표"/>
      <sheetName val="-15.0"/>
      <sheetName val="해평견적"/>
      <sheetName val="사리부설"/>
      <sheetName val="1월"/>
      <sheetName val="임대견적서"/>
      <sheetName val="5.3 단면가정"/>
      <sheetName val="시추주상도"/>
      <sheetName val="남대문빌딩"/>
      <sheetName val="INDEX"/>
      <sheetName val="15100"/>
      <sheetName val="2터널시점"/>
      <sheetName val="PUMP"/>
      <sheetName val="갈현동"/>
      <sheetName val="예산대비"/>
      <sheetName val="KSHAHU-6"/>
      <sheetName val="LANGUAGE"/>
      <sheetName val="내역아"/>
      <sheetName val="울타리"/>
      <sheetName val="예비품"/>
      <sheetName val="pbs_lambda"/>
      <sheetName val="Matériel embarqué PVC"/>
      <sheetName val="변경총괄지(1)"/>
      <sheetName val="master(total)"/>
      <sheetName val="평3"/>
      <sheetName val="캔개발배경"/>
      <sheetName val="시장"/>
      <sheetName val="일정표"/>
      <sheetName val="지하1층"/>
      <sheetName val="2000.11¿ù¼³餀㢘ԯ_x0000_缀_x0000_"/>
      <sheetName val="단양 00 아파트-세부내역"/>
      <sheetName val="준공조서"/>
      <sheetName val="공사준공계"/>
      <sheetName val="준공검사보고서"/>
      <sheetName val="2.펌프장(사급자재)"/>
      <sheetName val="산#2-1 (2)"/>
      <sheetName val="POOM_MOTO"/>
      <sheetName val="밀양노선별공사비명세서"/>
      <sheetName val="건설장비기초단가"/>
      <sheetName val="기계경비및산출근거서"/>
      <sheetName val="샘플표지"/>
      <sheetName val="0_집계"/>
      <sheetName val="1_전차선조정"/>
      <sheetName val="2_조가선조정"/>
      <sheetName val="3_급전선신설"/>
      <sheetName val="4_급전선철거"/>
      <sheetName val="5_고배선철거"/>
      <sheetName val="6_고압케이블신설"/>
      <sheetName val="7_비절연선조정"/>
      <sheetName val="8_가동브래키트이설"/>
      <sheetName val="9_H형강주신설(9m)"/>
      <sheetName val="10_강관주신설(9m)"/>
      <sheetName val="11_H강주철거(11m)"/>
      <sheetName val="11_H형강기초"/>
      <sheetName val="13_강관주기초"/>
      <sheetName val="14_장력조정장치신설"/>
      <sheetName val="15_장력조정장치철거___"/>
      <sheetName val="16_콘주철거(9m)"/>
      <sheetName val="17_지선신설(보통)"/>
      <sheetName val="18_지선신설(v형)"/>
      <sheetName val="19_지선철거"/>
      <sheetName val="20_기중개폐기신설"/>
      <sheetName val="3-1_CB"/>
      <sheetName val="일위산출근거"/>
      <sheetName val="테이블"/>
      <sheetName val="제3장 기술업무"/>
      <sheetName val="수량산출서-2"/>
      <sheetName val="단가대비"/>
      <sheetName val="포장절단"/>
      <sheetName val="일위단가"/>
      <sheetName val="일위(설)"/>
      <sheetName val="전기공사일위대가"/>
      <sheetName val="대비내역"/>
      <sheetName val="제품"/>
      <sheetName val="기존단가 (2)"/>
      <sheetName val="OZ049E"/>
      <sheetName val="배수내역(총수량)"/>
      <sheetName val="층"/>
      <sheetName val="용산1(해보)"/>
      <sheetName val="단가조사표"/>
      <sheetName val="설계내역서(기계)"/>
      <sheetName val="수주실적0709"/>
      <sheetName val="주beam"/>
      <sheetName val="음봉방향"/>
      <sheetName val="자료(통합)"/>
      <sheetName val="발주내역"/>
      <sheetName val="건축원가"/>
      <sheetName val="BOX 본체"/>
      <sheetName val="제4절-1"/>
      <sheetName val="0217상가미분양자산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10현장조직"/>
      <sheetName val="3-1-12"/>
      <sheetName val="3-1-3"/>
      <sheetName val="금긋기 및 절단"/>
      <sheetName val="TB-내역서"/>
      <sheetName val="costing_CV"/>
      <sheetName val="costing_ESDV"/>
      <sheetName val="costing_FE"/>
      <sheetName val="Condition"/>
      <sheetName val="costing_Misc"/>
      <sheetName val="costing_MOV"/>
      <sheetName val="costing_Press"/>
      <sheetName val="choose"/>
      <sheetName val="별표(48~75)"/>
      <sheetName val="공사내역(2003년)"/>
      <sheetName val="본댐설계"/>
      <sheetName val="교육종류"/>
      <sheetName val="堀᎟"/>
      <sheetName val="¼ö·®»êÃÈ"/>
      <sheetName val="¼ö·®»êÃX"/>
      <sheetName val="壈᎟"/>
      <sheetName val="쀀ፐ"/>
      <sheetName val="죈፺"/>
      <sheetName val="惈፵"/>
      <sheetName val="세부내역서"/>
      <sheetName val="대가목록"/>
      <sheetName val="약전닥트"/>
      <sheetName val="건축부하"/>
      <sheetName val="금광1터널"/>
      <sheetName val="원본(갑지)"/>
      <sheetName val="인공산출"/>
      <sheetName val="전기내역서(총계)"/>
      <sheetName val="금융비용"/>
      <sheetName val="일위(PN)"/>
      <sheetName val="Macro"/>
      <sheetName val="순공사비"/>
      <sheetName val="산출"/>
      <sheetName val="2000,_x0010__x0000_退˘踇"/>
      <sheetName val="2000,_x0010__x0000_蒘Ȭ踇"/>
      <sheetName val="2000,_x0000__x0000_ᓐ_x0000__x0000_"/>
      <sheetName val="2000,_x0000__x0000_︸_x0000__x0000_"/>
      <sheetName val="2000,_x0000__x0000_Ẩ_x0000__x0000_"/>
      <sheetName val="2000,到_x0016_剼_x0016_徸"/>
      <sheetName val="2000,徸⽝_x0005__x0000_"/>
      <sheetName val="2000,咘೿踇⽟_x0000_"/>
      <sheetName val="2000,ﳨǬ踇⾣_x0000_"/>
      <sheetName val="실행변경(1차)"/>
      <sheetName val="2000,缈,罌,헾"/>
      <sheetName val="2000,薸!藼!헾"/>
      <sheetName val="2000,螨_x0013_蟬_x0013_헾"/>
      <sheetName val="2000,午_x0013_꾈ૂ䡲"/>
      <sheetName val="2000,午_x0013_ॢ䡲"/>
      <sheetName val="동원인원"/>
      <sheetName val="SANBAISU"/>
      <sheetName val="전체내ᓈባ"/>
      <sheetName val="전체내죃፺"/>
      <sheetName val="전체내쀀ፐ"/>
      <sheetName val="주관사堀"/>
      <sheetName val="전체내壈᎟"/>
      <sheetName val="전체내惇፵"/>
      <sheetName val="주관사저"/>
      <sheetName val="견적ꀀፐ"/>
      <sheetName val="전체내惈፵"/>
      <sheetName val="일위대가(계측ꀀፐቇ"/>
      <sheetName val="경ꀀፐ"/>
      <sheetName val="전체내죈፺"/>
      <sheetName val="견적堀᎟"/>
      <sheetName val="4렀቟԰"/>
      <sheetName val="4︀ᇕ԰"/>
      <sheetName val="ꀀ"/>
      <sheetName val="장비명"/>
      <sheetName val="2000.05"/>
      <sheetName val="대전-교대(A1-A2)"/>
      <sheetName val="#3_일위대가목록"/>
      <sheetName val="#2_일위대가목록"/>
      <sheetName val="현장관리비 산출내역"/>
      <sheetName val="영구峤"/>
      <sheetName val="단가_x0005__x0000_"/>
      <sheetName val="영구_x0005_"/>
      <sheetName val="영구射"/>
      <sheetName val="영구嶄"/>
      <sheetName val="본사공가현황"/>
      <sheetName val="2.대외공문"/>
      <sheetName val="피스표"/>
      <sheetName val="0_x0000_"/>
      <sheetName val="음성방향"/>
      <sheetName val="수압집계"/>
      <sheetName val="SP-B1"/>
      <sheetName val="신규 품"/>
      <sheetName val="단산"/>
      <sheetName val="변수데이타"/>
      <sheetName val="정산내역서"/>
      <sheetName val="POWER"/>
      <sheetName val="VXXXXXXX"/>
      <sheetName val="공무공A"/>
      <sheetName val="배전반용량계산"/>
      <sheetName val="세정탑 설계"/>
      <sheetName val="건축-물가변동"/>
      <sheetName val="기계설비-물가변동"/>
      <sheetName val="배"/>
      <sheetName val="일반맨홀수량집계(A-7 LINE)"/>
      <sheetName val="Sheet22"/>
      <sheetName val="가시설수량"/>
      <sheetName val="암센터"/>
      <sheetName val="4월"/>
      <sheetName val="8월"/>
      <sheetName val="12월"/>
      <sheetName val="2월"/>
      <sheetName val="7월"/>
      <sheetName val="6월"/>
      <sheetName val="3월"/>
      <sheetName val="11월"/>
      <sheetName val="10월"/>
      <sheetName val="9월"/>
      <sheetName val="FB25JN"/>
      <sheetName val="교대시점"/>
      <sheetName val="단가표 (2)"/>
      <sheetName val="안양동교 1안"/>
      <sheetName val="자금청구"/>
      <sheetName val="소각장스케줄"/>
      <sheetName val="제철"/>
      <sheetName val="방음벽 기초 일반헾】"/>
      <sheetName val="기성내역"/>
      <sheetName val="주경기-오배수"/>
      <sheetName val="REINF."/>
      <sheetName val="Macro(AT)"/>
      <sheetName val="PW3"/>
      <sheetName val="PW4"/>
      <sheetName val="SC1"/>
      <sheetName val="PE"/>
      <sheetName val="PM"/>
      <sheetName val="TR"/>
      <sheetName val="0001(arch)"/>
      <sheetName val="Breakdown"/>
      <sheetName val="금호산업"/>
      <sheetName val="(전체발주,금회3차공사)내역서"/>
      <sheetName val="총괄갑 "/>
      <sheetName val="견적정보"/>
      <sheetName val="노임단가표"/>
      <sheetName val="5.동별횡주관경"/>
      <sheetName val="11.자재단가"/>
      <sheetName val="b_balju"/>
      <sheetName val="1F"/>
      <sheetName val="날개벽(좌,우=45도,75도)"/>
      <sheetName val="full (2)"/>
      <sheetName val="옥외"/>
      <sheetName val="154TW"/>
      <sheetName val="일반수량집계"/>
      <sheetName val="PANEL"/>
      <sheetName val="한전고리-을"/>
      <sheetName val="설계변경내역서"/>
      <sheetName val="NAI"/>
      <sheetName val="공용시설내역"/>
      <sheetName val="청구내역(9807)"/>
      <sheetName val="덕전리"/>
      <sheetName val="Sheet16 (2)"/>
      <sheetName val="쌍송교"/>
      <sheetName val="대구-교대(A1)"/>
      <sheetName val="시초1교"/>
      <sheetName val="C.배수관공"/>
      <sheetName val="표 지"/>
      <sheetName val="추가예산"/>
      <sheetName val="빙축열"/>
      <sheetName val="일위(시설)"/>
      <sheetName val="대가 (보완)"/>
      <sheetName val="IMP_(REACTOR)"/>
      <sheetName val="단위별 일위대가표"/>
      <sheetName val="세동별비상"/>
      <sheetName val="자재테이블"/>
      <sheetName val="토공 total"/>
      <sheetName val="단가비교표 (계측제어)"/>
      <sheetName val="꣈፺"/>
      <sheetName val="저፺"/>
      <sheetName val="︀ᇕ"/>
      <sheetName val="카렌스센터계량기설치공사"/>
      <sheetName val="총(철거)"/>
      <sheetName val="교대(A1挔"/>
      <sheetName val="01상노임"/>
      <sheetName val="백호헾】_x0005_"/>
      <sheetName val="36신설수翇"/>
      <sheetName val="36신설수︀"/>
      <sheetName val="견적꓀᥻"/>
      <sheetName val="36신설수Ç"/>
      <sheetName val="36신설수資"/>
      <sheetName val="栍ᾆ"/>
      <sheetName val="수안보-徸〒_x0005__x0000_"/>
      <sheetName val="비목군분류일위"/>
      <sheetName val="입출재고현⩿〚_x0005__x0000_"/>
      <sheetName val="수안보-娐&gt;闰⿑"/>
      <sheetName val="수안보-ꮸ⿥_x0005__x0000_"/>
      <sheetName val="백호丵〒_x0005_"/>
      <sheetName val="철근총괄집계표"/>
      <sheetName val="공사착공계"/>
      <sheetName val="참조 DATA"/>
      <sheetName val="팔당터널(1공구)"/>
      <sheetName val="EJ"/>
      <sheetName val="선로정수계산"/>
      <sheetName val="지입자재"/>
      <sheetName val="참조"/>
      <sheetName val="설계산출기초"/>
      <sheetName val="제조 경영"/>
      <sheetName val="동력부하계산"/>
      <sheetName val="평균터파기고(1-2,ASP)"/>
      <sheetName val="대포2교접속"/>
      <sheetName val="암거단위-1련"/>
      <sheetName val="수안보-墰5壼5"/>
      <sheetName val="맨홀수량"/>
      <sheetName val="총괄원가 "/>
      <sheetName val="국공유지및사유지"/>
      <sheetName val="측구터파기공수량집계"/>
      <sheetName val="GAEYO"/>
      <sheetName val="세부내역서(전기)"/>
      <sheetName val="9."/>
      <sheetName val="내역서적용수량"/>
      <sheetName val="기본사항"/>
      <sheetName val="토목내역서 (도급단가)"/>
      <sheetName val="※참고자료※"/>
      <sheetName val="일반전기C"/>
      <sheetName val="부대집계"/>
      <sheetName val="단위"/>
      <sheetName val="기계경비산출"/>
      <sheetName val="개봉3동하수관"/>
      <sheetName val="중로근거"/>
      <sheetName val="실㔀቎԰"/>
      <sheetName val="실︀껕ԯ"/>
      <sheetName val="실ԯ_x0000_缀"/>
      <sheetName val="금리׉"/>
      <sheetName val="실頀▀_xdc00_"/>
      <sheetName val="96노임기준"/>
      <sheetName val="설계서"/>
      <sheetName val="건공실"/>
      <sheetName val="현장대리인계"/>
      <sheetName val="울진항공등화 내역서"/>
      <sheetName val="식재가격"/>
      <sheetName val="식재총괄"/>
      <sheetName val="DT"/>
      <sheetName val="롤러"/>
      <sheetName val="BH"/>
      <sheetName val="펌프차타설"/>
      <sheetName val="실행ࠏE"/>
      <sheetName val="실행ဏ_x0000_"/>
      <sheetName val="예가표"/>
      <sheetName val="노무단가"/>
      <sheetName val="2.조명기구철거(일괄철거분)"/>
      <sheetName val="교실"/>
      <sheetName val="제품橂"/>
      <sheetName val="DATA2000"/>
      <sheetName val="¹°·_x0000_"/>
      <sheetName val="전선_및_전선관1"/>
      <sheetName val="1_수인터널1"/>
      <sheetName val="2000_11월설계내역1"/>
      <sheetName val="준검_내역서1"/>
      <sheetName val="1_수변전설비공사1"/>
      <sheetName val="2__동력설비_공사1"/>
      <sheetName val="3__조명설비공사1"/>
      <sheetName val="4__접지설비공사1"/>
      <sheetName val="5__통신설비_공사1"/>
      <sheetName val="6__전기방식설비공사1"/>
      <sheetName val="6_전기방식_설비공사(2)1"/>
      <sheetName val="7_방호설비공사1"/>
      <sheetName val="8_가설전기공사1"/>
      <sheetName val="Sheet1_(2)"/>
      <sheetName val="단가_및_재료비1"/>
      <sheetName val="3BL공동구_수량1"/>
      <sheetName val="수목데이타_1"/>
      <sheetName val="변압기_및_발전기_용량1"/>
      <sheetName val="표지_(2)1"/>
      <sheetName val="복구량산정_및_전용회선_사용1"/>
      <sheetName val="4월_실적추정(건축+토목)1"/>
      <sheetName val="4월_실적추정(건축)1"/>
      <sheetName val="-_INFORMATION_-1"/>
      <sheetName val="CABLE_SIZE-3"/>
      <sheetName val="원가계산서_(총괄)"/>
      <sheetName val="원가계산서_(건축)"/>
      <sheetName val="1_수변전설비1"/>
      <sheetName val="2_전력간선1"/>
      <sheetName val="3_동력1"/>
      <sheetName val="4_전등1"/>
      <sheetName val="5_전열1"/>
      <sheetName val="6_약전1"/>
      <sheetName val="7_소방1"/>
      <sheetName val="8_방송1"/>
      <sheetName val="9_조명제어1"/>
      <sheetName val="10_철거공사1"/>
      <sheetName val="남양시작동자105노65기1_3화1_21"/>
      <sheetName val="2000_11¿ù¼³°è³»¿ª"/>
      <sheetName val="Àü¼±_¹×_Àü¼±°ü"/>
      <sheetName val="ÁØ°Ë_³»¿ª¼­"/>
      <sheetName val="¼ö¸ñµ¥ÀÌÅ¸_"/>
      <sheetName val="º¯¾Ð±â_¹×_¹ßÀü±â_¿ë·®"/>
      <sheetName val="1_¼öÀÎÅÍ³Î"/>
      <sheetName val="AS포장복구_1"/>
      <sheetName val="단면_(2)"/>
      <sheetName val="임시급식_(2)"/>
      <sheetName val="0_집계1"/>
      <sheetName val="unit_4"/>
      <sheetName val="Summary_Sheets"/>
      <sheetName val="5호광장_(만점)"/>
      <sheetName val="인천국제_(만점)_(2)"/>
      <sheetName val="_상부공통집계(총괄)"/>
      <sheetName val="외주대비_-석축"/>
      <sheetName val="외주대비-구조물_(2)"/>
      <sheetName val="견적표지_(3)"/>
      <sheetName val="설_계"/>
      <sheetName val="1_전차선조정1"/>
      <sheetName val="2_조가선조정1"/>
      <sheetName val="3_급전선신설1"/>
      <sheetName val="4_급전선철거1"/>
      <sheetName val="5_고배선철거1"/>
      <sheetName val="6_고압케이블신설1"/>
      <sheetName val="7_비절연선조정1"/>
      <sheetName val="8_가동브래키트이설1"/>
      <sheetName val="9_H형강주신설(9m)1"/>
      <sheetName val="10_강관주신설(9m)1"/>
      <sheetName val="11_H강주철거(11m)1"/>
      <sheetName val="11_H형강기초1"/>
      <sheetName val="13_강관주기초1"/>
      <sheetName val="14_장력조정장치신설1"/>
      <sheetName val="15_장력조정장치철거___1"/>
      <sheetName val="16_콘주철거(9m)1"/>
      <sheetName val="17_지선신설(보통)1"/>
      <sheetName val="18_지선신설(v형)1"/>
      <sheetName val="19_지선철거1"/>
      <sheetName val="20_기중개폐기신설1"/>
      <sheetName val="조도계산서_(도서)"/>
      <sheetName val="1_설계조건"/>
      <sheetName val="3-1_CB1"/>
      <sheetName val="IMP_(REACTOR)1"/>
      <sheetName val="1_설계기준"/>
      <sheetName val="3_바닥판설계1"/>
      <sheetName val="2007일위_"/>
      <sheetName val="토목일위_(83~)"/>
      <sheetName val="노무비_"/>
      <sheetName val="기성내역_진짜"/>
      <sheetName val="TRE_TABLE"/>
      <sheetName val="일위대가표_(2)"/>
      <sheetName val="방음벽_기초_일반수량"/>
      <sheetName val="I_설계조건"/>
      <sheetName val="8__안정검토"/>
      <sheetName val="단가산출서_(2)"/>
      <sheetName val="3_공통공사대비"/>
      <sheetName val="90_03실행_"/>
      <sheetName val="96보완계획7_12"/>
      <sheetName val="6PILE__(돌출)"/>
      <sheetName val="º¹±¸·®»êÁ¤_¹×_Àü¿ëÈ¸¼±_»ç¿ë"/>
      <sheetName val="4¿ù_½ÇÀûÃßÁ¤(°ÇÃà+Åä¸ñ)"/>
      <sheetName val="4¿ù_½ÇÀûÃßÁ¤(°ÇÃà)"/>
      <sheetName val="앉음벽_(2)"/>
      <sheetName val="DATA_입력란"/>
      <sheetName val="1__설계조건_2_단면가정_3__하중계산"/>
      <sheetName val="BSD_(2)"/>
      <sheetName val="5_정산서"/>
      <sheetName val="자__재"/>
      <sheetName val="BASIC_(2)"/>
      <sheetName val="입출재고현황_(2)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설계기준_및_하중계산"/>
      <sheetName val="현장관리비_"/>
      <sheetName val="2000,9월_일위"/>
      <sheetName val="인건비_"/>
      <sheetName val="공사별_가중치_산출근거(토목)"/>
      <sheetName val="목동1절주_bh01"/>
      <sheetName val="설산1_나"/>
      <sheetName val="AIR_SHOWER(3인용)"/>
      <sheetName val="2F_회의실견적(5_14_일대)"/>
      <sheetName val="ITB_COST"/>
      <sheetName val="전산_평가대상자용"/>
      <sheetName val="전차선로_물량표"/>
      <sheetName val="건축내역서_(경제상무실)"/>
      <sheetName val="HRSG_SMALL07220"/>
      <sheetName val="공사별_가중치_산출근거(건축)"/>
      <sheetName val="할증_"/>
      <sheetName val="plan&amp;section_of_foundation"/>
      <sheetName val="G_R300경비"/>
      <sheetName val="1공구_건정토건_철콘"/>
      <sheetName val="1공구_건정토건_토공"/>
      <sheetName val="IMPEADENCE_MAP_취수장"/>
      <sheetName val="BEND_LOSS"/>
      <sheetName val="내역_"/>
      <sheetName val="3련_BOX"/>
      <sheetName val="토공(우물통,기타)_"/>
      <sheetName val="1_범위"/>
      <sheetName val="2_편성"/>
      <sheetName val="6_GAS"/>
      <sheetName val="소포내역_(2)"/>
      <sheetName val="Customer_Databas"/>
      <sheetName val="내역서_(2)"/>
      <sheetName val="노원열병합__건축공사기성내역서"/>
      <sheetName val="1_¼öº¯Àü¼³ºñ"/>
      <sheetName val="2_Àü·Â°£¼±"/>
      <sheetName val="3_µ¿·Â"/>
      <sheetName val="4_Àüµî"/>
      <sheetName val="5_Àü¿­"/>
      <sheetName val="6_¾àÀü"/>
      <sheetName val="7_¼Ò¹æ"/>
      <sheetName val="8_¹æ¼Û"/>
      <sheetName val="9_Á¶¸íÁ¦¾î"/>
      <sheetName val="10_Ã¶°Å°ø»ç"/>
      <sheetName val="³²¾ç½ÃÀÛµ¿ÀÚ105³ë65±â1_3È­1_2"/>
      <sheetName val="Á¶µµ°è»ê¼­_(µµ¼­)"/>
      <sheetName val="EQUIPMENT_-2"/>
      <sheetName val="빌딩_안내"/>
      <sheetName val="1_변전설비"/>
      <sheetName val="3_자재비(총괄)"/>
      <sheetName val="화재_탐지_설비"/>
      <sheetName val="일위대가_집계표"/>
      <sheetName val="3_내역서"/>
      <sheetName val="플랜트_설치"/>
      <sheetName val="설내역서_"/>
      <sheetName val="단위ὗ␀"/>
      <sheetName val="수성페인트도장_내역서"/>
      <sheetName val="본선_토공_분배표"/>
      <sheetName val="1_토공"/>
      <sheetName val="제출내역_(2)"/>
      <sheetName val="전화번호DATA_(2001)"/>
      <sheetName val="배수공_시멘트_및_골재량_산출"/>
      <sheetName val="노무비_근거"/>
      <sheetName val="1_우편집중내역서"/>
      <sheetName val="기초자료입력및_K치_확인"/>
      <sheetName val="AS"/>
      <sheetName val="8_현장관리비"/>
      <sheetName val="7_안전관리비"/>
      <sheetName val="별표_"/>
      <sheetName val="호봉_(2)"/>
      <sheetName val="효성CB_1P기초"/>
      <sheetName val="자동_철거"/>
      <sheetName val="자동_설치"/>
      <sheetName val="토목_철주"/>
      <sheetName val="철거_일위대가(1-19)"/>
      <sheetName val="철거_일위대가(20-22)"/>
      <sheetName val="설치_일위대가(23-45호)"/>
      <sheetName val="설치_일위대가(46~78호)"/>
      <sheetName val="_견적서"/>
      <sheetName val="단__가__대__비__표"/>
      <sheetName val="일__위__대__가__목__록"/>
      <sheetName val="2000년_공정표"/>
      <sheetName val="const_"/>
      <sheetName val="CHITIET_VL-NC-TT_-1p"/>
      <sheetName val="BOX(1_5X1_5)"/>
      <sheetName val="_총괄표"/>
      <sheetName val="7_전산해석결과"/>
      <sheetName val="4_하중"/>
      <sheetName val="2_주요계수총괄"/>
      <sheetName val="w't_table"/>
      <sheetName val="Man_Power_&amp;_Comp"/>
      <sheetName val="_갑__지_"/>
      <sheetName val="실행내역서_"/>
      <sheetName val="하도기성내역_수정"/>
      <sheetName val="기성공제_동의서"/>
      <sheetName val="기성공제_합의서(쓰레기처리비)"/>
      <sheetName val="sum1_(2)"/>
      <sheetName val="General_Data"/>
      <sheetName val="working_load_at_the_btm_ft_"/>
      <sheetName val="stability_check"/>
      <sheetName val="design_criteria"/>
      <sheetName val="design_load"/>
      <sheetName val="Site_Expenses"/>
      <sheetName val="공사비_내역_(가)"/>
      <sheetName val="969910(_R)"/>
      <sheetName val="3_하중산정4_지지력"/>
      <sheetName val="36신丵〒"/>
      <sheetName val="A(Rev_3)"/>
      <sheetName val="변경비丵〒"/>
      <sheetName val="분수공별_면적"/>
      <sheetName val="전기_원가계산서"/>
      <sheetName val="상_부"/>
      <sheetName val="일위대가_"/>
      <sheetName val="4_2_1_마루높이_검토"/>
      <sheetName val="적용(기尜"/>
      <sheetName val="2_1__노무비_평균단가산출"/>
      <sheetName val="96_12"/>
      <sheetName val="E_P_T수량산출서"/>
      <sheetName val="P_M_별"/>
      <sheetName val="수로교총재료齘"/>
      <sheetName val="설계睮め"/>
      <sheetName val="A_견적"/>
      <sheetName val="Ext__Stone-P"/>
      <sheetName val="Working(wo_WTs)"/>
      <sheetName val="견적서(대외)_(2)"/>
      <sheetName val="1_¼³°è±âÁØ"/>
      <sheetName val="3_¹Ù´ÚÆÇ¼³°è"/>
      <sheetName val="1_¼öº¯Àü¼³ºñ°ø»ç"/>
      <sheetName val="2__µ¿·Â¼³ºñ_°ø»ç"/>
      <sheetName val="3__Á¶¸í¼³ºñ°ø»ç"/>
      <sheetName val="4__Á¢Áö¼³ºñ°ø»ç"/>
      <sheetName val="5__Åë½Å¼³ºñ_°ø»ç"/>
      <sheetName val="6__Àü±â¹æ½Ä¼³ºñ°ø»ç"/>
      <sheetName val="6_Àü±â¹æ½Ä_¼³ºñ°ø»ç(2)"/>
      <sheetName val="7_¹æÈ£¼³ºñ°ø»ç"/>
      <sheetName val="8_°¡¼³Àü±â°ø»ç"/>
      <sheetName val="8__¾ÈÁ¤°ËÅä"/>
      <sheetName val="°ßÀû¼­(´ë¿Ü)_(2)"/>
      <sheetName val="6PILE__(µ¹Ãâ)"/>
      <sheetName val="철근량_검토"/>
      <sheetName val="H_PILE수량"/>
      <sheetName val="8_PILE__(돌출)"/>
      <sheetName val="Piping_Design_Data"/>
      <sheetName val="Upgrades_pricing"/>
      <sheetName val="Ampecity_Data"/>
      <sheetName val="7_1유효폭"/>
      <sheetName val="Project_Brief"/>
      <sheetName val="Cost_bd-&quot;A&quot;"/>
      <sheetName val="원내역서_그대로"/>
      <sheetName val="중기조종사_단위단가"/>
      <sheetName val="기술자료_(연수)"/>
      <sheetName val="산재_안전"/>
      <sheetName val="노무비_경비"/>
      <sheetName val="변경실행(2차)_"/>
      <sheetName val="VENDOR_LIST"/>
      <sheetName val="공정량산출내역서_"/>
      <sheetName val="0_갑지"/>
      <sheetName val="건축공사_집계표"/>
      <sheetName val="B_O_M"/>
      <sheetName val="제원_설계조건"/>
      <sheetName val="설명서_"/>
      <sheetName val="현장별계약현황('98_10_31)"/>
      <sheetName val="구조______"/>
      <sheetName val="단가_"/>
      <sheetName val="DATA_입력부"/>
      <sheetName val="단가표_"/>
      <sheetName val="영흥TL(UP,DOWN)_"/>
      <sheetName val="220_(2)"/>
      <sheetName val="관기성공_내"/>
      <sheetName val="TYPE-B_평균H"/>
      <sheetName val="5_공종별예산내역서"/>
      <sheetName val="세부견적서(DAS_Call_Back)"/>
      <sheetName val="노원열병합__건축렀こ렀䡟ԯ缀"/>
      <sheetName val="노원열병합__건축렀䡟ԯ缀"/>
      <sheetName val="노원열병합__건축︀ᇕ԰缀"/>
      <sheetName val="노원열병합__건축ﻕᇕ԰缀"/>
      <sheetName val="입찰사유서_제4공종_(흙깎기)"/>
      <sheetName val="Top_PO"/>
      <sheetName val="Despacho_(c_civil)"/>
      <sheetName val="9-1차이내역_"/>
      <sheetName val="PUMP_SHT"/>
      <sheetName val="FIN_TUBE"/>
      <sheetName val="HED__&amp;_PIPE"/>
      <sheetName val="OCT_FDN"/>
      <sheetName val="97_사업추정(WEKI)"/>
      <sheetName val="3련_B"/>
      <sheetName val="설치_일위대가(4԰缀"/>
      <sheetName val="내역서_"/>
      <sheetName val="PAD_TR보호대기초"/>
      <sheetName val="2000"/>
      <sheetName val="0_Áý°è"/>
      <sheetName val="Ç¥Áö_(2)"/>
      <sheetName val="1_ÀüÂ÷¼±Á¶Á¤"/>
      <sheetName val="2_Á¶°¡¼±Á¶Á¤"/>
      <sheetName val="3_±ÞÀü¼±½Å¼³"/>
      <sheetName val="4_±ÞÀü¼±Ã¶°Å"/>
      <sheetName val="입고장부_(4)"/>
      <sheetName val="69_03%"/>
      <sheetName val="변경내역84_52%"/>
      <sheetName val="Vari_by_Vendor"/>
      <sheetName val="º¯°æ»çÀ_"/>
      <sheetName val="_토목_처리장도급내역서_"/>
      <sheetName val="1_취수장"/>
      <sheetName val="주관锼"/>
      <sheetName val="날개수량1_5"/>
      <sheetName val="자재_집계표"/>
      <sheetName val="토_적_표"/>
      <sheetName val="1차_내역서"/>
      <sheetName val="노무비(DB)_이후_출력XXXXXX"/>
      <sheetName val="철거산출午"/>
      <sheetName val="VS_P-Q"/>
      <sheetName val="5_°í¹è¼±Ã¶°Å"/>
      <sheetName val="6_°í¾ÐÄÉÀÌºí½Å¼³"/>
      <sheetName val="7_ºñÀý¿¬¼±Á¶Á¤"/>
      <sheetName val="8_°¡µ¿ºê·¡Å°Æ®ÀÌ¼³"/>
      <sheetName val="9_HÇü°­ÁÖ½Å¼³(9m)"/>
      <sheetName val="10_°­°üÁÖ½Å¼³(9m)"/>
      <sheetName val="11_H°­ÁÖÃ¶°Å(11m)"/>
      <sheetName val="11_HÇü°­±âÃÊ"/>
      <sheetName val="13_°­°üÁÖ±âÃÊ"/>
      <sheetName val="14_Àå·ÂÁ¶Á¤ÀåÄ¡½Å¼³"/>
      <sheetName val="15_Àå·ÂÁ¶Á¤ÀåÄ¡Ã¶°Å___"/>
      <sheetName val="16_ÄÜÁÖÃ¶°Å(9m)"/>
      <sheetName val="17_Áö¼±½Å¼³(º¸Åë)"/>
      <sheetName val="18_Áö¼±½Å¼³(vÇü)"/>
      <sheetName val="19_Áö¼±Ã¶°Å"/>
      <sheetName val="20_±âÁß°³Æó±â½Å¼³"/>
      <sheetName val="1_¼³°èÁ¶°Ç"/>
      <sheetName val="IMF_Code"/>
      <sheetName val="Cable_schedule"/>
      <sheetName val="설계변경내역_98"/>
      <sheetName val="2_2_2입적표"/>
      <sheetName val="-15_0"/>
      <sheetName val="5_3_단면가정"/>
      <sheetName val="Matériel_embarqué_PVC"/>
      <sheetName val="2000_11¿ù¼³餀㢘ԯ缀"/>
      <sheetName val="단양_00_아파트-세부내역"/>
      <sheetName val="2_펌프장(사급자재)"/>
      <sheetName val="산#2-1_(2)"/>
      <sheetName val="제3장_기술업무"/>
      <sheetName val="기존단가_(2)"/>
      <sheetName val="BOX_본체"/>
      <sheetName val="BOQ-Summary_Form_A1"/>
      <sheetName val="BOQ-Summary_Form_A2"/>
      <sheetName val="BOQ-Summary_Form_A3"/>
      <sheetName val="elect_QC"/>
      <sheetName val="금긋기_및_절단"/>
      <sheetName val="2000_05"/>
      <sheetName val="현장관리비_산출내역"/>
      <sheetName val="영구"/>
      <sheetName val="2_대외공문"/>
      <sheetName val="신규_품"/>
      <sheetName val="세정탑_설계"/>
      <sheetName val="일반맨홀수량집계(A-7_LINE)"/>
      <sheetName val="단가표_(2)"/>
      <sheetName val="안양동교_1안"/>
      <sheetName val="방음벽_기초_일반헾】"/>
      <sheetName val="REINF_"/>
      <sheetName val="총괄갑_"/>
      <sheetName val="5_동별횡주관경"/>
      <sheetName val="11_자재단가"/>
      <sheetName val="full_(2)"/>
      <sheetName val="Sheet16_(2)"/>
      <sheetName val="C_배수관공"/>
      <sheetName val="표_지"/>
      <sheetName val="대가_(보완)"/>
      <sheetName val="단위별_일위대가표"/>
      <sheetName val="토공_total"/>
      <sheetName val="단가비교표_(계측제어)"/>
      <sheetName val="백호헾】"/>
      <sheetName val="수안보-徸〒"/>
      <sheetName val="수안보-ꮸ⿥"/>
      <sheetName val="백호丵〒"/>
      <sheetName val="참조_DATA"/>
      <sheetName val="제조_경영"/>
      <sheetName val="총괄원가_"/>
      <sheetName val="9_"/>
      <sheetName val="토목내역서_(도급단가)"/>
      <sheetName val="실頀▀"/>
      <sheetName val="LKVL-CK-HT-GD1"/>
      <sheetName val="암거치수표"/>
      <sheetName val="재료집계표빽업"/>
      <sheetName val="암거수리계산서"/>
      <sheetName val="◀암거위치"/>
      <sheetName val="최종단면▶"/>
      <sheetName val="◀평균높이▶"/>
      <sheetName val="전체내ꀀፐ"/>
      <sheetName val="부대헾】"/>
      <sheetName val="교대(A1窨"/>
      <sheetName val="부대窨_x0013_"/>
      <sheetName val="하수급견적대窨"/>
      <sheetName val="하수급견적대_x0005_"/>
      <sheetName val="교대(A1_x0005_"/>
      <sheetName val="부대_x0005__x0000_"/>
      <sheetName val="전체내㗈቎"/>
      <sheetName val="전체내׃_x0000_"/>
      <sheetName val="9-1㔀቎԰_x0000_"/>
      <sheetName val="9-1԰_x0000_缀_x0000_"/>
      <sheetName val="전체내㠀ᎍ"/>
      <sheetName val="하수급견적대齘"/>
      <sheetName val="교대(A1竈"/>
      <sheetName val="하수급견적대헾"/>
      <sheetName val="하수급견적대竈"/>
      <sheetName val="전체내䋈ᅪ"/>
      <sheetName val="전체내ꠀ፺"/>
      <sheetName val="전체내԰_x0000_"/>
      <sheetName val="전체내֬_x0000_"/>
      <sheetName val="전체내ﻈ䓕"/>
      <sheetName val="교대(A1헾"/>
      <sheetName val="하수급견적대鷸"/>
      <sheetName val="케이블트레이"/>
      <sheetName val="ꠀ"/>
      <sheetName val="전체내棈᎜"/>
      <sheetName val="전체내䠀ᖞ"/>
      <sheetName val="하수급견적대鬘"/>
      <sheetName val="차압계산"/>
      <sheetName val="전체내저ᚙ"/>
      <sheetName val="전체내ꠀ᪘"/>
      <sheetName val="하수급견적대風"/>
      <sheetName val="하수급견적대肘"/>
      <sheetName val="부대芈+"/>
      <sheetName val="하수급견적대芈"/>
      <sheetName val="전체내︀嗕"/>
      <sheetName val="부대헾⼴"/>
      <sheetName val="하수급견적대飘"/>
      <sheetName val="주소록"/>
      <sheetName val="안정검토(온1)"/>
      <sheetName val="물塠"/>
      <sheetName val="물徸"/>
      <sheetName val="guard(mac¸"/>
      <sheetName val="물嬼"/>
      <sheetName val="물闰"/>
      <sheetName val="guard(macð"/>
      <sheetName val="물呈"/>
      <sheetName val="guard(macH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°ø»ç¿ø°¡°è牨-犬-"/>
      <sheetName val="전체내역갑지"/>
      <sheetName val="倀ᑙ"/>
      <sheetName val="1x"/>
      <sheetName val="9509"/>
      <sheetName val="시설물기초"/>
      <sheetName val=" ｹ-ﾌﾞﾙ"/>
      <sheetName val="MW-BM"/>
      <sheetName val="栈᲋"/>
      <sheetName val="_xd810_᱓"/>
      <sheetName val="공통대가"/>
      <sheetName val="Pier 3"/>
      <sheetName val="민감도"/>
      <sheetName val="공종목록표"/>
      <sheetName val="인부임"/>
      <sheetName val="특기사항"/>
      <sheetName val="하도내역 (철콘)"/>
      <sheetName val="도장 및 용접 수량"/>
      <sheetName val="물량증감"/>
      <sheetName val="9902"/>
      <sheetName val="환율"/>
      <sheetName val="97노임단가"/>
      <sheetName val="입력란"/>
      <sheetName val="spec"/>
      <sheetName val="program"/>
      <sheetName val="studbolt no."/>
      <sheetName val="studbolt size"/>
      <sheetName val="item sort no"/>
      <sheetName val="수안보-헾】_x0005__x0000_"/>
      <sheetName val="적격"/>
      <sheetName val="준공조서갑지"/>
      <sheetName val="총괄집렇♑"/>
      <sheetName val="방음벽 기초_x0005__x0000__x0000__x0000_"/>
      <sheetName val="foxz"/>
      <sheetName val="제㗇"/>
      <sheetName val="주차구丵〒_x0005__x0000_"/>
      <sheetName val="공정코드"/>
      <sheetName val="역삼"/>
      <sheetName val="배수관연장산출서"/>
      <sheetName val="수전기기DATA"/>
      <sheetName val="옹벽수량萘_x0013_"/>
      <sheetName val="수"/>
      <sheetName val="관리_x0000__x0000_Ԁ"/>
      <sheetName val="관리ﻇᇕ԰"/>
      <sheetName val="관리᠀㹓㔀"/>
      <sheetName val="관리Ç_x0000_Ԁ"/>
      <sheetName val="관리裇⁒㔀"/>
      <sheetName val="관리㗇ぎԯ"/>
      <sheetName val="관리㔀ぎԯ"/>
      <sheetName val="관리㉓Ⰰ"/>
      <sheetName val="신표鎐)"/>
      <sheetName val="신표司/"/>
      <sheetName val="신표丵⾒"/>
      <sheetName val="신표丵⽀"/>
      <sheetName val="신표錰!"/>
      <sheetName val="신표鋐_x0014_"/>
      <sheetName val="신표丵⼣"/>
      <sheetName val="신표鍀#"/>
      <sheetName val="신표_x0000__x0000_"/>
      <sheetName val="신표丵⾲"/>
      <sheetName val="신표券&quot;"/>
      <sheetName val="실행내역서 (조경)"/>
      <sheetName val="정화조"/>
      <sheetName val="인수공규격"/>
      <sheetName val="구조물"/>
      <sheetName val="공사설계서"/>
      <sheetName val="품셈(기초)"/>
      <sheetName val="형틀공사"/>
      <sheetName val="작용하중산정"/>
      <sheetName val="6차2회변경내역서"/>
      <sheetName val="자재단가_x0005_"/>
      <sheetName val="공사"/>
      <sheetName val="주관⩿〚"/>
      <sheetName val="1þ"/>
      <sheetName val="1ð"/>
      <sheetName val="배수내역"/>
      <sheetName val="1¨"/>
      <sheetName val="자(3.0m)"/>
      <sheetName val="1¸"/>
      <sheetName val="9GN邷㭘"/>
      <sheetName val="shtOpr"/>
      <sheetName val="정거장"/>
      <sheetName val="길내기"/>
      <sheetName val="¹׃】_x0000_"/>
      <sheetName val="조정내역"/>
      <sheetName val="M-EQPT-Z"/>
      <sheetName val="품종별월계"/>
      <sheetName val="총괄집桶青"/>
      <sheetName val="변품8-37"/>
      <sheetName val="참조(2)"/>
      <sheetName val="현장일보"/>
      <sheetName val="미지급내역"/>
      <sheetName val="매입내역 "/>
      <sheetName val="거래처별지출내역"/>
      <sheetName val="참조M"/>
      <sheetName val="총괄집㸁䧾"/>
      <sheetName val="우,오수"/>
      <sheetName val="재료표"/>
      <sheetName val="card1"/>
      <sheetName val="흙쌓기도수로설치현황(1)"/>
      <sheetName val="식재-외주 (2)"/>
      <sheetName val="유효폭의 계산"/>
      <sheetName val="무전표"/>
      <sheetName val="archi(본사)"/>
      <sheetName val="3련 B姨#"/>
      <sheetName val="포장공자재집계표"/>
      <sheetName val="부산4"/>
      <sheetName val="1호맨홀수량산출"/>
      <sheetName val="마산방향철근집계"/>
      <sheetName val="제잡비"/>
      <sheetName val="일위대가(건축)"/>
      <sheetName val="자재표"/>
      <sheetName val="케이블"/>
      <sheetName val="집계(세부총괄)"/>
      <sheetName val="전력구구조물산근2구간"/>
      <sheetName val="전부인쇄"/>
      <sheetName val="1.외주공사"/>
      <sheetName val="2.직영공사"/>
      <sheetName val="첨부"/>
      <sheetName val="계산DATA입력"/>
      <sheetName val="업체별기성내역"/>
      <sheetName val="1_x0005_"/>
      <sheetName val="도면자료제출일정"/>
      <sheetName val="중기비"/>
      <sheetName val="가옥조"/>
      <sheetName val="하남내역"/>
      <sheetName val="제丵"/>
      <sheetName val="총괄집ᨈꥬ"/>
      <sheetName val="총괄집_x0000__x0000_"/>
      <sheetName val="1.3.1절점좌표"/>
      <sheetName val="1.1설계기준"/>
      <sheetName val="기က_x0000_退"/>
      <sheetName val="Cover Sht"/>
      <sheetName val="지중자재단가"/>
      <sheetName val="변경비_x0000__x0000_Ѡ"/>
      <sheetName val="가공2원도"/>
      <sheetName val="강교(Sub)"/>
      <sheetName val="일반토공견적"/>
      <sheetName val="원형측구(B-type)"/>
      <sheetName val="??????"/>
      <sheetName val="토목원가계窨_x0013_"/>
      <sheetName val="자재노임단가"/>
      <sheetName val="크레인5ton"/>
      <sheetName val="단가산출-2"/>
      <sheetName val="기초수량-1"/>
      <sheetName val="단가산출-1"/>
      <sheetName val="48신설수량"/>
      <sheetName val="단가 (2)"/>
      <sheetName val="[YES.XLS]신표司/"/>
      <sheetName val="시공계_x0005_"/>
      <sheetName val="변경비_x0005__x0000_"/>
      <sheetName val="매출단가"/>
      <sheetName val="O＆P"/>
      <sheetName val="결재판(삭제하지말아주세요)"/>
      <sheetName val="본사인상전"/>
      <sheetName val="단가산출-기,교"/>
      <sheetName val="유첨䈀ᅪ"/>
      <sheetName val="남양주부대"/>
      <sheetName val="첨부1"/>
      <sheetName val="지입집계"/>
      <sheetName val="사급자재총괄"/>
      <sheetName val="공종별 집계"/>
      <sheetName val="용역비내역-진짜"/>
      <sheetName val="계림(함평)"/>
      <sheetName val="계림(장성)"/>
      <sheetName val="11+040(통로)"/>
      <sheetName val="일별1"/>
      <sheetName val="집행(2-1)"/>
      <sheetName val="기성부분검사원"/>
      <sheetName val="업체별기성금액"/>
      <sheetName val="2회기성각사별배분표"/>
      <sheetName val="기성공문 (2)"/>
      <sheetName val="기성공문"/>
      <sheetName val="계좌입금의뢰서"/>
      <sheetName val="도급각서"/>
      <sheetName val="철콘기성청구서 (2)"/>
      <sheetName val="공종별집계표(건축) (2)"/>
      <sheetName val="형틀공사기성 (2)"/>
      <sheetName val="철콘기성청구서"/>
      <sheetName val="공종별집계표(건축)"/>
      <sheetName val="형틀공사기성"/>
      <sheetName val="조적기성청구서  "/>
      <sheetName val="공종별집계표(조적) "/>
      <sheetName val="조적공사"/>
      <sheetName val="미장기성청구서 "/>
      <sheetName val="공종별집계표(미장.방수)"/>
      <sheetName val="미장공사"/>
      <sheetName val="하도급각서 (2)"/>
      <sheetName val="하도급계좌입금의뢰서 "/>
      <sheetName val="용산3(영광)"/>
      <sheetName val="지불내역1"/>
      <sheetName val="집수정(1)"/>
      <sheetName val="금액집계"/>
      <sheetName val="환률"/>
      <sheetName val="공사비명세서"/>
      <sheetName val="사용성검토"/>
      <sheetName val="PAC"/>
      <sheetName val="건축토목내역"/>
      <sheetName val="205동"/>
      <sheetName val="행거,슈,볼트,펌프,잡재"/>
      <sheetName val="을-ATYPE"/>
      <sheetName val="만수배관단가"/>
      <sheetName val="FRP배관단가(만수)"/>
      <sheetName val="직접비"/>
      <sheetName val="페인트"/>
      <sheetName val="30신설일위대가"/>
      <sheetName val="30집계표"/>
      <sheetName val="지구단위계획"/>
      <sheetName val="00노임기준"/>
      <sheetName val="16-1"/>
      <sheetName val="일위대가(가설԰"/>
      <sheetName val="리터팬내장형"/>
      <sheetName val="1호맨홀토공"/>
      <sheetName val="조도계산(가로등NEW)"/>
      <sheetName val="사용자정의"/>
      <sheetName val="사업계획1안"/>
      <sheetName val="당진1,2호기전선관설치및접지4차공사내역서-을지"/>
      <sheetName val="일위대가 (PM)"/>
      <sheetName val="임시전기공사설계서"/>
      <sheetName val="±âÀÚÀç´ëºñÇ¥"/>
      <sheetName val="¿¬°áÀÓ½Ã"/>
      <sheetName val="°ü±Þ"/>
      <sheetName val="도시가스현황"/>
      <sheetName val="토공총괄집계"/>
      <sheetName val="의정부문예회관변경내역"/>
      <sheetName val="POL6차-PIPING"/>
      <sheetName val="Pricelist TAC AB"/>
      <sheetName val="물가정보자료"/>
      <sheetName val="萀⅜"/>
      <sheetName val="TG9504"/>
      <sheetName val="1995년 섹터별 매출"/>
      <sheetName val="ROOF(ALKALI)"/>
      <sheetName val="역T형옹벽(3.0)"/>
      <sheetName val="실행(ALT1)"/>
      <sheetName val="지입재료비"/>
      <sheetName val="산출명세서"/>
      <sheetName val="적요"/>
      <sheetName val="»êÃ렀䡟ԯ_x0000_缀"/>
      <sheetName val="»êÃ︀ᇕ԰_x0000_缀"/>
      <sheetName val="4/_x0000_䠀"/>
      <sheetName val="4쌇栅/"/>
      <sheetName val="4က_x0000_က"/>
      <sheetName val="INS-SHEET"/>
      <sheetName val="맨홀물량"/>
      <sheetName val="일위집계(기존)"/>
      <sheetName val="북제주-표지"/>
      <sheetName val="COVERSHEET"/>
      <sheetName val="설계명세_x0000_"/>
      <sheetName val="설계명세揄"/>
      <sheetName val="설계명세䡲"/>
      <sheetName val="DATA 입᠒ᎍ"/>
      <sheetName val="오억미만"/>
      <sheetName val="[YES.XLS][YES.XLS][YES.XLS]신표司/"/>
      <sheetName val="7.PILE  (돌출)"/>
      <sheetName val="가시설공(광장부)"/>
      <sheetName val="총괄집계 "/>
      <sheetName val="기본자료"/>
      <sheetName val="증감내역서"/>
      <sheetName val="하도급선정의뢰_x0005__x0000__x0000__x0000__x0000_恐"/>
      <sheetName val="하도급선정의뢰煘_x0013_橂⿜_x0005__x0000_"/>
      <sheetName val="하도급선정의뢰聸_x0013_헾⾧_x0005__x0000_"/>
      <sheetName val="4신규비목발생사유서"/>
      <sheetName val="하도급선정의뢰颙〒_x0005__x0000__x0000__x0000_"/>
      <sheetName val="하도급선정의뢰_x0000__x0000_ರ_x0000__x0000__x0000_Ÿ"/>
      <sheetName val="하도급선정의뢰_x0000__x0000_ꢈ_x0000__x0000__x0000_Ÿ"/>
      <sheetName val="하도급선정의뢰_x0000__x0000_㇀_x0000__x0000__x0000_Ÿ"/>
      <sheetName val="하도급선정의뢰_x0000__x0000_䭠_x0000__x0000__x0000_欓"/>
      <sheetName val="하도급선정의뢰_x0010__x0000_ﻠֲ׃⽣_x0000_"/>
      <sheetName val="하도급선정의뢰_x0000__x0000_枨_x0000__x0000__x0000_"/>
      <sheetName val="하도급선정의뢰_x0000__x0000_优_x0000__x0000__x0000_"/>
      <sheetName val="하도급선정의뢰_x0010__x0000__xdfc0_࡝׃⼫_x0000_"/>
      <sheetName val="하도급선정의뢰佘/ߍ恽⿹_x0000_"/>
      <sheetName val="자재단가徸"/>
      <sheetName val="수안보-๿〚_x0005__x0000_"/>
      <sheetName val="금액내역헾"/>
      <sheetName val="자재단가尜"/>
      <sheetName val="NAIL단가산출"/>
      <sheetName val="수안보-挔_x0012_竖め"/>
      <sheetName val="자재단가헾"/>
      <sheetName val="자재단가丵"/>
      <sheetName val="총공사비"/>
      <sheetName val="고창방향"/>
      <sheetName val="인원계획"/>
      <sheetName val="소상 &quot;1&quot;"/>
      <sheetName val="시행예산"/>
      <sheetName val="T13(P68~72,78)"/>
      <sheetName val="교량명원본"/>
      <sheetName val="BOX제원원본"/>
      <sheetName val="국도접속 차도부수량"/>
      <sheetName val="4.일위대가목차"/>
      <sheetName val="102역사"/>
      <sheetName val="사다리"/>
      <sheetName val="공사비 내역"/>
      <sheetName val="종단계산"/>
      <sheetName val="갑지(0_x0000_頀"/>
      <sheetName val="갑지(저妶瘍"/>
      <sheetName val="갑지(濪瘊"/>
      <sheetName val="갑지(᐀ባ혀"/>
      <sheetName val="입출재고현황 (2_x0010_"/>
      <sheetName val="갑지(᠀̨瘗"/>
      <sheetName val="갑지(栀ৢ瘊"/>
      <sheetName val="갑지(ꀀ㱹瘆"/>
      <sheetName val="B767"/>
      <sheetName val="2.노무비명세서頀塔攀๦0_x0000_뀀"/>
      <sheetName val="2.노무비명세서Ç_x0000__x0000__x0000_ꨀ"/>
      <sheetName val="노임2"/>
      <sheetName val="단가(추가)"/>
      <sheetName val="일위대가(추가)"/>
      <sheetName val="2.노무비명세서Ç_x0000_렀_x0013__x0000__x0000_砀"/>
      <sheetName val="갑지(쐂饣/"/>
      <sheetName val="갑지(쐃/"/>
      <sheetName val="갑지(쐎/"/>
      <sheetName val="귀래 설계 공내역서"/>
      <sheetName val="자재단가壠"/>
      <sheetName val="자재단가厘"/>
      <sheetName val="세부狇譈"/>
      <sheetName val="몰탈재븧܊"/>
      <sheetName val="견적의"/>
      <sheetName val="견적의烇彰"/>
      <sheetName val="법면"/>
      <sheetName val="배수공1"/>
      <sheetName val="월별수입"/>
      <sheetName val="조건입력"/>
      <sheetName val="조건입력(2)"/>
      <sheetName val="장비선정"/>
      <sheetName val="도급단가-아파트"/>
      <sheetName val="BREAKDOWN(철거설치)"/>
      <sheetName val="자재 단가표"/>
      <sheetName val="수량산출1"/>
      <sheetName val="사각맨퀀"/>
      <sheetName val="사각맨堀"/>
      <sheetName val="사각맨䈀"/>
      <sheetName val="사각맨ﻇ"/>
      <sheetName val="[YES.XLS]4/_x0000_䠀"/>
      <sheetName val="[YES.XLS]4쌇栅/"/>
      <sheetName val="[YES.XLS][YES.XLS]4/_x0000_䠀"/>
      <sheetName val="[YES.XLS][YES.XLS]4쌇栅/"/>
      <sheetName val="관헾"/>
      <sheetName val="할丵〒"/>
      <sheetName val="3차준공"/>
      <sheetName val="식재"/>
      <sheetName val="시설물"/>
      <sheetName val="식재출력용"/>
      <sheetName val="유지관리"/>
      <sheetName val="현장유지관리비"/>
      <sheetName val="A-8 PD(도로중앙)"/>
      <sheetName val="검색"/>
      <sheetName val="하수실행"/>
      <sheetName val="공종별자재"/>
      <sheetName val="토공총괄표"/>
      <sheetName val="cable-data"/>
      <sheetName val="keyword"/>
      <sheetName val="다곡2교"/>
      <sheetName val="TYPE1"/>
      <sheetName val="철근량"/>
      <sheetName val="11"/>
      <sheetName val="1._x005f_x0018_변전설비"/>
      <sheetName val="Summary"/>
      <sheetName val="입렀"/>
      <sheetName val="입栀"/>
      <sheetName val="입ꠀ"/>
      <sheetName val="입︀"/>
      <sheetName val="계정"/>
      <sheetName val="평균환율-USD"/>
      <sheetName val="인원동원계획"/>
      <sheetName val="BIDDING-SUM"/>
      <sheetName val="YES.XLS"/>
      <sheetName val="품목납기"/>
      <sheetName val="시화점실행"/>
      <sheetName val=" 소방공사 산출근거"/>
      <sheetName val="경비공통"/>
      <sheetName val="세목별"/>
      <sheetName val="소개"/>
      <sheetName val="#REF!"/>
      <sheetName val="계열사현황종합"/>
      <sheetName val="basic_info"/>
      <sheetName val="일반수량총괄집계"/>
      <sheetName val="일위대가집계표"/>
      <sheetName val="슬래브"/>
      <sheetName val="ÀÏÀ§´ë°¡Ç¥(_x0005__x0000_"/>
      <sheetName val="조견표"/>
      <sheetName val="일위藨-헾"/>
      <sheetName val="인부노임"/>
      <sheetName val="도근좌표"/>
      <sheetName val="직원자료"/>
      <sheetName val="업종분류"/>
      <sheetName val="장비분류"/>
      <sheetName val="단가산출목록표"/>
      <sheetName val="새공통(96임금인상기준)"/>
      <sheetName val="매원개착터널총괄"/>
      <sheetName val="원안"/>
      <sheetName val="시멘트,모래"/>
      <sheetName val="N賃率_職"/>
      <sheetName val="fitting"/>
      <sheetName val="Look-Up"/>
      <sheetName val="Units"/>
      <sheetName val="노임9월"/>
      <sheetName val="화산경계"/>
      <sheetName val="수량산출(CCTV)"/>
      <sheetName val="수량산출(장애자)"/>
      <sheetName val="수량산출(통신선로)"/>
      <sheetName val="수량산출(여객장치)"/>
      <sheetName val="수량산출(방송)"/>
      <sheetName val="수량산출(전화)"/>
      <sheetName val="사업부배부A"/>
      <sheetName val="기준"/>
      <sheetName val="입력값1"/>
      <sheetName val="insulation"/>
      <sheetName val="Architecture Work"/>
      <sheetName val="PipWT"/>
      <sheetName val="뜃맟뭁돽띿맟?-BLDG"/>
      <sheetName val="PBS"/>
      <sheetName val="SILICATE"/>
      <sheetName val="간접비내역-1"/>
      <sheetName val="내역갑지"/>
      <sheetName val="TYPE-U800"/>
      <sheetName val="소운반"/>
      <sheetName val="일위대가-1"/>
      <sheetName val="/_x0000_"/>
      <sheetName val="က_x0000_"/>
      <sheetName val="포장쌅"/>
      <sheetName val="배관단가조사서"/>
      <sheetName val="예산내역"/>
      <sheetName val="총괄수지표"/>
      <sheetName val="공예을"/>
      <sheetName val="전체내蠀ᒗ"/>
      <sheetName val="ASP"/>
      <sheetName val="CHIP_O"/>
      <sheetName val="FAB_I"/>
      <sheetName val="FAB_O"/>
      <sheetName val="FRT_O"/>
      <sheetName val="PKG_I"/>
      <sheetName val="FT_금액"/>
      <sheetName val="YIELD"/>
      <sheetName val="옹벽기초자료"/>
      <sheetName val="수안보-纈!헾『"/>
      <sheetName val="수안보-丵〒_x0005__x0000_"/>
      <sheetName val="수안보-橂】_x0005__x0000_"/>
      <sheetName val="하중재하"/>
      <sheetName val="洊⍩"/>
      <sheetName val="_xd808_⢉"/>
      <sheetName val="砈ẋ"/>
      <sheetName val="단목"/>
      <sheetName val="토목수량"/>
      <sheetName val="원가(1︀"/>
      <sheetName val="원가(1䠀"/>
      <sheetName val="관聈"/>
      <sheetName val="조정_x0014__x0008_"/>
      <sheetName val="_x0000__x0008__x0000__x0008__x0000__x0006__x0000__x0004_"/>
      <sheetName val="하도급선정의뢰서(습식공_x0000__x0000_"/>
      <sheetName val="RangeObject"/>
      <sheetName val="목표세부명세"/>
      <sheetName val="원가집계"/>
      <sheetName val="견적시담(송포2공구)"/>
      <sheetName val="교량전기"/>
      <sheetName val="파이프류"/>
      <sheetName val="점검내역서(data) (2)"/>
      <sheetName val="조경내역"/>
      <sheetName val="물墸᎟鰀"/>
      <sheetName val="화재 탐지_x0005__x0000_"/>
      <sheetName val="전신환매도徸"/>
      <sheetName val="5.공종별尜_x0013_層_x0013_闰"/>
      <sheetName val="貭♘"/>
      <sheetName val="자재목록표"/>
      <sheetName val="단중聀"/>
      <sheetName val="당정동경상이수"/>
      <sheetName val="당정동공통이수"/>
      <sheetName val=" 냉각수펌프"/>
      <sheetName val="공종구간"/>
      <sheetName val="산출0"/>
      <sheetName val="금액내렀቟"/>
      <sheetName val="금액내԰_x0000_"/>
      <sheetName val="금액내㔀቎"/>
      <sheetName val="가중치"/>
      <sheetName val="등록׃】"/>
      <sheetName val="등록_x0010__x0000_"/>
      <sheetName val="공비대䠚"/>
      <sheetName val="40총괄"/>
      <sheetName val="40집계"/>
      <sheetName val="결재판"/>
      <sheetName val="기계경비(旉る_x0000__x0000_"/>
      <sheetName val="기계경비(贘_x0013_짘ࣅ"/>
      <sheetName val="관_x0005_"/>
      <sheetName val="조정금액결과표 (차수별)"/>
      <sheetName val="L형옹벽"/>
      <sheetName val="작성"/>
      <sheetName val="RAHMEN"/>
      <sheetName val="자압1"/>
      <sheetName val="원가총괄"/>
      <sheetName val="제수午_x0013_ὐ"/>
      <sheetName val="8. 내진해석"/>
      <sheetName val="공정"/>
      <sheetName val="A1_본체_수량산출서"/>
      <sheetName val="주식"/>
      <sheetName val="FO"/>
      <sheetName val="Summary Sheet"/>
      <sheetName val="일위대가내역"/>
      <sheetName val="자탐수량산출서"/>
      <sheetName val="C1ㅇ"/>
      <sheetName val="base"/>
      <sheetName val="STD"/>
      <sheetName val="연면적"/>
      <sheetName val="991029UTP용 M.D.F"/>
      <sheetName val="현장점검 1"/>
      <sheetName val="상가을 "/>
      <sheetName val="3.사용전검사(1000KW이상)(본동-수정)"/>
      <sheetName val="결재갑지"/>
      <sheetName val="계획예산입력자료"/>
      <sheetName val="4.2유효폭의 계산"/>
      <sheetName val="투입비"/>
      <sheetName val="손익계산서"/>
      <sheetName val="대차대조표"/>
      <sheetName val="폐토수익화 "/>
      <sheetName val="매입세율"/>
      <sheetName val="49"/>
      <sheetName val="Oper Amount"/>
      <sheetName val="짉譥"/>
      <sheetName val="ᣉᎍ"/>
      <sheetName val="예산"/>
      <sheetName val="방배동내역(리라)"/>
      <sheetName val="건축공사집계표"/>
      <sheetName val="방배동내역 (총괄)"/>
      <sheetName val="부대공사총괄"/>
      <sheetName val="CAPVC"/>
      <sheetName val="포장자재집계표"/>
      <sheetName val="[YES.XLS][YES.XLS][YES.XLS]4/_x0000_䠀"/>
      <sheetName val="[YES.XLS][YES.XLS][YES.XLS]4쌇栅/"/>
      <sheetName val="도급FORM"/>
      <sheetName val="INSTR"/>
      <sheetName val="상반기손익차2총괄"/>
      <sheetName val="DRAIN DRUM PIT D-301"/>
      <sheetName val="목록1"/>
      <sheetName val="목록2"/>
      <sheetName val="가로등제어반 설치공사(수량)"/>
      <sheetName val="토목공사일반"/>
      <sheetName val="구조물공집계"/>
      <sheetName val="요약"/>
      <sheetName val="부재치수입력"/>
      <sheetName val="Key assumption"/>
      <sheetName val="경로,구간현황"/>
      <sheetName val="36+45-113-18+19+20I"/>
      <sheetName val="옹벽수량집계표"/>
      <sheetName val="파일의이용"/>
      <sheetName val="유동표"/>
      <sheetName val="CT "/>
      <sheetName val="강관산출"/>
      <sheetName val="내역통합"/>
      <sheetName val="성토도수로현황"/>
      <sheetName val="master(2차)"/>
      <sheetName val="01_ 원가계산서"/>
      <sheetName val="중기가격"/>
      <sheetName val="SPM(13.84)"/>
      <sheetName val="Ⅴ-2.공종별내역"/>
      <sheetName val="일위대가(원본)"/>
      <sheetName val="일위대가서식"/>
      <sheetName val="일위대가양식"/>
      <sheetName val="입찰준비계획안(부대)"/>
      <sheetName val="입찰준비계획안(외주)"/>
      <sheetName val="입찰준비계획안(기타견적)"/>
      <sheetName val="장항선4공구직접비집계"/>
      <sheetName val="공사기본내용입력"/>
      <sheetName val="원하도급내역서(당초)"/>
      <sheetName val="등록자료"/>
      <sheetName val="입력정보"/>
      <sheetName val="분뇨"/>
      <sheetName val="H-pile(250x250)"/>
      <sheetName val="H-pile(298x299)"/>
      <sheetName val="방음벽기초(H_xd8d4_ㆂᰀㆃ"/>
      <sheetName val="1.1 본체"/>
      <sheetName val="전체내역 (2)"/>
      <sheetName val="Formulas &amp; Tables"/>
      <sheetName val="5. 차단기 용량계산"/>
      <sheetName val="22-1소단"/>
      <sheetName val="22-2M단"/>
      <sheetName val="신안설계"/>
      <sheetName val="업체선정"/>
      <sheetName val="실행집계장"/>
      <sheetName val="투찰집계장"/>
      <sheetName val="토목총괄내역서"/>
      <sheetName val="총괄집계"/>
      <sheetName val="하도사항"/>
      <sheetName val="실행별지"/>
      <sheetName val="하도잡비"/>
      <sheetName val="토공부대"/>
      <sheetName val="철콘부대"/>
      <sheetName val="연약부대"/>
      <sheetName val="철골부대"/>
      <sheetName val="철공견갑"/>
      <sheetName val="철골견적"/>
      <sheetName val="토공견갑"/>
      <sheetName val="토공견적"/>
      <sheetName val="철콘견갑"/>
      <sheetName val="철콘견적"/>
      <sheetName val="연약견갑"/>
      <sheetName val="연약견적"/>
      <sheetName val="부대샘플"/>
      <sheetName val="777"/>
      <sheetName val="cross beam"/>
      <sheetName val="2.단면가정"/>
      <sheetName val="가속도응답스펙트럼(Sa)및속도응답스펙트럼(Sv)"/>
      <sheetName val="12"/>
      <sheetName val="이름"/>
      <sheetName val="4,5,6,7,8"/>
      <sheetName val="옹벽1"/>
      <sheetName val="설계흐름도"/>
      <sheetName val="명단"/>
      <sheetName val="BID9697"/>
      <sheetName val="집계표(육상)"/>
      <sheetName val="치수표"/>
      <sheetName val="토목 (2)"/>
      <sheetName val="인력터파기"/>
      <sheetName val="怀፵"/>
      <sheetName val="주사무실︀ᇕ"/>
      <sheetName val="주사무실ꠀ፺"/>
      <sheetName val="BOX ꠀ፺"/>
      <sheetName val="㗈቎"/>
      <sheetName val="주사무실ֳ_x0000_"/>
      <sheetName val="¼ö·®»êÃ¨"/>
      <sheetName val="新철폐복2"/>
      <sheetName val="新철폐복3"/>
      <sheetName val="¼ö·®»êÃ_x0005_"/>
      <sheetName val="¼ö·®»êÃ "/>
      <sheetName val="변경후원본2"/>
      <sheetName val="LABTOTAL"/>
      <sheetName val="COA-17"/>
      <sheetName val="C-18"/>
      <sheetName val="경성자금"/>
      <sheetName val="SUB일위대가"/>
      <sheetName val="평자재단가"/>
      <sheetName val="95년12월말"/>
      <sheetName val="토목(용인)"/>
      <sheetName val="건축집계"/>
      <sheetName val="적격점수&lt;300억미만&gt;"/>
      <sheetName val="대가단최종"/>
      <sheetName val="부丵〒"/>
      <sheetName val="부司2"/>
      <sheetName val="성원계약"/>
      <sheetName val="파형강관집계"/>
      <sheetName val="비교1"/>
      <sheetName val="2002계약현황"/>
      <sheetName val="교사기준면적(초등)"/>
      <sheetName val="조명율"/>
      <sheetName val="보집계표"/>
      <sheetName val="March"/>
      <sheetName val="선우통상(을)"/>
      <sheetName val="5."/>
      <sheetName val="12."/>
      <sheetName val="14."/>
      <sheetName val="13"/>
      <sheetName val="7."/>
      <sheetName val="8."/>
      <sheetName val="10."/>
      <sheetName val="전기단가조사서"/>
      <sheetName val="직원자료입력"/>
      <sheetName val="PI蒨9"/>
      <sheetName val="교대일반수량"/>
      <sheetName val="견적접수"/>
      <sheetName val="견적내역서"/>
      <sheetName val="장비당단가 (1)"/>
      <sheetName val="내역총괄표"/>
      <sheetName val="경비산출"/>
      <sheetName val="방음벽기초"/>
      <sheetName val="귀래방향"/>
      <sheetName val="셀명"/>
      <sheetName val="수지표"/>
      <sheetName val="수장"/>
      <sheetName val="용수간선"/>
      <sheetName val="노무비(첨부4-4)"/>
      <sheetName val="일반부표"/>
      <sheetName val="왕십리방향"/>
      <sheetName val="날개벽(좌,우=60도-4개)"/>
      <sheetName val="공종코드"/>
      <sheetName val="전체내︀盕"/>
      <sheetName val="일위대가(계측︩盕ԯ_x0000_"/>
      <sheetName val="전체내壈▞"/>
      <sheetName val="방호벽"/>
      <sheetName val="낙석방지책"/>
      <sheetName val="금액︀⣕"/>
      <sheetName val="2.노무비명세서(수직보垰7埼"/>
      <sheetName val="뚝토공"/>
      <sheetName val="05년"/>
      <sheetName val="사  업  비  수  지  예  산  서"/>
      <sheetName val="내역서(총괄)"/>
      <sheetName val="공통가설_8"/>
      <sheetName val="아파트_9"/>
      <sheetName val="직접공사비집계표_7"/>
      <sheetName val="공종별 집계표"/>
      <sheetName val="䋈ᅪ"/>
      <sheetName val="거실통로등"/>
      <sheetName val="주사무실墳᎟"/>
      <sheetName val="BOX ︀ᇕ"/>
      <sheetName val="BOX 저፺"/>
      <sheetName val="일위대가1"/>
      <sheetName val="8.석축단위(H=1.5M)"/>
      <sheetName val="주사무실԰_x0000_"/>
      <sheetName val="ﻈ䓕"/>
      <sheetName val="BOX ︀釕"/>
      <sheetName val="위치︀釕"/>
      <sheetName val="BOX ᢝ"/>
      <sheetName val="ꠀ፺"/>
      <sheetName val="︀動"/>
      <sheetName val="BOX ᠀ᶛ"/>
      <sheetName val="위치᠀ᶛ"/>
      <sheetName val="D"/>
      <sheetName val="저ᚙ"/>
      <sheetName val="위치ꠀ᪘"/>
      <sheetName val="BOX ︀鷕"/>
      <sheetName val="주사무실頀▀"/>
      <sheetName val="BOX 頀▀"/>
      <sheetName val="주사무실蠀⮂"/>
      <sheetName val="위치蠀⮂"/>
      <sheetName val="BOX 蠀⮂"/>
      <sheetName val="︀嗕"/>
      <sheetName val="위치︀㓕"/>
      <sheetName val="주사무실︀㓕"/>
      <sheetName val="위치_xd800_ᢘ"/>
      <sheetName val="Change rate"/>
      <sheetName val="B3.PERSONEL-Ucret"/>
      <sheetName val="nomi "/>
      <sheetName val="ᓈባ"/>
      <sheetName val="︀盕"/>
      <sheetName val="壈▞"/>
      <sheetName val="내역서1"/>
      <sheetName val="범용개발순소요비용"/>
      <sheetName val="일위1"/>
      <sheetName val="L_RPTB03_01"/>
      <sheetName val="gvl"/>
      <sheetName val="굴착현장"/>
      <sheetName val="단위수량산출"/>
      <sheetName val="차도부연장현황"/>
      <sheetName val="원곡IC교 내진성능보강공사 실시설계 용역.xlsx"/>
      <sheetName val="지하"/>
      <sheetName val="물가변동잔여물량세부내역서"/>
      <sheetName val="신규(방류시설)"/>
      <sheetName val="소방"/>
      <sheetName val="덤프트럭계수"/>
      <sheetName val="카메라"/>
      <sheetName val="PIPING"/>
      <sheetName val="CPM챠트"/>
      <sheetName val="05 BOX"/>
      <sheetName val="02 SLAB"/>
      <sheetName val="도급내역서"/>
      <sheetName val="합의서"/>
      <sheetName val="PARAMETER"/>
      <sheetName val="9-1차_x0005__x0000_"/>
      <sheetName val="BH-1 (2)"/>
      <sheetName val="5정거장"/>
      <sheetName val="1-3길내기"/>
      <sheetName val="(14)전기품셈정산"/>
      <sheetName val="(12)전기경비"/>
      <sheetName val="토목׃⿄"/>
      <sheetName val="토목׃⽴"/>
      <sheetName val="토목嘘_x001b_"/>
      <sheetName val="토목ꮸ⽤"/>
      <sheetName val="토목垐%"/>
      <sheetName val="토목狈6"/>
      <sheetName val="토목妀6"/>
      <sheetName val="토목枵〛"/>
      <sheetName val="전등부하"/>
      <sheetName val="분전반"/>
      <sheetName val="의왕실행"/>
      <sheetName val="LCS-SEAT"/>
      <sheetName val="장비단가"/>
      <sheetName val="집계표(건축전기)"/>
      <sheetName val="품목현황"/>
      <sheetName val="간이연락"/>
      <sheetName val="설계서(설치)"/>
      <sheetName val="거래명세서"/>
      <sheetName val="CAL(1)."/>
      <sheetName val="품셈총괄표"/>
      <sheetName val="토공및부대2차"/>
      <sheetName val="새공통"/>
      <sheetName val="3절_CheckList_구분"/>
      <sheetName val="적정성평가표(8번)(1순위)"/>
      <sheetName val="적정성평가표(12번)(6순위)"/>
      <sheetName val="기별(종합)"/>
      <sheetName val="비탈면보호공수량산출"/>
      <sheetName val="원가계산(2)"/>
      <sheetName val="제품표준규격"/>
      <sheetName val="내역기준"/>
      <sheetName val="동원인원계획표"/>
      <sheetName val="AH-1 "/>
      <sheetName val="8. 안_x0000__x0000__x0005_"/>
      <sheetName val="1-최종안"/>
      <sheetName val="사업분석-분양가결정"/>
      <sheetName val="토공,기초"/>
      <sheetName val="주간계획"/>
      <sheetName val="선택"/>
      <sheetName val="과세면세표"/>
      <sheetName val="인제내역"/>
      <sheetName val="사통"/>
      <sheetName val="현장지䀀ኀ㠀ኃ"/>
      <sheetName val="상-교대(A1-A2)"/>
      <sheetName val="부하집계"/>
      <sheetName val="열차제어동"/>
      <sheetName val="전기성능동"/>
      <sheetName val="차량시스템인자"/>
      <sheetName val="차량부품동"/>
      <sheetName val="신.분"/>
      <sheetName val="99 조정금액"/>
      <sheetName val="미드수량"/>
      <sheetName val="설계(안)"/>
      <sheetName val="콘센트신설"/>
      <sheetName val="수량산출(AFC)"/>
      <sheetName val="수량_작성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본통신)"/>
      <sheetName val="수량산출(TDI)"/>
      <sheetName val="수량집계(본역사)"/>
      <sheetName val="수량집계(임시역사)"/>
      <sheetName val="CATV"/>
      <sheetName val="견적 (2)"/>
      <sheetName val="3.설계예산내역서(예산서)"/>
      <sheetName val="2.예정공정표"/>
      <sheetName val="4.설계예산내역서"/>
      <sheetName val="6.관급자재조서"/>
      <sheetName val="수곡내역"/>
      <sheetName val="PROCESS"/>
      <sheetName val="포장재료집계표"/>
      <sheetName val="포장면적산출"/>
      <sheetName val="포장수량집계"/>
      <sheetName val="RING WALL"/>
      <sheetName val="㩷"/>
      <sheetName val="렀ⵘ"/>
      <sheetName val="성곽내역서"/>
      <sheetName val="Param"/>
      <sheetName val="PIPE(UG)내역"/>
      <sheetName val="토적계산"/>
      <sheetName val="96 능제취입"/>
      <sheetName val="GTG TR PIT"/>
      <sheetName val="M+1"/>
      <sheetName val="광,철광석 사용량(2000)"/>
      <sheetName val="포,철광석 사용량(2000)"/>
      <sheetName val="91,92황산"/>
      <sheetName val="입찰보Ⳡ"/>
      <sheetName val="전체총괄"/>
      <sheetName val="dongia (2)"/>
      <sheetName val="gtrinh"/>
      <sheetName val="lam-moi"/>
      <sheetName val="chitiet"/>
      <sheetName val="giathanh1"/>
      <sheetName val="DONGIA"/>
      <sheetName val="thao-go"/>
      <sheetName val="TH XL"/>
      <sheetName val="VC"/>
      <sheetName val="Tiepdia"/>
      <sheetName val="CHITIET VL-NC"/>
      <sheetName val="증감䈀ᅪ"/>
      <sheetName val="일위대가표(무)"/>
      <sheetName val="일위대가산출기초"/>
      <sheetName val="PO-BOB"/>
      <sheetName val="재료값"/>
      <sheetName val="보차도경계석수량"/>
      <sheetName val="Stem Footing"/>
      <sheetName val="배수통관(좌)"/>
      <sheetName val="9G࠯_x0015__x0000__x0000_"/>
      <sheetName val="예정공정표"/>
      <sheetName val="횡배수관설치현황"/>
      <sheetName val="94"/>
      <sheetName val="기둥"/>
      <sheetName val="저판(버림100)"/>
      <sheetName val="안전시설"/>
      <sheetName val="20-25"/>
      <sheetName val="설치자재"/>
      <sheetName val="단중"/>
      <sheetName val="몰탈쐀/_x0000_"/>
      <sheetName val="기능공인적사항"/>
      <sheetName val="청하배수"/>
      <sheetName val="사업성분석"/>
      <sheetName val="22신설수량"/>
      <sheetName val="총괄표(1)"/>
      <sheetName val="내역5"/>
      <sheetName val="A"/>
      <sheetName val="목창호"/>
      <sheetName val="포장공총괄수량집계표"/>
      <sheetName val="TOTAL_BOQ"/>
      <sheetName val="5.2코핑"/>
      <sheetName val="b_balju_ch"/>
      <sheetName val="b_balju_chÈ"/>
      <sheetName val="b_balju_chÛ"/>
      <sheetName val="b_balju_ch("/>
      <sheetName val="REDUCER"/>
      <sheetName val="WE'T"/>
      <sheetName val="자재단가리스트"/>
      <sheetName val="공사내역(총괄)"/>
      <sheetName val="대보~세기"/>
      <sheetName val="운반비산정"/>
      <sheetName val="기본DATԯ"/>
      <sheetName val="기본DAT頀"/>
      <sheetName val="공종별수량집계"/>
      <sheetName val="48전력선로일挔"/>
      <sheetName val="48일위(기존)"/>
      <sheetName val="옥외외등집계표"/>
      <sheetName val="광통신 견적내역서1"/>
      <sheetName val="1.설계설명서"/>
      <sheetName val="3.예정공정표"/>
      <sheetName val="4.설계예산서"/>
      <sheetName val="공사원가"/>
      <sheetName val="재경"/>
      <sheetName val="5.일위대가"/>
      <sheetName val="6.철거발생품예정조서"/>
      <sheetName val="7.지급자재조서"/>
      <sheetName val="8.가격조사서"/>
      <sheetName val="작성양식"/>
      <sheetName val="품-(주)코①"/>
      <sheetName val="8.수량산출 (2)"/>
      <sheetName val="일위대가표 (⠋ᡏ"/>
      <sheetName val="일위대가표 (䀀⅒"/>
      <sheetName val="ÀÏÀ§´ë°¡Ç¥(1@"/>
      <sheetName val="일위대가표 (ԯ_x0000_"/>
      <sheetName val="단가산출2"/>
      <sheetName val="대운반(철재)"/>
      <sheetName val="공사예산하조서(O.K)"/>
      <sheetName val="하도급선정의뢰_x0005__x0000__x0000__x0000__x0000_吝"/>
      <sheetName val="하도급선정의뢰唈_x001f_ᛅ⾠_x0005__x0000_"/>
      <sheetName val="하도급선정의뢰ᛅ⼝_x0005__x0000__x0000__x0000_"/>
      <sheetName val="음성(cable)"/>
      <sheetName val="PI"/>
      <sheetName val="6.2.1 지하차도 조도계산"/>
      <sheetName val="배수내역 (2)"/>
      <sheetName val="배수및구조물공1"/>
      <sheetName val="계약서"/>
      <sheetName val="참조자료"/>
      <sheetName val="앨범표지"/>
      <sheetName val="Macro(부하)"/>
      <sheetName val="토목내역서"/>
      <sheetName val="제조부문배부"/>
      <sheetName val="XREF"/>
      <sheetName val="반포2차"/>
      <sheetName val="98수금사업"/>
      <sheetName val="공사비PK5월"/>
      <sheetName val="간접비(1)"/>
      <sheetName val="시공업체명부"/>
      <sheetName val="Direct (공사비대비)"/>
      <sheetName val="수종별인자"/>
      <sheetName val="MixBed"/>
      <sheetName val="CondPol"/>
      <sheetName val="b_gunmul"/>
      <sheetName val="b_balju (2)"/>
      <sheetName val="갑(전기)"/>
      <sheetName val="갑(계장)"/>
      <sheetName val="적용환율"/>
      <sheetName val="B"/>
      <sheetName val=" 갑지"/>
      <sheetName val="bCord공정"/>
      <sheetName val="d수량"/>
      <sheetName val="e대가"/>
      <sheetName val="g단가"/>
      <sheetName val="h집계"/>
      <sheetName val="골재및자재집계표"/>
      <sheetName val=" 내역"/>
      <sheetName val="제출"/>
      <sheetName val="준설량산정표"/>
      <sheetName val="공사비예비관리공감측설산출내역"/>
      <sheetName val="TCDB"/>
      <sheetName val="동력배선"/>
      <sheetName val="본선동력배선"/>
      <sheetName val="본선조명"/>
      <sheetName val="전력간선배선"/>
      <sheetName val="전열배선"/>
      <sheetName val="배관배선 단가조사"/>
      <sheetName val="1-"/>
      <sheetName val="1g"/>
      <sheetName val="㠈⎗"/>
      <sheetName val="⢔"/>
      <sheetName val="᠇Ẓ"/>
      <sheetName val="1ì"/>
      <sheetName val="1º"/>
      <sheetName val="謂ⷄ"/>
      <sheetName val="ꠀ⢄"/>
      <sheetName val="⠊⢌"/>
      <sheetName val="了"/>
      <sheetName val="栉ᶆ"/>
      <sheetName val=" ᧡"/>
      <sheetName val="1P"/>
      <sheetName val="1("/>
      <sheetName val="1@"/>
      <sheetName val="1 "/>
      <sheetName val="10"/>
      <sheetName val="⠖㔺"/>
      <sheetName val="砖㖌"/>
      <sheetName val="1è"/>
      <sheetName val="1`"/>
      <sheetName val="1°"/>
      <sheetName val="1À"/>
      <sheetName val="ꀀ㇞"/>
      <sheetName val="1r"/>
      <sheetName val="　⮒"/>
      <sheetName val="SANTOGO"/>
      <sheetName val="산출서집계"/>
      <sheetName val="부대tu"/>
      <sheetName val="장비가동"/>
      <sheetName val="집계표(수정)"/>
      <sheetName val="잔여공사월별내역"/>
      <sheetName val="대비(최종이사회)"/>
      <sheetName val="양식"/>
      <sheetName val="표지세로"/>
      <sheetName val="제잡비(주공종)"/>
      <sheetName val="(3.품질관리 시험 총괄표)"/>
      <sheetName val="합계"/>
      <sheetName val="2차공사"/>
      <sheetName val="5.소모재료비"/>
      <sheetName val="전계가"/>
      <sheetName val="기성청구현황"/>
      <sheetName val="집"/>
      <sheetName val="က"/>
      <sheetName val="⠈ⱒ"/>
      <sheetName val="1Ø"/>
      <sheetName val="[YES.XLS][YES.XLS]신표司/"/>
      <sheetName val="_x0000_ _x0000__x0006__x0000__x0006_"/>
      <sheetName val="건0_x0000_蠀"/>
      <sheetName val="금0_x0000_䠀"/>
      <sheetName val="금蠣㡎耀"/>
      <sheetName val="석재장조사"/>
      <sheetName val="총괄분 설계서용지"/>
      <sheetName val="전체실적"/>
      <sheetName val="산#3-1"/>
      <sheetName val="산#3-2"/>
      <sheetName val="배관BM(일반)"/>
      <sheetName val="산#3-2-2"/>
      <sheetName val="투찰금액"/>
      <sheetName val="재료집계표3"/>
      <sheetName val="수출가격"/>
      <sheetName val="IBL-C"/>
      <sheetName val="가공사"/>
      <sheetName val="8공구 강재 수량"/>
      <sheetName val="EVALUATE물량산출서"/>
      <sheetName val="스라브"/>
      <sheetName val="자재수량"/>
      <sheetName val="보온자재단가표"/>
      <sheetName val="변경_x0005__x0006__x0004__x0004_"/>
      <sheetName val="적용단가"/>
      <sheetName val="8. _x0005__x0000__x0000_"/>
      <sheetName val="MEMBER"/>
      <sheetName val="공사별 가중치0_x0000_ꀀâ_x0000__x0000_鬀ӊ㰞"/>
      <sheetName val="자재집게표 "/>
      <sheetName val="제안서"/>
      <sheetName val="행정표준(1)"/>
      <sheetName val="행정표준(2)"/>
      <sheetName val="배관내역"/>
      <sheetName val="Imp-Data"/>
      <sheetName val="전등수량산출"/>
      <sheetName val="내역서 (1차)"/>
      <sheetName val="J형측구단위수량"/>
      <sheetName val="¿¹Á¤(3က"/>
      <sheetName val="5차설계"/>
      <sheetName val="형식별 개략공사비"/>
      <sheetName val="신천3호용수로"/>
      <sheetName val="B1(반포1차)"/>
      <sheetName val="터널(토공)"/>
      <sheetName val="공통단가"/>
      <sheetName val="운반비"/>
      <sheetName val="경영혁신본부"/>
      <sheetName val="공종별집계표"/>
      <sheetName val="총 원가계산"/>
      <sheetName val="장비부하"/>
      <sheetName val="역간(덕_동)"/>
      <sheetName val="역간(의-덕)"/>
      <sheetName val="단가대비표(SYS)"/>
      <sheetName val="제조노임"/>
      <sheetName val="FUSE_MCB"/>
      <sheetName val="월말"/>
      <sheetName val="ISBL-CIV"/>
      <sheetName val="철콘집계"/>
      <sheetName val="5회기성03월"/>
      <sheetName val="돈암사업"/>
      <sheetName val="단면A-A(TR)"/>
      <sheetName val="기계경비(시"/>
      <sheetName val="ÀÏÀ§´ë헾】_x0005__x0000__x0000__x0000_"/>
      <sheetName val="변수2"/>
      <sheetName val="저항"/>
      <sheetName val="OCM"/>
      <sheetName val="OHU"/>
      <sheetName val="제수_x0000__x0000_"/>
      <sheetName val="제수午_x0013_뺨"/>
      <sheetName val="제수午_x0013_㸀"/>
      <sheetName val="제수午_x0013_㐨"/>
      <sheetName val="제수午_x0013_㺨"/>
      <sheetName val="제수午_x0013_绠"/>
      <sheetName val="제수午_x0013_떰"/>
      <sheetName val="제수午_x0013_"/>
      <sheetName val="BLR-S"/>
      <sheetName val="7.경제성결과"/>
      <sheetName val="관급원내역"/>
      <sheetName val="옥내소화전계산서"/>
      <sheetName val="1.동력공사"/>
      <sheetName val="가시설"/>
      <sheetName val="식재일위대가"/>
      <sheetName val="바이오"/>
      <sheetName val="잡철물"/>
      <sheetName val="심사계산"/>
      <sheetName val="심사물량"/>
      <sheetName val="기타"/>
      <sheetName val="BID FORM"/>
      <sheetName val="Form of Bid"/>
      <sheetName val="당사실시1"/>
      <sheetName val="이관문서목록표"/>
      <sheetName val="중기사용료산출근거"/>
      <sheetName val="원가계산서 (2)"/>
      <sheetName val="참고자료등록"/>
      <sheetName val="하자보수보증자료"/>
      <sheetName val="국내"/>
      <sheetName val="구천"/>
      <sheetName val="조작대(1연)"/>
      <sheetName val="정보매체A동"/>
      <sheetName val="시점교대"/>
      <sheetName val="설명서"/>
      <sheetName val="청주(철골발주의뢰서)"/>
      <sheetName val="2.내역서"/>
      <sheetName val="영창26"/>
      <sheetName val="3.2주형지지보"/>
      <sheetName val="x주형보 설계(3차로)"/>
      <sheetName val="우수공,맨홀,집수정"/>
      <sheetName val="member design"/>
      <sheetName val="soil bearing check"/>
      <sheetName val="환산"/>
      <sheetName val="산출근거#2-3"/>
      <sheetName val="고창터널(고창방향䈀"/>
      <sheetName val="가압장(토목)"/>
      <sheetName val="공사직종별노임"/>
      <sheetName val="견적서-골조공사"/>
      <sheetName val="노임단가(08.01)"/>
      <sheetName val="경로당내역건축"/>
      <sheetName val="은평작업지시대장"/>
      <sheetName val="옥외배관기본공량"/>
      <sheetName val="FCU (2)"/>
      <sheetName val="장비분석"/>
      <sheetName val="적정심사"/>
      <sheetName val="DATA-1"/>
      <sheetName val="개별직종노임단가(2005.1)"/>
      <sheetName val="가시설(TYPE-A)"/>
      <sheetName val="1호맨홀가감수량"/>
      <sheetName val="1-1평균터파기고(1)"/>
      <sheetName val="구체"/>
      <sheetName val="단가표(전산)"/>
      <sheetName val="2219-SPOOL BOM"/>
      <sheetName val="예총"/>
      <sheetName val="골재丵〒"/>
      <sheetName val="내역총渀腷"/>
      <sheetName val="도급,하도급 예정금액"/>
      <sheetName val="산출(전기)"/>
      <sheetName val="변경내역"/>
      <sheetName val="3-4호기 내역서"/>
      <sheetName val="건축2"/>
      <sheetName val="인원계획-미화"/>
      <sheetName val="평형공사비"/>
      <sheetName val="토공검토G"/>
      <sheetName val="미지급금"/>
      <sheetName val="도"/>
      <sheetName val="입찰결과(DATA_x0000_"/>
      <sheetName val="대상공사(조달청)"/>
      <sheetName val="내역금액적용"/>
      <sheetName val="비목코드"/>
      <sheetName val="토목_x0010__x0000_"/>
      <sheetName val="직_x0005__x0000_"/>
      <sheetName val="임시급식ֿ_x0000_缀_x0000_"/>
      <sheetName val="[YES.XLS][YES.XLS][YES.XLS]/_x0000_"/>
      <sheetName val="[YES.XLS][YES.XLS]/_x0000_"/>
      <sheetName val="[YES.XLS]/_x0000_"/>
      <sheetName val="내역서(을지)_2-1공구"/>
      <sheetName val="계약원가"/>
      <sheetName val="SHUTDOWN VALVE"/>
      <sheetName val="조도계산서1"/>
      <sheetName val="업무처리전"/>
      <sheetName val="전동기"/>
      <sheetName val="2.1 전선굵기"/>
      <sheetName val="건설산출"/>
      <sheetName val="D-RMIL"/>
      <sheetName val="Requirement(Work Crew)"/>
      <sheetName val="노임목록"/>
      <sheetName val="외천교"/>
      <sheetName val="적격심사표"/>
      <sheetName val="배수관접합및부설  "/>
      <sheetName val="관세,통관수수료,운반비"/>
      <sheetName val="KS-301_WBS"/>
      <sheetName val="수량BOQ"/>
      <sheetName val="첨부파일"/>
      <sheetName val="ASEM내역"/>
      <sheetName val="금강견적"/>
      <sheetName val="Price List"/>
      <sheetName val="ORIGN"/>
      <sheetName val="Reference"/>
      <sheetName val="수로교_xdc00_᎚␀᎛"/>
      <sheetName val="단가목԰"/>
      <sheetName val="단가목_xdc00_"/>
      <sheetName val="ALINE"/>
      <sheetName val="품셈1-17"/>
      <sheetName val="Á¤»ê¹°·®︀웕"/>
      <sheetName val="반중력식옹벽3.5"/>
      <sheetName val="단가(1)"/>
      <sheetName val="9GNG_x0000__x0000_"/>
      <sheetName val="포_x0000__x0000_"/>
      <sheetName val="9GNG 䆇"/>
      <sheetName val="9GNGꀀ_xdb83_"/>
      <sheetName val="약Å_x0000_᠀"/>
      <sheetName val="포頀⹘"/>
      <sheetName val="9GNG사"/>
      <sheetName val="9GNG迬"/>
      <sheetName val="약僅ძ杏"/>
      <sheetName val="9GNG肬埭"/>
      <sheetName val="9GNG悬㗫"/>
      <sheetName val="약退뫯佚"/>
      <sheetName val="9GNG났駪"/>
      <sheetName val="9GNGꀀ濫"/>
      <sheetName val="9GNG悬俬"/>
      <sheetName val="9GNGႬ㛭"/>
      <sheetName val="약⃅飫텷"/>
      <sheetName val="9GNG炬룯"/>
      <sheetName val="9GNG肬ᷮ"/>
      <sheetName val="9GNG࿟"/>
      <sheetName val="변경비㧨-娐"/>
      <sheetName val="5.단가대비표"/>
      <sheetName val="간접경상비"/>
      <sheetName val="되메우기공사"/>
      <sheetName val="배수로굴착공사"/>
      <sheetName val="법면보호공사"/>
      <sheetName val="보강공사"/>
      <sheetName val="본관기초굴착공사"/>
      <sheetName val="본관조경공사"/>
      <sheetName val="부지정지공사"/>
      <sheetName val="765SY부지정지공사"/>
      <sheetName val="옥외매설물공사"/>
      <sheetName val="중량물도로"/>
      <sheetName val="취수로굴착공사"/>
      <sheetName val="효암천이설"/>
      <sheetName val="허용전류-IEC DATA"/>
      <sheetName val="내역_FILE"/>
      <sheetName val="단위량"/>
      <sheetName val="재료집계표2"/>
      <sheetName val="토적집계표"/>
      <sheetName val="Summar헾】_x0005__x0000__x0000__x0000__x0000_"/>
      <sheetName val="Summar"/>
      <sheetName val="Summar䡲ぞ_x0000_"/>
      <sheetName val="참고자료"/>
      <sheetName val="D.B"/>
      <sheetName val="Sheet2 (2)"/>
      <sheetName val="내역(설계,도급)정이준"/>
      <sheetName val="1호철근량"/>
      <sheetName val="L형옹벽단위수량(35)"/>
      <sheetName val="L형옹벽단위수량(25)"/>
      <sheetName val="간접비계산"/>
      <sheetName val="영구청af헾"/>
      <sheetName val="영구청af薸"/>
      <sheetName val="실︀ԯ"/>
      <sheetName val="하수급견적대䧨"/>
      <sheetName val="실资䈀"/>
      <sheetName val="실㠀赫䈀"/>
      <sheetName val="실蠀艆䈀"/>
      <sheetName val="실退艬_xdc00_"/>
      <sheetName val="실ꠀ⑬餀"/>
      <sheetName val="실頀몁_xdc00_"/>
      <sheetName val="하수급견적대䪘"/>
      <sheetName val="하수급견적대桑"/>
      <sheetName val="하수급견적대䗸"/>
      <sheetName val="하수급견적대汈"/>
      <sheetName val="하수급견적대䫘"/>
      <sheetName val="하수급견적대烐"/>
      <sheetName val="하수급견적대䠸"/>
      <sheetName val="하수급견적대溈"/>
      <sheetName val="실舀鐟ԯ"/>
      <sheetName val="하수급견적대靨"/>
      <sheetName val="하수급견적대䝸"/>
      <sheetName val="실렀齈_xdb00_"/>
      <sheetName val="실ࠀ齯_xdb00_"/>
      <sheetName val="단_xd800_镊ἀ"/>
      <sheetName val="단镰Ⰰ"/>
      <sheetName val="실저비_xdb00_"/>
      <sheetName val="실᠀㙋䈀"/>
      <sheetName val="실⠀텊䈀"/>
      <sheetName val="실态吣԰"/>
      <sheetName val="실저칄怀"/>
      <sheetName val="실퀀칪ᰀ"/>
      <sheetName val="하수급견적대炠"/>
      <sheetName val="하수급견적대䞘"/>
      <sheetName val="흄관기초"/>
      <sheetName val="부대공(집계)"/>
      <sheetName val="포장단면별단위수량"/>
      <sheetName val="ACUNIT"/>
      <sheetName val="공사비집_x0005_"/>
      <sheetName val="Macro(전동기)"/>
      <sheetName val="실내건축일위대가"/>
      <sheetName val="8.일위대가표(1)"/>
      <sheetName val="8.일위대가표(2)"/>
      <sheetName val="7.청제공기계기구조서"/>
      <sheetName val="103동"/>
      <sheetName val="찍기"/>
      <sheetName val="CRUDE RE-bar"/>
      <sheetName val="횡분배정리(DB)"/>
      <sheetName val="방음벽기초-수량"/>
      <sheetName val="수량산출기초(케블등)"/>
      <sheetName val="JUCK֕_x0000_缀"/>
      <sheetName val="노임,자재"/>
      <sheetName val="기계경비(맨홀)"/>
      <sheetName val="가도䠀"/>
      <sheetName val="가도ԯ"/>
      <sheetName val="가도저"/>
      <sheetName val="절감계산"/>
      <sheetName val="ML"/>
      <sheetName val="기초"/>
      <sheetName val="´_x0005__x0000_"/>
      <sheetName val="토목변경"/>
      <sheetName val="수로단위수량"/>
      <sheetName val="수량산출내역1115"/>
      <sheetName val="아파트저᝾"/>
      <sheetName val="아파트㾅"/>
      <sheetName val="환율change"/>
      <sheetName val="NOTE ALL"/>
      <sheetName val="설계수량"/>
      <sheetName val="3.2.1 마루높이결정"/>
      <sheetName val="산업개발안내서"/>
      <sheetName val="ATM기초철가"/>
      <sheetName val="업체별 금액"/>
      <sheetName val="참조용쉬트"/>
      <sheetName val="청구서"/>
      <sheetName val="공동_집계표"/>
      <sheetName val="분담_집계표"/>
      <sheetName val="분담_대보"/>
      <sheetName val="분담_DB"/>
      <sheetName val="분담_동우"/>
      <sheetName val="대총괄내역서"/>
      <sheetName val="중총괄내역서"/>
      <sheetName val="소총괄내역서"/>
      <sheetName val="내역서_영상검지기"/>
      <sheetName val="내역서_레이더"/>
      <sheetName val="내역서_AVI"/>
      <sheetName val="내역서_CCTV"/>
      <sheetName val="내역서_지하차도CCTV"/>
      <sheetName val="내역서_VMS"/>
      <sheetName val="내역서_신호"/>
      <sheetName val="내역서_광통신장비"/>
      <sheetName val="내역서_주정차단속"/>
      <sheetName val="내역서_교통"/>
      <sheetName val="내역서_예비품"/>
      <sheetName val="내역서_전산"/>
      <sheetName val="내역서_정보통신"/>
      <sheetName val="내역서_전기"/>
      <sheetName val="내역서_토목"/>
      <sheetName val="내역서_기타(건축,소방)"/>
      <sheetName val="내역서_설계비및부대임대료"/>
      <sheetName val="세부내역_영상"/>
      <sheetName val="세부내역_레이더"/>
      <sheetName val="세부내역_AVI"/>
      <sheetName val="세부내역_CCTV"/>
      <sheetName val="세부내역_지하CCTV"/>
      <sheetName val="세부내역_VMS"/>
      <sheetName val="세부내역_신호"/>
      <sheetName val="세부내역_광통신"/>
      <sheetName val="세부내역_주정차"/>
      <sheetName val="세부내역_교통"/>
      <sheetName val="세부내역_예비품"/>
      <sheetName val="세부내역_전산"/>
      <sheetName val="세부내역_통신"/>
      <sheetName val="세부내역_전기"/>
      <sheetName val="세부내역_토목"/>
      <sheetName val="일위대가_건축구조(1)"/>
      <sheetName val="일위대가_건축토목(1)"/>
      <sheetName val="일위대가_SW"/>
      <sheetName val="SW개발비_산정기준"/>
      <sheetName val="세부내역_건축"/>
      <sheetName val="청 구"/>
      <sheetName val="주관사_x0000_"/>
      <sheetName val="주관사提"/>
      <sheetName val="주관사㧨"/>
      <sheetName val="주관사㌈"/>
      <sheetName val="산출근거1"/>
      <sheetName val="소상_&quot;1&quot;"/>
      <sheetName val="암거"/>
      <sheetName val="정보"/>
      <sheetName val="한화 둔산 내역서"/>
      <sheetName val="간이영수증"/>
      <sheetName val="내역(정지)"/>
      <sheetName val="1차배부(JB포함)"/>
      <sheetName val="설계내역일위"/>
      <sheetName val="01하반기노임"/>
      <sheetName val="5.전사투자계획종함안"/>
      <sheetName val="개요입력"/>
      <sheetName val="수량기준"/>
      <sheetName val="단가기준"/>
      <sheetName val="계좌번호"/>
      <sheetName val="기성신청"/>
      <sheetName val="자재단가׃"/>
      <sheetName val="대창(함평쑥兣0_x0000_"/>
      <sheetName val="No.2LAB Unit"/>
      <sheetName val="약ྀ︁"/>
      <sheetName val="3-1.일위대가집계표(교통시설물1)"/>
      <sheetName val="철거산_x0000__x0000_Ԁ"/>
      <sheetName val="철거산䈀㡪ԯ"/>
      <sheetName val="가야~사상"/>
      <sheetName val="김해~칠산"/>
      <sheetName val="김해(2)"/>
      <sheetName val="부전(2)"/>
      <sheetName val="장유~진례"/>
      <sheetName val="칠산"/>
      <sheetName val="칠산~장유"/>
      <sheetName val="하도급선정의뢰_x0000__x0000_螨_x0000__x0000__x0000_ۈ"/>
      <sheetName val="금리ﺙᇕ"/>
      <sheetName val="실ԯ"/>
      <sheetName val="탑( Ṱ氀"/>
      <sheetName val="실焀휦ԯ"/>
      <sheetName val="1SPA8"/>
      <sheetName val="교통_x0005__x0000_"/>
      <sheetName val="교통닑⿃_x0005_"/>
      <sheetName val="교통닑⿣_x0005_"/>
      <sheetName val="교통淀6渌"/>
      <sheetName val="교통墨_x0015_닑"/>
      <sheetName val="LD退"/>
      <sheetName val="1SPA"/>
      <sheetName val="실蠀㑬턀"/>
      <sheetName val="1SPAð"/>
      <sheetName val="1SPAP"/>
      <sheetName val="교통닑⿱_x0005_"/>
      <sheetName val="국별인원"/>
      <sheetName val="설치공사비"/>
      <sheetName val="자재집계 &amp; 총괄표"/>
      <sheetName val="직공ꂲ"/>
      <sheetName val="금액浨+"/>
      <sheetName val="교통닑⼣_x0005_"/>
      <sheetName val="증감퀀䅰"/>
      <sheetName val="내부수지예산"/>
      <sheetName val="A LINE"/>
      <sheetName val="빙장비사양"/>
      <sheetName val="장비사양"/>
      <sheetName val="철거산출徸〒"/>
      <sheetName val="99노임기준"/>
      <sheetName val="48산출"/>
      <sheetName val="PREFACE"/>
      <sheetName val="(C)원내역"/>
      <sheetName val="관리비"/>
      <sheetName val="남양내역"/>
      <sheetName val="지급자재대"/>
      <sheetName val="DWG-CAB-I"/>
      <sheetName val="잡비계산"/>
      <sheetName val="경사수로"/>
      <sheetName val="CABLE SIZE-1"/>
      <sheetName val="확정실적"/>
      <sheetName val="심사공종"/>
      <sheetName val="표지판현황"/>
      <sheetName val="화재 颮㍓씀넖ԯ"/>
      <sheetName val="ᰀ፜"/>
      <sheetName val="N炬≹"/>
      <sheetName val="투찰(하수)"/>
      <sheetName val="1._x005f_x005f_x005f_x0018_변전설비"/>
      <sheetName val="겉장"/>
      <sheetName val="기성검사원"/>
      <sheetName val="율림"/>
      <sheetName val="화진"/>
      <sheetName val="가설(내부수평비계)"/>
      <sheetName val="건축물현장정리"/>
      <sheetName val="공통가설공사(공통)"/>
      <sheetName val="골재대"/>
      <sheetName val="폐기물"/>
      <sheetName val="폐기물 (2)"/>
      <sheetName val="몰탈단가"/>
      <sheetName val="전기일ꙭÀ_x0000_"/>
      <sheetName val="REACTION芨.헾⿁_x0005__x0000_"/>
      <sheetName val="REACTION鴘E鵜E헾⼼_x0005_"/>
      <sheetName val="내역 (2)"/>
      <sheetName val="inputdata"/>
      <sheetName val="³²¾ç½ÃÀÛµ¿ÀÚ105³ë65±_x0000__x0000__x0005__x0000_慀ȡ_x0000__x0000__x0000_"/>
      <sheetName val="단  가  垨4奜4睮⿩_x0005_"/>
      <sheetName val="정문내역"/>
      <sheetName val="¼ö¸ñ´헾⿨_x0005_"/>
      <sheetName val="100만평"/>
      <sheetName val="평야부단가"/>
      <sheetName val="차도부수량집계표"/>
      <sheetName val="W-현원가"/>
      <sheetName val="부대토목"/>
      <sheetName val="토목공종세부"/>
      <sheetName val="견적회신"/>
      <sheetName val="1. 가로등 설비 공사(산출)"/>
      <sheetName val="천방교접속"/>
      <sheetName val="inter"/>
      <sheetName val="적용대가"/>
      <sheetName val="인계"/>
      <sheetName val="8. 안吐呜"/>
      <sheetName val="DAN"/>
      <sheetName val="철집"/>
      <sheetName val="변경비懸_x0013_颙"/>
      <sheetName val="변경비颙〒_x0005_"/>
      <sheetName val="일위집԰_x0000_"/>
      <sheetName val="변경비窨_x0013_竬"/>
      <sheetName val="시공계ⱂ"/>
      <sheetName val="대창(장ԯ_x0000_"/>
      <sheetName val="산출서"/>
      <sheetName val="조명시헾"/>
      <sheetName val="전선관"/>
      <sheetName val="5.정산ﵠ"/>
      <sheetName val="실행내역 "/>
      <sheetName val="참조 (2)"/>
      <sheetName val="교량data"/>
      <sheetName val="파일구성"/>
      <sheetName val="database"/>
      <sheetName val="Priorities"/>
      <sheetName val="Paint,Fire-Proof,Insul(48)"/>
      <sheetName val="AILC00þ"/>
      <sheetName val="º¯°æ»çÀX"/>
      <sheetName val="22단傠"/>
      <sheetName val="22단圬"/>
      <sheetName val="12년06월28일 패케이지반및분전반정산서"/>
      <sheetName val="Book1"/>
      <sheetName val="98발주"/>
      <sheetName val="공무2과"/>
      <sheetName val="물"/>
      <sheetName val="단가순번"/>
      <sheetName val="4-2.전기관급자재(수배전반)내역서"/>
      <sheetName val="F_D SEC. PROP"/>
      <sheetName val="Control Sheet"/>
      <sheetName val="돈"/>
      <sheetName val="2.노무비명欐_x0016_歜_x0016_丵⽃"/>
      <sheetName val="2.노무비명烨$橂⽲_x0005__x0000_"/>
      <sheetName val="전통건설"/>
      <sheetName val="기계공사"/>
      <sheetName val="남양시작동010313100%"/>
      <sheetName val="98비정기소모"/>
      <sheetName val="도급및 실행내역"/>
      <sheetName val="하도급선정의뢰桑〒_x0005__x0000__x0000__x0000_"/>
      <sheetName val="R.C RAHMEN 해석"/>
      <sheetName val="본체 설 계"/>
      <sheetName val="Àåºñ´Ü°¡»êÃ8"/>
      <sheetName val="Àåºñ´Ü°¡»êÃ_x0005_"/>
      <sheetName val="EXPAN-1"/>
      <sheetName val="Data Vol"/>
      <sheetName val="1SPAè"/>
      <sheetName val="일반전기"/>
      <sheetName val="Manual Valve List"/>
      <sheetName val="SAMPLE"/>
      <sheetName val="외자배분"/>
      <sheetName val="외자내역"/>
      <sheetName val="무시"/>
      <sheetName val="電磁弁LIST"/>
      <sheetName val="PLG"/>
      <sheetName val="주요재료비(원본)"/>
      <sheetName val="Sheet1(X)"/>
      <sheetName val="인원조직표"/>
      <sheetName val="냉천부속동"/>
      <sheetName val="건축공정"/>
      <sheetName val="방진공정"/>
      <sheetName val="조경공정"/>
      <sheetName val="원가계산서 "/>
      <sheetName val="산출기초"/>
      <sheetName val="순환펌프"/>
      <sheetName val="저수조"/>
      <sheetName val="급,배기팬"/>
      <sheetName val="급탕순환펌프"/>
      <sheetName val="전자"/>
      <sheetName val="2공종별예산조서"/>
      <sheetName val="AHU-1"/>
      <sheetName val="급탕설비"/>
      <sheetName val="화장실배기팬"/>
      <sheetName val="직급별"/>
      <sheetName val="S1099기장선행WOP"/>
      <sheetName val="갑지(0"/>
      <sheetName val="갑지("/>
      <sheetName val="단ူ"/>
      <sheetName val="현장설က"/>
      <sheetName val="입출재고현⩿〚_x0005_"/>
      <sheetName val="노원열병합  건축렀䡟ԯ"/>
      <sheetName val="노원열병합  건축︀ᇕ԰"/>
      <sheetName val="노원열병합  건축ﻕᇕ԰"/>
      <sheetName val="노원열병합  건축렀こ렀䡟ԯ"/>
      <sheetName val="기က"/>
      <sheetName val="방음벽 기초_x0005_"/>
      <sheetName val="관리"/>
      <sheetName val="관리Ç"/>
      <sheetName val="신공항A-9헾】_x0005_"/>
      <sheetName val="변경비"/>
      <sheetName val="하도급선정의뢰_x0005_"/>
      <sheetName val="하도급선정의뢰煘_x0013_橂⿜_x0005_"/>
      <sheetName val="하도급선정의뢰聸_x0013_헾⾧_x0005_"/>
      <sheetName val="하도급선정의뢰颙〒_x0005_"/>
      <sheetName val="하도급선정의뢰"/>
      <sheetName val="변경비_x0005_"/>
      <sheetName val="설치 일위대가(4԰"/>
      <sheetName val="2000.11¿ù¼³餀㢘ԯ"/>
      <sheetName val="2000,_x0010_"/>
      <sheetName val="2000,"/>
      <sheetName val="2000,徸⽝_x0005_"/>
      <sheetName val="2.노무비명세서頀塔攀๦0"/>
      <sheetName val="2.노무비명세서Ç"/>
      <sheetName val="9-1԰"/>
      <sheetName val="단가_x0005_"/>
      <sheetName val="»êÃ렀䡟ԯ"/>
      <sheetName val="»êÃ︀ᇕ԰"/>
      <sheetName val="4/"/>
      <sheetName val="4က"/>
      <sheetName val="[YES.XLS]4/"/>
      <sheetName val="[YES.XLS][YES.XLS]4/"/>
      <sheetName val="화재 탐지_x0005_"/>
      <sheetName val="9-1차_x0005_"/>
      <sheetName val="약Å"/>
      <sheetName val="[YES.XLS][YES.XLS][YES.XLS]4/"/>
      <sheetName val="건0"/>
      <sheetName val="금0"/>
      <sheetName val="ÀÏÀ§´ë헾】_x0005_"/>
      <sheetName val="8. 안"/>
      <sheetName val="Summar헾】_x0005_"/>
      <sheetName val="교통_x0005_"/>
      <sheetName val="임시급식ֿ"/>
      <sheetName val="철거산"/>
      <sheetName val="JUCK֕"/>
      <sheetName val="´_x0005_"/>
      <sheetName val="ÁÖÇ_x0005_"/>
      <sheetName val="설계서(7)"/>
      <sheetName val="갑지(가로ﻁ"/>
      <sheetName val="¹°·㑈"/>
      <sheetName val="수량산출(비굴착)"/>
      <sheetName val="1단계_견적내역서"/>
      <sheetName val="7.3.1 전력간선 굵기"/>
      <sheetName val="DAILY"/>
      <sheetName val="농로수량집계"/>
      <sheetName val="설계내"/>
      <sheetName val="설치 일위대가(46~԰_x0000_缀_x0000_"/>
      <sheetName val="설계서을"/>
      <sheetName val="공감비"/>
      <sheetName val="OCT"/>
      <sheetName val="ISOP"/>
      <sheetName val="MdBase"/>
      <sheetName val="UB2"/>
      <sheetName val="sheet"/>
      <sheetName val="N쌃괅"/>
      <sheetName val="t-h HA THE"/>
      <sheetName val="발주설계서(당초_x0000_"/>
      <sheetName val="토건"/>
      <sheetName val="ÃÑÁ²_x0000_瀀췕嬂"/>
      <sheetName val="ÃÑÁ²_x0000__x0000__x0001_Ԁ"/>
      <sheetName val="I.설계헾】"/>
      <sheetName val="F 월별기성수금현황 "/>
      <sheetName val="CABdata"/>
      <sheetName val="감액䠀㑙"/>
      <sheetName val="감액ԯ_x0000_缀"/>
      <sheetName val="감액⡓㰀"/>
      <sheetName val="스포회원매출"/>
      <sheetName val="수량산출서 갑지"/>
      <sheetName val="선금정산내역"/>
      <sheetName val="PIPE내역(FCN)"/>
      <sheetName val="STEAM"/>
      <sheetName val="AIR"/>
      <sheetName val="항목별사㦬⊄㰀"/>
      <sheetName val="12_xd8b7_⭎ጀ鮂"/>
      <sheetName val="12좷⭘ጀ鮂"/>
      <sheetName val="방지책개소별명세"/>
      <sheetName val="내역서적용수량집계표(가로)"/>
      <sheetName val="VST재료산출"/>
      <sheetName val="산1~6"/>
      <sheetName val="[YES.XLS][YES.XLS]A__9701A_OU_3"/>
      <sheetName val="[YES.XLS][YES.XLS]A__9701A_OU_2"/>
      <sheetName val="[YES.XLS][YES.XLS]A__9701A_OU_4"/>
      <sheetName val="[YES.XLS][YES.XLS]A__9701A_OU_7"/>
      <sheetName val="[YES.XLS][YES.XLS]A__9701A_OU_6"/>
      <sheetName val="[YES.XLS][YES.XLS]A__9701A_OU_5"/>
      <sheetName val="2-1. 대비"/>
      <sheetName val="EL90"/>
      <sheetName val="내역단가"/>
      <sheetName val="WO"/>
      <sheetName val="비용"/>
      <sheetName val="선수금"/>
      <sheetName val="광양방향"/>
      <sheetName val="bm(CIcable)"/>
      <sheetName val="횡배수관집현황(2공구)"/>
      <sheetName val="제수_x0000__x0000__x0005_"/>
      <sheetName val="예산M2"/>
      <sheetName val="2.수량산출"/>
      <sheetName val="CAL."/>
      <sheetName val="BOX1"/>
      <sheetName val="항목별사⣓䒢뀠"/>
      <sheetName val="견적의뢰"/>
      <sheetName val="LG제품"/>
      <sheetName val="손익차9월2"/>
      <sheetName val="설계명세서 (장비)"/>
      <sheetName val="J直_x0000__x0000_"/>
      <sheetName val="삭제금지단가"/>
      <sheetName val="YES-T"/>
      <sheetName val="흄관수량"/>
      <sheetName val="입력변수"/>
      <sheetName val="주재료비"/>
      <sheetName val="설계요율"/>
      <sheetName val="4.전기"/>
      <sheetName val="단가대조"/>
      <sheetName val="유첨_x0005__x0000_"/>
      <sheetName val="INMD1198"/>
      <sheetName val="INFG1198"/>
      <sheetName val="일_x0007__x0006__x0003__x0004__x0007_"/>
      <sheetName val="견적대비 견적서"/>
      <sheetName val="5공철탑검토표"/>
      <sheetName val="4공철탑검토"/>
      <sheetName val="견적을지"/>
      <sheetName val="불변현금흐름표"/>
      <sheetName val="기타유틸리티설비"/>
      <sheetName val="Assumptions"/>
      <sheetName val="운동장 (2)"/>
      <sheetName val="현지검측내역"/>
      <sheetName val="구주,중아,CIS"/>
      <sheetName val="5"/>
      <sheetName val="값"/>
      <sheetName val="キ⩙"/>
      <sheetName val="PANEL 내역"/>
      <sheetName val="기초대가"/>
      <sheetName val="도장"/>
      <sheetName val="월별"/>
      <sheetName val="EQUIP LIST"/>
      <sheetName val="FAB4생산"/>
      <sheetName val="HVAC"/>
      <sheetName val="---FAB#1업무일지---"/>
      <sheetName val="S0"/>
      <sheetName val="ꠀ᪘"/>
      <sheetName val="Personnaliser..."/>
      <sheetName val="Takt Time"/>
      <sheetName val="010101"/>
      <sheetName val="96월별PL"/>
      <sheetName val="양식(직판용)"/>
      <sheetName val="수주추정"/>
      <sheetName val="대전21토목내역서"/>
      <sheetName val="TNC(1안)"/>
      <sheetName val="49-11g"/>
      <sheetName val="49-11H"/>
      <sheetName val="in"/>
      <sheetName val="말뚝설계"/>
      <sheetName val="입력자료"/>
      <sheetName val="토적계산서"/>
      <sheetName val="steam table"/>
      <sheetName val="BM"/>
      <sheetName val="별표집계"/>
      <sheetName val="05.18"/>
      <sheetName val="5.28"/>
      <sheetName val="FLANGE"/>
      <sheetName val="dwn"/>
      <sheetName val="PIPE(A)"/>
      <sheetName val="계화배수(3대)"/>
      <sheetName val="당초수문"/>
      <sheetName val="일"/>
      <sheetName val="한일양산"/>
      <sheetName val="표  지"/>
      <sheetName val="대비2"/>
      <sheetName val="b_balju-단가단가단가"/>
      <sheetName val="Tool"/>
      <sheetName val="1._x0018_변︀ᇕ԰"/>
      <sheetName val="설비공사"/>
      <sheetName val="교사기준면적(중)"/>
      <sheetName val="메뉴"/>
      <sheetName val="도담구내 개소별 명세"/>
      <sheetName val="대목"/>
      <sheetName val="06_BATCH "/>
      <sheetName val="combi(wall)"/>
      <sheetName val="부대공사"/>
      <sheetName val="b_sul"/>
      <sheetName val="감시제어"/>
      <sheetName val="목차임시"/>
      <sheetName val="선로의 %임피던스 "/>
      <sheetName val="을 2"/>
      <sheetName val="을 1"/>
      <sheetName val="전체-원가분리내역"/>
      <sheetName val="유리"/>
      <sheetName val="익산"/>
      <sheetName val="가격표"/>
      <sheetName val="건축외주"/>
      <sheetName val="시장성초안camera"/>
      <sheetName val="설비2차"/>
      <sheetName val="버스운행안姠"/>
      <sheetName val="버스운행안夸"/>
      <sheetName val="버스운행안哈"/>
      <sheetName val="버스운행안_x0005_"/>
      <sheetName val="3"/>
      <sheetName val="남경"/>
      <sheetName val="을지로철거"/>
      <sheetName val="조명_x0000__x0000_"/>
      <sheetName val="Result"/>
      <sheetName val="Á¤»ê¼¼ºÎ¹°·®1Â÷º헾⾌_x0005__x0000_"/>
      <sheetName val="원영국도내역"/>
      <sheetName val="차단용량계산서"/>
      <sheetName val="아파ᵷħ⪄"/>
      <sheetName val="공사비예산서"/>
      <sheetName val="09년실적"/>
      <sheetName val="중사"/>
      <sheetName val="국산화"/>
      <sheetName val="ARS"/>
      <sheetName val="도로구조공사비"/>
      <sheetName val="도로토공공사비"/>
      <sheetName val="여수토공사비"/>
      <sheetName val="(포장)BOQ-실적공사"/>
      <sheetName val="철거단가"/>
      <sheetName val="토공(우물통,기타)_2"/>
      <sheetName val="1_범위2"/>
      <sheetName val="2_편성2"/>
      <sheetName val="6_GAS2"/>
      <sheetName val="노임단가(08_01)2"/>
      <sheetName val="기성공문_(2)2"/>
      <sheetName val="철콘기성청구서_(2)2"/>
      <sheetName val="공종별집계표(건축)_(2)2"/>
      <sheetName val="형틀공사기성_(2)2"/>
      <sheetName val="조적기성청구서__2"/>
      <sheetName val="공종별집계표(조적)_2"/>
      <sheetName val="미장기성청구서_2"/>
      <sheetName val="공종별집계표(미장_방수)2"/>
      <sheetName val="하도급각서_(2)2"/>
      <sheetName val="하도급계좌입금의뢰서_2"/>
      <sheetName val="노임단가(08_01)"/>
      <sheetName val="기성공문_(2)"/>
      <sheetName val="철콘기성청구서_(2)"/>
      <sheetName val="공종별집계표(건축)_(2)"/>
      <sheetName val="형틀공사기성_(2)"/>
      <sheetName val="조적기성청구서__"/>
      <sheetName val="공종별집계표(조적)_"/>
      <sheetName val="미장기성청구서_"/>
      <sheetName val="공종별집계표(미장_방수)"/>
      <sheetName val="하도급각서_(2)"/>
      <sheetName val="하도급계좌입금의뢰서_"/>
      <sheetName val="토공(우물통,기타)_1"/>
      <sheetName val="1_범위1"/>
      <sheetName val="2_편성1"/>
      <sheetName val="6_GAS1"/>
      <sheetName val="노임단가(08_01)1"/>
      <sheetName val="기성공문_(2)1"/>
      <sheetName val="철콘기성청구서_(2)1"/>
      <sheetName val="공종별집계표(건축)_(2)1"/>
      <sheetName val="형틀공사기성_(2)1"/>
      <sheetName val="조적기성청구서__1"/>
      <sheetName val="공종별집계표(조적)_1"/>
      <sheetName val="미장기성청구서_1"/>
      <sheetName val="공종별집계표(미장_방수)1"/>
      <sheetName val="하도급각서_(2)1"/>
      <sheetName val="하도급계좌입금의뢰서_1"/>
      <sheetName val="관경별내역서"/>
      <sheetName val="상행-교대(A1-A2)"/>
      <sheetName val="7.수량산출"/>
      <sheetName val="6.수량계산"/>
      <sheetName val="7단가"/>
      <sheetName val="KSTAR-M"/>
      <sheetName val="폐토수익화_"/>
      <sheetName val="마산월령동골조물량변경"/>
      <sheetName val="자금청구서 19년 3월 -응암2구역 롯데.xlsm"/>
      <sheetName val="DATA(광속)"/>
      <sheetName val="측량요율"/>
      <sheetName val="도봉2지구"/>
      <sheetName val="규격"/>
      <sheetName val="수종"/>
      <sheetName val="깨기"/>
      <sheetName val="Parts"/>
      <sheetName val="Menu A"/>
      <sheetName val="맨홀공 수량집계표"/>
      <sheetName val="신호등일위대가"/>
      <sheetName val="정산내역"/>
      <sheetName val="변경ᛅ⾒_x0005_"/>
      <sheetName val="토목품셈"/>
      <sheetName val="집수정단"/>
      <sheetName val="주공 갑지"/>
      <sheetName val="AIR_SHOWER(3인용)1"/>
      <sheetName val="조도계산서_(도서)1"/>
      <sheetName val="5_"/>
      <sheetName val="12_"/>
      <sheetName val="14_"/>
      <sheetName val="7_"/>
      <sheetName val="8_"/>
      <sheetName val="10_"/>
      <sheetName val="추천서"/>
      <sheetName val="설계변경내역"/>
      <sheetName val="M5_S"/>
      <sheetName val="M6_S"/>
      <sheetName val="SRAM_CHIP"/>
      <sheetName val="SRAM_생산"/>
      <sheetName val="YLD"/>
      <sheetName val="라멘교일반수량"/>
      <sheetName val="타견적(을)"/>
      <sheetName val="기성내역(건축)"/>
      <sheetName val="5.1단가조사"/>
      <sheetName val="배수설비"/>
      <sheetName val="표준ፙ렀ᑟ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15.공량산출근거서"/>
      <sheetName val="교각토공"/>
      <sheetName val="data_dci"/>
      <sheetName val="data_mci"/>
      <sheetName val="behind"/>
      <sheetName val="일위집계"/>
      <sheetName val="2.노무비명세서(수직보_x0005__x0000_"/>
      <sheetName val="2.노무비명세서(수직보丵⿰_x0005_"/>
      <sheetName val="2_노무비명세서(수직보垰7埼"/>
      <sheetName val="2_노무비명세서(수직보"/>
      <sheetName val="2_노무비명세서(수직보丵⿰"/>
      <sheetName val="설계내역2"/>
      <sheetName val="유첨헾】"/>
      <sheetName val="Picture"/>
      <sheetName val="철탑공사"/>
      <sheetName val="가설경비"/>
      <sheetName val="시점부교대"/>
      <sheetName val="48전력선_x0002__x0000_㣸"/>
      <sheetName val="내역서(사업소)"/>
      <sheetName val="유역면적"/>
      <sheetName val="펌프장수량ԯ_x0000_缀_x0000__x0000_"/>
      <sheetName val="o현장경비"/>
      <sheetName val="OPG_x0005__x0000__x0000_"/>
      <sheetName val="항목등록"/>
      <sheetName val="일대-1"/>
      <sheetName val="종료분석"/>
      <sheetName val="중질쓰레기"/>
      <sheetName val="구분"/>
      <sheetName val="정보(MCC)"/>
      <sheetName val="##내역서##"/>
      <sheetName val="판매46"/>
      <sheetName val="재료-CODE"/>
      <sheetName val="9.2단가산출서"/>
      <sheetName val="손료"/>
      <sheetName val="관급자재대"/>
      <sheetName val="재료할증"/>
      <sheetName val="계정과목"/>
      <sheetName val="1.산출근거"/>
      <sheetName val="토공대비"/>
      <sheetName val="-몰탈콘크리트"/>
      <sheetName val="-배수구조물공토공"/>
      <sheetName val="횡배수관재료-"/>
      <sheetName val="계산서(직선부)"/>
      <sheetName val="콘크리트측구연장"/>
      <sheetName val="직원투입계획"/>
      <sheetName val="N閞㋁"/>
      <sheetName val="각종양식"/>
      <sheetName val="사진대지"/>
      <sheetName val="특수조명기구 단가조사서"/>
      <sheetName val="1층"/>
      <sheetName val="상수도토공_x0005__x0000_"/>
      <sheetName val="설직재0_x0000_"/>
      <sheetName val="설직재餀㒘"/>
      <sheetName val="설정"/>
      <sheetName val="VA_x0000__x0000__x0005_"/>
      <sheetName val="VA橂⼸_x0005_"/>
      <sheetName val="평당자료"/>
      <sheetName val="96_x0005__x0000_ø"/>
      <sheetName val="교통惨У԰_x0000_"/>
      <sheetName val="6.¾㉀ᩴ蛀"/>
      <sheetName val="예산조서-총ԯ"/>
      <sheetName val="예산조서-총頀"/>
      <sheetName val="1~6 설계조건...."/>
      <sheetName val="°ø±¸¼Õ·_x0000_"/>
      <sheetName val="변경사항"/>
      <sheetName val="통합내역서(소방기계)"/>
      <sheetName val="통합내역서(소방전기)"/>
      <sheetName val="1.내역서(펌프실 소화전)"/>
      <sheetName val="1.산출서"/>
      <sheetName val="1.관련근거"/>
      <sheetName val="1.관련도면"/>
      <sheetName val="2.내역서(연결송수구,대피공간 보온)"/>
      <sheetName val="2.산출서"/>
      <sheetName val="2.관련근거"/>
      <sheetName val="2.관련도면"/>
      <sheetName val="3.내역서(주민공동시설SP)"/>
      <sheetName val="3.산출서"/>
      <sheetName val="3.관련근거"/>
      <sheetName val="3.관련도면"/>
      <sheetName val="4.내역서(동파방지열선추가)"/>
      <sheetName val="4.산출서"/>
      <sheetName val="4.관련근거"/>
      <sheetName val="4.관련도면"/>
      <sheetName val="5.내역서(세대금속후렉시블 정산, 비상방송 스위치 추가)"/>
      <sheetName val="5.산출서"/>
      <sheetName val="5.관련근거"/>
      <sheetName val="1.방송내역서(감압변추가)"/>
      <sheetName val="1.방송산출서"/>
      <sheetName val="1.방송관련근거"/>
      <sheetName val="1.방송관련도면"/>
      <sheetName val="2.방송내역서(소화전정산)"/>
      <sheetName val="2.방송산출서"/>
      <sheetName val="2.방송관련도면"/>
      <sheetName val="3.방송내역서(SP추가)"/>
      <sheetName val="3.방송산출서"/>
      <sheetName val="3.방송관련근거"/>
      <sheetName val="3.방송관련도면"/>
      <sheetName val="4.방송내역서(청정가스)"/>
      <sheetName val="4.방송산출서"/>
      <sheetName val="4.방송관련근거"/>
      <sheetName val="4.방송관련도면"/>
      <sheetName val="5.방송내역서(자탐추가)"/>
      <sheetName val="5.방송산출서"/>
      <sheetName val="5.방송관련근거"/>
      <sheetName val="5.방송관련도면"/>
      <sheetName val="6.방송내역서(방송추가)"/>
      <sheetName val="6.방송산출서"/>
      <sheetName val="6.방송관련도면"/>
      <sheetName val="1.판매내역서(방송AMP추가)"/>
      <sheetName val="1.판매산출서"/>
      <sheetName val="1.판매관련도면"/>
      <sheetName val="신규단가검토(기계)"/>
      <sheetName val="근거자료(1)"/>
      <sheetName val="신규단가검토(전기)"/>
      <sheetName val="근거자료(2)"/>
      <sheetName val="시공사진"/>
      <sheetName val="시공사진 (2)"/>
      <sheetName val="검토자료(1)"/>
      <sheetName val="X-내역서(기판매)"/>
      <sheetName val="X-내역서(기방송)"/>
      <sheetName val="X-내역서(전방송)"/>
      <sheetName val="X-내역서(전판매)"/>
      <sheetName val="X-산출서(전방송)"/>
      <sheetName val="X-산출서(기방송)"/>
      <sheetName val="X-산출서(전주거)"/>
      <sheetName val="X-산출서"/>
      <sheetName val="X-산출서(전판매)"/>
      <sheetName val="22수"/>
      <sheetName val="22단"/>
      <sheetName val="49단"/>
      <sheetName val="변류기선정표"/>
      <sheetName val="MOF비율계산"/>
      <sheetName val="전기실접지계산예"/>
      <sheetName val="용도별접지선굵기"/>
      <sheetName val="세대부하"/>
      <sheetName val="MCCB선정(구)"/>
      <sheetName val="수용률(분양주택 단상)"/>
      <sheetName val="수용률"/>
      <sheetName val="부하설비용량추정"/>
      <sheetName val="동력부하산정예시"/>
      <sheetName val="동력부하"/>
      <sheetName val="차단기(내규)"/>
      <sheetName val="전동기용량스캔자료"/>
      <sheetName val="전동기용량380V(구)"/>
      <sheetName val="전동기용량220V380V(구)내규"/>
      <sheetName val="전동기용량220V(구)세로"/>
      <sheetName val="전동기용량220V(구)가로"/>
      <sheetName val="허용전류(CV,FR8)LADDER"/>
      <sheetName val="허용전류(CV,FR8)PUNCHED"/>
      <sheetName val="집합감소계수(일반)"/>
      <sheetName val="허용전류(HIV)-A1"/>
      <sheetName val="허용전류(HIV)-B1"/>
      <sheetName val="허용전류(가설)"/>
      <sheetName val="케이블허용전류(내선)"/>
      <sheetName val="다산허용전류"/>
      <sheetName val="동력분전반부하계산"/>
      <sheetName val="허용전류CV(구)"/>
      <sheetName val="허용전류FR-8(구)"/>
      <sheetName val="발전기연결부하"/>
      <sheetName val="BD전압강하"/>
      <sheetName val="쓰레기장비"/>
      <sheetName val="설비불평형률"/>
      <sheetName val="주차관제부하"/>
      <sheetName val="타설계실기준"/>
      <sheetName val="고압등기구시동전류"/>
      <sheetName val="가정용전기기기"/>
      <sheetName val="분당ELEV"/>
      <sheetName val="간선계산서"/>
      <sheetName val="임시동력간선계산서(약식)"/>
      <sheetName val="임시동력간선계산서양식"/>
      <sheetName val="저압반트레이계산(STN)"/>
      <sheetName val="저압반트레이계산(STN)(2)"/>
      <sheetName val="약전트레이(STN)mm2"/>
      <sheetName val="약전트레이(STN)mm"/>
      <sheetName val="DATA(HIV)"/>
      <sheetName val="DATA(GV)"/>
      <sheetName val="DATA(CV,FR-8)"/>
      <sheetName val="DATA(FR-3)"/>
      <sheetName val="DATA(CVV)"/>
      <sheetName val="MCC-DATA"/>
      <sheetName val="산출조서"/>
      <sheetName val="4.포장집계"/>
      <sheetName val="건축설비"/>
      <sheetName val="검토"/>
      <sheetName val="역T형교대栄⿇_x0000__x0000_庨_x0000_"/>
      <sheetName val="역T형교대栄⿇_x0000__x0000__x0000_"/>
      <sheetName val="골조물량"/>
      <sheetName val="MATRLDATA"/>
      <sheetName val="견적집계표"/>
      <sheetName val="자재co"/>
      <sheetName val="Set"/>
      <sheetName val="물량 산출 통신 맨홀"/>
      <sheetName val="ÃÑÁý°ø_x0000_Ԁ"/>
      <sheetName val="관䈀"/>
      <sheetName val="정류기"/>
      <sheetName val="공사설명서"/>
      <sheetName val="공사계획서"/>
      <sheetName val="제-_x0005__x0000_"/>
      <sheetName val="재료집_x0000_"/>
      <sheetName val="2공구하도䴃ᝎ䀁踢"/>
      <sheetName val="2공구하도԰_x0000__x0000__x0000_"/>
      <sheetName val="2공구하도_x0000__x0000_砀㞃"/>
      <sheetName val="2공구하도Ⰰ뱆_x0001_冧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exec"/>
      <sheetName val="IPS0823"/>
      <sheetName val="신청서"/>
      <sheetName val="견적서갑지연속"/>
      <sheetName val="울산자동제어"/>
      <sheetName val="조직"/>
      <sheetName val="사업분석"/>
      <sheetName val="물량산출근거 수정 최종검토"/>
      <sheetName val="배수관공"/>
      <sheetName val="수자재단위당"/>
      <sheetName val="의჉_x0000_쀀"/>
      <sheetName val="호남2"/>
      <sheetName val="사각맨䠓"/>
      <sheetName val="1공구내역서(1)"/>
      <sheetName val="이음개소"/>
      <sheetName val="강재 수량"/>
      <sheetName val="6-4.1일위대가목록"/>
      <sheetName val="코드관리"/>
      <sheetName val="포장공사"/>
      <sheetName val="현장일반사항"/>
      <sheetName val="용집"/>
      <sheetName val="심의대상"/>
      <sheetName val="진행 DATA (2)"/>
      <sheetName val="외화계약"/>
      <sheetName val="ༀༀ̀ఀЀ"/>
      <sheetName val="N0_x0000_"/>
      <sheetName val="수정"/>
      <sheetName val="cost9702"/>
      <sheetName val="PROJECT BRIEF(EX.NEW)"/>
      <sheetName val="검사조怀"/>
      <sheetName val="검사조ԯ"/>
      <sheetName val="검사조砀"/>
      <sheetName val="검사조⠀"/>
      <sheetName val="검사조瀀"/>
      <sheetName val="현장식당(1)"/>
      <sheetName val="우석문틀"/>
      <sheetName val="206 무장,정비 장비용량 산출"/>
      <sheetName val="노임 단가"/>
      <sheetName val="펌프장수량䈀嵪ԯ_x0000_缀"/>
      <sheetName val="펌프장수량㔀቎԰_x0000_缀"/>
      <sheetName val="N︀軕"/>
      <sheetName val="음료실행"/>
      <sheetName val="FWBS7000,8000"/>
      <sheetName val="ANALYSER"/>
      <sheetName val="ring wall thickness"/>
      <sheetName val="공정표(전체)"/>
      <sheetName val="평균물량산출서"/>
      <sheetName val="실행단가철(ems코드적용)"/>
      <sheetName val="[YES.XLS][YES.XLS]A__9701A_OU_8"/>
      <sheetName val="우수맨홀토공단위수량"/>
      <sheetName val="Equipment"/>
      <sheetName val="6.OUTPUT"/>
      <sheetName val="CWP"/>
      <sheetName val="BEQ내역"/>
      <sheetName val="소방일위 "/>
      <sheetName val="방송일위대가"/>
      <sheetName val="준공내역서(을)"/>
      <sheetName val="결과"/>
      <sheetName val="물량산출"/>
      <sheetName val="2004상반기"/>
      <sheetName val="조정율"/>
      <sheetName val="산출-설비"/>
      <sheetName val="차선도색수량집계"/>
      <sheetName val="제일"/>
      <sheetName val="사전공헾"/>
      <sheetName val="사전공颙"/>
      <sheetName val="49단_x0005_"/>
      <sheetName val="49단煀"/>
      <sheetName val="1,2,3,4,5단위수량"/>
      <sheetName val="암거 제원표-1단계"/>
      <sheetName val="커튼월(pfg)"/>
      <sheetName val="J__LOTUS_9605P_BB_C_BD_OUT_YE_2"/>
      <sheetName val="공비대䠛"/>
      <sheetName val="손료기준-공사부구두문의"/>
      <sheetName val="ꢭ፺"/>
      <sheetName val="Nက_x0000_"/>
      <sheetName val="³ëÀ_x001f_"/>
      <sheetName val="Oper_Amount"/>
      <sheetName val="자재_단가표"/>
      <sheetName val="대우단가(풍산)"/>
      <sheetName val="ES조서출력하기"/>
      <sheetName val="9.2.3 각 실별 조도계산(3단계)"/>
      <sheetName val="총괄BOQ"/>
      <sheetName val="°¡·Îµî耀퓬縺"/>
      <sheetName val="°¡·Îµî⸀朋ԯ_x0000_缀_x0000_"/>
      <sheetName val="__"/>
      <sheetName val="토공A1"/>
      <sheetName val="부분별수량산출(조합기초)"/>
      <sheetName val="DATE2001"/>
      <sheetName val="좌측"/>
      <sheetName val="견적대비(1차) (2)"/>
      <sheetName val="방송(체육관)"/>
      <sheetName val="전신환매도洸"/>
      <sheetName val="전신환매도永"/>
      <sheetName val="전신환매도欸"/>
      <sheetName val="ࠀ᎚"/>
      <sheetName val="패널"/>
      <sheetName val="960318-1"/>
      <sheetName val="sum"/>
      <sheetName val="F5"/>
      <sheetName val="#1환기구수량산출근거"/>
      <sheetName val="가동비율"/>
      <sheetName val="Tiburon"/>
      <sheetName val="3.상가"/>
      <sheetName val="mesc"/>
      <sheetName val="재1"/>
      <sheetName val="I.일위대가목차"/>
      <sheetName val="수리계산(2021)"/>
      <sheetName val="000"/>
      <sheetName val="100"/>
      <sheetName val="본사업"/>
      <sheetName val="4.  단락전류의 계산"/>
      <sheetName val="허용전류-IEC"/>
      <sheetName val="참조(X)"/>
      <sheetName val="유화"/>
      <sheetName val="PumpSpec"/>
      <sheetName val="토공2"/>
      <sheetName val="ÀÔ낼㝗ﰀ㝗"/>
      <sheetName val="10.Ã¶丵⾥_x0005__x0000__x0000_"/>
      <sheetName val="ÀÔԀ_x0000_缀_x0000_"/>
      <sheetName val="Á¶µµ°è»ê¼­ (헾⼵_x0005__x0000_"/>
      <sheetName val="10.Ã¶堨û丵⽏_x0005__x0000_"/>
      <sheetName val="Á¶µµ°è»ê¼­ (堨û丵⽏_x0005_"/>
      <sheetName val="10_Ã¶丵⾥"/>
      <sheetName val="10_Ã¶堨û丵⽏"/>
      <sheetName val="Á¶µµ°è»ê¼­_(堨û丵⽏"/>
      <sheetName val="Á¶µµ°è»ê¼­_(헾⼵"/>
      <sheetName val="&lt;--"/>
      <sheetName val="4.고용보험"/>
      <sheetName val="1._x0018_변԰_x0000__x0000_"/>
      <sheetName val="1._x0018_변ԯ_x0000_缀"/>
      <sheetName val="DEVI."/>
      <sheetName val="U.C."/>
      <sheetName val="접지뀀Ῥ"/>
      <sheetName val="재료비내역서"/>
      <sheetName val="빙100장비사양"/>
      <sheetName val="수습"/>
      <sheetName val="견적2001(1분기)"/>
      <sheetName val="접지耀⧞"/>
      <sheetName val="접지_x0000__x0000_"/>
      <sheetName val="접지쀀ᗡ"/>
      <sheetName val="CA_x0000__x0000_"/>
      <sheetName val="³²¾ç½ÃÀÛµ¿ÀÚ105³ë65_x0000__x0000_Ԁ_x0000__x0000_贈_x0002__x0000__x0000__x0000_"/>
      <sheetName val="천마갑지"/>
      <sheetName val="Piping Cost"/>
      <sheetName val="위치�ᢘ"/>
      <sheetName val="Ⅱ1-0타"/>
      <sheetName val="POOM_MOTO2"/>
      <sheetName val="123"/>
      <sheetName val="공사비내역 p1"/>
      <sheetName val="일위대가표(DEEP)"/>
      <sheetName val="관정비교"/>
      <sheetName val="견적보고"/>
      <sheetName val="DAF-1"/>
      <sheetName val="48단가"/>
      <sheetName val="일별 투입 현황(형틀,철근)"/>
      <sheetName val="공사원가계산蚘_x0013_"/>
      <sheetName val="YES_XLS"/>
      <sheetName val="design_criteria1"/>
      <sheetName val="plan&amp;section_of_foundation1"/>
      <sheetName val="General_Data1"/>
      <sheetName val="설산1_나1"/>
      <sheetName val="일위대가표_(2)1"/>
      <sheetName val="2F_회의실견적(5_14_일대)1"/>
      <sheetName val="YES_XLS1"/>
      <sheetName val="unit_41"/>
      <sheetName val="1_설계조건1"/>
      <sheetName val="5호광장_(만점)1"/>
      <sheetName val="인천국제_(만점)_(2)1"/>
      <sheetName val="설_계1"/>
      <sheetName val="Sheet1_(2)1"/>
      <sheetName val="단면_(2)1"/>
      <sheetName val="외주대비_-석축1"/>
      <sheetName val="외주대비-구조물_(2)1"/>
      <sheetName val="견적표지_(3)1"/>
      <sheetName val="1_설계기준1"/>
      <sheetName val="3_공통공사대비1"/>
      <sheetName val="90_03실행_1"/>
      <sheetName val="96보완계획7_121"/>
      <sheetName val="6PILE__(돌출)1"/>
      <sheetName val="º¹±¸·®»êÁ¤_¹×_Àü¿ëÈ¸¼±_»ç¿ë1"/>
      <sheetName val="4¿ù_½ÇÀûÃßÁ¤(°ÇÃà+Åä¸ñ)1"/>
      <sheetName val="4¿ù_½ÇÀûÃßÁ¤(°ÇÃà)1"/>
      <sheetName val="원가계산서_(총괄)1"/>
      <sheetName val="원가계산서_(건축)1"/>
      <sheetName val="임시급식_(2)1"/>
      <sheetName val="Summary_Sheets1"/>
      <sheetName val="ITB_COST1"/>
      <sheetName val="전차선로_물량표1"/>
      <sheetName val="TRE_TABLE1"/>
      <sheetName val="2000,9월_일위1"/>
      <sheetName val="CABLE_SIZE-31"/>
      <sheetName val="2000_11¿ù¼³°è³»¿ª1"/>
      <sheetName val="Àü¼±_¹×_Àü¼±°ü1"/>
      <sheetName val="ÁØ°Ë_³»¿ª¼­1"/>
      <sheetName val="¼ö¸ñµ¥ÀÌÅ¸_1"/>
      <sheetName val="º¯¾Ð±â_¹×_¹ßÀü±â_¿ë·®1"/>
      <sheetName val="1_¼öÀÎÅÍ³Î1"/>
      <sheetName val="단__가__대__비__표1"/>
      <sheetName val="일__위__대__가__목__록1"/>
      <sheetName val="1공구_건정토건_토공1"/>
      <sheetName val="1_¼öº¯Àü¼³ºñ1"/>
      <sheetName val="2_대외공문1"/>
      <sheetName val="2006기계䈌ᅪ԰_x0000_缀"/>
      <sheetName val="단가 산출서(산근#1~#102)"/>
      <sheetName val="교량현황"/>
      <sheetName val="철콘"/>
      <sheetName val="말고개터널조명전압강⣓"/>
      <sheetName val="수목데이타"/>
      <sheetName val="구조물철거집계 "/>
      <sheetName val="Á¤»ê¼¼ºÎ¹°·®1Â÷_x0005__x0000__x0000__x0000__x0000_"/>
      <sheetName val="교통표지"/>
      <sheetName val="5지구단위"/>
      <sheetName val="목공사품의서"/>
      <sheetName val="esc(건축)"/>
      <sheetName val="옥룡잡비"/>
      <sheetName val="단가LIST"/>
      <sheetName val="고창터널(딈㩧0_x0000_"/>
      <sheetName val="고창터널(딈㩧0_x0000_㠀"/>
      <sheetName val="고창터널(딊㩧0_x0000_ꀀ"/>
      <sheetName val="고창터널(堌᬴怀䚴딊"/>
      <sheetName val="고창터널(堌᬴堀Ỷ딉"/>
      <sheetName val="Æ¯º°±³擀睈"/>
      <sheetName val="포Ԁ_x0000_"/>
      <sheetName val="설계塸"/>
      <sheetName val="식재일위"/>
      <sheetName val="계장 품셈표"/>
      <sheetName val="목록표"/>
      <sheetName val="전체공사"/>
      <sheetName val="RESOURCE"/>
      <sheetName val="금액결醐"/>
      <sheetName val="직공悲"/>
      <sheetName val="기본⦆԰_x0000_"/>
      <sheetName val="LD쀀"/>
      <sheetName val="9GNG¬_x0000_"/>
      <sheetName val="약廛袘"/>
      <sheetName val="9GNG肬쿟"/>
      <sheetName val="공사기초자료"/>
      <sheetName val="회사기초자료"/>
      <sheetName val="VXXXXXX"/>
      <sheetName val="잡비"/>
      <sheetName val="배수공 내역서 적용수량"/>
      <sheetName val="금액결헾"/>
      <sheetName val="역공종"/>
      <sheetName val="수량산출(2공구)"/>
      <sheetName val="수량산출 (3공구)"/>
      <sheetName val="수안보-_x0000__x0000_嘠_x0000_"/>
      <sheetName val="총괄수량집계"/>
      <sheetName val="종합기︀"/>
      <sheetName val="가정급수관"/>
      <sheetName val="일위대가목_x0000_"/>
      <sheetName val="일위대가목堀"/>
      <sheetName val="º¹±¸·®»êÁ¤ ¹×׃⾅_x0000__x0000_䎸_x0000__x0000__x0000_姀_x001c__x0000__x0000_"/>
      <sheetName val="º¹±¸·®»êÁ¤ ¹×׃⾅_x0000__x0000_ᯐ_x0000__x0000__x0000_姀_x001c__x0000__x0000_"/>
      <sheetName val="MORTAR생산및타설(1;3)"/>
      <sheetName val="제노임"/>
      <sheetName val="관급단가"/>
      <sheetName val="일반동력(380V)"/>
      <sheetName val="단가조정표"/>
      <sheetName val="4-7.중앙전기실(노임단가)"/>
      <sheetName val="[YES.XLS][YES.XLS]A__9701A_O_10"/>
      <sheetName val="[YES.XLS][YES.XLS]A__9701A_OU_9"/>
      <sheetName val="[YES.XLS][YES.XLS]A__9701A_O_12"/>
      <sheetName val="[YES.XLS][YES.XLS]A__9701A_O_11"/>
      <sheetName val="[YES.XLS][YES.XLS]A__9701A_O_13"/>
      <sheetName val="광양 3기 유입수"/>
      <sheetName val="간접총괄"/>
      <sheetName val="몰탈콘크리트"/>
      <sheetName val="철근집계"/>
      <sheetName val="산근1,2"/>
      <sheetName val="일위(수원)"/>
      <sheetName val="????"/>
      <sheetName val="설비사고 "/>
      <sheetName val="용역단가"/>
      <sheetName val="실링"/>
      <sheetName val="14년 개대체 부서별 예산"/>
      <sheetName val="y자관"/>
      <sheetName val="하도계약반영"/>
      <sheetName val="입상내역"/>
      <sheetName val="가락화장을지"/>
      <sheetName val="대비표(토공1안)"/>
      <sheetName val="C4-CheckList"/>
      <sheetName val="STAND20"/>
      <sheetName val="M-103,6"/>
      <sheetName val="M-104"/>
      <sheetName val="Toilet 1F01"/>
      <sheetName val="Toilet 1F03"/>
      <sheetName val="배관"/>
      <sheetName val="Du toan"/>
      <sheetName val="Quantity"/>
      <sheetName val="Keothep"/>
      <sheetName val="Re-bar"/>
      <sheetName val="보온 회사분"/>
      <sheetName val="기별"/>
      <sheetName val="금액내_x0005__x0000_"/>
      <sheetName val="의왕㣀㚰"/>
      <sheetName val="단위?ὗ␀"/>
      <sheetName val="실頀▀?"/>
      <sheetName val="도급처리스트"/>
      <sheetName val="±◨̭벬"/>
      <sheetName val="품목단가"/>
      <sheetName val="Tenants"/>
      <sheetName val="(4-2)열관류값-2"/>
      <sheetName val="산정기준"/>
      <sheetName val="LOADS"/>
      <sheetName val="계측기"/>
      <sheetName val="FOB발"/>
      <sheetName val="말고개터넑조명전압강하"/>
      <sheetName val="TEST1"/>
      <sheetName val="기계내역서"/>
      <sheetName val="PVC 판"/>
      <sheetName val="Corrib Haz"/>
      <sheetName val="갑지(_x0000__x0000_Ԁ"/>
      <sheetName val="목동1절주.bh0"/>
      <sheetName val="General DaS_x0000_"/>
      <sheetName val="BQ List"/>
      <sheetName val="2007일_x0000__x0000_"/>
      <sheetName val="하도급선정의뢰وᨢ셈ˎꚈÝ衐"/>
      <sheetName val="감액ቀ԰"/>
      <sheetName val="버스운䃸〒_x0005_"/>
      <sheetName val="감액⚁︀"/>
      <sheetName val="5.모델링"/>
      <sheetName val="¿ø°¡"/>
      <sheetName val="청주-교대(A1)"/>
      <sheetName val="OVERALL CURVE"/>
      <sheetName val="수지예산"/>
      <sheetName val="conclusion"/>
      <sheetName val="comparables"/>
      <sheetName val="Deduction"/>
      <sheetName val="other"/>
      <sheetName val="B×a"/>
      <sheetName val="동원인钘C떰"/>
      <sheetName val="작업내역"/>
      <sheetName val="관로토공"/>
      <sheetName val="우수관"/>
      <sheetName val="지선량"/>
      <sheetName val="코드일람표"/>
      <sheetName val="당초토량산출서"/>
      <sheetName val="공문(신)"/>
      <sheetName val="노임조서"/>
      <sheetName val="직접경비호표"/>
      <sheetName val="검수고1-1층"/>
      <sheetName val="ÃÑ³_x0000__x0000_Ԁ_x0000_䀀"/>
      <sheetName val="ÃÑ³_x0000__x0000_Ԁ_x0000__x0000_"/>
      <sheetName val="토량산출쀀"/>
      <sheetName val="토량산출䀀"/>
      <sheetName val="공통"/>
      <sheetName val="전도품의"/>
      <sheetName val="비용적자료"/>
      <sheetName val="원가&amp;하도급원가"/>
      <sheetName val="3.1주형보(수직)"/>
      <sheetName val="콘크리트타설집계표"/>
      <sheetName val="A4"/>
      <sheetName val="집수정수량총집계"/>
      <sheetName val="배수장토목공사비"/>
      <sheetName val="토공수량산출"/>
      <sheetName val="견적계산"/>
      <sheetName val="건설손익"/>
      <sheetName val="_____pc_________D__Min_pro____2"/>
      <sheetName val="48신설단가"/>
      <sheetName val="Steam-Sys"/>
      <sheetName val="TOTAL인원"/>
      <sheetName val="설치 일위대가(46~԰"/>
      <sheetName val="견적을"/>
      <sheetName val="단가최종"/>
      <sheetName val="INTRO.(X)"/>
      <sheetName val="crude.SLAB RE-bar"/>
      <sheetName val="8. _x0005_"/>
      <sheetName val="REACTION芨.헾⿁_x0005_"/>
      <sheetName val="³²¾ç½ÃÀÛµ¿ÀÚ105³ë65±"/>
      <sheetName val="2.노무비명세서(수직보_x0005_"/>
      <sheetName val="48전력선_x0002_"/>
      <sheetName val="펌프장수량ԯ"/>
      <sheetName val="하도급선정의뢰唈_x001f_ᛅ⾠_x0005_"/>
      <sheetName val="하도급선정의뢰ᛅ⼝_x0005_"/>
      <sheetName val="공사별 가중치0"/>
      <sheetName val="간접재료비산출표-27-30"/>
      <sheetName val="목공(안채)"/>
      <sheetName val="관급_File"/>
      <sheetName val="◀암거수리계산조서"/>
      <sheetName val="RM목표&amp;실적"/>
      <sheetName val="경율산정.XLS"/>
      <sheetName val="예산조서"/>
      <sheetName val="수량산출(1)"/>
      <sheetName val="산출금액내역"/>
      <sheetName val="수량산출(본전화)"/>
      <sheetName val="신설개소별 총집계표(동해-배전)"/>
      <sheetName val="안평역사 총집계"/>
      <sheetName val="48신설일위대가"/>
      <sheetName val="철거일위대가"/>
      <sheetName val="수량집계 (2)"/>
      <sheetName val="자재구매"/>
      <sheetName val="기계경비시ᛅ⾆_x0005__x0000__x0000_"/>
      <sheetName val="일위대가목록표"/>
      <sheetName val="GiaVL"/>
      <sheetName val="배수공수집"/>
      <sheetName val="3지구단위"/>
      <sheetName val="항목별내_xdee0_⪏"/>
      <sheetName val="항목별내賐⪏"/>
      <sheetName val="항목별내㳏"/>
      <sheetName val="항목별내"/>
      <sheetName val="항목별내賐涙"/>
      <sheetName val="원가계산서(총괄)"/>
      <sheetName val="원가계산서(전기)"/>
      <sheetName val="원가계산서(소방)"/>
      <sheetName val="공종별집계표(총괄)"/>
      <sheetName val="원가계산서(공종별)"/>
      <sheetName val="원가계산서(공종별-전기,소방 분리)"/>
      <sheetName val="공종별집계표(전기)"/>
      <sheetName val="공종별집계표(소방)"/>
      <sheetName val="노임근거"/>
      <sheetName val="목록별산출서"/>
      <sheetName val="TRAY집계 (2)"/>
      <sheetName val="TRAY-근거 (2)"/>
      <sheetName val="제트팬집계표"/>
      <sheetName val="제트팬"/>
      <sheetName val="터널조명집계"/>
      <sheetName val="전등근거"/>
      <sheetName val="케이블(함양)"/>
      <sheetName val="케이블(울산)"/>
      <sheetName val="등기구"/>
      <sheetName val="접속재"/>
      <sheetName val="사갱조명집계"/>
      <sheetName val="전등근거 (2)"/>
      <sheetName val="케이블(함양) (2)"/>
      <sheetName val="등기구 (2)"/>
      <sheetName val="접속재 (2)"/>
      <sheetName val="4-1.비상경보설비공사 집계표"/>
      <sheetName val="4-2.비상경보설비공사"/>
      <sheetName val="5-1.비상콘센트설비공사 집계표"/>
      <sheetName val="5-2.비상콘센트설비공사"/>
      <sheetName val="6-1.표지등설비공사 집계표"/>
      <sheetName val="6-2.표지등설비공사"/>
      <sheetName val="7-1.시선유도등설비공사 집계표"/>
      <sheetName val="7-2.시선유도등설비공사"/>
      <sheetName val="산출집계 (2)"/>
      <sheetName val="목록별산출서 (2)"/>
      <sheetName val="옥외공동구 산출집계"/>
      <sheetName val="옥외공동구 산출서"/>
      <sheetName val="관리동 산출집계"/>
      <sheetName val="관리동 산출서"/>
      <sheetName val="환기소2 산출집계"/>
      <sheetName val="환기소2 산출서"/>
      <sheetName val="한전공사비"/>
      <sheetName val="통계연보"/>
      <sheetName val="가로등산출서 (작업1)"/>
      <sheetName val="신호등"/>
      <sheetName val="미관등"/>
      <sheetName val="철근집계표"/>
      <sheetName val="LH3 동양시스템"/>
      <sheetName val="여주,이천(명세)"/>
      <sheetName val="N¬_x0000_"/>
      <sheetName val="J__LOTUS_9605P_BB_C_BD_OUT_YE_3"/>
      <sheetName val="일대목차"/>
      <sheetName val="48단"/>
      <sheetName val="일 위 대 가 표"/>
      <sheetName val="산출1"/>
      <sheetName val="회사명"/>
      <sheetName val="주요량(96)"/>
      <sheetName val="코드일람표2001년10월"/>
      <sheetName val="µ¿¿ø(_x0000__x0000_"/>
      <sheetName val="설계예산2"/>
      <sheetName val="Opening"/>
      <sheetName val="산출기준"/>
      <sheetName val="98'자재"/>
      <sheetName val="DB@Acess"/>
      <sheetName val="공정율"/>
      <sheetName val="Bld App and perf"/>
      <sheetName val="cM9"/>
      <sheetName val="iM1"/>
      <sheetName val="Nand"/>
      <sheetName val="cM9p"/>
      <sheetName val="iM1p"/>
      <sheetName val="Nandp"/>
      <sheetName val="CABLE DATA"/>
      <sheetName val="TTL"/>
      <sheetName val="DESIGN"/>
      <sheetName val="S鮲"/>
      <sheetName val="CAP"/>
      <sheetName val="Var."/>
      <sheetName val="정리"/>
      <sheetName val="R"/>
      <sheetName val="dV&amp;Cl"/>
      <sheetName val="Index "/>
      <sheetName val="F-Overhead"/>
      <sheetName val="Tot Direct Sum"/>
      <sheetName val="Direct Sum-R"/>
      <sheetName val="Direct Sum-N"/>
      <sheetName val="Cost bd-&quot;B&quot;"/>
      <sheetName val="Fuel Expense"/>
      <sheetName val="00-R-0038"/>
      <sheetName val="rate"/>
      <sheetName val="Á¤Ⴛêº¹±¸·®"/>
      <sheetName val="[YES.XLS][YES.XLS]A__9701A_O_14"/>
      <sheetName val="재무가정"/>
      <sheetName val="건물현황"/>
      <sheetName val="부재리스트"/>
      <sheetName val="총괄지출"/>
      <sheetName val="자재운반단가일람표"/>
      <sheetName val="제낼㝗"/>
      <sheetName val="[YES.XLS][YES.XLS]A__9701A_O_15"/>
      <sheetName val="[YES.XLS][YES.XLS]A__9701A_O_16"/>
      <sheetName val="[YES.XLS][YES.XLS]A__9701A_O_17"/>
      <sheetName val="[YES.XLS][YES.XLS]A__9701A_O_18"/>
      <sheetName val="가ׇ_x0000_缀"/>
      <sheetName val="가頀㒅_xdc00_"/>
      <sheetName val="가堀ᮀ鰀"/>
      <sheetName val="가㠀≾簀"/>
      <sheetName val="가︀㿕ԯ"/>
      <sheetName val="가ﻇ㿕ԯ"/>
      <sheetName val="가ﻇ峕ԯ"/>
      <sheetName val="가죇㙿ఀ"/>
      <sheetName val="가䆃Ⰰ"/>
      <sheetName val="가䠀㊀︀"/>
      <sheetName val="가꜀삵ԯ"/>
      <sheetName val="DS-최종"/>
      <sheetName val="P1(좌,우)"/>
      <sheetName val="3.1조명전열 설비공사"/>
      <sheetName val="3.3정보통신 설비공사"/>
      <sheetName val="3.4소방 설비공사"/>
      <sheetName val="일위대가집계표(사급)"/>
      <sheetName val="DG7"/>
      <sheetName val="일단의 주택지"/>
      <sheetName val="감액︀ᷕԯ"/>
      <sheetName val="Summar_x0000__x0000_ⵘ"/>
      <sheetName val="토적"/>
      <sheetName val="2회Ⴜ᧢_x0000_"/>
      <sheetName val="2회ゼᦏ_x0000_"/>
      <sheetName val="2회ゼ彎⸂"/>
      <sheetName val="3차토목내역"/>
      <sheetName val="단가비교표 _계측제어_"/>
      <sheetName val="_상부공통집계(총괄)1"/>
      <sheetName val="5_정산서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2007일위_1"/>
      <sheetName val="토목일위_(83~)1"/>
      <sheetName val="노무비_1"/>
      <sheetName val="BASIC_(2)1"/>
      <sheetName val="입출재고현황_(2)1"/>
      <sheetName val="인건비_1"/>
      <sheetName val="BSD_(2)1"/>
      <sheetName val="현장관리비_1"/>
      <sheetName val="2000_11월설계내역2"/>
      <sheetName val="전선_및_전선관2"/>
      <sheetName val="준검_내역서2"/>
      <sheetName val="1_수인터널2"/>
      <sheetName val="단가_및_재료비2"/>
      <sheetName val="1_수변전설비공사2"/>
      <sheetName val="2__동력설비_공사2"/>
      <sheetName val="3__조명설비공사2"/>
      <sheetName val="4__접지설비공사2"/>
      <sheetName val="5__통신설비_공사2"/>
      <sheetName val="6__전기방식설비공사2"/>
      <sheetName val="6_전기방식_설비공사(2)2"/>
      <sheetName val="7_방호설비공사2"/>
      <sheetName val="8_가설전기공사2"/>
      <sheetName val="수목데이타_2"/>
      <sheetName val="변압기_및_발전기_용량2"/>
      <sheetName val="복구량산정_및_전용회선_사용2"/>
      <sheetName val="표지_(2)2"/>
      <sheetName val="원가계산서_(총괄)2"/>
      <sheetName val="원가계산서_(건축)2"/>
      <sheetName val="3BL공동구_수량2"/>
      <sheetName val="4월_실적추정(건축+토목)2"/>
      <sheetName val="4월_실적추정(건축)2"/>
      <sheetName val="인건비_2"/>
      <sheetName val="단면_(2)2"/>
      <sheetName val="AS포장복구_2"/>
      <sheetName val="-_INFORMATION_-2"/>
      <sheetName val="Sheet1_(2)2"/>
      <sheetName val="1_수변전설비2"/>
      <sheetName val="2_전력간선2"/>
      <sheetName val="3_동력2"/>
      <sheetName val="4_전등2"/>
      <sheetName val="5_전열2"/>
      <sheetName val="6_약전2"/>
      <sheetName val="7_소방2"/>
      <sheetName val="8_방송2"/>
      <sheetName val="9_조명제어2"/>
      <sheetName val="10_철거공사2"/>
      <sheetName val="남양시작동자105노65기1_3화1_22"/>
      <sheetName val="2000_11¿ù¼³°è³»¿ª2"/>
      <sheetName val="Àü¼±_¹×_Àü¼±°ü2"/>
      <sheetName val="ÁØ°Ë_³»¿ª¼­2"/>
      <sheetName val="¼ö¸ñµ¥ÀÌÅ¸_2"/>
      <sheetName val="º¯¾Ð±â_¹×_¹ßÀü±â_¿ë·®2"/>
      <sheetName val="1_¼öÀÎÅÍ³Î2"/>
      <sheetName val="CABLE_SIZE-32"/>
      <sheetName val="5호광장_(만점)2"/>
      <sheetName val="인천국제_(만점)_(2)2"/>
      <sheetName val="외주대비_-석축2"/>
      <sheetName val="외주대비-구조물_(2)2"/>
      <sheetName val="견적표지_(3)2"/>
      <sheetName val="1_전차선조정2"/>
      <sheetName val="2_조가선조정2"/>
      <sheetName val="3_급전선신설2"/>
      <sheetName val="4_급전선철거2"/>
      <sheetName val="5_고배선철거2"/>
      <sheetName val="6_고압케이블신설2"/>
      <sheetName val="7_비절연선조정2"/>
      <sheetName val="8_가동브래키트이설2"/>
      <sheetName val="9_H형강주신설(9m)2"/>
      <sheetName val="10_강관주신설(9m)2"/>
      <sheetName val="11_H강주철거(11m)2"/>
      <sheetName val="11_H형강기초2"/>
      <sheetName val="13_강관주기초2"/>
      <sheetName val="14_장력조정장치신설2"/>
      <sheetName val="15_장력조정장치철거___2"/>
      <sheetName val="16_콘주철거(9m)2"/>
      <sheetName val="17_지선신설(보통)2"/>
      <sheetName val="18_지선신설(v형)2"/>
      <sheetName val="19_지선철거2"/>
      <sheetName val="20_기중개폐기신설2"/>
      <sheetName val="0_집계2"/>
      <sheetName val="입출재고현황_(2)2"/>
      <sheetName val="1_설계조건2"/>
      <sheetName val="3-1_CB2"/>
      <sheetName val="조도계산서_(도서)2"/>
      <sheetName val="설_계2"/>
      <sheetName val="IMP_(REACTOR)2"/>
      <sheetName val="1_설계기준2"/>
      <sheetName val="3_바닥판설계2"/>
      <sheetName val="BASIC_(2)2"/>
      <sheetName val="2000,9월_일위2"/>
      <sheetName val="2007일위_2"/>
      <sheetName val="토목일위_(83~)2"/>
      <sheetName val="노무비_2"/>
      <sheetName val="현장관리비_2"/>
      <sheetName val="_상부공통집계(총괄)2"/>
      <sheetName val="5_정산서2"/>
      <sheetName val="설계기준_및_하중계산1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BSD_(2)2"/>
      <sheetName val="전차선로_물량표2"/>
      <sheetName val="2F_회의실견적(5_14_일대)2"/>
      <sheetName val="항목별내역렍"/>
      <sheetName val="Macro(조도)"/>
      <sheetName val="장비내역서"/>
      <sheetName val="정의"/>
      <sheetName val="노무비(DB)"/>
      <sheetName val="수량산출(계측제어)"/>
      <sheetName val="[YES.XLS][YES.XLS]A__9701A_O_23"/>
      <sheetName val="[YES.XLS][YES.XLS]A__9701A_O_24"/>
      <sheetName val="[YES.XLS][YES.XLS]A__9701A_O_21"/>
      <sheetName val="[YES.XLS][YES.XLS]A__9701A_O_22"/>
      <sheetName val="[YES.XLS][YES.XLS]A__9701A_O_19"/>
      <sheetName val="[YES.XLS][YES.XLS]A__9701A_O_20"/>
      <sheetName val="[YES.XLS][YES.XLS]A__9701A_O_25"/>
      <sheetName val="[YES.XLS][YES.XLS]A__9701A_O_26"/>
      <sheetName val="예산내역서(총괄)"/>
      <sheetName val="공제대산출"/>
      <sheetName val="1000 DB구축 부표"/>
      <sheetName val="일위대가(4층원격)"/>
      <sheetName val="PILE"/>
      <sheetName val="pile bearing capa &amp; arrenge"/>
      <sheetName val="°ü±Þ³怀厾ꊍ_x0000__xda00_"/>
      <sheetName val="Propo萘Ä헾"/>
      <sheetName val="Propo砨Ä硬"/>
      <sheetName val="출력표"/>
      <sheetName val="미장"/>
      <sheetName val="2017 예정공정표 11월"/>
      <sheetName val="구조물견적서"/>
      <sheetName val="산거각호표"/>
      <sheetName val="¿¹Á¤(3_x0000_"/>
      <sheetName val="¿¹Á¤(3洀"/>
      <sheetName val="°¡¿ÁÁ¶¸í³»⽄ʓ㪀ᘖ"/>
      <sheetName val="°¡¿ÁÁ¶¸í³»_x0000__x0000__x0005__x0000_"/>
      <sheetName val="Shee_x0000__x0000_ࠀ"/>
      <sheetName val="Shee簀ᮐ_x0002_"/>
      <sheetName val="기초견적가"/>
      <sheetName val="cp-e1"/>
      <sheetName val="표지1"/>
      <sheetName val="***********************00"/>
      <sheetName val="ELEC"/>
      <sheetName val="Code-&gt;No"/>
      <sheetName val="sc0314 Index"/>
      <sheetName val="예산조서-신_x0000__x0000__x0005_"/>
      <sheetName val="대가"/>
      <sheetName val="?"/>
      <sheetName val="방음벽기초(H?ᰀㆃ"/>
      <sheetName val="위치?"/>
      <sheetName val="수로교?᎚␀᎛"/>
      <sheetName val="단가목?"/>
      <sheetName val="9GNGꀀ"/>
      <sheetName val="실退艬?"/>
      <sheetName val="실頀몁?"/>
      <sheetName val="단?ἀ"/>
      <sheetName val="12?ጀ鮂"/>
      <sheetName val="역T형교대栄⿇"/>
      <sheetName val="펌프장수량䈀嵪ԯ"/>
      <sheetName val="펌프장수량㔀቎԰"/>
      <sheetName val="96_x0005_"/>
      <sheetName val="고창터널(딈㩧0"/>
      <sheetName val="고창터널(딊㩧0"/>
      <sheetName val="의჉"/>
      <sheetName val="Á¤»ê¼¼ºÎ¹°·®1Â÷º헾⾌_x0005_"/>
      <sheetName val="ÃÑÁý°ø"/>
      <sheetName val="상수도토공_x0005_"/>
      <sheetName val="VA"/>
      <sheetName val="[YES.XLS][YES.XLS]A__9701A_O_27"/>
      <sheetName val="[YES.XLS][YES.XLS]A__9701A_O_28"/>
      <sheetName val="[YES.XLS][YES.XLS]A__9701A_O_33"/>
      <sheetName val="[YES.XLS][YES.XLS]A__9701A_O_34"/>
      <sheetName val="[YES.XLS][YES.XLS]A__9701A_O_35"/>
      <sheetName val="[YES.XLS][YES.XLS]A__9701A_O_36"/>
      <sheetName val="[YES.XLS][YES.XLS]A__9701A_O_29"/>
      <sheetName val="[YES.XLS][YES.XLS]A__9701A_O_30"/>
      <sheetName val="[YES.XLS][YES.XLS]A__9701A_O_31"/>
      <sheetName val="[YES.XLS][YES.XLS]A__9701A_O_32"/>
      <sheetName val="[YES.XLS][YES.XLS]A__9701A_O_39"/>
      <sheetName val="[YES.XLS][YES.XLS]A__9701A_O_40"/>
      <sheetName val="[YES.XLS][YES.XLS]A__9701A_O_37"/>
      <sheetName val="[YES.XLS][YES.XLS]A__9701A_O_38"/>
      <sheetName val="[YES.XLS][YES.XLS]A__9701A_O_49"/>
      <sheetName val="[YES.XLS][YES.XLS]A__9701A_O_50"/>
      <sheetName val="[YES.XLS][YES.XLS]A__9701A_O_43"/>
      <sheetName val="[YES.XLS][YES.XLS]A__9701A_O_44"/>
      <sheetName val="[YES.XLS][YES.XLS]A__9701A_O_41"/>
      <sheetName val="[YES.XLS][YES.XLS]A__9701A_O_42"/>
      <sheetName val="[YES.XLS][YES.XLS]A__9701A_O_45"/>
      <sheetName val="[YES.XLS][YES.XLS]A__9701A_O_46"/>
      <sheetName val="[YES.XLS][YES.XLS]A__9701A_O_51"/>
      <sheetName val="[YES.XLS][YES.XLS]A__9701A_O_52"/>
      <sheetName val="[YES.XLS][YES.XLS]A__9701A_O_47"/>
      <sheetName val="[YES.XLS][YES.XLS]A__9701A_O_48"/>
      <sheetName val="[YES.XLS][YES.XLS]A__9701A_O_53"/>
      <sheetName val="[YES.XLS][YES.XLS]A__9701A_O_54"/>
      <sheetName val="[YES.XLS][YES.XLS]A__9701A_O_55"/>
      <sheetName val="[YES.XLS][YES.XLS]A__9701A_O_56"/>
      <sheetName val="[YES.XLS][YES.XLS]A__9701A_O_57"/>
      <sheetName val="[YES.XLS][YES.XLS]A__9701A_O_58"/>
      <sheetName val="[YES.XLS][YES.XLS]A__9701A_O_81"/>
      <sheetName val="[YES.XLS][YES.XLS]A__9701A_O_82"/>
      <sheetName val="[YES.XLS][YES.XLS]A__9701A_O_77"/>
      <sheetName val="[YES.XLS][YES.XLS]A__9701A_O_78"/>
      <sheetName val="[YES.XLS][YES.XLS]A__9701A_O_59"/>
      <sheetName val="[YES.XLS][YES.XLS]A__9701A_O_60"/>
      <sheetName val="[YES.XLS][YES.XLS]A__9701A_O_61"/>
      <sheetName val="[YES.XLS][YES.XLS]A__9701A_O_62"/>
      <sheetName val="[YES.XLS][YES.XLS]A__9701A_O_65"/>
      <sheetName val="[YES.XLS][YES.XLS]A__9701A_O_66"/>
      <sheetName val="[YES.XLS][YES.XLS]A__9701A_O_63"/>
      <sheetName val="[YES.XLS][YES.XLS]A__9701A_O_64"/>
      <sheetName val="[YES.XLS][YES.XLS]A__9701A_O_67"/>
      <sheetName val="[YES.XLS][YES.XLS]A__9701A_O_68"/>
      <sheetName val="[YES.XLS][YES.XLS]A__9701A_O_69"/>
      <sheetName val="[YES.XLS][YES.XLS]A__9701A_O_70"/>
      <sheetName val="[YES.XLS][YES.XLS]A__9701A_O_71"/>
      <sheetName val="[YES.XLS][YES.XLS]A__9701A_O_72"/>
      <sheetName val="[YES.XLS][YES.XLS]A__9701A_O_73"/>
      <sheetName val="[YES.XLS][YES.XLS]A__9701A_O_74"/>
      <sheetName val="[YES.XLS][YES.XLS]A__9701A_O_75"/>
      <sheetName val="[YES.XLS][YES.XLS]A__9701A_O_76"/>
      <sheetName val="[YES.XLS][YES.XLS]A__9701A_O_79"/>
      <sheetName val="[YES.XLS][YES.XLS]A__9701A_O_80"/>
      <sheetName val="2원료가나다."/>
      <sheetName val="2.단면가정 "/>
      <sheetName val="시행후면적"/>
      <sheetName val="단위ה_x0000_"/>
      <sheetName val="단위중기"/>
      <sheetName val="부안변전"/>
      <sheetName val="외"/>
      <sheetName val="차단기 BACK DATA"/>
      <sheetName val="A공구"/>
      <sheetName val="점검_x0000__x0000_"/>
      <sheetName val="역T형교대舨&quot;헾⾪_x0005__x0000_"/>
      <sheetName val="배출수지B"/>
      <sheetName val="재료집계표"/>
      <sheetName val="1차네트공정"/>
      <sheetName val="AIR_SHOWER(3인용)2"/>
      <sheetName val="기성내역_진짜1"/>
      <sheetName val="8__안정검토1"/>
      <sheetName val="할증_1"/>
      <sheetName val="노무비_근거1"/>
      <sheetName val="효성CB_1P기초1"/>
      <sheetName val="방음벽_기초_일반수량1"/>
      <sheetName val="I_설계조건1"/>
      <sheetName val="EQUIPMENT_-21"/>
      <sheetName val="220_(2)1"/>
      <sheetName val="플랜트_설치1"/>
      <sheetName val="노원열병합__건축공사기성내역서1"/>
      <sheetName val="_견적서1"/>
      <sheetName val="자동_철거1"/>
      <sheetName val="자동_설치1"/>
      <sheetName val="토목_철주1"/>
      <sheetName val="철거_일위대가(1-19)1"/>
      <sheetName val="철거_일위대가(20-22)1"/>
      <sheetName val="설치_일위대가(23-45호)1"/>
      <sheetName val="설치_일위대가(46~78호)1"/>
      <sheetName val="단가_1"/>
      <sheetName val="2_Àü·Â°£¼±1"/>
      <sheetName val="3_µ¿·Â1"/>
      <sheetName val="4_Àüµî1"/>
      <sheetName val="5_Àü¿­1"/>
      <sheetName val="6_¾àÀü1"/>
      <sheetName val="7_¼Ò¹æ1"/>
      <sheetName val="8_¹æ¼Û1"/>
      <sheetName val="9_Á¶¸íÁ¦¾î1"/>
      <sheetName val="10_Ã¶°Å°ø»ç1"/>
      <sheetName val="³²¾ç½ÃÀÛµ¿ÀÚ105³ë65±â1_3È­1_21"/>
      <sheetName val="Á¶µµ°è»ê¼­_(µµ¼­)1"/>
      <sheetName val="7_1유효폭1"/>
      <sheetName val="수량산출서_갑지"/>
      <sheetName val="_갑__지_1"/>
      <sheetName val="3련_BOX1"/>
      <sheetName val="일위대가_집계표1"/>
      <sheetName val="빌딩_안내1"/>
      <sheetName val="H_PILE수량1"/>
      <sheetName val="화재_탐지_설비1"/>
      <sheetName val="호봉_(2)1"/>
      <sheetName val="_총괄표1"/>
      <sheetName val="3_내역서1"/>
      <sheetName val="Customer_Databas1"/>
      <sheetName val="내역서_(2)1"/>
      <sheetName val="5_공종별예산내역서1"/>
      <sheetName val="2000년_공정표1"/>
      <sheetName val="총괄원가_1"/>
      <sheetName val="Site_Expenses1"/>
      <sheetName val="sum1_(2)1"/>
      <sheetName val="제원_설계조건1"/>
      <sheetName val="단가표_1"/>
      <sheetName val="공사비_내역_(가)1"/>
      <sheetName val="철근량_검토1"/>
      <sheetName val="견적서(대외)_(2)1"/>
      <sheetName val="Piping_Design_Data1"/>
      <sheetName val="working_load_at_the_btm_ft_1"/>
      <sheetName val="stability_check1"/>
      <sheetName val="입고장부_(4)1"/>
      <sheetName val="0_Áý°è1"/>
      <sheetName val="1_¼öº¯Àü¼³ºñ°ø»ç1"/>
      <sheetName val="Ç¥Áö_(2)1"/>
      <sheetName val="const_1"/>
      <sheetName val="Man_Power_&amp;_Comp1"/>
      <sheetName val="1_¼³°è±âÁØ1"/>
      <sheetName val="3_¹Ù´ÚÆÇ¼³°è1"/>
      <sheetName val="2__µ¿·Â¼³ºñ_°ø»ç1"/>
      <sheetName val="3__Á¶¸í¼³ºñ°ø»ç1"/>
      <sheetName val="4__Á¢Áö¼³ºñ°ø»ç1"/>
      <sheetName val="5__Åë½Å¼³ºñ_°ø»ç1"/>
      <sheetName val="6__Àü±â¹æ½Ä¼³ºñ°ø»ç1"/>
      <sheetName val="6_Àü±â¹æ½Ä_¼³ºñ°ø»ç(2)1"/>
      <sheetName val="7_¹æÈ£¼³ºñ°ø»ç1"/>
      <sheetName val="8_°¡¼³Àü±â°ø»ç1"/>
      <sheetName val="8__¾ÈÁ¤°ËÅä1"/>
      <sheetName val="°ßÀû¼­(´ë¿Ü)_(2)1"/>
      <sheetName val="6PILE__(µ¹Ãâ)1"/>
      <sheetName val="Ampecity_Data1"/>
      <sheetName val="기술자료_(연수)1"/>
      <sheetName val="중기조종사_단위단가1"/>
      <sheetName val="Upgrades_pricing1"/>
      <sheetName val="실행내역서_1"/>
      <sheetName val="FIN_TUBE1"/>
      <sheetName val="HED__&amp;_PIPE1"/>
      <sheetName val="PUMP_SHT1"/>
      <sheetName val="_ｹ-ﾌﾞﾙ"/>
      <sheetName val="세부견적서(DAS_Call_Back)1"/>
      <sheetName val="97_사업추정(WEKI)1"/>
      <sheetName val="PROJECT_BRIEF1"/>
      <sheetName val="8_PILE__(돌출)1"/>
      <sheetName val="69_03%1"/>
      <sheetName val="변경내역84_52%1"/>
      <sheetName val="2_펌프장(사급자재)1"/>
      <sheetName val="기존단가_(2)1"/>
      <sheetName val="DATA_입력부1"/>
      <sheetName val="1차_내역서1"/>
      <sheetName val="산재_안전1"/>
      <sheetName val="노무비_경비1"/>
      <sheetName val="사__업__비__수__지__예__산__서"/>
      <sheetName val="공종별_집계표"/>
      <sheetName val="DATA_입᠒ᎍ"/>
      <sheetName val="수안보-헾】"/>
      <sheetName val="공종별_집계"/>
      <sheetName val="매입내역_"/>
      <sheetName val="studbolt_no_"/>
      <sheetName val="studbolt_size"/>
      <sheetName val="item_sort_no"/>
      <sheetName val="Pier_3"/>
      <sheetName val="소상_&quot;1&quot;1"/>
      <sheetName val="화재_탐지"/>
      <sheetName val="Pricelist_TAC_AB"/>
      <sheetName val="_냉각수펌프"/>
      <sheetName val="5_공종별尜層闰"/>
      <sheetName val="8__내진해석"/>
      <sheetName val="역T형옹벽(3_0)"/>
      <sheetName val="장비당단가_(1)"/>
      <sheetName val="1995년_섹터별_매출"/>
      <sheetName val="공사비_내역"/>
      <sheetName val="Ⅴ-2_공종별내역"/>
      <sheetName val="하도내역_(철콘)"/>
      <sheetName val="도장_및_용접_수량"/>
      <sheetName val="3련_B姨#"/>
      <sheetName val="9_1"/>
      <sheetName val="[YES_XLS][YES_XLS]4/䠀"/>
      <sheetName val="[YES_XLS][YES_XLS]4쌇栅/"/>
      <sheetName val="AH-1_"/>
      <sheetName val="8__안"/>
      <sheetName val="실행내역서_(조경)"/>
      <sheetName val="1__x005f_x0018_변전설비"/>
      <sheetName val="_소방공사_산출근거"/>
      <sheetName val="식재-외주_(2)"/>
      <sheetName val="유효폭의_계산"/>
      <sheetName val="자(3_0m)"/>
      <sheetName val="1_외주공사"/>
      <sheetName val="2_직영공사"/>
      <sheetName val="2_조명기구철거(일괄철거분)"/>
      <sheetName val="BOX_ꠀ፺"/>
      <sheetName val="⢉"/>
      <sheetName val="주차구丵〒"/>
      <sheetName val="Cover_Sht"/>
      <sheetName val="방음벽_기초"/>
      <sheetName val="옹벽수량萘"/>
      <sheetName val="신표鋐"/>
      <sheetName val="[YES_XLS]신표司/"/>
      <sheetName val="[YES_XLS]4/䠀"/>
      <sheetName val="[YES_XLS]4쌇栅/"/>
      <sheetName val="총괄집계_"/>
      <sheetName val="1_3_1절점좌표"/>
      <sheetName val="1_1설계기준"/>
      <sheetName val="국도접속_차도부수량"/>
      <sheetName val="4_일위대가목차"/>
      <sheetName val="입출재고현황_(2"/>
      <sheetName val="2_노무비명세서頀塔攀๦0뀀"/>
      <sheetName val="2_노무비명세서Çꨀ"/>
      <sheetName val="2_노무비명세서Ç렀砀"/>
      <sheetName val="귀래_설계_공내역서"/>
      <sheetName val="일위대가_(PM)"/>
      <sheetName val="5_2코핑"/>
      <sheetName val="부대窨"/>
      <sheetName val="하수급견적대"/>
      <sheetName val="교대(A1"/>
      <sheetName val="b_balju_ch"/>
      <sheetName val="울진항공등화_내역서"/>
      <sheetName val="SHUTDOWN_VALVE"/>
      <sheetName val="실退艬"/>
      <sheetName val="실頀몁"/>
      <sheetName val="단镊ἀ"/>
      <sheetName val="1_설계설명서"/>
      <sheetName val="3_예정공정표"/>
      <sheetName val="4_설계예산서"/>
      <sheetName val="5_일위대가"/>
      <sheetName val="6_철거발생품예정조서"/>
      <sheetName val="7_지급자재조서"/>
      <sheetName val="8_가격조사서"/>
      <sheetName val="공사예산하조서(O_K)"/>
      <sheetName val="일위대가표_(䀀⅒"/>
      <sheetName val="일위대가표_(ԯ"/>
      <sheetName val="공사비집"/>
      <sheetName val="5_단가대비표"/>
      <sheetName val="4_설계예산내역서"/>
      <sheetName val="8_일위대가표(1)"/>
      <sheetName val="6_관급자재조서"/>
      <sheetName val="8_일위대가표(2)"/>
      <sheetName val="7_청제공기계기구조서"/>
      <sheetName val="CRUDE_RE-bar"/>
      <sheetName val="형식별_개략공사비"/>
      <sheetName val="2_노무비명세서(수직보垰7埼1"/>
      <sheetName val="RING_WALL"/>
      <sheetName val="개별직종노임단가(2005_1)"/>
      <sheetName val="CT_"/>
      <sheetName val="가로등제어반_설치공사(수량)"/>
      <sheetName val="총괄분_설계서용지"/>
      <sheetName val="991029UTP용_M_D_F"/>
      <sheetName val="현장점검_1"/>
      <sheetName val="상가을_"/>
      <sheetName val="3_사용전검사(1000KW이상)(본동-수정)"/>
      <sheetName val="05_BOX"/>
      <sheetName val="02_SLAB"/>
      <sheetName val="Stem_Footing"/>
      <sheetName val="토목원가계窨"/>
      <sheetName val="DRAIN_DRUM_PIT_D-301"/>
      <sheetName val="_"/>
      <sheetName val="관"/>
      <sheetName val="신_분"/>
      <sheetName val="7_경제성결과"/>
      <sheetName val="_갑지"/>
      <sheetName val="8_수량산출_(2)"/>
      <sheetName val="일위대가표_(⠋ᡏ"/>
      <sheetName val="dongia_(2)"/>
      <sheetName val="TH_XL"/>
      <sheetName val="CHITIET_VL-NC"/>
      <sheetName val="[YES_XLS][YES_XLS][YES_XLS]4/䠀"/>
      <sheetName val="[YES_XLS][YES_XLS][YES_XLS]4쌇栅/"/>
      <sheetName val="내역서_(1차)"/>
      <sheetName val="3_설계예산내역서(예산서)"/>
      <sheetName val="2_예정공정표"/>
      <sheetName val="점검내역서(data)_(2)"/>
      <sheetName val="4_2유효폭의_계산"/>
      <sheetName val="한화_둔산_내역서"/>
      <sheetName val="99_조정금액"/>
      <sheetName val="견적_(2)"/>
      <sheetName val="2_내역서"/>
      <sheetName val="원가계산서_"/>
      <sheetName val="GTG_TR_PIT"/>
      <sheetName val="01__원가계산서"/>
      <sheetName val="방배동내역_(총괄)"/>
      <sheetName val="허용전류-IEC_DATA"/>
      <sheetName val="업체별_금액"/>
      <sheetName val="배수관접합및부설__"/>
      <sheetName val="시공계"/>
      <sheetName val="하도급선정의뢰࡝׃⼫"/>
      <sheetName val="수안보-๿〚"/>
      <sheetName val="[YES_XLS][YES_XLS][YES_XLS]신표司/"/>
      <sheetName val="Architecture_Work"/>
      <sheetName val="단가_(2)"/>
      <sheetName val="조정"/>
      <sheetName val="BH-1_(2)"/>
      <sheetName val="3-1_일위대가집계표(교통시설물1)"/>
      <sheetName val="직"/>
      <sheetName val="5_1"/>
      <sheetName val="12_1"/>
      <sheetName val="14_1"/>
      <sheetName val="7_1"/>
      <sheetName val="8_1"/>
      <sheetName val="10_1"/>
      <sheetName val="폐기물_(2)"/>
      <sheetName val="배관배선_단가조사"/>
      <sheetName val="7_PILE__(돌출)"/>
      <sheetName val="ÀÏÀ§´ë°¡Ç¥("/>
      <sheetName val="[YES_XLS][YES_XLS]신표司/"/>
      <sheetName val="5__차단기_용량계산"/>
      <sheetName val="배수내역_(2)"/>
      <sheetName val="전체내역_(2)"/>
      <sheetName val="Formulas_&amp;_Tables"/>
      <sheetName val="6_2_1_지하차도_조도계산"/>
      <sheetName val="8공구_강재_수량"/>
      <sheetName val="B3_PERSONEL-Ucret"/>
      <sheetName val="Change_rate"/>
      <sheetName val="변경"/>
      <sheetName val="8__"/>
      <sheetName val="NOTE_ALL"/>
      <sheetName val="3_2_1_마루높이결정"/>
      <sheetName val="총_원가계산"/>
      <sheetName val="조정금액결과표_(차수별)"/>
      <sheetName val="청_구"/>
      <sheetName val="Summary_Sheet"/>
      <sheetName val="5_전사투자계획종함안"/>
      <sheetName val="96_능제취입"/>
      <sheetName val="광,철광석_사용량(2000)"/>
      <sheetName val="포,철광석_사용량(2000)"/>
      <sheetName val="CAL(1)_"/>
      <sheetName val="선로의_%임피던스_"/>
      <sheetName val="을_2"/>
      <sheetName val="을_1"/>
      <sheetName val="REACTION芨_헾⿁"/>
      <sheetName val="REACTION鴘E鵜E헾⼼"/>
      <sheetName val="변경ᛅ⾒"/>
      <sheetName val="주공_갑지"/>
      <sheetName val="EQUIP_LIST"/>
      <sheetName val="설치_일위대가(46~԰缀"/>
      <sheetName val="5_1단가조사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7_3_1_전력간선_굵기"/>
      <sheetName val="견적대비_견적서"/>
      <sheetName val="15_공량산출근거서"/>
      <sheetName val="FCU_(2)"/>
      <sheetName val="(3_품질관리_시험_총괄표)"/>
      <sheetName val="¼ö·®»êÃ"/>
      <sheetName val="BOX_︀ᇕ"/>
      <sheetName val="BOX_저፺"/>
      <sheetName val="BOX_︀釕"/>
      <sheetName val="BOX_ᢝ"/>
      <sheetName val="8_석축단위(H=1_5M)"/>
      <sheetName val="BOX_᠀ᶛ"/>
      <sheetName val="BOX_︀鷕"/>
      <sheetName val="BOX_頀▀"/>
      <sheetName val="BOX_蠀⮂"/>
      <sheetName val="4_전기"/>
      <sheetName val="유첨"/>
      <sheetName val="PANEL_내역"/>
      <sheetName val="I_설계헾】"/>
      <sheetName val="A_LINE"/>
      <sheetName val="cross_beam"/>
      <sheetName val="2_단면가정"/>
      <sheetName val="Direct_(공사비대비)"/>
      <sheetName val="1_동력공사"/>
      <sheetName val="CABLE_SIZE-1"/>
      <sheetName val="원가계산서_(2)"/>
      <sheetName val="화재_颮㍓씀넖ԯ"/>
      <sheetName val="SPM(13_84)"/>
      <sheetName val="1__x005f_x005f_x005f_x0018_변전설비"/>
      <sheetName val="A-8_PD(도로중앙)"/>
      <sheetName val="3_2주형지지보"/>
      <sheetName val="x주형보_설계(3차로)"/>
      <sheetName val="내역_(2)"/>
      <sheetName val="단__가__垨4奜4睮⿩"/>
      <sheetName val="¼ö¸ñ´헾⿨"/>
      <sheetName val="1__가로등_설비_공사(산출)"/>
      <sheetName val="[YES_XLS]/"/>
      <sheetName val="nomi_"/>
      <sheetName val="원곡IC교_내진성능보강공사_실시설계_용역_xlsx"/>
      <sheetName val="Control_Sheet"/>
      <sheetName val="b_balju_(2)"/>
      <sheetName val="2219-SPOOL_BOM"/>
      <sheetName val="수량산출_(3공구)"/>
      <sheetName val="교통닑⿃"/>
      <sheetName val="교통닑⿣"/>
      <sheetName val="1SPA"/>
      <sheetName val="교통닑⿱"/>
      <sheetName val="자재집계_&amp;_총괄표"/>
      <sheetName val="교통닑⼣"/>
      <sheetName val="4-2_전기관급자재(수배전반)내역서"/>
      <sheetName val="Price_List"/>
      <sheetName val="OPG"/>
      <sheetName val="진행_DATA_(2)"/>
      <sheetName val="운동장_(2)"/>
      <sheetName val="VA橂⼸"/>
      <sheetName val="6_¾㉀ᩴ蛀"/>
      <sheetName val="9_2_3_각_실별_조도계산(3단계)"/>
      <sheetName val="도급및_실행내역"/>
      <sheetName val="No_2LAB_Unit"/>
      <sheetName val="수용률(분양주택_단상)"/>
      <sheetName val="Sheet#_x0000_"/>
      <sheetName val="판넬"/>
      <sheetName val="철골"/>
      <sheetName val="내역서(설비+소방)"/>
      <sheetName val="세부내역서(소방)"/>
      <sheetName val="내부마감"/>
      <sheetName val="2공구자재집"/>
      <sheetName val="도급견적가"/>
      <sheetName val="wtdb"/>
      <sheetName val="동결보온"/>
      <sheetName val="자재집계표"/>
      <sheetName val="도급예정1ီ_x0000_䀀"/>
      <sheetName val="도급예정1犢呄/"/>
      <sheetName val="도급예정1犢/"/>
      <sheetName val="도급예정1Ⴂ_x0000_䀀"/>
      <sheetName val="도급예정1ﻰᇕ԰"/>
      <sheetName val="도급예정1犢ፄ/"/>
      <sheetName val="도급예정1ჰ_x0000_䀀"/>
      <sheetName val="도급예정1ၪ_x0000_　"/>
      <sheetName val="도급예정1Ⴕ_x0000_"/>
      <sheetName val="도급예정1႒_x0000_က"/>
      <sheetName val="Macr_x0010__x0000_ፈদ䑲⼚"/>
      <sheetName val="Macr枵〺_x0000__x0000_揰_x0000_"/>
      <sheetName val="Macr枵〺_x0000__x0000_丸_x0000_"/>
      <sheetName val="Macr枵〺_x0000__x0000_㦠_x0000_"/>
      <sheetName val="Macr㑘_x001b_둠੆枵⿚"/>
      <sheetName val="Macr㑘_x001b_ञ枵⿚"/>
      <sheetName val="일위대가(동대문운동장별관)"/>
      <sheetName val="2공구沈4"/>
      <sheetName val="2공구軰_x0014_"/>
      <sheetName val="2공구鉐_x001e_"/>
      <sheetName val="2공구_x001e_"/>
      <sheetName val="2공구議_x001e_"/>
      <sheetName val="2공구滘C"/>
      <sheetName val="2공구_x0005__x0000_"/>
      <sheetName val="기계경비(땭⽀_x0005__x0000_"/>
      <sheetName val="2공구爘7"/>
      <sheetName val="기계경비(_x0005__x0000__x0000_"/>
      <sheetName val="2공구焸F"/>
      <sheetName val="2공구瀨B"/>
      <sheetName val="2공구滘0"/>
      <sheetName val="Discount Group"/>
      <sheetName val="일반자재"/>
      <sheetName val="생산매출 (4)"/>
      <sheetName val="결과㉘"/>
      <sheetName val="결과Թ_x0000_"/>
      <sheetName val="REACTION(US¬_x0000_⑻"/>
      <sheetName val="REACTION(US颬⒅_xdc00_⒅"/>
      <sheetName val="REACTION(USﺬ藕ԯ_x0000_"/>
      <sheetName val="산출1-수변전"/>
      <sheetName val="산출1-전력"/>
      <sheetName val="산출6-TRAY"/>
      <sheetName val="산출7-본선1)"/>
      <sheetName val="산출7-본선2"/>
      <sheetName val="산출7-본선3"/>
      <sheetName val="처리단락"/>
      <sheetName val="배점표"/>
      <sheetName val="물량표S"/>
      <sheetName val="수배전반"/>
      <sheetName val="신규일위대가"/>
      <sheetName val="AV시스템"/>
      <sheetName val="98N興Í헾"/>
      <sheetName val="내역서적용수량집계표"/>
      <sheetName val="공틀공사"/>
      <sheetName val="최적단면"/>
      <sheetName val="산출수량집계"/>
      <sheetName val="c.s"/>
      <sheetName val="전열"/>
      <sheetName val="업무량"/>
      <sheetName val="퇴직공제부금산출근거"/>
      <sheetName val="2002자재가격"/>
      <sheetName val="6È£㥝〒"/>
      <sheetName val="중기손료"/>
      <sheetName val="WELDING"/>
      <sheetName val="master"/>
      <sheetName val="fs"/>
      <sheetName val="시운전연료비"/>
      <sheetName val="1.일위대가"/>
      <sheetName val="제-벰ŕ"/>
      <sheetName val="제-ᩈۈ"/>
      <sheetName val="제-䰈ࣿ"/>
      <sheetName val="제-稐ࣞ"/>
      <sheetName val="통신원가"/>
      <sheetName val="중기상_x0000_"/>
      <sheetName val="전산소모"/>
      <sheetName val="pc-tie"/>
      <sheetName val="980731"/>
      <sheetName val="제잡비집계"/>
      <sheetName val="1.관로"/>
      <sheetName val="품셈Tꠀᕒ_xdb00_"/>
      <sheetName val="품셈T栀ㅗ턀窲"/>
      <sheetName val="품셈T耀ቓ찀ቓ"/>
      <sheetName val="품셈T栀⥒턀캲"/>
      <sheetName val="품셈TԀ_x0000_缀_x0000_"/>
      <sheetName val="품셈T턀ⶲԯ_x0000_"/>
      <sheetName val="__Isyou_c_PJT_2000_R__________2"/>
      <sheetName val="Generﾈȸ萹ü⛤È埈"/>
      <sheetName val="1차증가원가怀፵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검Ⴥ_x0000_"/>
      <sheetName val="검Å_x0000_"/>
      <sheetName val="검쏅_xda05_"/>
      <sheetName val="주현(해보)"/>
      <sheetName val="철물"/>
      <sheetName val="시멘트 모래 수량산출"/>
      <sheetName val="성단물량"/>
      <sheetName val="분야별 집계표"/>
      <sheetName val="인테리어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(전기)"/>
      <sheetName val="총괄표(전기)"/>
      <sheetName val="통신"/>
      <sheetName val="원가(통신)"/>
      <sheetName val="총괄표(통신)"/>
      <sheetName val="내역서(통신)"/>
      <sheetName val="소방설비"/>
      <sheetName val="원가계산서(소방설비)"/>
      <sheetName val="공종별집계표(소방설비)"/>
      <sheetName val="공종별내역서(소방설비)"/>
      <sheetName val="소방전기"/>
      <sheetName val="원가(소방전기)"/>
      <sheetName val="총괄표(소방전기)"/>
      <sheetName val="내역서(소방전기)"/>
      <sheetName val="중기단가목록"/>
      <sheetName val="중기단가산출서"/>
      <sheetName val=" 공사설정 "/>
      <sheetName val="ÃÑÁý°è-룓"/>
      <sheetName val="PI壆の"/>
      <sheetName val="위치蠀ﵱ"/>
      <sheetName val="위치︀盕"/>
      <sheetName val="입헾⿵"/>
      <sheetName val="입鴸Ĕ"/>
      <sheetName val="입헾⽈"/>
      <sheetName val="입鞨d"/>
      <sheetName val="입헾⾐"/>
      <sheetName val="위치恅"/>
      <sheetName val="위치䢳恬"/>
      <sheetName val="위치餀ẘ"/>
      <sheetName val="위치_xd800_챉"/>
      <sheetName val="입적"/>
      <sheetName val="부하飝챊欀犺"/>
      <sheetName val="부하欀犺ԯ_x0000_"/>
      <sheetName val="내역서 (ﺬ諕"/>
      <sheetName val="평가자13"/>
      <sheetName val="기본입력"/>
      <sheetName val="Nª_x0000_"/>
      <sheetName val="전차선로 물֮_x0000_"/>
      <sheetName val="교량"/>
      <sheetName val="5.개인보호구지급"/>
      <sheetName val="내역_ver1.0"/>
      <sheetName val="검사조堀"/>
      <sheetName val="단_x0000__x0000_蠀"/>
      <sheetName val="A_x0005_þ"/>
      <sheetName val="잡철단가대비"/>
      <sheetName val="금액_x0000__x0000_鱀"/>
      <sheetName val="금액׃⼷_x0000_"/>
      <sheetName val="도급b_balju"/>
      <sheetName val="우수맨홀ﻤԯ_x0000_缀_x0000_"/>
      <sheetName val="99차량"/>
      <sheetName val="기계단가"/>
      <sheetName val="N淓Ⲧ"/>
      <sheetName val="Nⷓ剆"/>
      <sheetName val="Nﺚ郕"/>
      <sheetName val="횡 연장"/>
      <sheetName val="N렷"/>
      <sheetName val="유첨#ᰖ"/>
      <sheetName val="N렀"/>
      <sheetName val="3F"/>
      <sheetName val="LV data"/>
      <sheetName val="PROJECT"/>
      <sheetName val="1 OF 9"/>
      <sheetName val="h-013211-2"/>
      <sheetName val="증감대쀀"/>
      <sheetName val="Macro상수"/>
      <sheetName val="중기(목록)"/>
      <sheetName val=" 유지관리시스템 구축_중앙처리구역 내역서(ver2.0)."/>
      <sheetName val="NO.3.PTA PLANT SD COST"/>
      <sheetName val="일반수량산출"/>
      <sheetName val="싱가폴(실지급+인상율)"/>
      <sheetName val="각사별공사비분개 "/>
      <sheetName val="포장직선구간"/>
      <sheetName val="»êÃâ¸ñ·ÏÇ¥"/>
      <sheetName val="Æ÷ÀåÁ÷¼±±¸°£"/>
      <sheetName val="ÀÏÀ§´ë°¡¸ñÂ÷"/>
      <sheetName val="2F È¸ÀÇ½Ç°ßÀû(5_14 ÀÏ´ë)"/>
      <sheetName val="기기점검대상"/>
      <sheetName val="가은우회도로"/>
      <sheetName val="기본1"/>
      <sheetName val="수정일위대가"/>
      <sheetName val="분양가"/>
      <sheetName val="교각(P1)수량"/>
      <sheetName val="½Å±ÔÇ_x0000__x0000_Ā"/>
      <sheetName val="연砀⪜︀"/>
      <sheetName val="연ࠀᢝ䰀"/>
      <sheetName val="4¿ù ½ÇÀûÃßÁ¤(°ÇÃ"/>
      <sheetName val="4¿ù ½ÇÀûÃßÁ¤(°ÇÃà+Åä¸␀䮌"/>
      <sheetName val="96보완계획7.谔C"/>
      <sheetName val="96보완계획7."/>
      <sheetName val="96보완계획7.谤K"/>
      <sheetName val="96보완계획7.䕝痬"/>
      <sheetName val="96보완계획7.㭘˞"/>
      <sheetName val="96보완계획7.텐ʸ"/>
      <sheetName val="장비삘ᛩþ"/>
      <sheetName val="단면(R̖ﻪ"/>
      <sheetName val="\\192.168.0.101\승인용\고은비\견적서\970"/>
      <sheetName val="\\192.168.0.101\승인용\오영춘\견적서,내역서"/>
      <sheetName val="96보완계획7.⃦"/>
      <sheetName val="4¿ù ½ÇÀûÃßÁ¤(°ÇÃà⃦_x0000__x0000__x0000__x0000_"/>
      <sheetName val="96보완계획7.郯"/>
      <sheetName val="96보완계획7.릨̵"/>
      <sheetName val="신당동집계표"/>
      <sheetName val="기자재수량"/>
      <sheetName val="8.기타유틸리티설비"/>
      <sheetName val="BOJUNGGM"/>
      <sheetName val="A__PROJECT________HWP_HWP_DF9_2"/>
      <sheetName val="6PILE _x0000__x0000_⩈_x0000__x0000_"/>
      <sheetName val="대조표(0108)"/>
      <sheetName val="제¬_x0000_"/>
      <sheetName val="발주설계서(Á_x0000_Ԁ"/>
      <sheetName val="22전선(P)"/>
      <sheetName val="22전선(L)"/>
      <sheetName val="22전선(R)"/>
      <sheetName val="인Ó_x0000_Ԁ"/>
      <sheetName val="적용표"/>
      <sheetName val="보활"/>
      <sheetName val="필렛용접표"/>
      <sheetName val="공정집계"/>
      <sheetName val="토류판설치(t=60)"/>
      <sheetName val="특2호하천산근"/>
      <sheetName val="특2호부관하천산근"/>
      <sheetName val="공제내역"/>
      <sheetName val="Á¤»ê¹°·®Å_x0000_"/>
      <sheetName val="인_x0000_Ԁ"/>
      <sheetName val="2009년설계(안)"/>
      <sheetName val="2002공임"/>
      <sheetName val="재료_x0000__x0000_Ԁ"/>
      <sheetName val="ÀÌÀüºñ³»¿ª¼堁"/>
      <sheetName val="급수"/>
      <sheetName val="공량산출근거서"/>
      <sheetName val="REACTION(USE평시_x0000_"/>
      <sheetName val="진출철집"/>
      <sheetName val="거래처등록"/>
      <sheetName val="유류대관리"/>
      <sheetName val="내역변"/>
      <sheetName val="1유리"/>
      <sheetName val="°¡·Îµî⸀朋ԯ"/>
      <sheetName val="³²¾ç½ÃÀÛµ¿ÀÚ105³ë65"/>
      <sheetName val="2006기계䈌ᅪ԰"/>
      <sheetName val="ÃÑ³"/>
      <sheetName val="하도급선정의뢰桑〒_x0005_"/>
      <sheetName val="Á¤»ê¼¼ºÎ¹°·®1Â÷_x0005_"/>
      <sheetName val="º¹±¸·®»êÁ¤ ¹×׃⾅"/>
      <sheetName val="10.Ã¶丵⾥_x0005_"/>
      <sheetName val="ÀÔԀ"/>
      <sheetName val="Á¶µµ°è»ê¼­ (헾⼵_x0005_"/>
      <sheetName val="감액ԯ"/>
      <sheetName val="8. 안扬U员"/>
      <sheetName val="일위대_x0000__x0000_Ԁ_x0000_퀀"/>
      <sheetName val="일위대_x0000__x0000_Ԁ_x0000_耀"/>
      <sheetName val="일위목_x0000__x0000_Ā"/>
      <sheetName val="하수급견적대韨"/>
      <sheetName val="FC-101"/>
      <sheetName val="난간벽단위"/>
      <sheetName val="작업일보"/>
      <sheetName val="우수맨홀공_x0000__x0000__x0005__x0000_틀"/>
      <sheetName val="1련,2련"/>
      <sheetName val="정산ISSUE(T)"/>
      <sheetName val="오존실배관내역"/>
      <sheetName val="영구_x0000__x0000_Ԁ"/>
      <sheetName val="내역서(건축)"/>
      <sheetName val="설치 일위대가(4԰_x0000_缀_x0000__x0000"/>
      <sheetName val="C_d"/>
      <sheetName val="DNW"/>
      <sheetName val="RFP009"/>
      <sheetName val="RFP007"/>
      <sheetName val="SPC노임(5월)"/>
      <sheetName val="내역서-전기"/>
      <sheetName val="원남"/>
      <sheetName val="원가계산(조,투,실)"/>
      <sheetName val="조사가추정"/>
      <sheetName val="업체"/>
      <sheetName val="대비집계장(견적)"/>
      <sheetName val="설계집계장"/>
      <sheetName val="♣총괄내역서♣"/>
      <sheetName val="실행하도사항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원남울진낙찰내역(99.4.13 부산청)"/>
      <sheetName val="현장별"/>
      <sheetName val="항목코드"/>
      <sheetName val="물질수지(2011)"/>
      <sheetName val="분전반공량산출근거"/>
      <sheetName val="ºÎÇ_x0000__x0000__x0005__x0000_"/>
      <sheetName val="ºÎÇ_x0000__x0000__x0005__x0000_᠐"/>
      <sheetName val="ºÎÇ_x0000__x0000__x0005__x0000_粐"/>
      <sheetName val="¹è¼_x0000__x0000_Ā_x0000__x0005_"/>
      <sheetName val="수리결과"/>
      <sheetName val="외주비"/>
      <sheetName val="MILL"/>
      <sheetName val="2000,9월墠:䟣"/>
      <sheetName val="일반문틀 설치"/>
      <sheetName val="덧씌우기구간수량산출1"/>
      <sheetName val="4.말뚝설계"/>
      <sheetName val="문산방향-교대(A2)"/>
      <sheetName val="수량명세서"/>
      <sheetName val="토공사(slope구간)"/>
      <sheetName val="일지-H"/>
      <sheetName val="김포IO"/>
      <sheetName val="EQ"/>
      <sheetName val="보안등"/>
      <sheetName val="인수공"/>
      <sheetName val="RCMinput"/>
      <sheetName val="Nè_x0000_"/>
      <sheetName val="__192_168_0_210_LOTUS_9605P_B_2"/>
      <sheetName val="견적1"/>
      <sheetName val="Summary S˨_x0000_ꀀ턂"/>
      <sheetName val="Summary Sȑ"/>
      <sheetName val="__A46a_________project________2"/>
      <sheetName val="______JOB_LOTUS_9605P_BB_C_BD_2"/>
      <sheetName val="__3_c_My_Documents________DAT_2"/>
      <sheetName val="E__LOTUS_9605P_BB_C_BD_OUT_YE_2"/>
      <sheetName val="______________________________2"/>
      <sheetName val="근로자자료입력"/>
      <sheetName val="04030801"/>
      <sheetName val="1.건축마감"/>
      <sheetName val="철골산출서"/>
      <sheetName val="ÀÌÀüºñ³»¿ª¼洂"/>
      <sheetName val="배관일위"/>
      <sheetName val="토공 토적표"/>
      <sheetName val="원가계산서ԯ_x0000_缀_x0000__x0000_"/>
      <sheetName val="원가계산서頀亁_xdc00_亁︀"/>
      <sheetName val="out_prog"/>
      <sheetName val="선적schedule (2)"/>
      <sheetName val="제원.浨+닑⽟"/>
      <sheetName val="제원.닑⼣_x0005__x0000_"/>
      <sheetName val="직접경비"/>
      <sheetName val="기타공"/>
      <sheetName val="부표총괄표"/>
      <sheetName val="MOVE_TAT"/>
      <sheetName val="수불1Q"/>
      <sheetName val="수불2Q"/>
      <sheetName val="수불3Q"/>
      <sheetName val="수불4Q"/>
      <sheetName val="95TOTREV"/>
      <sheetName val="통계자료"/>
      <sheetName val="측구집계"/>
      <sheetName val="WOOD2"/>
      <sheetName val="Eq. Mobilization"/>
      <sheetName val="1.2.1 마루높이결정"/>
      <sheetName val="상시"/>
      <sheetName val="inputarea_ref"/>
      <sheetName val="2004,상노임"/>
      <sheetName val="원가 계산(총괄)"/>
      <sheetName val="전기집계"/>
      <sheetName val="통신집계"/>
      <sheetName val="통신내역"/>
      <sheetName val="소방집계"/>
      <sheetName val="소방내역"/>
      <sheetName val="일위대가목록(전기)"/>
      <sheetName val="일위대가(전기)"/>
      <sheetName val="단가대비(전기)"/>
      <sheetName val="일위대가목록(통신)"/>
      <sheetName val="일위대가(통신)"/>
      <sheetName val="일위대가(전기소방)"/>
      <sheetName val="단가대비표(전기)"/>
      <sheetName val="합산자재"/>
      <sheetName val="단가 대비표(통신)"/>
      <sheetName val="공정집계_국별"/>
      <sheetName val="우성교간선"/>
      <sheetName val="일위대가-2"/>
      <sheetName val="Identity"/>
      <sheetName val="Price Level"/>
      <sheetName val="Location"/>
      <sheetName val="Comment"/>
      <sheetName val="Physical"/>
      <sheetName val="토지조서"/>
      <sheetName val="Sensitivity"/>
      <sheetName val="2004SS"/>
      <sheetName val="2004CJ"/>
      <sheetName val="Intro2"/>
      <sheetName val="Id"/>
      <sheetName val="Secured Master"/>
      <sheetName val="방음벽 기초 일반_x0000__x0000_"/>
      <sheetName val="RH-BEAM"/>
      <sheetName val="BI_x0000__x0000_Ԁ_x0000_"/>
      <sheetName val="BI_x0000_Ԁ_x0000_"/>
      <sheetName val="장비계산"/>
      <sheetName val="97"/>
      <sheetName val="L1"/>
      <sheetName val="기별수량산출서"/>
      <sheetName val="지급보증금74"/>
      <sheetName val="[YES.XLS][YES.XLS]X__9701A_OU_2"/>
      <sheetName val="N᠀旸"/>
      <sheetName val="노무산_x0000__x0000_"/>
      <sheetName val="BOM"/>
      <sheetName val="환경기계공정표 (3)"/>
      <sheetName val="사능~금곡간 신(1)"/>
      <sheetName val="출阀."/>
      <sheetName val="출_x0005__x0000_"/>
      <sheetName val="출閠_x0013_"/>
      <sheetName val="출㥝《"/>
      <sheetName val="출哸_x0015_"/>
      <sheetName val="출颙⽈"/>
      <sheetName val="출鄀)"/>
      <sheetName val="출颙⿐"/>
      <sheetName val="출鄐_x001b_"/>
      <sheetName val="출颙⿤"/>
      <sheetName val="출颙⽽"/>
      <sheetName val="출合_x001f_"/>
      <sheetName val="출ᶬ⿚"/>
      <sheetName val="출厐+"/>
      <sheetName val="BCulSch"/>
      <sheetName val="출吐_x0018_"/>
      <sheetName val="일반수_x0000__x0000_ᯐ"/>
      <sheetName val="일반수"/>
      <sheetName val="Á¤»ê¼¼ºÎ¹°·®1_x0000__x0000__x0005__x0000_큀ɞ_x0000__x0000_"/>
      <sheetName val="배명(단가)"/>
      <sheetName val="4_"/>
      <sheetName val="4쌇栅_"/>
      <sheetName val="뜃맟뭁돽띿맟_-BLDG"/>
      <sheetName val="_YES.XLS__"/>
      <sheetName val="현설자료UT"/>
      <sheetName val="98수지배부(수정)"/>
      <sheetName val="주요자재단가"/>
      <sheetName val="6È£헾⽴"/>
      <sheetName val="°©Ál"/>
      <sheetName val="4-1.공통가설공사"/>
      <sheetName val="협력업체"/>
      <sheetName val="개별직종노임단가(2003.9)"/>
      <sheetName val="[YES.XLS][YES.XLS][YES.XLS]_Y_2"/>
      <sheetName val="[YES.XLS][YES.XLS][YES.XLS]_Y_3"/>
      <sheetName val="[YES.XLS][YES.XLS][YES.XLS]_Y_4"/>
      <sheetName val="3.사업추진현황(나~사.공사추진현황)"/>
      <sheetName val="노원열병합  건축렀䡟ԯ_x0000_缀_x0000__x00"/>
      <sheetName val="노원열병합  건축︀ᇕ԰_x0000_缀_x0000__x00"/>
      <sheetName val="노원열병합  건축ﻕᇕ԰_x0000_缀_x0000__x00"/>
      <sheetName val="2000,_x0000__x0000_ᓐ_x0000__x00"/>
      <sheetName val="2000,_x0000__x0000_︸_x0000__x00"/>
      <sheetName val="2000,_x0000__x0000_Ẩ_x0000__x00"/>
      <sheetName val="방음벽 기초_x0005__x0000__x0000__x0"/>
      <sheetName val="하도급선정의뢰_x0005__x0000__x0000__x"/>
      <sheetName val="하도급선정의뢰_x0000__x0000_ರ_x0000__x"/>
      <sheetName val="하도급선정의뢰_x0000__x0000_ꢈ_x0000__x"/>
      <sheetName val="하도급선정의뢰_x0000__x0000_㇀_x0000__x"/>
      <sheetName val="하도급선정의뢰_x0000__x0000_䭠_x0000__x"/>
      <sheetName val="하도급선정의뢰_x0010__x0000_ﻠֲ׃⽣_x0000"/>
      <sheetName val="하도급선정의뢰_x0000__x0000_枨_x0000__x"/>
      <sheetName val="하도급선정의뢰_x0000__x0000_优_x0000__x"/>
      <sheetName val="2.노무비명세서Ç_x0000__x0000__x0000"/>
      <sheetName val="2.노무비명세서Ç_x0000_렀_x0013__x0000_"/>
      <sheetName val="_x0000__x0008__x0000__x0008__x0"/>
      <sheetName val="[YES.XLS][YES.XLS][YES.XLS]4/_x"/>
      <sheetName val="_x0000_ _x0000__x0006__x0000__x"/>
      <sheetName val="공사별 가중치0_x0000_ꀀâ_x0000__x0000_"/>
      <sheetName val="ÀÏÀ§´ë헾】_x0005__x0000__x0000__"/>
      <sheetName val="[YES.XLS][YES.XLS][YES.XLS]/_x0"/>
      <sheetName val="Summar헾】_x0005__x0000__x0000__"/>
      <sheetName val="하도급선정의뢰_x0000__x0000_螨_x0000__x"/>
      <sheetName val="³²¾ç½ÃÀÛµ¿ÀÚ105³ë65±_x0000__x00"/>
      <sheetName val="일_x0007__x0006__x0003__x0004__x"/>
      <sheetName val="Á¤»ê¼¼ºÎ¹°·®1Â÷º헾⾌_x0005__x0000"/>
      <sheetName val="³²¾ç½ÃÀÛµ¿ÀÚ105³ë65_x0000__x000"/>
      <sheetName val="Á¤»ê¼¼ºÎ¹°·®1Â÷_x0005__x0000__"/>
      <sheetName val="º¹±¸·®»êÁ¤ ¹×׃⾅_x0000__x0000_䎸_"/>
      <sheetName val="º¹±¸·®»êÁ¤ ¹×׃⾅_x0000__x0000_ᯐ_"/>
      <sheetName val="ÃÑ³_x0000__x0000_Ԁ_x0000__x0000"/>
      <sheetName val="4¿ù ½ÇÀûÃßÁ¤(°ÇÃà⃦_x0000__x000"/>
      <sheetName val="6PILE _x0000__x0000_⩈_x0000__x0"/>
      <sheetName val="우수맨홀공_x0000__x0000__x0005__x000"/>
      <sheetName val="ºÎÇ_x0000__x0000__x0005__x0000_"/>
      <sheetName val="¹è¼_x0000__x0000_Ā_x0000__x0005"/>
      <sheetName val="Á¤»ê¼¼ºÎ¹°·®1_x0000__x0000__x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/>
      <sheetData sheetId="734"/>
      <sheetData sheetId="735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/>
      <sheetData sheetId="779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/>
      <sheetData sheetId="809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/>
      <sheetData sheetId="2272"/>
      <sheetData sheetId="2273" refreshError="1"/>
      <sheetData sheetId="2274" refreshError="1"/>
      <sheetData sheetId="2275" refreshError="1"/>
      <sheetData sheetId="2276"/>
      <sheetData sheetId="2277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/>
      <sheetData sheetId="2284"/>
      <sheetData sheetId="2285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/>
      <sheetData sheetId="3197"/>
      <sheetData sheetId="3198"/>
      <sheetData sheetId="3199" refreshError="1"/>
      <sheetData sheetId="3200"/>
      <sheetData sheetId="3201" refreshError="1"/>
      <sheetData sheetId="3202" refreshError="1"/>
      <sheetData sheetId="3203" refreshError="1"/>
      <sheetData sheetId="3204" refreshError="1"/>
      <sheetData sheetId="3205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/>
      <sheetData sheetId="3236" refreshError="1"/>
      <sheetData sheetId="3237"/>
      <sheetData sheetId="3238"/>
      <sheetData sheetId="3239" refreshError="1"/>
      <sheetData sheetId="3240" refreshError="1"/>
      <sheetData sheetId="3241" refreshError="1"/>
      <sheetData sheetId="3242"/>
      <sheetData sheetId="3243"/>
      <sheetData sheetId="3244"/>
      <sheetData sheetId="3245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/>
      <sheetData sheetId="3496"/>
      <sheetData sheetId="3497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/>
      <sheetData sheetId="3689"/>
      <sheetData sheetId="3690" refreshError="1"/>
      <sheetData sheetId="3691" refreshError="1"/>
      <sheetData sheetId="3692" refreshError="1"/>
      <sheetData sheetId="3693"/>
      <sheetData sheetId="3694"/>
      <sheetData sheetId="3695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/>
      <sheetData sheetId="3794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/>
      <sheetData sheetId="3862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/>
      <sheetData sheetId="3942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/>
      <sheetData sheetId="4020"/>
      <sheetData sheetId="4021"/>
      <sheetData sheetId="4022"/>
      <sheetData sheetId="4023"/>
      <sheetData sheetId="4024"/>
      <sheetData sheetId="4025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/>
      <sheetData sheetId="432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/>
      <sheetData sheetId="4346" refreshError="1"/>
      <sheetData sheetId="4347" refreshError="1"/>
      <sheetData sheetId="4348" refreshError="1"/>
      <sheetData sheetId="4349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/>
      <sheetData sheetId="4520"/>
      <sheetData sheetId="452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/>
      <sheetData sheetId="4590"/>
      <sheetData sheetId="459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/>
      <sheetData sheetId="4702"/>
      <sheetData sheetId="4703"/>
      <sheetData sheetId="4704"/>
      <sheetData sheetId="4705"/>
      <sheetData sheetId="4706"/>
      <sheetData sheetId="4707"/>
      <sheetData sheetId="4708" refreshError="1"/>
      <sheetData sheetId="4709" refreshError="1"/>
      <sheetData sheetId="4710" refreshError="1"/>
      <sheetData sheetId="4711"/>
      <sheetData sheetId="4712"/>
      <sheetData sheetId="4713" refreshError="1"/>
      <sheetData sheetId="4714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/>
      <sheetData sheetId="4788" refreshError="1"/>
      <sheetData sheetId="4789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/>
      <sheetData sheetId="4806" refreshError="1"/>
      <sheetData sheetId="4807"/>
      <sheetData sheetId="4808" refreshError="1"/>
      <sheetData sheetId="4809" refreshError="1"/>
      <sheetData sheetId="4810" refreshError="1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/>
      <sheetData sheetId="5367"/>
      <sheetData sheetId="5368"/>
      <sheetData sheetId="5369"/>
      <sheetData sheetId="5370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/>
      <sheetData sheetId="5567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/>
      <sheetData sheetId="5607"/>
      <sheetData sheetId="5608"/>
      <sheetData sheetId="5609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/>
      <sheetData sheetId="5773"/>
      <sheetData sheetId="5774"/>
      <sheetData sheetId="5775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/>
      <sheetData sheetId="5786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/>
      <sheetData sheetId="6281"/>
      <sheetData sheetId="6282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/>
      <sheetData sheetId="6567" refreshError="1"/>
      <sheetData sheetId="6568" refreshError="1"/>
      <sheetData sheetId="6569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/>
      <sheetData sheetId="6712" refreshError="1"/>
      <sheetData sheetId="6713" refreshError="1"/>
      <sheetData sheetId="6714" refreshError="1"/>
      <sheetData sheetId="6715" refreshError="1"/>
      <sheetData sheetId="6716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중갑지 (2)"/>
      <sheetName val="전풍호텔-원조"/>
      <sheetName val="갑지"/>
      <sheetName val="중갑지"/>
      <sheetName val="내역"/>
      <sheetName val="FAX"/>
      <sheetName val="강서갑지"/>
      <sheetName val="강서중갑지"/>
      <sheetName val="강서을지"/>
      <sheetName val="공통가설"/>
      <sheetName val="교통대책내역"/>
      <sheetName val="점수계산1-2"/>
      <sheetName val="1-1"/>
      <sheetName val="6호기"/>
      <sheetName val="갑지1"/>
      <sheetName val="Y-WORK"/>
      <sheetName val="분석"/>
      <sheetName val="정보"/>
      <sheetName val="갑지(추정)"/>
      <sheetName val="표지 (2)"/>
      <sheetName val="hvac(제어동)"/>
      <sheetName val="전체"/>
      <sheetName val="01"/>
      <sheetName val="dg tphcm"/>
      <sheetName val="Don gia III"/>
      <sheetName val="Don gia CT"/>
      <sheetName val="일위대가"/>
      <sheetName val="설직재-1"/>
      <sheetName val="물량표S"/>
      <sheetName val="Tables"/>
      <sheetName val="전풍호텔-6월10일-수정제출견적-실행2"/>
      <sheetName val="CLAUSE"/>
      <sheetName val="백암비스타내역"/>
      <sheetName val="ABUT수량-A1"/>
      <sheetName val="신호등일위대가"/>
      <sheetName val="을"/>
      <sheetName val="신우"/>
      <sheetName val="설계조건"/>
      <sheetName val="총괄표"/>
      <sheetName val="대비표"/>
      <sheetName val="DG"/>
      <sheetName val="PROJECT BRIEF(EX.NEW)"/>
      <sheetName val="전기"/>
      <sheetName val="Bia"/>
      <sheetName val="So lieu"/>
      <sheetName val="실행"/>
      <sheetName val="Sheet5"/>
      <sheetName val="Door schedule(S)"/>
      <sheetName val="내역서"/>
      <sheetName val="노임이"/>
      <sheetName val="일위대가(목록)"/>
      <sheetName val="재료비"/>
      <sheetName val="내역(전체)"/>
      <sheetName val="1.Assumptions"/>
      <sheetName val="TEST1"/>
      <sheetName val="건축집계"/>
      <sheetName val="TYPE-B 평균H"/>
      <sheetName val="연부97-1"/>
      <sheetName val="EKOG10건축"/>
      <sheetName val="단가"/>
      <sheetName val="견적990322"/>
      <sheetName val="직공비"/>
      <sheetName val="내력서"/>
      <sheetName val="견적"/>
      <sheetName val="1차 내역서"/>
      <sheetName val="Sheet6"/>
      <sheetName val="공사개요"/>
      <sheetName val="TB-내역서"/>
      <sheetName val="중갑지_(2)"/>
      <sheetName val="표지_(2)"/>
      <sheetName val="dg_tphcm"/>
      <sheetName val="Don_gia_III"/>
      <sheetName val="Don_gia_CT"/>
      <sheetName val="중갑지_(2)1"/>
      <sheetName val="표지_(2)1"/>
      <sheetName val="dg_tphcm1"/>
      <sheetName val="Don_gia_III1"/>
      <sheetName val="Don_gia_CT1"/>
      <sheetName val="중갑지_(2)2"/>
      <sheetName val="표지_(2)2"/>
      <sheetName val="dg_tphcm2"/>
      <sheetName val="Don_gia_III2"/>
      <sheetName val="Don_gia_CT2"/>
      <sheetName val="유림골조"/>
      <sheetName val="업무분장"/>
      <sheetName val="중갑지_(2)3"/>
      <sheetName val="표지_(2)3"/>
      <sheetName val="dg_tphcm3"/>
      <sheetName val="Don_gia_III3"/>
      <sheetName val="Don_gia_CT3"/>
      <sheetName val="PROJECT_BRIEF(EX_NEW)"/>
      <sheetName val="So_lieu"/>
      <sheetName val="Door_schedule(S)"/>
      <sheetName val="1_Assumptions"/>
      <sheetName val="TYPE-B_평균H"/>
      <sheetName val="1차_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입찰원가(건축)"/>
      <sheetName val="할증(단가)"/>
      <sheetName val="(1)촐괄집계표"/>
      <sheetName val="(2)우편공종집계표"/>
      <sheetName val="(2)운송교환공종집계표"/>
      <sheetName val="(3)연결통로공종집계표"/>
      <sheetName val="(4)부대공사공종집계표"/>
      <sheetName val="(5)토목공사공종집계표"/>
      <sheetName val="1.우편집중내역서"/>
      <sheetName val="2.운송교환내역서"/>
      <sheetName val="3.연결통로내역서"/>
      <sheetName val="4.부대공사내역서"/>
      <sheetName val="5.토목공사내역서"/>
      <sheetName val="(              )"/>
      <sheetName val="입찰표지(A4)"/>
      <sheetName val="부대입찰간지(A4세로)"/>
      <sheetName val="하도급사항(A4) (2)"/>
      <sheetName val="부대입찰확약서(A4)"/>
      <sheetName val="간지표지(A4가로)"/>
      <sheetName val="간지표지(A4세로)"/>
      <sheetName val="관급자재금액(VAT포함)"/>
      <sheetName val="(       철     콘       )"/>
      <sheetName val="철콘부대원가대비표"/>
      <sheetName val="철콘부대(도급)원가"/>
      <sheetName val="철콘(도급)내역서"/>
      <sheetName val="철콘부대(하도급)원가"/>
      <sheetName val="철콘(하도급)내역서"/>
      <sheetName val="(         철골          )"/>
      <sheetName val="철골부대원가대비표"/>
      <sheetName val="철골부대(도급)원가"/>
      <sheetName val="철골(도급)내역서"/>
      <sheetName val="철골부대(하도급)원가 "/>
      <sheetName val="철골(하도급)내역서"/>
      <sheetName val="노임단가"/>
      <sheetName val="단가조사서"/>
      <sheetName val="CLAUSE"/>
      <sheetName val="EMST10"/>
      <sheetName val="표지-공사실행"/>
      <sheetName val="2.기구조직도"/>
      <sheetName val="개략견적HISTORY"/>
      <sheetName val="1_공사개요"/>
      <sheetName val="실행조건(건축)"/>
      <sheetName val="실행기준(기계)"/>
      <sheetName val="실행기준(전기)"/>
      <sheetName val="실행예산변경총괄표(적용안함)"/>
      <sheetName val="03차 견적실행총괄표"/>
      <sheetName val="대비표"/>
      <sheetName val="집계표"/>
      <sheetName val="---"/>
      <sheetName val="아파트 "/>
      <sheetName val="감액대비표"/>
      <sheetName val="공종별감액대비표"/>
      <sheetName val="개략공사비집계표"/>
      <sheetName val="실행검토의견서"/>
      <sheetName val="직원"/>
      <sheetName val="개략견적대비실행분석"/>
      <sheetName val="발주율분석"/>
      <sheetName val="조정항목"/>
      <sheetName val="9811"/>
      <sheetName val="을"/>
      <sheetName val="손익분석"/>
      <sheetName val="내역"/>
      <sheetName val="공통가설"/>
      <sheetName val="표준건축비"/>
      <sheetName val="금액"/>
      <sheetName val="실행내역"/>
      <sheetName val="직공비"/>
      <sheetName val="Y-WORK"/>
      <sheetName val="주경기-오배수"/>
      <sheetName val="DATA"/>
      <sheetName val="단가표"/>
      <sheetName val="CODE"/>
      <sheetName val="청주(철골발주의뢰서)"/>
      <sheetName val="조경"/>
      <sheetName val="목록"/>
      <sheetName val="1-1"/>
      <sheetName val="일위대가시트"/>
      <sheetName val="기둥(원형)"/>
      <sheetName val="c_balju"/>
      <sheetName val="Sheet3"/>
      <sheetName val="WORK"/>
      <sheetName val="2000년1차"/>
      <sheetName val="9509"/>
      <sheetName val="AP1"/>
      <sheetName val="danga"/>
      <sheetName val="ilch"/>
      <sheetName val="2)총손익"/>
      <sheetName val="예산"/>
      <sheetName val="Sheet10"/>
      <sheetName val="장비"/>
      <sheetName val="노무"/>
      <sheetName val="1_우편집중내역서"/>
      <sheetName val="2_운송교환내역서"/>
      <sheetName val="3_연결통로내역서"/>
      <sheetName val="4_부대공사내역서"/>
      <sheetName val="5_토목공사내역서"/>
      <sheetName val="(______________)"/>
      <sheetName val="하도급사항(A4)_(2)"/>
      <sheetName val="(_______철_____콘_______)"/>
      <sheetName val="(_________철골__________)"/>
      <sheetName val="철골부대(하도급)원가_"/>
      <sheetName val="2_기구조직도"/>
      <sheetName val="03차_견적실행총괄표"/>
      <sheetName val="아파트_"/>
      <sheetName val="기초일위"/>
      <sheetName val="시설일위"/>
      <sheetName val="조명일위"/>
      <sheetName val="내역서 "/>
      <sheetName val="설비내역서"/>
      <sheetName val="건축내역서"/>
      <sheetName val="전기내역서"/>
      <sheetName val="토목"/>
      <sheetName val="gyun-가스"/>
      <sheetName val="단면가정"/>
      <sheetName val="총괄"/>
      <sheetName val="단가산출1"/>
      <sheetName val="단가산출2"/>
      <sheetName val="현장관리비"/>
      <sheetName val="암거단위-1련"/>
      <sheetName val="관급"/>
      <sheetName val="남양시작동자105노65기1.3화1.2"/>
      <sheetName val="직노"/>
      <sheetName val="코드"/>
      <sheetName val="ITEM"/>
      <sheetName val="#REF"/>
      <sheetName val="esc"/>
      <sheetName val="표지"/>
      <sheetName val="관기성공.내"/>
      <sheetName val="재료집계"/>
      <sheetName val="대비"/>
      <sheetName val="건축집계"/>
      <sheetName val="역T형"/>
      <sheetName val="우,오수"/>
      <sheetName val="대전우편"/>
      <sheetName val="전체"/>
      <sheetName val="산출내역서집계표"/>
      <sheetName val="o현장경비"/>
      <sheetName val="경산"/>
      <sheetName val="노무비"/>
      <sheetName val="견적대비 견적서"/>
      <sheetName val="식생블럭단위수량"/>
      <sheetName val="교각1"/>
      <sheetName val="단가"/>
      <sheetName val="TEST1"/>
      <sheetName val="전기"/>
      <sheetName val="내역서"/>
      <sheetName val="E총15"/>
      <sheetName val="기계"/>
      <sheetName val="위생기구 금액"/>
      <sheetName val="건식PD설치현황표"/>
      <sheetName val="BASIC (2)"/>
      <sheetName val="전체내역서"/>
      <sheetName val="I一般比"/>
      <sheetName val="건설기계"/>
      <sheetName val="단가산출"/>
      <sheetName val="사급자재"/>
      <sheetName val="일위대가"/>
      <sheetName val="일반전기"/>
      <sheetName val="토공"/>
      <sheetName val="전압강하계산"/>
      <sheetName val="날개벽(시점좌측)"/>
      <sheetName val="설계조건"/>
      <sheetName val="적용률"/>
      <sheetName val="Breakdown"/>
      <sheetName val="UnitRate"/>
      <sheetName val="LOAD-46"/>
      <sheetName val="토목내역"/>
      <sheetName val="2000년하반기"/>
      <sheetName val="부대tu"/>
      <sheetName val="guard(mac)"/>
      <sheetName val="DATE"/>
      <sheetName val="일반물자(한국통신)"/>
      <sheetName val="SUB일위대가"/>
      <sheetName val="공내역서"/>
      <sheetName val="정부노임단가"/>
      <sheetName val="문학간접"/>
      <sheetName val="토공(우물통,기타) "/>
      <sheetName val="ITB COST"/>
      <sheetName val="일위대가표"/>
      <sheetName val="CostData"/>
      <sheetName val="IncomeData"/>
      <sheetName val="Summary"/>
      <sheetName val="PropertyData"/>
      <sheetName val="단가대비"/>
      <sheetName val="LEGEND"/>
      <sheetName val="인테리어내역"/>
      <sheetName val="N賃率-職"/>
      <sheetName val="금액내역서"/>
      <sheetName val="일위대가목록"/>
      <sheetName val="2F 회의실견적(5_14 일대)"/>
      <sheetName val="교각계산"/>
      <sheetName val="wall"/>
      <sheetName val="자료"/>
      <sheetName val="옥외"/>
      <sheetName val="개요"/>
      <sheetName val="방송일위대가"/>
      <sheetName val="미드수량"/>
      <sheetName val="부하계산서"/>
      <sheetName val="11.자재단가"/>
      <sheetName val="원가"/>
      <sheetName val="Miser-P"/>
      <sheetName val="제품"/>
      <sheetName val="간선계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A3" t="str">
            <v>대전우편집중국및운송교환센터 신축공사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>
        <row r="3">
          <cell r="A3" t="str">
            <v>대전우편집중국및운송교환센터 신축공사</v>
          </cell>
        </row>
      </sheetData>
      <sheetData sheetId="92">
        <row r="3">
          <cell r="A3" t="str">
            <v>대전우편집중국및운송교환센터 신축공사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강변방진"/>
      <sheetName val="강변방진-1"/>
      <sheetName val="1.우편집중내역서"/>
      <sheetName val="CLAUSE"/>
      <sheetName val="노임단가"/>
      <sheetName val="단가조사서"/>
      <sheetName val="일위대가"/>
      <sheetName val="전산.평가대상자용"/>
      <sheetName val="입출재고현황 (2)"/>
      <sheetName val="1_우편집중내역서"/>
      <sheetName val="전산_평가대상자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결재"/>
      <sheetName val="목차"/>
      <sheetName val="1.총괄현황"/>
      <sheetName val="5.미수금현황"/>
      <sheetName val="5-1미수금"/>
      <sheetName val="3.유형별매출현황"/>
      <sheetName val="4.매출분석"/>
      <sheetName val="6.인기및비인기상품"/>
      <sheetName val="7.신상품현황"/>
      <sheetName val="2.당월업무추진"/>
      <sheetName val="8.유통요약"/>
      <sheetName val="심야슈퍼"/>
      <sheetName val="5-1.미수금내역"/>
      <sheetName val="수퍼분석"/>
      <sheetName val="수퍼인기및비인기상품"/>
      <sheetName val="수퍼신상품"/>
      <sheetName val="교통대책내역"/>
      <sheetName val="장비"/>
      <sheetName val="노무"/>
      <sheetName val="업무분장"/>
      <sheetName val="1_총괄현황"/>
      <sheetName val="5_미수금현황"/>
      <sheetName val="3_유형별매출현황"/>
      <sheetName val="4_매출분석"/>
      <sheetName val="6_인기및비인기상품"/>
      <sheetName val="7_신상품현황"/>
      <sheetName val="2_당월업무추진"/>
      <sheetName val="8_유통요약"/>
      <sheetName val="5-1_미수금내역"/>
      <sheetName val="1.우편집중내역서"/>
      <sheetName val="견적서"/>
      <sheetName val="R&amp;D"/>
      <sheetName val="인원계획-미화"/>
      <sheetName val="SCH"/>
      <sheetName val="노임단가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******"/>
      <sheetName val="VXXXX"/>
      <sheetName val="총괄표"/>
      <sheetName val="내역서"/>
      <sheetName val="공간별식재내역"/>
      <sheetName val="단가대비표"/>
      <sheetName val="지급자재"/>
      <sheetName val="수목할증"/>
      <sheetName val="노임단가"/>
      <sheetName val="일위대가목록"/>
      <sheetName val="일위대가"/>
      <sheetName val="수목수량총괄"/>
      <sheetName val="당간지주"/>
      <sheetName val="비료단가"/>
      <sheetName val="공총괄표"/>
      <sheetName val="공내역서"/>
      <sheetName val="견적대비표"/>
      <sheetName val="Sheet11"/>
      <sheetName val="Sheet12"/>
      <sheetName val="Sheet13"/>
      <sheetName val="Sheet14"/>
      <sheetName val="Sheet15"/>
      <sheetName val="Sheet16"/>
      <sheetName val="인원계획-미화"/>
      <sheetName val="7.신상품현황"/>
      <sheetName val="장비"/>
      <sheetName val="노무"/>
      <sheetName val="2.대외공문"/>
      <sheetName val="업무계획1"/>
      <sheetName val="일위대가(목록)"/>
      <sheetName val="안동-영주"/>
      <sheetName val="재료비"/>
      <sheetName val="입출재고현황 (2)"/>
      <sheetName val="업무분장"/>
      <sheetName val="협조전"/>
      <sheetName val="7_신상품현황"/>
      <sheetName val="2_대외공문"/>
      <sheetName val="입출재고현황_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일반공사"/>
      <sheetName val="별표1-1"/>
      <sheetName val="신인도"/>
      <sheetName val="별표1-2"/>
      <sheetName val="별표1-3"/>
      <sheetName val="별표1-4"/>
      <sheetName val="H한전적격"/>
      <sheetName val="BID"/>
      <sheetName val="일위대가"/>
      <sheetName val="입출재고현황 (2)"/>
      <sheetName val="7.신상품현황"/>
      <sheetName val="협조전"/>
      <sheetName val="업무분장"/>
      <sheetName val="1.우편집중내역서"/>
      <sheetName val="입출재고현황_(2)"/>
      <sheetName val="7_신상품현황"/>
      <sheetName val="1_우편집중내역서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(도서)"/>
      <sheetName val="변압기용량"/>
      <sheetName val="발전기"/>
      <sheetName val="발전기부하"/>
      <sheetName val="축전지"/>
      <sheetName val="전압조건(도서)"/>
      <sheetName val="전압(도서)"/>
      <sheetName val="부하조건(도서)"/>
      <sheetName val="조도계산서 (도서)"/>
      <sheetName val="정부노임단가"/>
      <sheetName val="ITEM"/>
      <sheetName val="조도계산서 _도서_"/>
      <sheetName val="인건비"/>
      <sheetName val="#REF"/>
      <sheetName val="MOTOR"/>
      <sheetName val="단위중량"/>
      <sheetName val="부하계산서"/>
      <sheetName val="IMP(MAIN)"/>
      <sheetName val="IMP (REACTOR)"/>
      <sheetName val="내역"/>
      <sheetName val="일위대가"/>
      <sheetName val="중기일위대가"/>
      <sheetName val="설계명세서"/>
      <sheetName val="부하(성남)"/>
      <sheetName val="실행예산"/>
      <sheetName val="출근부"/>
      <sheetName val="건축내역"/>
      <sheetName val="내역서"/>
      <sheetName val="WORK"/>
      <sheetName val="산#3-1"/>
      <sheetName val="횡배위치"/>
      <sheetName val="현황산출서"/>
      <sheetName val="Y-WORK"/>
      <sheetName val="DS-LOAD"/>
      <sheetName val="B"/>
      <sheetName val="견적시담(송포2공구)"/>
      <sheetName val="일반공사"/>
      <sheetName val="차액보증"/>
      <sheetName val="가시설(TYPE-A)"/>
      <sheetName val="1호맨홀가감수량"/>
      <sheetName val="1-1평균터파기고(1)"/>
      <sheetName val="1호맨홀수량산출"/>
      <sheetName val="을"/>
      <sheetName val="여흥"/>
      <sheetName val="별표 "/>
      <sheetName val="3BL공동구 수량"/>
      <sheetName val="TABLE"/>
      <sheetName val="단가산출집계"/>
      <sheetName val="SE-611"/>
      <sheetName val="플랜트 설치"/>
      <sheetName val="K1자재(3차등)"/>
      <sheetName val="직노"/>
      <sheetName val="실행내역"/>
      <sheetName val="장비"/>
      <sheetName val="노무"/>
      <sheetName val="BID"/>
      <sheetName val="전산.평가대상자용"/>
      <sheetName val="7.신상품현황"/>
      <sheetName val="조도계산서_(도서)"/>
      <sheetName val="조도계산서__도서_"/>
      <sheetName val="IMP_(REACTOR)"/>
      <sheetName val="별표_"/>
      <sheetName val="3BL공동구_수량"/>
      <sheetName val="플랜트_설치"/>
      <sheetName val="전산_평가대상자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부속동"/>
      <sheetName val="Macro1"/>
      <sheetName val="Macro2"/>
      <sheetName val="sst,stl창호"/>
      <sheetName val="노무비"/>
      <sheetName val="Requirement(Work Crew)"/>
      <sheetName val="Total"/>
      <sheetName val="입출재고현황 (2)"/>
      <sheetName val="정부노임단가"/>
      <sheetName val="base"/>
      <sheetName val="설계1"/>
      <sheetName val="일위대가(목록)"/>
      <sheetName val="재료비"/>
      <sheetName val="일위대가"/>
      <sheetName val="Requirement(Work_Crew)"/>
      <sheetName val="입출재고현황_(2)"/>
    </sheetNames>
    <sheetDataSet>
      <sheetData sheetId="0"/>
      <sheetData sheetId="1">
        <row r="1">
          <cell r="A1" t="str">
            <v>loop1</v>
          </cell>
        </row>
      </sheetData>
      <sheetData sheetId="2">
        <row r="1">
          <cell r="A1" t="str">
            <v>Macro8 (a)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정"/>
      <sheetName val="안내"/>
      <sheetName val="발신정보"/>
      <sheetName val="견적내용입력"/>
      <sheetName val="견적서"/>
      <sheetName val="견적서발급대장"/>
      <sheetName val="견적서세부내용"/>
      <sheetName val="#REF"/>
      <sheetName val="RM목표&amp;실적"/>
      <sheetName val="MOTOR"/>
      <sheetName val="노임단가"/>
      <sheetName val="회사기초자료"/>
      <sheetName val="자재단가"/>
      <sheetName val="노무비"/>
      <sheetName val="CLAUSE"/>
      <sheetName val="협력업체"/>
      <sheetName val="BID"/>
      <sheetName val="토공계산서(부체도로)"/>
      <sheetName val="공종"/>
      <sheetName val="내역"/>
      <sheetName val="입찰안"/>
      <sheetName val="옹벽"/>
      <sheetName val="토공(우물통,기타) "/>
      <sheetName val="공사개요"/>
      <sheetName val="SLAB근거-1"/>
      <sheetName val="조명시설"/>
      <sheetName val="수량산출"/>
      <sheetName val="이음개소"/>
      <sheetName val="실행대비"/>
      <sheetName val="견적서1"/>
      <sheetName val="단면 (2)"/>
      <sheetName val="협조전"/>
      <sheetName val="환율"/>
      <sheetName val="2.대외공문"/>
      <sheetName val="SRC-B3U2"/>
      <sheetName val="기본값"/>
    </sheetNames>
    <sheetDataSet>
      <sheetData sheetId="0" refreshError="1"/>
      <sheetData sheetId="1" refreshError="1"/>
      <sheetData sheetId="2" refreshError="1">
        <row r="4">
          <cell r="C4" t="str">
            <v>마이크로소프트</v>
          </cell>
        </row>
        <row r="5">
          <cell r="C5">
            <v>1234567890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YES"/>
      <sheetName val="특별교실"/>
      <sheetName val="기숙사"/>
      <sheetName val="화장실"/>
      <sheetName val="총집계-1"/>
      <sheetName val="총집계-2"/>
      <sheetName val="원가-1"/>
      <sheetName val="원가-2"/>
      <sheetName val="원가계산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총괄"/>
      <sheetName val="단가비교표"/>
      <sheetName val="표지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기안"/>
      <sheetName val="갑지"/>
      <sheetName val="견적서"/>
      <sheetName val="내역서"/>
      <sheetName val="XXXXXX"/>
      <sheetName val="호계"/>
      <sheetName val="제암"/>
      <sheetName val="월마트"/>
      <sheetName val="월드컵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JUCK"/>
      <sheetName val="남양시작동자105노65기1.3화1.2"/>
      <sheetName val="견적조건"/>
      <sheetName val="견적조건(을지)"/>
      <sheetName val="대구실행"/>
      <sheetName val="Baby일위대가"/>
      <sheetName val="일반공사"/>
      <sheetName val="일위대가"/>
      <sheetName val="을"/>
      <sheetName val="N賃率-職"/>
      <sheetName val="표지 (2)"/>
      <sheetName val="간선계산"/>
      <sheetName val="0.집계"/>
      <sheetName val="1.수변전설비공사"/>
      <sheetName val="FILE1"/>
      <sheetName val="입찰안"/>
      <sheetName val="직노"/>
      <sheetName val="실행내역"/>
      <sheetName val="DATA"/>
      <sheetName val="단가산출"/>
      <sheetName val="MOTOR"/>
      <sheetName val="매립"/>
      <sheetName val="을지"/>
      <sheetName val="200"/>
      <sheetName val="기초단가"/>
      <sheetName val="입찰보고"/>
      <sheetName val="보차도경계석"/>
      <sheetName val="내역"/>
      <sheetName val="데이타"/>
      <sheetName val="재료"/>
      <sheetName val="ELECTRIC"/>
      <sheetName val="CTEMCOST"/>
      <sheetName val="SCHEDULE"/>
      <sheetName val="설계예산서"/>
      <sheetName val="1차설계변경내역"/>
      <sheetName val="대비"/>
      <sheetName val="Macro1"/>
      <sheetName val="말뚝지지력산정"/>
      <sheetName val="노무비"/>
      <sheetName val="부하계산서"/>
      <sheetName val="조도계산서 (도서)"/>
      <sheetName val="내력서"/>
      <sheetName val="가설건물"/>
      <sheetName val="일위대가(가설)"/>
      <sheetName val="식생블럭단위수량"/>
      <sheetName val="가로등부표"/>
      <sheetName val="내역(설계)"/>
      <sheetName val="노무비단가"/>
      <sheetName val="ITEM"/>
      <sheetName val="MAIN_TABLE"/>
      <sheetName val="1.설계조건"/>
      <sheetName val="Macro2"/>
      <sheetName val="아산추가1220"/>
      <sheetName val="구역화물"/>
      <sheetName val="단가일람"/>
      <sheetName val="일위대가목차"/>
      <sheetName val="3-1.CB"/>
      <sheetName val="제경비율"/>
      <sheetName val="LOPCALC"/>
      <sheetName val="자재단가"/>
      <sheetName val="1.수인터널"/>
      <sheetName val="당초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산출근거"/>
      <sheetName val="STORAGE"/>
      <sheetName val="Y-WORK"/>
      <sheetName val="수량집계"/>
      <sheetName val="토목"/>
      <sheetName val="가로등내역서"/>
      <sheetName val="수량산출서"/>
      <sheetName val="2000.11월설계내역"/>
      <sheetName val="#REF"/>
      <sheetName val="터파기및재료"/>
      <sheetName val="점수계산1-2"/>
      <sheetName val="BID"/>
      <sheetName val="부대공사비"/>
      <sheetName val="현장관리비집계표"/>
      <sheetName val="XL4Poppy"/>
      <sheetName val="98지급계획"/>
      <sheetName val="본공사"/>
      <sheetName val="DANGA"/>
      <sheetName val="BQ"/>
      <sheetName val="BID-도로"/>
      <sheetName val="전선 및 전선관"/>
      <sheetName val="인건비"/>
      <sheetName val="실행내역서"/>
      <sheetName val="001"/>
      <sheetName val="산출내역서집계표"/>
      <sheetName val="설계내역서"/>
      <sheetName val="총계"/>
      <sheetName val="집계표"/>
      <sheetName val="단가"/>
      <sheetName val="총괄표"/>
      <sheetName val="실행철강하도"/>
      <sheetName val="내역서2안"/>
      <sheetName val="조명율표"/>
      <sheetName val="소야공정계획표"/>
      <sheetName val="토목원가계산서"/>
      <sheetName val="토목원가"/>
      <sheetName val="집계장"/>
      <sheetName val="설계내역"/>
      <sheetName val="제외공종"/>
      <sheetName val="기계원가계산서"/>
      <sheetName val="기계원가"/>
      <sheetName val="집계"/>
      <sheetName val="가설내역"/>
      <sheetName val="갑지(가로)"/>
      <sheetName val="표지목차간지"/>
      <sheetName val="예산조서-총괄"/>
      <sheetName val="예산조서-신공항1"/>
      <sheetName val="가설물"/>
      <sheetName val="K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원가계산서 (총괄)"/>
      <sheetName val="원가계산서 (건축)"/>
      <sheetName val="(총괄집계)"/>
      <sheetName val="내역구성"/>
      <sheetName val="4원가"/>
      <sheetName val="임시급식"/>
      <sheetName val="옥외가스"/>
      <sheetName val="임시급식 (2)"/>
      <sheetName val="- INFORMATION -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목차"/>
      <sheetName val="정부노임단가"/>
      <sheetName val="unit 4"/>
      <sheetName val="Summary Sheets"/>
      <sheetName val="요율"/>
      <sheetName val="일위목록-기"/>
      <sheetName val="Module11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6동"/>
      <sheetName val="부대공Ⅱ"/>
      <sheetName val="Chart1"/>
      <sheetName val="단위내역목록"/>
      <sheetName val="단위내역서"/>
      <sheetName val="원가(1)"/>
      <sheetName val="원가(2)"/>
      <sheetName val="공량산출서"/>
      <sheetName val="부대내역"/>
      <sheetName val="98NS-N"/>
      <sheetName val="토공"/>
      <sheetName val="Total"/>
      <sheetName val="원가"/>
      <sheetName val="48전력선로일위"/>
      <sheetName val="지급자재"/>
      <sheetName val="준검 내역서"/>
      <sheetName val="96보완계획7.12"/>
      <sheetName val="90.03실행 "/>
      <sheetName val="자료입력"/>
      <sheetName val="연습"/>
      <sheetName val="조명시설"/>
      <sheetName val="대치판정"/>
      <sheetName val="신우"/>
      <sheetName val="예산변경사항"/>
      <sheetName val="제-노임"/>
      <sheetName val="제직재"/>
      <sheetName val="우배수"/>
      <sheetName val="맨홀"/>
      <sheetName val="3.공통공사대비"/>
      <sheetName val="설비내역서"/>
      <sheetName val="건축내역서"/>
      <sheetName val="전기내역서"/>
      <sheetName val="재집"/>
      <sheetName val="직재"/>
      <sheetName val="2F 회의실견적(5_14 일대)"/>
      <sheetName val="금호"/>
      <sheetName val="연결임시"/>
      <sheetName val="지진시"/>
      <sheetName val="부하(성남)"/>
      <sheetName val="Sheet17"/>
      <sheetName val="계산식"/>
      <sheetName val="가도공"/>
      <sheetName val="SG"/>
      <sheetName val="DATE"/>
      <sheetName val="JUCKEYK"/>
      <sheetName val="금리계산"/>
      <sheetName val="원가계산서"/>
      <sheetName val="설계명세서"/>
      <sheetName val="예산명세서"/>
      <sheetName val="말뚝물량"/>
      <sheetName val="99총공사내역서"/>
      <sheetName val="손익분석"/>
      <sheetName val="ITB COST"/>
      <sheetName val="수량"/>
      <sheetName val="L_RPTA05_목록"/>
      <sheetName val="중기일위대가"/>
      <sheetName val="WORK"/>
      <sheetName val="INPUT"/>
      <sheetName val="적용공정"/>
      <sheetName val="L_RPTB02_01"/>
      <sheetName val="간접비"/>
      <sheetName val="타공종이기"/>
      <sheetName val="본선차로수량집계표"/>
      <sheetName val="수주현황2월"/>
      <sheetName val="단면 (2)"/>
      <sheetName val="토공유동표"/>
      <sheetName val="교각계산"/>
      <sheetName val="단가 및 재료비"/>
      <sheetName val="수량산출"/>
      <sheetName val="봉양~조차장간고하개명(신설)"/>
      <sheetName val="주상도"/>
      <sheetName val="6호기"/>
      <sheetName val="하조서"/>
      <sheetName val="보증수수료산출"/>
      <sheetName val="기계경비"/>
      <sheetName val="가로등"/>
      <sheetName val="공사비예산서(토목분)"/>
      <sheetName val="수목데이타 "/>
      <sheetName val="변압기 및 발전기 용량"/>
      <sheetName val="단가조사"/>
      <sheetName val="일위대가(목록)"/>
      <sheetName val="재료비"/>
      <sheetName val="참고"/>
      <sheetName val="공사개요"/>
      <sheetName val="각형맨홀"/>
      <sheetName val="수목단가"/>
      <sheetName val="시설수량표"/>
      <sheetName val="식재수량표"/>
      <sheetName val="일위목록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2000년1차"/>
      <sheetName val="수입"/>
      <sheetName val="조건표"/>
      <sheetName val="JJ"/>
      <sheetName val="설계"/>
      <sheetName val="설 계"/>
      <sheetName val="ASP포장"/>
      <sheetName val="내역서(전기)"/>
      <sheetName val="3BL공동구 수량"/>
      <sheetName val="일위대가표"/>
      <sheetName val="단가산출서(기계)"/>
      <sheetName val="에너지동"/>
      <sheetName val="코드표"/>
      <sheetName val="Sheet1 (2)"/>
      <sheetName val="부대시설"/>
      <sheetName val="Apt내역"/>
      <sheetName val="3.내역서"/>
      <sheetName val="토량산출서"/>
      <sheetName val="기계내역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6PILE  (돌출)"/>
      <sheetName val="AIR SHOWER(3인용)"/>
      <sheetName val="노임"/>
      <sheetName val="계수시트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©Áö"/>
      <sheetName val="°ßÀû¼­"/>
      <sheetName val="³»¿ª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ÀÏÀ§´ë°¡"/>
      <sheetName val="건축공사"/>
      <sheetName val="EQUIPMENT -2"/>
      <sheetName val="고분전시관"/>
      <sheetName val="설비"/>
      <sheetName val="빌딩 안내"/>
      <sheetName val="데리네이타현황"/>
      <sheetName val="총괄내역서"/>
      <sheetName val="율촌법률사무소2내역"/>
      <sheetName val="전차선로 물량표"/>
      <sheetName val="한강운반비"/>
      <sheetName val="자재"/>
      <sheetName val="공통(20-91)"/>
      <sheetName val="차액보증"/>
      <sheetName val="공종별내역서"/>
      <sheetName val="터널조도"/>
      <sheetName val="MBR9"/>
      <sheetName val="역T형교대(말뚝기초)"/>
      <sheetName val="ABUT수량-A1"/>
      <sheetName val="공비대비"/>
      <sheetName val="공사비"/>
      <sheetName val="가드레일산근"/>
      <sheetName val="수량집계표"/>
      <sheetName val="단가비교"/>
      <sheetName val="적용2002"/>
      <sheetName val="중기"/>
      <sheetName val="45,46"/>
      <sheetName val="교대(A1)"/>
      <sheetName val="교대(A1-A2)"/>
      <sheetName val="교각1"/>
      <sheetName val="자재대"/>
      <sheetName val="소요자재"/>
      <sheetName val="노무산출서"/>
      <sheetName val="ETC"/>
      <sheetName val="우수맨홀공제단위수량"/>
      <sheetName val="스톱로그내역"/>
      <sheetName val="돌망태단위수량"/>
      <sheetName val="전기일위대가"/>
      <sheetName val="단면(RW1)"/>
      <sheetName val="시설물일위"/>
      <sheetName val="비교표"/>
      <sheetName val="소비자가"/>
      <sheetName val="ilch"/>
      <sheetName val="A-4"/>
      <sheetName val="IMP(MAIN)"/>
      <sheetName val="IMP (REACTOR)"/>
      <sheetName val="오산갈곳"/>
      <sheetName val="맨홀수량집계"/>
      <sheetName val="설계조건"/>
      <sheetName val="날개벽(TYPE3)"/>
      <sheetName val="안정계산"/>
      <sheetName val="단면검토"/>
      <sheetName val="예정(3)"/>
      <sheetName val="동원(3)"/>
      <sheetName val="1.설계기준"/>
      <sheetName val="주형"/>
      <sheetName val="3차설계"/>
      <sheetName val="현황CODE"/>
      <sheetName val="손익현황"/>
      <sheetName val="기둥(원형)"/>
      <sheetName val="밸브설치"/>
      <sheetName val="3.바닥판설계"/>
      <sheetName val="검사원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사진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플랜트 설치"/>
      <sheetName val="품셈"/>
      <sheetName val="단중표"/>
      <sheetName val="철거산출근거"/>
      <sheetName val="1공구(을)"/>
      <sheetName val="대외공문"/>
      <sheetName val="BJJIN"/>
      <sheetName val="DWPM"/>
      <sheetName val="철거집계"/>
      <sheetName val="대공종"/>
      <sheetName val="계획금액"/>
      <sheetName val="J直材4"/>
      <sheetName val="연부97-1"/>
      <sheetName val="갑지1"/>
      <sheetName val="관접합및부설"/>
      <sheetName val="LEGEND"/>
      <sheetName val="유첨#2"/>
      <sheetName val="지주목시비량산출서"/>
      <sheetName val="BOQ"/>
      <sheetName val="TOT"/>
      <sheetName val="Macro(전선)"/>
      <sheetName val="I一般比"/>
      <sheetName val="일반수량"/>
      <sheetName val="금액내역서"/>
      <sheetName val="별표"/>
      <sheetName val="인건-측정"/>
      <sheetName val="기자재비"/>
      <sheetName val="현장관리비내역서"/>
      <sheetName val="포장복구집계"/>
      <sheetName val="고등학교"/>
      <sheetName val="단위단가"/>
      <sheetName val="주사무실종합"/>
      <sheetName val="기본설계도급항목"/>
      <sheetName val="49-119"/>
      <sheetName val="설직재-1"/>
      <sheetName val="노원열병합  건축공사기성내역서"/>
      <sheetName val="1공구 건정토건 토공"/>
      <sheetName val="unit"/>
      <sheetName val="기초자료"/>
      <sheetName val="여과지동"/>
      <sheetName val="내역표지"/>
      <sheetName val="NYS"/>
      <sheetName val="총수량집계표"/>
      <sheetName val="기계경비일람"/>
      <sheetName val="연령현황"/>
      <sheetName val="MIJIBI"/>
      <sheetName val="건축직"/>
      <sheetName val="품의서"/>
      <sheetName val="물가시세"/>
      <sheetName val="전신환매도율"/>
      <sheetName val="물가자료"/>
      <sheetName val="EACT10"/>
      <sheetName val="방음벽기초(H=4m)"/>
      <sheetName val="guard(mac)"/>
      <sheetName val="일위대가표(유단가)"/>
      <sheetName val="예산갑지"/>
      <sheetName val="부속동"/>
      <sheetName val="단가조사서"/>
      <sheetName val="적용(기계)"/>
      <sheetName val="입찰결과(DATA)"/>
      <sheetName val="Mc1"/>
      <sheetName val="2000,9월 일위"/>
      <sheetName val="CABLE SIZE-3"/>
      <sheetName val="EQUIP-H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가감수량"/>
      <sheetName val="맨홀수량산출"/>
      <sheetName val="점검총괄"/>
      <sheetName val="공구원가계산"/>
      <sheetName val="1차증가원가계산"/>
      <sheetName val="물량산출근거"/>
      <sheetName val="토목내역"/>
      <sheetName val="CONCRETE"/>
      <sheetName val="일위대가목록"/>
      <sheetName val="설산1.나"/>
      <sheetName val="본사S"/>
      <sheetName val="전압강하계산"/>
      <sheetName val="DATA1"/>
      <sheetName val="D-3503"/>
      <sheetName val="과천MAIN"/>
      <sheetName val="조건"/>
      <sheetName val="여흥"/>
      <sheetName val="노임이"/>
      <sheetName val="A갑지"/>
      <sheetName val="포장공"/>
      <sheetName val="가시설흙막이"/>
      <sheetName val="경비"/>
      <sheetName val="사전공사"/>
      <sheetName val="적상기초자료"/>
      <sheetName val="현장지지물물량"/>
      <sheetName val="대림산업"/>
      <sheetName val="WEON"/>
      <sheetName val="경상"/>
      <sheetName val="가설"/>
      <sheetName val="12월31일"/>
      <sheetName val="경상직원"/>
      <sheetName val="C3"/>
      <sheetName val="노무비산출"/>
      <sheetName val="보합"/>
      <sheetName val="본부소개"/>
      <sheetName val="1차 내역서"/>
      <sheetName val="기계설비"/>
      <sheetName val="9GNG운반"/>
      <sheetName val="총괄집계표"/>
      <sheetName val="고창터널(고창방향)"/>
      <sheetName val="전산.평가대상자용"/>
      <sheetName val="기계경비(시간당)"/>
      <sheetName val="램머"/>
      <sheetName val="집수정(600-700)"/>
      <sheetName val="현관"/>
      <sheetName val="1._x0018_변전설비"/>
      <sheetName val="1.¼öº¯Àü¼³ºñ"/>
      <sheetName val="2.Àü·Â°£¼±"/>
      <sheetName val="3.µ¿·Â"/>
      <sheetName val="4.Àüµî"/>
      <sheetName val="5.Àü¿­"/>
      <sheetName val="6.¾àÀü"/>
      <sheetName val="7.¼Ò¹æ"/>
      <sheetName val="8.¹æ¼Û"/>
      <sheetName val="9.Á¶¸íÁ¦¾î"/>
      <sheetName val="10.Ã¶°Å°ø»ç"/>
      <sheetName val="³²¾ç½ÃÀÛµ¿ÀÚ105³ë65±â1.3È­1.2"/>
      <sheetName val="À»"/>
      <sheetName val="ºÎÇÏ°è»ê¼­"/>
      <sheetName val="À»Áö"/>
      <sheetName val="Á¶µµ°è»ê¼­ (µµ¼­)"/>
      <sheetName val="°ßÀûÁ¶°Ç"/>
      <sheetName val="°ßÀûÁ¶°Ç(À»Áö)"/>
      <sheetName val="Á÷³ë"/>
      <sheetName val="½ÇÇà³»¿ª"/>
      <sheetName val="ⴭⴭⴭⴭ"/>
      <sheetName val="CA지입"/>
      <sheetName val="전체"/>
      <sheetName val="통신물량"/>
      <sheetName val="가설공사내역"/>
      <sheetName val="중동상가"/>
      <sheetName val="2000년 공정표"/>
      <sheetName val="교각별철근수량집계표"/>
      <sheetName val="개요"/>
      <sheetName val="COVER"/>
      <sheetName val="FOOTING단면력"/>
      <sheetName val="인건비 "/>
      <sheetName val="2006기계경비산출표"/>
      <sheetName val="자재목록"/>
      <sheetName val="구조물철거타공정이월"/>
      <sheetName val="20관리비율"/>
      <sheetName val="기계경비시간당손료목록"/>
      <sheetName val="상수도토공집계표"/>
      <sheetName val="검사조서"/>
      <sheetName val="집계(총괄)"/>
      <sheetName val="구성비"/>
      <sheetName val="실적보고"/>
      <sheetName val="표준안전집계"/>
      <sheetName val="표준안전내역"/>
      <sheetName val="AS포장복구 "/>
      <sheetName val="직공비"/>
      <sheetName val="주관사업"/>
      <sheetName val="수문일1"/>
      <sheetName val="발주설계서(당초)"/>
      <sheetName val="신공항A-9(원가수정)"/>
      <sheetName val="진우+대광"/>
      <sheetName val="동력부하(도산)"/>
      <sheetName val="수안보-MBR1"/>
      <sheetName val="입력DATA"/>
      <sheetName val="화재 탐지 설비"/>
      <sheetName val="기초코드"/>
      <sheetName val="01AC"/>
      <sheetName val="본선토량운반계산서(1)0"/>
      <sheetName val="구조물공"/>
      <sheetName val="부대공"/>
      <sheetName val="배수공"/>
      <sheetName val="일위집계표"/>
      <sheetName val="PO-BOQ"/>
      <sheetName val="1,2공구원가계산서"/>
      <sheetName val="2공구산출내역"/>
      <sheetName val="1공구산출내역서"/>
      <sheetName val="암거단위"/>
      <sheetName val="3련 BOX"/>
      <sheetName val="토목주소"/>
      <sheetName val="프랜트면허"/>
      <sheetName val="경산"/>
      <sheetName val="SLAB&quot;1&quot;"/>
      <sheetName val="실행(1)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변경내역을"/>
      <sheetName val="주방환기"/>
      <sheetName val="총인원"/>
      <sheetName val="직급인원"/>
      <sheetName val="발신정보"/>
      <sheetName val="TABLE"/>
      <sheetName val="노임변동률"/>
      <sheetName val="COMPRESSOR"/>
      <sheetName val="대림경상68억"/>
      <sheetName val="품종별-이름"/>
      <sheetName val="인사자료총집계"/>
      <sheetName val=" 갑  지 "/>
      <sheetName val="기성"/>
      <sheetName val="기성내역 진짜"/>
      <sheetName val="기성갑지"/>
      <sheetName val="2회기성사정"/>
      <sheetName val="3회기성갑지"/>
      <sheetName val="3회총괄"/>
      <sheetName val="3회기성"/>
      <sheetName val="소방사항"/>
      <sheetName val="Y_WORK"/>
      <sheetName val="WING3"/>
      <sheetName val="내역서(토목)"/>
      <sheetName val="세부견적서(DAS Call Back)"/>
      <sheetName val="OPGW기별"/>
      <sheetName val="단중표-ST"/>
      <sheetName val="BSD (2)"/>
      <sheetName val="내역서 (2)"/>
      <sheetName val="36신설수량"/>
      <sheetName val="통장출금액"/>
      <sheetName val="AILC004"/>
      <sheetName val="MANUFACTORY"/>
      <sheetName val="강북라우터"/>
      <sheetName val="부하LOAD"/>
      <sheetName val="시중노임단가"/>
      <sheetName val="건축내역"/>
      <sheetName val="기본DATA"/>
      <sheetName val="합천내역"/>
      <sheetName val="내역총괄"/>
      <sheetName val="내역총괄2"/>
      <sheetName val="내역총괄3"/>
      <sheetName val="단"/>
      <sheetName val="교통대책내역"/>
      <sheetName val="보할공정"/>
      <sheetName val="BOQ(전체)"/>
      <sheetName val="전기2005"/>
      <sheetName val="통신2005"/>
      <sheetName val="2000전체분"/>
      <sheetName val="단가목록"/>
      <sheetName val="물량표"/>
      <sheetName val="연결관산출조서"/>
      <sheetName val="1단계"/>
      <sheetName val="전선"/>
      <sheetName val="9811"/>
      <sheetName val="실행간접비용"/>
      <sheetName val="2002하반기노임기준"/>
      <sheetName val="본부장"/>
      <sheetName val="내역서(삼호)"/>
      <sheetName val="케이블"/>
      <sheetName val="간접"/>
      <sheetName val="Man Power &amp; Comp"/>
      <sheetName val="차종별"/>
      <sheetName val="4월_실적추정(건축+토목)"/>
      <sheetName val="4월_실적추정(건축)"/>
      <sheetName val="복구량산정_및_전용회선_사용"/>
      <sheetName val="1_수변전설비"/>
      <sheetName val="2_전력간선"/>
      <sheetName val="3_동력"/>
      <sheetName val="4_전등"/>
      <sheetName val="5_전열"/>
      <sheetName val="6_약전"/>
      <sheetName val="7_소방"/>
      <sheetName val="8_방송"/>
      <sheetName val="9_조명제어"/>
      <sheetName val="10_철거공사"/>
      <sheetName val="남양시작동자105노65기1_3화1_2"/>
      <sheetName val="0_집계"/>
      <sheetName val="1_수변전설비공사"/>
      <sheetName val="표지_(2)"/>
      <sheetName val="1_전차선조정"/>
      <sheetName val="2_조가선조정"/>
      <sheetName val="3_급전선신설"/>
      <sheetName val="4_급전선철거"/>
      <sheetName val="5_고배선철거"/>
      <sheetName val="6_고압케이블신설"/>
      <sheetName val="7_비절연선조정"/>
      <sheetName val="8_가동브래키트이설"/>
      <sheetName val="9_H형강주신설(9m)"/>
      <sheetName val="10_강관주신설(9m)"/>
      <sheetName val="11_H강주철거(11m)"/>
      <sheetName val="11_H형강기초"/>
      <sheetName val="13_강관주기초"/>
      <sheetName val="U-TYPE(1)"/>
      <sheetName val="CABLE"/>
      <sheetName val="접지수량"/>
      <sheetName val="22단가(철거)"/>
      <sheetName val="49단가"/>
      <sheetName val="49단가(철거)"/>
      <sheetName val="22단가"/>
      <sheetName val="노무비 근거"/>
      <sheetName val="효성CB 1P기초"/>
      <sheetName val="EQ-R1"/>
      <sheetName val="품목"/>
      <sheetName val="일용노임단가"/>
      <sheetName val=" 견적서"/>
      <sheetName val="산출내역서"/>
      <sheetName val="³ëÀÓ"/>
      <sheetName val="증감대비"/>
      <sheetName val="세목전체"/>
      <sheetName val="변경총괄지(1)"/>
      <sheetName val="내역서(전체)"/>
      <sheetName val="TRE TABLE"/>
      <sheetName val="기계경비및산출근거서"/>
      <sheetName val="토적표"/>
      <sheetName val=" 총괄표"/>
      <sheetName val="96정변2"/>
      <sheetName val="단위수량"/>
      <sheetName val="맨홀토공수량"/>
      <sheetName val="사원등록"/>
      <sheetName val="호봉 (2)"/>
      <sheetName val="자재집계"/>
      <sheetName val="연결관암거"/>
      <sheetName val="산#2-1 (2)"/>
      <sheetName val="골재산출"/>
      <sheetName val="입적표"/>
      <sheetName val="단가 "/>
      <sheetName val="관리,공감"/>
      <sheetName val="수로교총재료집계"/>
      <sheetName val="효동"/>
      <sheetName val="일위산출"/>
      <sheetName val="투찰내역"/>
      <sheetName val="기자재대비표"/>
      <sheetName val="구동"/>
      <sheetName val="공조기"/>
      <sheetName val="펌프장수량산출(토)"/>
      <sheetName val="날개벽수량표"/>
      <sheetName val="원형1호맨홀토공수량"/>
      <sheetName val="본사인상전"/>
      <sheetName val="도급양식"/>
      <sheetName val="단가산출-기,교"/>
      <sheetName val="현금"/>
      <sheetName val="현장"/>
      <sheetName val="Macro(차단기)"/>
      <sheetName val="Cost bd-&quot;A&quot;"/>
      <sheetName val="IBASE"/>
      <sheetName val="당사"/>
      <sheetName val="시공계획"/>
      <sheetName val="sw1"/>
      <sheetName val="NOMUBI"/>
      <sheetName val="단가표"/>
      <sheetName val="실행예산서"/>
      <sheetName val="유동표(변경)"/>
      <sheetName val="토공산출(주차장)"/>
      <sheetName val="토목공사"/>
      <sheetName val="급명"/>
      <sheetName val="단  가  대  비  표"/>
      <sheetName val="일  위  대  가  목  록"/>
      <sheetName val="건축공사실행"/>
      <sheetName val="잡철물"/>
      <sheetName val="EA_x0000__x0000__x0005__x0000_"/>
      <sheetName val="EAⓌN⽀ᘌ"/>
      <sheetName val="EA肠'淘ɕ"/>
      <sheetName val="EA淘ɕ㼨ę"/>
      <sheetName val="차수공개요"/>
      <sheetName val="일위대가(계측기설치)"/>
      <sheetName val="공종별원가계산"/>
      <sheetName val="말고개터널조명전압강하"/>
      <sheetName val="경비_원본"/>
      <sheetName val="출력X"/>
      <sheetName val="화설내"/>
      <sheetName val="배수관토공"/>
      <sheetName val="실행"/>
      <sheetName val="백암비스타내역"/>
      <sheetName val="DB"/>
      <sheetName val="암거날개벽재료집계"/>
      <sheetName val="예산조서(무선)"/>
      <sheetName val="조경일람"/>
      <sheetName val="년도별노임표"/>
      <sheetName val="중기목록표"/>
      <sheetName val="경율산정"/>
      <sheetName val="원내역서3"/>
      <sheetName val="3도로"/>
      <sheetName val="과세내역(세부)"/>
      <sheetName val="101동"/>
      <sheetName val="const."/>
      <sheetName val="동해title"/>
      <sheetName val="TYPE-1"/>
      <sheetName val="PROJECT BRIEF"/>
      <sheetName val="우각부보강"/>
      <sheetName val="대창(함평)-창열"/>
      <sheetName val="대창(장성)"/>
      <sheetName val="간접1"/>
      <sheetName val=" 상부공통집계(총괄)"/>
      <sheetName val="VA_code"/>
      <sheetName val="실행예산"/>
      <sheetName val="CODE"/>
      <sheetName val="E총"/>
      <sheetName val="단가조사-1"/>
      <sheetName val="단가조사-2"/>
      <sheetName val="견적"/>
      <sheetName val="구리토평1전기"/>
      <sheetName val="세부내역"/>
      <sheetName val="정공공사"/>
      <sheetName val="기초일위"/>
      <sheetName val="시설일위"/>
      <sheetName val="조명일위"/>
      <sheetName val="SULKEA"/>
      <sheetName val="아파트건축"/>
      <sheetName val="직원동원SCH"/>
      <sheetName val="전기"/>
      <sheetName val="갑지(추정)"/>
      <sheetName val="97 사업추정(WEKI)"/>
      <sheetName val="공종"/>
      <sheetName val="내역(토목)"/>
      <sheetName val="5.공종별예산내역서"/>
      <sheetName val="중기사용료"/>
      <sheetName val="물墸᎟鰀"/>
      <sheetName val="토공정보"/>
      <sheetName val="2"/>
      <sheetName val="두앙"/>
      <sheetName val="공용시설내역"/>
      <sheetName val="화재 탐지_x0005__x0000_"/>
      <sheetName val="Customer Databas"/>
      <sheetName val="자재테이블"/>
      <sheetName val="PIPE"/>
      <sheetName val="VALVE"/>
      <sheetName val="단가비교표_공통1"/>
      <sheetName val="MFAB"/>
      <sheetName val="MFRT"/>
      <sheetName val="MPKG"/>
      <sheetName val="MPRD"/>
      <sheetName val="일위"/>
      <sheetName val="표층포설및다짐"/>
      <sheetName val="EKOG10건축"/>
      <sheetName val="220 (2)"/>
      <sheetName val="견적서1"/>
      <sheetName val="단가조사표"/>
      <sheetName val="설계내역서(기계)"/>
      <sheetName val="입고장부 (4)"/>
      <sheetName val="내역서(총)"/>
      <sheetName val="변경비교-을"/>
      <sheetName val="Oper Amount"/>
      <sheetName val="송우내역서"/>
      <sheetName val="단면치수"/>
      <sheetName val="경비2내역"/>
      <sheetName val="웅진교-S2"/>
      <sheetName val="토사(PE)"/>
      <sheetName val="가공비"/>
      <sheetName val="건축개요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BOX전기내역"/>
      <sheetName val="지수"/>
      <sheetName val="EP0618"/>
      <sheetName val="14_장력조정장치신설"/>
      <sheetName val="15_장력조정장치철거___"/>
      <sheetName val="16_콘주철거(9m)"/>
      <sheetName val="17_지선신설(보통)"/>
      <sheetName val="18_지선신설(v형)"/>
      <sheetName val="19_지선철거"/>
      <sheetName val="20_기중개폐기신설"/>
      <sheetName val="조도계산서_(도서)"/>
      <sheetName val="1_설계조건"/>
      <sheetName val="3-1_CB"/>
      <sheetName val="1_수인터널"/>
      <sheetName val="2__동력설비_공사"/>
      <sheetName val="3__조명설비공사"/>
      <sheetName val="4__접지설비공사"/>
      <sheetName val="5__통신설비_공사"/>
      <sheetName val="6__전기방식설비공사"/>
      <sheetName val="6_전기방식_설비공사(2)"/>
      <sheetName val="7_방호설비공사"/>
      <sheetName val="8_가설전기공사"/>
      <sheetName val="2000_11월설계내역"/>
      <sheetName val="단__가__대__비__표"/>
      <sheetName val="일__위__대__가__목__록"/>
      <sheetName val="90_03실행_"/>
      <sheetName val="3_공통공사대비"/>
      <sheetName val="전선_및_전선관"/>
      <sheetName val="저"/>
      <sheetName val="교대"/>
      <sheetName val="마산방향"/>
      <sheetName val="진주방향"/>
      <sheetName val="전력"/>
      <sheetName val="토공집계표"/>
      <sheetName val="1.우편집중내역서"/>
      <sheetName val="단가대비표"/>
      <sheetName val="단면가정"/>
      <sheetName val="SORCE1"/>
      <sheetName val="가시설단위수량"/>
      <sheetName val="일위대가표 (2)"/>
      <sheetName val="차도조도계산"/>
      <sheetName val="TEL"/>
      <sheetName val="NEYOK"/>
      <sheetName val="공통가설"/>
      <sheetName val="옹벽수량집계"/>
      <sheetName val="관로"/>
      <sheetName val="1SPAN"/>
      <sheetName val="9-1차이내역"/>
      <sheetName val="COL"/>
      <sheetName val="품셈TABLE"/>
      <sheetName val="품셈표"/>
      <sheetName val="부대대비"/>
      <sheetName val="냉연집계"/>
      <sheetName val="LP-S"/>
      <sheetName val="일(4)"/>
      <sheetName val="세부내역서"/>
      <sheetName val="설계개요"/>
      <sheetName val="범용개발순소요비용"/>
      <sheetName val="교각별수량"/>
      <sheetName val="원가산출서"/>
      <sheetName val="Dae_Jiju"/>
      <sheetName val="Sikje_ingun"/>
      <sheetName val="TREE_D"/>
      <sheetName val="제품"/>
      <sheetName val="기본일위"/>
      <sheetName val="품셈집계표"/>
      <sheetName val="자재조사표(참고용)"/>
      <sheetName val="일반부표집계표"/>
      <sheetName val="분전함신설"/>
      <sheetName val="접지1종"/>
      <sheetName val="세동별비상"/>
      <sheetName val="다이꾸"/>
      <sheetName val="MEXICO-C"/>
      <sheetName val="위치조서"/>
      <sheetName val="지하"/>
      <sheetName val="선정요령"/>
      <sheetName val="BabyÀÏÀ§´ë°¡"/>
      <sheetName val="NìüëÒ-òÅ"/>
      <sheetName val="°£¼±°è»ê"/>
      <sheetName val="´ë±¸½ÇÇà"/>
      <sheetName val="0.Áý°è"/>
      <sheetName val="1.¼öº¯Àü¼³ºñ°ø»ç"/>
      <sheetName val="Ç¥Áö (2)"/>
      <sheetName val="¸Å¸³"/>
      <sheetName val="¿ø°¡°è»ê"/>
      <sheetName val="1.ÀüÂ÷¼±Á¶Á¤"/>
      <sheetName val="2.Á¶°¡¼±Á¶Á¤"/>
      <sheetName val="3.±ÞÀü¼±½Å¼³"/>
      <sheetName val="4.±ÞÀü¼±Ã¶°Å"/>
      <sheetName val="5.°í¹è¼±Ã¶°Å"/>
      <sheetName val="6.°í¾ÐÄÉÀÌºí½Å¼³"/>
      <sheetName val="REACTION(USD지진시)"/>
      <sheetName val="안정검토"/>
      <sheetName val="REACTION(USE평시)"/>
      <sheetName val="소포내역 (2)"/>
      <sheetName val="날개벽(시점좌측)"/>
      <sheetName val="외주"/>
      <sheetName val="Testing"/>
      <sheetName val="계화배수"/>
      <sheetName val="방음벽 기초 일반수량"/>
      <sheetName val="I.설계조건"/>
      <sheetName val="부재력정리"/>
      <sheetName val="BLOCK(1)"/>
      <sheetName val="참조-(1)"/>
      <sheetName val="하수급견적대비"/>
      <sheetName val="7.ºñÀý¿¬¼±Á¶Á¤"/>
      <sheetName val="8.°¡µ¿ºê·¡Å°Æ®ÀÌ¼³"/>
      <sheetName val="9.HÇü°­ÁÖ½Å¼³(9m)"/>
      <sheetName val="10.°­°üÁÖ½Å¼³(9m)"/>
      <sheetName val="11.H°­ÁÖÃ¶°Å(11m)"/>
      <sheetName val="11.HÇü°­±âÃÊ"/>
      <sheetName val="13.°­°üÁÖ±âÃÊ"/>
      <sheetName val="14.Àå·ÂÁ¶Á¤ÀåÄ¡½Å¼³"/>
      <sheetName val="15.Àå·ÂÁ¶Á¤ÀåÄ¡Ã¶°Å   "/>
      <sheetName val="16.ÄÜÁÖÃ¶°Å(9m)"/>
      <sheetName val="17.Áö¼±½Å¼³(º¸Åë)"/>
      <sheetName val="18.Áö¼±½Å¼³(vÇü)"/>
      <sheetName val="19.Áö¼±Ã¶°Å"/>
      <sheetName val="20.±âÁß°³Æó±â½Å¼³"/>
      <sheetName val="´Ü°¡ºñ±³Ç¥"/>
      <sheetName val="의정부문예회관변경내역"/>
      <sheetName val="POL6차-PIPING"/>
      <sheetName val="±âÃÊ´Ü°¡"/>
      <sheetName val="제1장"/>
      <sheetName val="제2장"/>
      <sheetName val="제3장"/>
      <sheetName val="제4장"/>
      <sheetName val="5장공내역서"/>
      <sheetName val="제6장"/>
      <sheetName val="직불동의서"/>
      <sheetName val="확약서"/>
      <sheetName val="전자입찰"/>
      <sheetName val="7작업장인수인계서"/>
      <sheetName val="3특기시방서"/>
      <sheetName val="일위대가목록(1)"/>
      <sheetName val="단가대비표(1)"/>
      <sheetName val="수질정화시설"/>
      <sheetName val="BASIC (2)"/>
      <sheetName val="¾Æ»êÃß°¡1220"/>
      <sheetName val="98Áö±Þ°èÈ¹"/>
      <sheetName val="´çÃÊ"/>
      <sheetName val="1.¼³°èÁ¶°Ç"/>
      <sheetName val="Àç·á"/>
      <sheetName val="°¡·ÎµîºÎÇ¥"/>
      <sheetName val="Á¦°æºñÀ²"/>
      <sheetName val="³»¿ª(¼³°è)"/>
      <sheetName val="½Ä»ýºí·°´ÜÀ§¼ö·®"/>
      <sheetName val="Á¤ºÎ³ëÀÓ´Ü°¡"/>
      <sheetName val="Pricelist TAC AB"/>
      <sheetName val="물가정보자료"/>
      <sheetName val="적용토목"/>
      <sheetName val="조명율데이타"/>
      <sheetName val="관람석제출"/>
      <sheetName val="자재단가표"/>
      <sheetName val="제수변수량"/>
      <sheetName val="공기변수량"/>
      <sheetName val="일반수량총괄"/>
      <sheetName val="의왕내역"/>
      <sheetName val="입출재고현황 (2)"/>
      <sheetName val="현장관리비 "/>
      <sheetName val="금액결정"/>
      <sheetName val="견적대비"/>
      <sheetName val="설계가"/>
      <sheetName val="할증 "/>
      <sheetName val="경상비"/>
      <sheetName val="CC16-내역서"/>
      <sheetName val="기타시설"/>
      <sheetName val="판매시설"/>
      <sheetName val="아파트"/>
      <sheetName val="주민복지관"/>
      <sheetName val="지하주차장"/>
      <sheetName val="청천내"/>
      <sheetName val="실행대비"/>
      <sheetName val="문학간접"/>
      <sheetName val="매입세"/>
      <sheetName val="투입(관수_건축)"/>
      <sheetName val="투입(APT500)"/>
      <sheetName val="투입(분당)"/>
      <sheetName val="작성지침서2)"/>
      <sheetName val="투입스케쥴양식"/>
      <sheetName val="투입(APT1200)"/>
      <sheetName val="투입(평촌)"/>
      <sheetName val="투입(APT1000)"/>
      <sheetName val="별표 "/>
      <sheetName val="계약내역서(을지)"/>
      <sheetName val="우수"/>
      <sheetName val="설계예시"/>
      <sheetName val="캔개발배경"/>
      <sheetName val="시장"/>
      <sheetName val="일정표"/>
      <sheetName val="AS복구"/>
      <sheetName val="중기터파기"/>
      <sheetName val="변수값"/>
      <sheetName val="중기상차"/>
      <sheetName val="2.펌프장(사급자재)"/>
      <sheetName val="남양구조시험동"/>
      <sheetName val="지하1층"/>
      <sheetName val="TYPE-A"/>
      <sheetName val="2000.11¿ù¼³餀㢘ԯ_x0000_缀_x0000_"/>
      <sheetName val="단양 00 아파트-세부내역"/>
      <sheetName val="토량1-1"/>
      <sheetName val="5.정산서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설계기준 및 하중계산"/>
      <sheetName val="입력값"/>
      <sheetName val="전기혼잡제경비(45)"/>
      <sheetName val="견적의뢰서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8. 안정검토"/>
      <sheetName val="대구-교대(A1-A2)"/>
      <sheetName val="°ø»ç¿ø°¡°è»ê¼­"/>
      <sheetName val="ÃÑ³»¿ª¼­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µ¿¿ø(3)"/>
      <sheetName val="¿¹Á¤(3)"/>
      <sheetName val="ÁÖÇü"/>
      <sheetName val="재정비직인"/>
      <sheetName val="재정비내역"/>
      <sheetName val="지적고시내역"/>
      <sheetName val="현장설명서"/>
      <sheetName val="견적조건서"/>
      <sheetName val="시공일반사항"/>
      <sheetName val="현장설명서갑지"/>
      <sheetName val="하도급선정의뢰서(습식공사)"/>
      <sheetName val="Despacho (c.civil)"/>
      <sheetName val="토공A"/>
      <sheetName val="1을"/>
      <sheetName val="조경"/>
      <sheetName val="감가상각"/>
      <sheetName val="공사내역"/>
      <sheetName val="plan&amp;section of foundation"/>
      <sheetName val="COVER-P"/>
      <sheetName val="기본단가"/>
      <sheetName val="영업소실적"/>
      <sheetName val="Proposal"/>
      <sheetName val="변경품셈총괄"/>
      <sheetName val="노임(1차)"/>
      <sheetName val="정화조방수미장"/>
      <sheetName val="단위량당중기"/>
      <sheetName val="물가"/>
      <sheetName val="약품설비"/>
      <sheetName val="아파트기별"/>
      <sheetName val="공리일"/>
      <sheetName val="몰탈재료산출"/>
      <sheetName val="단위목록"/>
      <sheetName val="기계경비목록"/>
      <sheetName val="관급"/>
      <sheetName val="15"/>
      <sheetName val="접속슬라브"/>
      <sheetName val="제품별"/>
      <sheetName val="공사별 가중치 산출근거(토목)"/>
      <sheetName val="가중치근거(조경)"/>
      <sheetName val="목동1절주.bh01"/>
      <sheetName val="48일위"/>
      <sheetName val="48수량"/>
      <sheetName val="22수량"/>
      <sheetName val="49일위"/>
      <sheetName val="영구청"/>
      <sheetName val="영구청이설"/>
      <sheetName val="사당2"/>
      <sheetName val="사당4"/>
      <sheetName val="사당4이설"/>
      <sheetName val="교대2"/>
      <sheetName val="교대2이설"/>
      <sheetName val="교대3"/>
      <sheetName val="교대3이설"/>
      <sheetName val="수서3"/>
      <sheetName val="수서3이설"/>
      <sheetName val="영구청afc"/>
      <sheetName val="실행갑지"/>
      <sheetName val="정화조동내역"/>
      <sheetName val="22일위"/>
      <sheetName val="49수량"/>
      <sheetName val="관리사무소"/>
      <sheetName val="건축"/>
      <sheetName val="단가산출서 (2)"/>
      <sheetName val="단가산출서"/>
      <sheetName val="견적990322"/>
      <sheetName val="실행(표지,갑,을)"/>
      <sheetName val="공내역"/>
      <sheetName val="백호우계수"/>
      <sheetName val="DATA 입력란"/>
      <sheetName val="1. 설계조건 2.단면가정 3. 하중계산"/>
      <sheetName val="주차구획선수량"/>
      <sheetName val="사각맨홀"/>
      <sheetName val="수량이동"/>
      <sheetName val="산근"/>
      <sheetName val="basic"/>
      <sheetName val="집수정"/>
      <sheetName val="과세표준율-2"/>
      <sheetName val="면적분양가"/>
      <sheetName val="분양면적(1123)"/>
      <sheetName val="출력소스"/>
      <sheetName val="평교-내역"/>
      <sheetName val="제수"/>
      <sheetName val="공기"/>
      <sheetName val="대,유,램"/>
      <sheetName val="전체_1설계"/>
      <sheetName val="자재일람"/>
      <sheetName val="cost"/>
      <sheetName val="단면설계"/>
      <sheetName val="MACRO(MCC)"/>
      <sheetName val="Data&amp;Result"/>
      <sheetName val="자  재"/>
      <sheetName val="메서,변+증"/>
      <sheetName val="tggwan(mac)"/>
      <sheetName val="건축내역서 (경제상무실)"/>
      <sheetName val="공사비집계"/>
      <sheetName val="J"/>
      <sheetName val="개보수공사BM"/>
      <sheetName val="loading"/>
      <sheetName val="Factor"/>
      <sheetName val="w't table"/>
      <sheetName val="UR2-Calculation"/>
      <sheetName val="Main"/>
      <sheetName val="4차원가계산서"/>
      <sheetName val="예산M12A"/>
      <sheetName val="환율-LIBOR"/>
      <sheetName val="준검_내역서"/>
      <sheetName val="수목데이타_"/>
      <sheetName val="변압기_및_발전기_용량"/>
      <sheetName val="단가_및_재료비"/>
      <sheetName val="AS포장복구_"/>
      <sheetName val="3BL공동구_수량"/>
      <sheetName val="경산(을)"/>
      <sheetName val="P-산#1-1(WOWA1)"/>
      <sheetName val="부서현황"/>
      <sheetName val="준공평가"/>
      <sheetName val="기성내역서표지"/>
      <sheetName val="인수공총괄"/>
      <sheetName val="덕소내역"/>
      <sheetName val="LD일"/>
      <sheetName val="FA설치명세"/>
      <sheetName val="FD"/>
      <sheetName val="공종단가"/>
      <sheetName val="HRSG SMALL07220"/>
      <sheetName val="기본단가표"/>
      <sheetName val="LAB"/>
      <sheetName val="변압기"/>
      <sheetName val="발전기용량-1"/>
      <sheetName val="발전기용량-2"/>
      <sheetName val="출력전에보세요"/>
      <sheetName val="전력간선(일반)"/>
      <sheetName val="전력간선(동력)"/>
      <sheetName val="MCC-B-A"/>
      <sheetName val="MCC-B-B"/>
      <sheetName val="MCC-B-C"/>
      <sheetName val="ACCOUNT(RECEP)"/>
      <sheetName val="부하(동력)"/>
      <sheetName val="ILLUMINANCE"/>
      <sheetName val="설명"/>
      <sheetName val="계산DATA"/>
      <sheetName val="전류"/>
      <sheetName val="데이터북"/>
      <sheetName val="조명참고자료"/>
      <sheetName val="잔수량(작성)"/>
      <sheetName val="전체철근집계"/>
      <sheetName val="H-PILE수량집계"/>
      <sheetName val="CB"/>
      <sheetName val="CS2"/>
      <sheetName val="오동"/>
      <sheetName val="대조"/>
      <sheetName val="나한"/>
      <sheetName val="INPUT(덕도방향-시점)"/>
      <sheetName val="BOX 본체"/>
      <sheetName val="깨기수량"/>
      <sheetName val="가공2원도"/>
      <sheetName val="EQT-ESTN"/>
      <sheetName val="결과조달"/>
      <sheetName val="물가대비표"/>
      <sheetName val="공사"/>
      <sheetName val="8.PILE  (돌출)"/>
      <sheetName val="b_balju_cho"/>
      <sheetName val="접속도로1"/>
      <sheetName val="명세서"/>
      <sheetName val="시멘트"/>
      <sheetName val="조명투자및환수계획"/>
      <sheetName val="제조중간결과"/>
      <sheetName val="전기설계변경"/>
      <sheetName val="현황산출서"/>
      <sheetName val="3본사"/>
      <sheetName val="DATA 입력부"/>
      <sheetName val="매매"/>
      <sheetName val="전신"/>
      <sheetName val="승용"/>
      <sheetName val="Languages"/>
      <sheetName val="공사내역서(을)실행"/>
      <sheetName val="단가대비"/>
      <sheetName val="96작생능"/>
      <sheetName val="산출(전주P7)"/>
      <sheetName val="자재 단가표"/>
      <sheetName val="일위대가(건축)"/>
      <sheetName val="간지"/>
      <sheetName val="01"/>
      <sheetName val="Recovered_Sheet1"/>
      <sheetName val="원가상세내역"/>
      <sheetName val="2004경영(비목별)"/>
      <sheetName val="2004경영"/>
      <sheetName val="토공(우물통,기타) "/>
      <sheetName val="L형옹벽측구"/>
      <sheetName val="토공계산서(부체도로)"/>
      <sheetName val="장비"/>
      <sheetName val="산근1"/>
      <sheetName val="노무"/>
      <sheetName val="70%"/>
      <sheetName val="단면"/>
      <sheetName val="Cable schedule"/>
      <sheetName val="V-data"/>
      <sheetName val="L-data"/>
      <sheetName val="P-data"/>
      <sheetName val="내역(전체)"/>
      <sheetName val="건설장비기초단가"/>
      <sheetName val="도급"/>
      <sheetName val="약전닥트"/>
      <sheetName val="건축부하"/>
      <sheetName val="COPING"/>
      <sheetName val="샘플표지"/>
      <sheetName val="바닥판"/>
      <sheetName val="s"/>
      <sheetName val="Vari by Vendor"/>
      <sheetName val="현장관리비"/>
      <sheetName val="2002상반기노임기준"/>
      <sheetName val="공조기(삭제)"/>
      <sheetName val="3.자재비(총괄)"/>
      <sheetName val="Macro3"/>
      <sheetName val="GAEYO"/>
      <sheetName val="위성"/>
      <sheetName val="안양1공구_건축"/>
      <sheetName val="신표지1"/>
      <sheetName val="사급자재총괄"/>
      <sheetName val="변경후-SHEET"/>
      <sheetName val="CAT_5"/>
      <sheetName val="목록"/>
      <sheetName val="1.범위"/>
      <sheetName val="2.편성"/>
      <sheetName val="3개요"/>
      <sheetName val="5내역"/>
      <sheetName val="6.GAS"/>
      <sheetName val="7임급실"/>
      <sheetName val="미제출"/>
      <sheetName val="소방1"/>
      <sheetName val="소방2"/>
      <sheetName val="왜UP"/>
      <sheetName val="2터널시점"/>
      <sheetName val="기본"/>
      <sheetName val="토공 total"/>
      <sheetName val="하도급변경대비표"/>
      <sheetName val="2000용수잠관-수량집계"/>
      <sheetName val="단가비교표 (계측제어)"/>
      <sheetName val="7.1유효폭"/>
      <sheetName val="바이오"/>
      <sheetName val="gvl"/>
      <sheetName val="data2"/>
      <sheetName val="적현로"/>
      <sheetName val="¼ö·®»êÃÈ"/>
      <sheetName val="¼ö·®»êÃX"/>
      <sheetName val="자단"/>
      <sheetName val="공사착공계"/>
      <sheetName val="제경비"/>
      <sheetName val="배수내역(총수량)"/>
      <sheetName val="소업1교"/>
      <sheetName val="변화치수"/>
      <sheetName val=" 토목 처리장도급내역서 "/>
      <sheetName val="98수문일위"/>
      <sheetName val="2000_x0005__x0000__x0000_"/>
      <sheetName val="날개벽"/>
      <sheetName val="IP좌표"/>
      <sheetName val="단가산출집계"/>
      <sheetName val="일위대가 집계표"/>
      <sheetName val="횡배수관토공수량"/>
      <sheetName val="c_balju"/>
      <sheetName val="IMPEADENCE MAP 취수장"/>
      <sheetName val="계산근거"/>
      <sheetName val="type-F"/>
      <sheetName val="원형맨홀수량"/>
      <sheetName val="모델링"/>
      <sheetName val="하중계산"/>
      <sheetName val="지장물C"/>
      <sheetName val="General Data"/>
      <sheetName val="단위세대"/>
      <sheetName val="월선수금"/>
      <sheetName val="woo(mac)"/>
      <sheetName val="제원.설계조건"/>
      <sheetName val="SLAB"/>
      <sheetName val="출력-내역서"/>
      <sheetName val="골조시행"/>
      <sheetName val="96수출"/>
      <sheetName val="Site Expenses"/>
      <sheetName val="sum1 (2)"/>
      <sheetName val="SE-611"/>
      <sheetName val="단가표 "/>
      <sheetName val="가설공사"/>
      <sheetName val="기초공"/>
      <sheetName val="투자효율분석"/>
      <sheetName val="견적내용입력"/>
      <sheetName val="견적서세부내용"/>
      <sheetName val="집1"/>
      <sheetName val="투찰"/>
      <sheetName val="설계내역(2001)"/>
      <sheetName val="EUPDAT2"/>
      <sheetName val="hvac내역서(제어동)"/>
      <sheetName val="DATA(BAC)"/>
      <sheetName val="단락전류-A"/>
      <sheetName val="DPRKMHDT"/>
      <sheetName val="공통부대비"/>
      <sheetName val="6공구(당초)"/>
      <sheetName val="STBOX"/>
      <sheetName val="통합"/>
      <sheetName val="BOX"/>
      <sheetName val="공사기본자료"/>
      <sheetName val="철근량 검토"/>
      <sheetName val="TC표지"/>
      <sheetName val="H PILE수량"/>
      <sheetName val="유기공정"/>
      <sheetName val="공사진행"/>
      <sheetName val="기준액"/>
      <sheetName val="교량하부공"/>
      <sheetName val="wall"/>
      <sheetName val="와동25-3(변경)"/>
      <sheetName val="기계"/>
      <sheetName val="견적서(대외) (2)"/>
      <sheetName val="__MAIN"/>
      <sheetName val="°úÃµMAIN"/>
      <sheetName val="ÅÍ³ÎÁ¶µµ"/>
      <sheetName val="1.¼³°è±âÁØ"/>
      <sheetName val="3Â÷¼³°è"/>
      <sheetName val="ÇöÈ²CODE"/>
      <sheetName val="¼ÕÀÍÇöÈ²"/>
      <sheetName val="±âµÕ(¿øÇü)"/>
      <sheetName val="¿Ëº®"/>
      <sheetName val="ABUT¼ö·®-A1"/>
      <sheetName val="¹ëºê¼³Ä¡"/>
      <sheetName val="3.¹Ù´ÚÆÇ¼³°è"/>
      <sheetName val="Á¶°Ç"/>
      <sheetName val="¿©Èï"/>
      <sheetName val="tÇü"/>
      <sheetName val="2. µ¿·Â¼³ºñ °ø»ç"/>
      <sheetName val="3. Á¶¸í¼³ºñ°ø»ç"/>
      <sheetName val="4. Á¢Áö¼³ºñ°ø»ç"/>
      <sheetName val="5. Åë½Å¼³ºñ °ø»ç"/>
      <sheetName val="6. Àü±â¹æ½Ä¼³ºñ°ø»ç"/>
      <sheetName val="6.Àü±â¹æ½Ä ¼³ºñ°ø»ç(2)"/>
      <sheetName val="7.¹æÈ£¼³ºñ°ø»ç"/>
      <sheetName val="8.°¡¼³Àü±â°ø»ç"/>
      <sheetName val="»êÃâ±Ù°Å"/>
      <sheetName val="Á¡¼ö°è»ê1-2"/>
      <sheetName val="ÃÑ°è"/>
      <sheetName val="¼ö¾Èº¸-MBR1"/>
      <sheetName val="ÀÔ·ÂDATA"/>
      <sheetName val="8. ¾ÈÁ¤°ËÅä"/>
      <sheetName val="ÇöÀåÁöÁö¹°¹°·®"/>
      <sheetName val="9GNG¿î¹Ý"/>
      <sheetName val="¿µ¾÷¼Ò½ÇÀû"/>
      <sheetName val="°ø»çÁøÇà"/>
      <sheetName val="°ßÀû¼­(´ë¿Ü) (2)"/>
      <sheetName val="ÀÎ°Ç-ÃøÁ¤"/>
      <sheetName val="6PILE  (µ¹Ãâ)"/>
      <sheetName val="본체"/>
      <sheetName val="부안일위"/>
      <sheetName val="Piping Design Data"/>
      <sheetName val="工완성공사율"/>
      <sheetName val="Ampecity Data"/>
      <sheetName val="MCC제원"/>
      <sheetName val="변경서식"/>
      <sheetName val="MACRO(전선관)"/>
      <sheetName val="T6-6(2)"/>
      <sheetName val="Upgrades pricing"/>
      <sheetName val="시가지우회도로공내역서"/>
      <sheetName val="견적사양비교표"/>
      <sheetName val="공사별 가중치 산출근거(건축)"/>
      <sheetName val="집수A"/>
      <sheetName val="FAX"/>
      <sheetName val="종합기별"/>
      <sheetName val="노무비명세서"/>
      <sheetName val="소요자재명세서"/>
      <sheetName val="교통량조사"/>
      <sheetName val="1공구 건정토건 철콘"/>
      <sheetName val="2공구하도급내역서"/>
      <sheetName val="도급내역"/>
      <sheetName val="투찰추정"/>
      <sheetName val="도급내역5+800"/>
      <sheetName val="수목표준대가"/>
      <sheetName val="도급금액"/>
      <sheetName val="재노경"/>
      <sheetName val="변경내역서"/>
      <sheetName val="식재인부"/>
      <sheetName val="일위대가(1)"/>
      <sheetName val="관급자재"/>
      <sheetName val="초기화면"/>
      <sheetName val="총공사내역서"/>
      <sheetName val="토공사"/>
      <sheetName val="정렬"/>
      <sheetName val="계약내역서"/>
      <sheetName val="전체도급"/>
      <sheetName val="충주"/>
      <sheetName val="담장산출"/>
      <sheetName val="기초자료입력"/>
      <sheetName val="예산M6-B"/>
      <sheetName val="일위대가(출입)"/>
      <sheetName val="현대물량"/>
      <sheetName val="저리조양"/>
      <sheetName val="입찰견적보고서"/>
      <sheetName val="Front"/>
      <sheetName val="AHU집계"/>
      <sheetName val="공조기휀"/>
      <sheetName val="계양가시설"/>
      <sheetName val="N頀ᚃ"/>
      <sheetName val="N"/>
      <sheetName val="산출목록표"/>
      <sheetName val="수원공"/>
      <sheetName val="구분자"/>
      <sheetName val="그림"/>
      <sheetName val="구성1"/>
      <sheetName val="구성2"/>
      <sheetName val="구성3"/>
      <sheetName val="구성4"/>
      <sheetName val="그림2"/>
      <sheetName val="69.03%"/>
      <sheetName val="변경내역100%"/>
      <sheetName val="변경내역98%"/>
      <sheetName val="변경내역96%"/>
      <sheetName val="변경내역92%"/>
      <sheetName val="변경내역88%"/>
      <sheetName val="변경내역84.52%"/>
      <sheetName val="DATA-UPS"/>
      <sheetName val="예산M11A"/>
      <sheetName val="(2)"/>
      <sheetName val="성내동"/>
      <sheetName val="날개벽(TYPE1)"/>
      <sheetName val="401"/>
      <sheetName val="토공(완충)"/>
      <sheetName val="방송노임"/>
      <sheetName val="2002계약현황"/>
      <sheetName val="일집"/>
      <sheetName val="건축원가계산서"/>
      <sheetName val="내부부하"/>
      <sheetName val="재료집계"/>
      <sheetName val="P.M 별"/>
      <sheetName val="PREFACE"/>
      <sheetName val="SKETCH"/>
      <sheetName val="일위_파일"/>
      <sheetName val="배수문수량산출(3)"/>
      <sheetName val="남대문빌딩"/>
      <sheetName val="INDEX"/>
      <sheetName val="15100"/>
      <sheetName val="기기리스트"/>
      <sheetName val="성서방향-교대(A2)"/>
      <sheetName val="PUMP"/>
      <sheetName val="탑(을지)"/>
      <sheetName val="감액총괄표"/>
      <sheetName val="KMT물량"/>
      <sheetName val="원본(갑지)"/>
      <sheetName val="전등부하"/>
      <sheetName val="예총"/>
      <sheetName val="총집계표"/>
      <sheetName val="제진기"/>
      <sheetName val="내역서01"/>
      <sheetName val="Option"/>
      <sheetName val="1안"/>
      <sheetName val="버스운행안내"/>
      <sheetName val="예방접종계획"/>
      <sheetName val="근태계획서"/>
      <sheetName val="총괄서"/>
      <sheetName val="간접경상비"/>
      <sheetName val="테이블"/>
      <sheetName val="design load"/>
      <sheetName val="working load at the btm ft."/>
      <sheetName val="stability check"/>
      <sheetName val="design criteria"/>
      <sheetName val="견적내역"/>
      <sheetName val="보도경계블럭"/>
      <sheetName val="리터팬내장형"/>
      <sheetName val="준공조서"/>
      <sheetName val="공사준공계"/>
      <sheetName val="준공검사보고서"/>
      <sheetName val="ATS단가"/>
      <sheetName val="mcc일위대가"/>
      <sheetName val="예산서"/>
      <sheetName val="원본"/>
      <sheetName val="견"/>
      <sheetName val="NAI"/>
      <sheetName val="조도계산(가로등NEW)"/>
      <sheetName val="결합부검토"/>
      <sheetName val="연습장소"/>
      <sheetName val="종배수관"/>
      <sheetName val="2003상반기노임기준"/>
      <sheetName val="중기조종사 단위단가"/>
      <sheetName val="1호맨홀토공"/>
      <sheetName val="Pier 3"/>
      <sheetName val="횡배수관"/>
      <sheetName val="협조전"/>
      <sheetName val="공사비 내역 (가)"/>
      <sheetName val="차수"/>
      <sheetName val="부표총괄"/>
      <sheetName val="등록업체"/>
      <sheetName val="상세내역,전력산출서"/>
      <sheetName val="기술자료 (연수)"/>
      <sheetName val="연동내역서"/>
      <sheetName val="본선 토공 분배표"/>
      <sheetName val="1.토공"/>
      <sheetName val="제출내역 (2)"/>
      <sheetName val="입찰"/>
      <sheetName val="현경"/>
      <sheetName val="전화번호DATA (2001)"/>
      <sheetName val="자압"/>
      <sheetName val="106C0300"/>
      <sheetName val="하부철근수량"/>
      <sheetName val="1-1"/>
      <sheetName val="통합내역"/>
      <sheetName val="노임,재료비"/>
      <sheetName val="하중산정"/>
      <sheetName val="copy"/>
      <sheetName val="서식"/>
      <sheetName val="입찰사유서 제4공종 (흙깎기)"/>
      <sheetName val="산근(목록)"/>
      <sheetName val="이형관중량"/>
      <sheetName val="4)유동표"/>
      <sheetName val="공리공제"/>
      <sheetName val="전체내역서"/>
      <sheetName val="통로box전기"/>
      <sheetName val="시운전연료"/>
      <sheetName val="기흥하도용"/>
      <sheetName val="계약표지"/>
      <sheetName val="전기 원가계산서"/>
      <sheetName val="평가데이터"/>
      <sheetName val="관리,부대비"/>
      <sheetName val="4월"/>
      <sheetName val="8월"/>
      <sheetName val="12월"/>
      <sheetName val="2월"/>
      <sheetName val="1월"/>
      <sheetName val="7월"/>
      <sheetName val="6월"/>
      <sheetName val="3월"/>
      <sheetName val="5월"/>
      <sheetName val="11월"/>
      <sheetName val="10월"/>
      <sheetName val="9월"/>
      <sheetName val="내역."/>
      <sheetName val="부대"/>
      <sheetName val="약품공급2"/>
      <sheetName val="피벗테이블데이터분석"/>
      <sheetName val="적용단위길이"/>
      <sheetName val="도근좌표"/>
      <sheetName val="납부서"/>
      <sheetName val="SRC-B3U2"/>
      <sheetName val="이름정의"/>
      <sheetName val="초기화면1"/>
      <sheetName val="금액"/>
      <sheetName val="전력구구조물산근"/>
      <sheetName val="1"/>
      <sheetName val="(A)내역서"/>
      <sheetName val="13LPMCC"/>
      <sheetName val="sub"/>
      <sheetName val="마장"/>
      <sheetName val="투찰가"/>
      <sheetName val="발전기"/>
      <sheetName val="GEN"/>
      <sheetName val="1.동력공사"/>
      <sheetName val="실행내역서 "/>
      <sheetName val="萀⅜"/>
      <sheetName val="업체별기성내역"/>
      <sheetName val="공통비"/>
      <sheetName val="대가목록"/>
      <sheetName val="자재목록표"/>
      <sheetName val="단중聀"/>
      <sheetName val="당정동경상이수"/>
      <sheetName val="당정동공통이수"/>
      <sheetName val="貭♘"/>
      <sheetName val="기계실"/>
      <sheetName val="가CP"/>
      <sheetName val="APT"/>
      <sheetName val="장비당단가 (1)"/>
      <sheetName val="대비내역"/>
      <sheetName val="소운반"/>
      <sheetName val="공종구간"/>
      <sheetName val="산출0"/>
      <sheetName val="PARAMETER"/>
      <sheetName val="세부내역(직접인건비)"/>
      <sheetName val="사통"/>
      <sheetName val="master(total)"/>
      <sheetName val="기초코徸"/>
      <sheetName val="예산조서(︀ᇕ԰"/>
      <sheetName val="PIPING"/>
      <sheetName val="포장절단"/>
      <sheetName val="일위단가"/>
      <sheetName val="일위(설)"/>
      <sheetName val="샤워실위생"/>
      <sheetName val="건축토목내역"/>
      <sheetName val="대전-교대(A1-A2)"/>
      <sheetName val="205동"/>
      <sheetName val="기존단가 (2)"/>
      <sheetName val="대로근거"/>
      <sheetName val="OZ049E"/>
      <sheetName val="입력"/>
      <sheetName val="층"/>
      <sheetName val="기지국"/>
      <sheetName val="3련 B_x0005__x0000_"/>
      <sheetName val="기성수금(단단위)"/>
      <sheetName val="원가매출(단단위)"/>
      <sheetName val="기간등록"/>
      <sheetName val="아수배전(1회)"/>
      <sheetName val="인건비_조사"/>
      <sheetName val="적용건축"/>
      <sheetName val="설치 일위대가(4԰_x0000_缀_x0000__x0000__x0000_"/>
      <sheetName val="프로젝트"/>
      <sheetName val="99년신청"/>
      <sheetName val="콘_재료분리(1)"/>
      <sheetName val="내역서 "/>
      <sheetName val="0217상가미분양자산"/>
      <sheetName val="단위중량"/>
      <sheetName val="eq_data"/>
      <sheetName val="CALCULATION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자재비"/>
      <sheetName val="10현장조직"/>
      <sheetName val="3-1-12"/>
      <sheetName val="3-1-3"/>
      <sheetName val="단가산출1"/>
      <sheetName val="21301동"/>
      <sheetName val="금긋기 및 절단"/>
      <sheetName val="TB-내역서"/>
      <sheetName val="Instruction"/>
      <sheetName val="costing_CV"/>
      <sheetName val="costing_ESDV"/>
      <sheetName val="costing_FE"/>
      <sheetName val="Condition"/>
      <sheetName val="costing_Misc"/>
      <sheetName val="costing_MOV"/>
      <sheetName val="costing_Press"/>
      <sheetName val="choose"/>
      <sheetName val="별표(48~75)"/>
      <sheetName val="공사내역(2003년)"/>
      <sheetName val="본댐설계"/>
      <sheetName val="교육종류"/>
      <sheetName val="2.2.2입적표"/>
      <sheetName val="꣈፺"/>
      <sheetName val="堀᎟"/>
      <sheetName val="저፺"/>
      <sheetName val="壈᎟"/>
      <sheetName val="쀀ፐ"/>
      <sheetName val="죈፺"/>
      <sheetName val="惈፵"/>
      <sheetName val="송전재료비"/>
      <sheetName val="단면별연장"/>
      <sheetName val="단가(반정1교-원주)"/>
      <sheetName val="주beam"/>
      <sheetName val="음봉방향"/>
      <sheetName val="자료(통합)"/>
      <sheetName val="발주내역"/>
      <sheetName val="제3장 기술업무"/>
      <sheetName val="대포2교접속"/>
      <sheetName val="일반전기C"/>
      <sheetName val="POOM_MOTO"/>
      <sheetName val="참조"/>
      <sheetName val="평3"/>
      <sheetName val=" 냉각수펌프"/>
      <sheetName val="사다리"/>
      <sheetName val="현장지䀀ኀ㠀ኃ"/>
      <sheetName val="O＆P"/>
      <sheetName val="결재판(삭제하지말아주세요)"/>
      <sheetName val="유첨䈀ᅪ"/>
      <sheetName val="토공,기초"/>
      <sheetName val="FAB별"/>
      <sheetName val="주간계획"/>
      <sheetName val="선택"/>
      <sheetName val="총괄원가 "/>
      <sheetName val="가중치"/>
      <sheetName val="인원"/>
      <sheetName val="TG9504"/>
      <sheetName val="1995년 섹터별 매출"/>
      <sheetName val="ROOF(ALKALI)"/>
      <sheetName val="역T형옹벽(3.0)"/>
      <sheetName val="실행(ALT1)"/>
      <sheetName val="MAT"/>
      <sheetName val="경로,구간현황"/>
      <sheetName val="CIVIL"/>
      <sheetName val="전신환매도徸"/>
      <sheetName val="보호"/>
      <sheetName val="개소별수량산출"/>
      <sheetName val="성남여성복지내역"/>
      <sheetName val="현장예산"/>
      <sheetName val="품종별월계"/>
      <sheetName val="5.공종별尜_x0013_層_x0013_闰"/>
      <sheetName val="금액내㔀቎"/>
      <sheetName val="청하배수"/>
      <sheetName val="설계서"/>
      <sheetName val="예산"/>
      <sheetName val="내역서비교"/>
      <sheetName val="특수기호강도거푸집"/>
      <sheetName val="종배수관면벽신"/>
      <sheetName val="종배수관(신)"/>
      <sheetName val="갈현동"/>
      <sheetName val="용산1(해보)"/>
      <sheetName val="세부내역서(전기)"/>
      <sheetName val="적격심사표"/>
      <sheetName val="현장경비"/>
      <sheetName val="의왕실행"/>
      <sheetName val="AIR_SHOWER(3인용)"/>
      <sheetName val="과세면세표"/>
      <sheetName val="9."/>
      <sheetName val="변경내역"/>
      <sheetName val="기준"/>
      <sheetName val="VENDOR LIST"/>
      <sheetName val="설명서 "/>
      <sheetName val="aa"/>
      <sheetName val="현금흐름"/>
      <sheetName val="상행-교대(A1)"/>
      <sheetName val="유림골조"/>
      <sheetName val="★도급내역"/>
      <sheetName val="가격조사서"/>
      <sheetName val="Inquiry"/>
      <sheetName val="중간부"/>
      <sheetName val="증감분석"/>
      <sheetName val="산재 안전"/>
      <sheetName val="노무비 경비"/>
      <sheetName val="산정표"/>
      <sheetName val="공사비총괄표"/>
      <sheetName val="BQ(실행)"/>
      <sheetName val="3_바닥판설계"/>
      <sheetName val="내역(가지)"/>
      <sheetName val="GI-LIST"/>
      <sheetName val="신공"/>
      <sheetName val="Á¡°ËÃÑ°ý"/>
      <sheetName val="»ó¼öµµÅä°øÁý°èÇ¥"/>
      <sheetName val="°ßÀû´ëºñ"/>
      <sheetName val="ÀÏÀ§´ë°¡Ç¥(À¯´Ü°¡)"/>
      <sheetName val="ÀÚÀç¸ñ·Ï"/>
      <sheetName val="20°ü¸®ºñÀ²"/>
      <sheetName val="-_INFORMATION_-"/>
      <sheetName val="균열"/>
      <sheetName val="단가및재료비"/>
      <sheetName val="노᠀⁷"/>
      <sheetName val="1공구(입찰내역)"/>
      <sheetName val="CHITIET VL-NC-TT -1p"/>
      <sheetName val="TDTKP1"/>
      <sheetName val="bearing"/>
      <sheetName val="현장별계약현황('98.10.31)"/>
      <sheetName val="현장관리비데이타"/>
      <sheetName val="1)fs"/>
      <sheetName val="구조     ."/>
      <sheetName val="BEND LOSS"/>
      <sheetName val="견적율"/>
      <sheetName val="내역(중앙)"/>
      <sheetName val="내역(창신)"/>
      <sheetName val="연돌일위집계"/>
      <sheetName val="설계기준"/>
      <sheetName val="내역1"/>
      <sheetName val="공주-교대(A1)"/>
      <sheetName val="빗물받이(910-510-410)"/>
      <sheetName val="Piping(Methanol)"/>
      <sheetName val="장문교(대전)"/>
      <sheetName val="사급자재"/>
      <sheetName val="CLAUSE"/>
      <sheetName val="약품설︀"/>
      <sheetName val="건축내역(진해석동)"/>
      <sheetName val="Working(wo WTs)"/>
      <sheetName val="주조정실"/>
      <sheetName val="Requirements"/>
      <sheetName val="단가보완"/>
      <sheetName val="단위가격"/>
      <sheetName val="Rates"/>
      <sheetName val="인공(100P,배선반)"/>
      <sheetName val="설내역서 "/>
      <sheetName val="전기공사"/>
      <sheetName val="일위대가(여기까지)"/>
      <sheetName val="단위_xdc00_ὗ␀"/>
      <sheetName val="인상효1"/>
      <sheetName val="수성페인트도장 내역서"/>
      <sheetName val="밧데리"/>
      <sheetName val="진접"/>
      <sheetName val="사급자재(1단계)"/>
      <sheetName val="구조물터파기수량집계"/>
      <sheetName val="배수공 시멘트 및 골재량 산출"/>
      <sheetName val="J01"/>
      <sheetName val="공내ᰖ"/>
      <sheetName val="열린교실"/>
      <sheetName val="경산锼_x0013_閄"/>
      <sheetName val="합의경상"/>
      <sheetName val="단면瑌)"/>
      <sheetName val="22단"/>
      <sheetName val="22단锼"/>
      <sheetName val="기초자료입력및 K치 확인"/>
      <sheetName val="AS_x0005__x0000_"/>
      <sheetName val="8.현장관리비"/>
      <sheetName val="7.안전관리비"/>
      <sheetName val="장비집계"/>
      <sheetName val="손익집계(공장별)"/>
      <sheetName val="설계명세서(선로)"/>
      <sheetName val="1F"/>
      <sheetName val="AH-1 "/>
      <sheetName val="적정성평가표(8번)(1순위)"/>
      <sheetName val="적정성평가표(12번)(6순위)"/>
      <sheetName val="기별(종합)"/>
      <sheetName val="금액집계"/>
      <sheetName val="환률"/>
      <sheetName val="공사비명세서"/>
      <sheetName val="사용성검토"/>
      <sheetName val="일위대가내역"/>
      <sheetName val="작성"/>
      <sheetName val="만수배관단가"/>
      <sheetName val="FRP배관단가(만수)"/>
      <sheetName val="행거,슈,볼트,펌프,잡재"/>
      <sheetName val="을-ATYPE"/>
      <sheetName val="기본사항"/>
      <sheetName val="대비표"/>
      <sheetName val="2.1  노무비 평균단가산출"/>
      <sheetName val="선수금"/>
      <sheetName val="설계산출표지"/>
      <sheetName val="예비품"/>
      <sheetName val="건축원가"/>
      <sheetName val="등록자료"/>
      <sheetName val="입력정보"/>
      <sheetName val="옹벽기초자료"/>
      <sheetName val="비탈면보호공수량산출"/>
      <sheetName val="수안보-_x0005__x0000__x0000_"/>
      <sheetName val="화해(함평)"/>
      <sheetName val="화해(장성)"/>
      <sheetName val="Macro"/>
      <sheetName val="순공사비"/>
      <sheetName val="산출"/>
      <sheetName val="PANEL 내역"/>
      <sheetName val="카렌스센터계량기설치공사"/>
      <sheetName val="(전체발주,금회3차공사)내역서"/>
      <sheetName val="Macro(AT)"/>
      <sheetName val="PW3"/>
      <sheetName val="PW4"/>
      <sheetName val="SC1"/>
      <sheetName val="PE"/>
      <sheetName val="PM"/>
      <sheetName val="TR"/>
      <sheetName val="0001(arch)"/>
      <sheetName val="Breakdown"/>
      <sheetName val="금호산업"/>
      <sheetName val="표 지"/>
      <sheetName val="가시설수량"/>
      <sheetName val="일반맨홀수량집계"/>
      <sheetName val="3.하중산정4.지지력"/>
      <sheetName val="판"/>
      <sheetName val="단가견적조사표"/>
      <sheetName val="물량집계"/>
      <sheetName val="평가내역"/>
      <sheetName val="일위목차"/>
      <sheetName val="A 견적"/>
      <sheetName val="전기공사일위대가"/>
      <sheetName val="일위산출근거"/>
      <sheetName val="102역사"/>
      <sheetName val="공사비증감"/>
      <sheetName val="2.대외공문"/>
      <sheetName val="ATM기초철가"/>
      <sheetName val="시화점실행"/>
      <sheetName val="총괄분 설계서용지"/>
      <sheetName val="식재일위대가"/>
      <sheetName val="굴착현장"/>
      <sheetName val="골재丵〒"/>
      <sheetName val="일위1"/>
      <sheetName val="내역총渀腷"/>
      <sheetName val="공사설계서"/>
      <sheetName val="청구내역(9807)"/>
      <sheetName val="인제내역"/>
      <sheetName val="부丵〒"/>
      <sheetName val="부司2"/>
      <sheetName val="집계(세부총괄)"/>
      <sheetName val="파형강관집계"/>
      <sheetName val="BOX(1.5X1.5)"/>
      <sheetName val="총괄-1"/>
      <sheetName val="기초및구체공"/>
      <sheetName val="삼보지질"/>
      <sheetName val="7.전산해석결과"/>
      <sheetName val="4.하중"/>
      <sheetName val="우각부검토"/>
      <sheetName val="특수선일위대가"/>
      <sheetName val="홈통받이수량"/>
      <sheetName val="공통가설공사"/>
      <sheetName val="공사수행방안"/>
      <sheetName val="용소리교"/>
      <sheetName val="단위집계표"/>
      <sheetName val="2000년하반기"/>
      <sheetName val="견적대비표"/>
      <sheetName val="G.R300경비"/>
      <sheetName val="2BOX본체"/>
      <sheetName val="설-원가"/>
      <sheetName val="품셈기준"/>
      <sheetName val="물가변동잔여물량세부내역서"/>
      <sheetName val="신규(방류시설)"/>
      <sheetName val="소방"/>
      <sheetName val="덤프트럭계수"/>
      <sheetName val="카메라"/>
      <sheetName val="미지급내역"/>
      <sheetName val="집계표(육상)"/>
      <sheetName val="22단가(철完9"/>
      <sheetName val="지질조사"/>
      <sheetName val="총체보활공정표"/>
      <sheetName val="T1"/>
      <sheetName val="단가결정"/>
      <sheetName val="1.취수장"/>
      <sheetName val="상-교대(A1-A2)"/>
      <sheetName val="첨부1"/>
      <sheetName val="PART_DISCOUNT"/>
      <sheetName val="적점"/>
      <sheetName val="재료표"/>
      <sheetName val="969910( R)"/>
      <sheetName val="금액결揄"/>
      <sheetName val="공사비 내역"/>
      <sheetName val="매입내역 "/>
      <sheetName val="거래처별지출내역"/>
      <sheetName val="제잡비"/>
      <sheetName val="T13(P68~72,78)"/>
      <sheetName val="㩷"/>
      <sheetName val="렀ⵘ"/>
      <sheetName val="֭_x0000_"/>
      <sheetName val="수량산출1"/>
      <sheetName val="간선"/>
      <sheetName val="성곽내역서"/>
      <sheetName val="16-1"/>
      <sheetName val="Param"/>
      <sheetName val="Ⅴ-2.공종별내역"/>
      <sheetName val="참조M"/>
      <sheetName val="입찰보Ⳡ"/>
      <sheetName val="pbs_lambda"/>
      <sheetName val="Matériel embarqué PVC"/>
      <sheetName val="2공구수량"/>
      <sheetName val="자재표"/>
      <sheetName val="총(철거)"/>
      <sheetName val="RangeObject"/>
      <sheetName val="분뇨"/>
      <sheetName val="H-pile(250x250)"/>
      <sheetName val="H-pile(298x299)"/>
      <sheetName val="쌍송교"/>
      <sheetName val="방음벽기초(H_xd8d4_ㆂᰀㆃ"/>
      <sheetName val="안정검토(온1)"/>
      <sheetName val="우수공"/>
      <sheetName val="일위대가(원본)"/>
      <sheetName val="일위대가서식"/>
      <sheetName val="일위대가양식"/>
      <sheetName val="입찰준비계획안(부대)"/>
      <sheetName val="입찰준비계획안(외주)"/>
      <sheetName val="입찰준비계획안(기타견적)"/>
      <sheetName val="장항선4공구직접비집계"/>
      <sheetName val="공사기본내용입력"/>
      <sheetName val="원하도급내역서(당초)"/>
      <sheetName val="북방3터널"/>
      <sheetName val="포장공자재집계표"/>
      <sheetName val="3련 B姨#"/>
      <sheetName val="산출및내역"/>
      <sheetName val="전선_및_전선ࠝ"/>
      <sheetName val="일위대가 "/>
      <sheetName val="대,怀፵"/>
      <sheetName val="NAMES"/>
      <sheetName val="기자재׃"/>
      <sheetName val="갑지(0_x0000_"/>
      <sheetName val="단0_x0000_退"/>
      <sheetName val="갑지(렀뚣瘉"/>
      <sheetName val="갑지(_x0000_뎰瘇"/>
      <sheetName val="분수공별 면적"/>
      <sheetName val="관로조직표"/>
      <sheetName val="기자재_x0000_"/>
      <sheetName val="단0_x0000__x0000_"/>
      <sheetName val="단ူ_x0000_䠀"/>
      <sheetName val="기자재壸"/>
      <sheetName val="기자재嬨"/>
      <sheetName val="기자재蔈"/>
      <sheetName val="견적대ﱀ"/>
      <sheetName val="견적대₨"/>
      <sheetName val="기자재游"/>
      <sheetName val="기자재೨"/>
      <sheetName val="기자재箘"/>
      <sheetName val="기자재"/>
      <sheetName val="기자재à"/>
      <sheetName val="기자재灰"/>
      <sheetName val="스케즐"/>
      <sheetName val="PAINT"/>
      <sheetName val="집계표(공종별)"/>
      <sheetName val="22단헾"/>
      <sheetName val="상 부"/>
      <sheetName val="차선도색현황"/>
      <sheetName val="단가적용(터널)"/>
      <sheetName val="단위가격_할증"/>
      <sheetName val="제"/>
      <sheetName val="총괄집䠄ᡏ"/>
      <sheetName val="무전표"/>
      <sheetName val="공통단가"/>
      <sheetName val="운반비"/>
      <sheetName val="LIST"/>
      <sheetName val="22단丵"/>
      <sheetName val="도장수량(하1)"/>
      <sheetName val="사업수지"/>
      <sheetName val="기계경비단가"/>
      <sheetName val="진주䈀ᅪ"/>
      <sheetName val="배수관접합및부설  "/>
      <sheetName val="000000"/>
      <sheetName val="수주실적0709"/>
      <sheetName val="제4절-1"/>
      <sheetName val="성원계약"/>
      <sheetName val="CT "/>
      <sheetName val="영동(D)"/>
      <sheetName val="L-type"/>
      <sheetName val="중기목록"/>
      <sheetName val="박스토공"/>
      <sheetName val="기준표"/>
      <sheetName val="보호공"/>
      <sheetName val="0.갑지"/>
      <sheetName val="구의33고"/>
      <sheetName val="역집계1"/>
      <sheetName val="SLIDES"/>
      <sheetName val="Ext. Stone-P"/>
      <sheetName val="건축공사 집계표"/>
      <sheetName val="골조"/>
      <sheetName val="토공실행"/>
      <sheetName val="총(신설)"/>
      <sheetName val="4.2.1 마루높이 검토"/>
      <sheetName val="이토변실(A3-LINE)"/>
      <sheetName val="직접인건비"/>
      <sheetName val="토공대가"/>
      <sheetName val="구조대가"/>
      <sheetName val="포설대가1"/>
      <sheetName val="부대대가"/>
      <sheetName val="적용기준표(98년상반기)"/>
      <sheetName val="B.O.M"/>
      <sheetName val="구간산출"/>
      <sheetName val="화전내"/>
      <sheetName val="공사비내역서"/>
      <sheetName val="주경기-오배수"/>
      <sheetName val="REINF."/>
      <sheetName val="노원열병합  건축︀ᇕ԰_x0000_缀_x0000__x0000_"/>
      <sheetName val="노원열병합  건축ﻕᇕ԰_x0000_缀_x0000__x0000_"/>
      <sheetName val="IMF Code"/>
      <sheetName val="Top PO"/>
      <sheetName val="빙축열"/>
      <sheetName val="견적정보"/>
      <sheetName val="RE9604"/>
      <sheetName val="노임단가표"/>
      <sheetName val="5.동별횡주관경"/>
      <sheetName val="일위(시설)"/>
      <sheetName val="기성내역"/>
      <sheetName val="C.배수관공"/>
      <sheetName val="식재-외주 (2)"/>
      <sheetName val="유효폭의 계산"/>
      <sheetName val="일위대가1"/>
      <sheetName val="철근량"/>
      <sheetName val="TYPE1"/>
      <sheetName val="b_balju"/>
      <sheetName val="총공사비"/>
      <sheetName val="용산3(영광)"/>
      <sheetName val="新철폐복2"/>
      <sheetName val="新철폐복3"/>
      <sheetName val="남양내역"/>
      <sheetName val="도급내역서"/>
      <sheetName val="평균환율-USD"/>
      <sheetName val="인원동원계획"/>
      <sheetName val="cable-data"/>
      <sheetName val="keyword"/>
      <sheetName val="Summary"/>
      <sheetName val="11"/>
      <sheetName val="1._x005f_x0018_변전설비"/>
      <sheetName val="TYPE-U800"/>
      <sheetName val="설계서(설치)"/>
      <sheetName val="광혁기성"/>
      <sheetName val="평균높이산출근거"/>
      <sheetName val="지급자재대"/>
      <sheetName val="토목내역서"/>
      <sheetName val="재료집계표3"/>
      <sheetName val="다곡2교"/>
      <sheetName val="왕십리방향"/>
      <sheetName val="05 BOX"/>
      <sheetName val="02 SLAB"/>
      <sheetName val="예산내역서"/>
      <sheetName val="5."/>
      <sheetName val="12."/>
      <sheetName val="14."/>
      <sheetName val="13"/>
      <sheetName val="7."/>
      <sheetName val="8."/>
      <sheetName val="10."/>
      <sheetName val="전기단가조사서"/>
      <sheetName val="PI蒨9"/>
      <sheetName val="영창26"/>
      <sheetName val="변경후원본2"/>
      <sheetName val="LABTOTAL"/>
      <sheetName val="COA-17"/>
      <sheetName val="C-18"/>
      <sheetName val="내역아"/>
      <sheetName val="울타리"/>
      <sheetName val="경성자금"/>
      <sheetName val="SUB일위대가"/>
      <sheetName val="사용자정의"/>
      <sheetName val="평자재단가"/>
      <sheetName val="95년12월말"/>
      <sheetName val="교량전기"/>
      <sheetName val="오억미만"/>
      <sheetName val="옥외"/>
      <sheetName val="철거산출헾】"/>
      <sheetName val="철거산출午_x0013_"/>
      <sheetName val="토목(용인)"/>
      <sheetName val="지주설치제원"/>
      <sheetName val="건축집계"/>
      <sheetName val="적격점수&lt;300억미만&gt;"/>
      <sheetName val="원가서"/>
      <sheetName val="esc"/>
      <sheetName val="도급예산내역서봉투"/>
      <sheetName val="도급예산내역서총괄표"/>
      <sheetName val="을부담운반비"/>
      <sheetName val="운반비산출"/>
      <sheetName val="현장관리비 산출내역"/>
      <sheetName val="CON'C"/>
      <sheetName val="경영상태"/>
      <sheetName val="전체공내역서"/>
      <sheetName val="퍼스트"/>
      <sheetName val="명단원자료(이전)"/>
      <sheetName val="기초입력"/>
      <sheetName val="2.주요계수총괄"/>
      <sheetName val="명세"/>
      <sheetName val="견적서(1)"/>
      <sheetName val="2234"/>
      <sheetName val="조립1부실적"/>
      <sheetName val="능률"/>
      <sheetName val="자판실행"/>
      <sheetName val="D16"/>
      <sheetName val="D25"/>
      <sheetName val="D22"/>
      <sheetName val="적용(기尜_x0013_"/>
      <sheetName val="3CHBDC"/>
      <sheetName val="1-11조직표"/>
      <sheetName val="단위세대물량"/>
      <sheetName val="낙찰표"/>
      <sheetName val="Tot-sum"/>
      <sheetName val="도장 및 용접 수량"/>
      <sheetName val="영흥TL(UP,DOWN) "/>
      <sheetName val="sheets"/>
      <sheetName val="TYPE-B 평균H"/>
      <sheetName val="가로등제어반 설치공사(수량)"/>
      <sheetName val="자금청구"/>
      <sheetName val="대가단최종"/>
      <sheetName val="WIND-EQ"/>
      <sheetName val="FEXS"/>
      <sheetName val="PUMP SHT"/>
      <sheetName val="FIN TUBE"/>
      <sheetName val="HED. &amp; PIPE"/>
      <sheetName val="원내역서 그대로"/>
      <sheetName val="비교1"/>
      <sheetName val="관기성공.내"/>
      <sheetName val="횡배수관위치조서"/>
      <sheetName val="도로경계블럭단위수량"/>
      <sheetName val="도로경계블럭단위토공"/>
      <sheetName val="L형측구단위수량"/>
      <sheetName val="L형측구연장조서"/>
      <sheetName val="노원열병합  건축렀こ렀䡟ԯ_x0000_缀"/>
      <sheetName val="노원열병합  건축렀䡟ԯ_x0000_缀_x0000__x0000_"/>
      <sheetName val="9-1차이내역."/>
      <sheetName val="1호인버트수량"/>
      <sheetName val="석축설면"/>
      <sheetName val="법면단"/>
      <sheetName val="거푸집물량"/>
      <sheetName val="D-3109"/>
      <sheetName val="부하"/>
      <sheetName val="도체종-상수표"/>
      <sheetName val="적용기준"/>
      <sheetName val="변경품셈"/>
      <sheetName val="환"/>
      <sheetName val="회사99"/>
      <sheetName val="OCT.FDN"/>
      <sheetName val="설계일반"/>
      <sheetName val="토목검측서"/>
      <sheetName val="유림총괄"/>
      <sheetName val="기성내역서"/>
      <sheetName val="PAD TR보호대기초"/>
      <sheetName val="가로등기초"/>
      <sheetName val="HANDHOLE(2)"/>
      <sheetName val="삼성전기"/>
      <sheetName val="B부대공"/>
      <sheetName val="현장설က_x0000_蠀ᛟ"/>
      <sheetName val="학생내역"/>
      <sheetName val="전압"/>
      <sheetName val="조도"/>
      <sheetName val="동력"/>
      <sheetName val="분양가격표"/>
      <sheetName val="일목"/>
      <sheetName val="역T형"/>
      <sheetName val="º¯°æ»çÀþ"/>
      <sheetName val="제수변︀ᇕ"/>
      <sheetName val="º¯°æ»çÀ_x0000_"/>
      <sheetName val="결과조Ⴚ"/>
      <sheetName val="결과조º"/>
      <sheetName val="º¯°æ»çÀ¸"/>
      <sheetName val="º¯°æ»çÀ5"/>
      <sheetName val="º¯°æ»çÀ "/>
      <sheetName val="제수변﹔ᇕ"/>
      <sheetName val="º¯°æ»çÀB"/>
      <sheetName val="단가일䊱"/>
      <sheetName val="K1자재(3차등)"/>
      <sheetName val="산출2-기기동력"/>
      <sheetName val="전체내ﰀ⁗"/>
      <sheetName val="기준비용"/>
      <sheetName val="내역서-전체낙찰율"/>
      <sheetName val="전체내저፺"/>
      <sheetName val="동원인원산출"/>
      <sheetName val="제수변䊱ᅪ"/>
      <sheetName val="내역서단가산출용"/>
      <sheetName val="인건비堀"/>
      <sheetName val="전체내堀᎟"/>
      <sheetName val="전체내︀ᇕ"/>
      <sheetName val="전체내怀፵"/>
      <sheetName val="변경비鰀፰"/>
      <sheetName val="㰀"/>
      <sheetName val="주관锼_x0013_"/>
      <sheetName val="2호맨홀공제수량"/>
      <sheetName val="아산경희980422"/>
      <sheetName val="36신丵〒_x0005_"/>
      <sheetName val="내역전기"/>
      <sheetName val="A(Rev.3)"/>
      <sheetName val="부총"/>
      <sheetName val="위치"/>
      <sheetName val="공작물조직표(용배수)"/>
      <sheetName val="날개수량1.5"/>
      <sheetName val="내역서(기성청구)"/>
      <sheetName val="자재 집계표"/>
      <sheetName val="재료단가"/>
      <sheetName val="전장품(관리용)"/>
      <sheetName val="원가계墬ᥓ"/>
      <sheetName val="원가계Ⴌ_x0000_"/>
      <sheetName val="관로토공집계표"/>
      <sheetName val="96.12"/>
      <sheetName val="정산입력"/>
      <sheetName val="견적단가"/>
      <sheetName val="E.P.T수량산출서"/>
      <sheetName val="토 적 표"/>
      <sheetName val="3회기성헾】"/>
      <sheetName val="변경비교헾】"/>
      <sheetName val="접속도로"/>
      <sheetName val="횡배위치"/>
      <sheetName val="계산중"/>
      <sheetName val="몰탈㔀቎԰_x0000_"/>
      <sheetName val="몰탈䠊ፓ倀놡"/>
      <sheetName val="몰탈䠋ፓ頀뫻"/>
      <sheetName val="몰탈䠠ፓ瀀멗"/>
      <sheetName val="공제구간조서"/>
      <sheetName val="몰탈䠊ፓ "/>
      <sheetName val="몰탈䠉ፓ退"/>
      <sheetName val="몰탈䠉ፓ退ꠍ"/>
      <sheetName val="몰탈䠑ፓ뀀짅"/>
      <sheetName val="TOEC"/>
      <sheetName val="몰탈䠊ፓ㠀擞"/>
      <sheetName val="bdata-출력안함"/>
      <sheetName val="준공정산"/>
      <sheetName val="자재ᰀ፜搀"/>
      <sheetName val="부대공집계표"/>
      <sheetName val="관일"/>
      <sheetName val="노무비(DB)_이후 출력XXXXXX"/>
      <sheetName val="3회기성䃸〒"/>
      <sheetName val="3회기성_x0005__x0000_"/>
      <sheetName val="3회기성吸("/>
      <sheetName val="3회기성ⱂ⿌"/>
      <sheetName val="3회기성埀0"/>
      <sheetName val="VS P-Q"/>
      <sheetName val="법면"/>
      <sheetName val="배수공1"/>
      <sheetName val="내역서(당초변경)"/>
      <sheetName val="도급단가-아파트"/>
      <sheetName val="가시설"/>
      <sheetName val="업체별 금액"/>
      <sheetName val="참조용쉬트"/>
      <sheetName val="청구서"/>
      <sheetName val="공동_집계표"/>
      <sheetName val="분담_집계표"/>
      <sheetName val="분담_대보"/>
      <sheetName val="분담_DB"/>
      <sheetName val="분담_동우"/>
      <sheetName val="대총괄내역서"/>
      <sheetName val="중총괄내역서"/>
      <sheetName val="소총괄내역서"/>
      <sheetName val="내역서_영상검지기"/>
      <sheetName val="내역서_레이더"/>
      <sheetName val="내역서_AVI"/>
      <sheetName val="내역서_CCTV"/>
      <sheetName val="내역서_지하차도CCTV"/>
      <sheetName val="내역서_VMS"/>
      <sheetName val="내역서_신호"/>
      <sheetName val="내역서_광통신장비"/>
      <sheetName val="내역서_주정차단속"/>
      <sheetName val="내역서_교통"/>
      <sheetName val="내역서_예비품"/>
      <sheetName val="내역서_전산"/>
      <sheetName val="내역서_정보통신"/>
      <sheetName val="내역서_전기"/>
      <sheetName val="내역서_토목"/>
      <sheetName val="내역서_기타(건축,소방)"/>
      <sheetName val="내역서_설계비및부대임대료"/>
      <sheetName val="세부내역_영상"/>
      <sheetName val="세부내역_레이더"/>
      <sheetName val="세부내역_AVI"/>
      <sheetName val="세부내역_CCTV"/>
      <sheetName val="세부내역_지하CCTV"/>
      <sheetName val="세부내역_VMS"/>
      <sheetName val="세부내역_신호"/>
      <sheetName val="세부내역_광통신"/>
      <sheetName val="세부내역_주정차"/>
      <sheetName val="세부내역_교통"/>
      <sheetName val="세부내역_예비품"/>
      <sheetName val="세부내역_전산"/>
      <sheetName val="세부내역_통신"/>
      <sheetName val="세부내역_전기"/>
      <sheetName val="세부내역_토목"/>
      <sheetName val="일위대가_건축구조(1)"/>
      <sheetName val="일위대가_건축토목(1)"/>
      <sheetName val="일위대가_SW"/>
      <sheetName val="SW개발비_산정기준"/>
      <sheetName val="세부내역_건축"/>
      <sheetName val="용수간선"/>
      <sheetName val="노무비(첨부4-4)"/>
      <sheetName val="변수데이타"/>
      <sheetName val="일반부표"/>
      <sheetName val="뚝토공"/>
      <sheetName val="05년"/>
      <sheetName val="사  업  비  수  지  예  산  서"/>
      <sheetName val="내역서(총괄)"/>
      <sheetName val="공종별 집계표"/>
      <sheetName val="공통가설_8"/>
      <sheetName val="아파트_9"/>
      <sheetName val="직접공사비집계표_7"/>
      <sheetName val="금융비용"/>
      <sheetName val="실내건축일위대가"/>
      <sheetName val="변수2"/>
      <sheetName val="저항"/>
      <sheetName val="대상공사(조달청)"/>
      <sheetName val="적용환율"/>
      <sheetName val="한전고리-을"/>
      <sheetName val="basic_info"/>
      <sheetName val="9GN邷㭘"/>
      <sheetName val="shtOpr"/>
      <sheetName val="정거장"/>
      <sheetName val="길내기"/>
      <sheetName val="(C)원내역"/>
      <sheetName val="겉장"/>
      <sheetName val="기성검사원"/>
      <sheetName val="율림"/>
      <sheetName val="화진"/>
      <sheetName val="가설(내부수평비계)"/>
      <sheetName val="건축물현장정리"/>
      <sheetName val="공통가설공사(공통)"/>
      <sheetName val="골재대"/>
      <sheetName val="폐기물"/>
      <sheetName val="폐기물 (2)"/>
      <sheetName val="경로당내역건축"/>
      <sheetName val="계림(함평)"/>
      <sheetName val="계림(장성)"/>
      <sheetName val="노임단가(08.01)"/>
      <sheetName val="몰탈단가"/>
      <sheetName val="기성부분검사원"/>
      <sheetName val="업체별기성금액"/>
      <sheetName val="2회기성각사별배분표"/>
      <sheetName val="기성공문 (2)"/>
      <sheetName val="기성공문"/>
      <sheetName val="계좌입금의뢰서"/>
      <sheetName val="도급각서"/>
      <sheetName val="철콘기성청구서 (2)"/>
      <sheetName val="공종별집계표(건축) (2)"/>
      <sheetName val="형틀공사기성 (2)"/>
      <sheetName val="철콘기성청구서"/>
      <sheetName val="공종별집계표(건축)"/>
      <sheetName val="형틀공사기성"/>
      <sheetName val="조적기성청구서  "/>
      <sheetName val="공종별집계표(조적) "/>
      <sheetName val="조적공사"/>
      <sheetName val="미장기성청구서 "/>
      <sheetName val="공종별집계표(미장.방수)"/>
      <sheetName val="미장공사"/>
      <sheetName val="하도급각서 (2)"/>
      <sheetName val="하도급계좌입금의뢰서 "/>
      <sheetName val="목록1"/>
      <sheetName val="목록2"/>
      <sheetName val="파이프"/>
      <sheetName val="실행비교"/>
      <sheetName val="회로내역(승인)"/>
      <sheetName val="공통대가"/>
      <sheetName val="민감도"/>
      <sheetName val="배"/>
      <sheetName val="일반맨홀수량집계(A-7 LINE)"/>
      <sheetName val="Sheet22"/>
      <sheetName val="암센터"/>
      <sheetName val="공종목록표"/>
      <sheetName val="인부임"/>
      <sheetName val="특기사항"/>
      <sheetName val="하도내역 (철콘)"/>
      <sheetName val="11.자재단가"/>
      <sheetName val="총괄갑 "/>
      <sheetName val="추가예산"/>
      <sheetName val="날개벽(좌,우=45도,75도)"/>
      <sheetName val="full (2)"/>
      <sheetName val="인원계획"/>
      <sheetName val="시행예산"/>
      <sheetName val="자압1"/>
      <sheetName val="고창방향"/>
      <sheetName val="변품8-37"/>
      <sheetName val="참조(2)"/>
      <sheetName val="현장일보"/>
      <sheetName val="부산4"/>
      <sheetName val="토목공사일반"/>
      <sheetName val="금광1터널"/>
      <sheetName val="역삼"/>
      <sheetName val="cal"/>
      <sheetName val="구조물공집계"/>
      <sheetName val="부대집계"/>
      <sheetName val="40총괄"/>
      <sheetName val="40집계"/>
      <sheetName val="전자"/>
      <sheetName val="환산"/>
      <sheetName val="현지검측내역"/>
      <sheetName val="수량산출서-2"/>
      <sheetName val="구주,중아,CIS"/>
      <sheetName val="EL90"/>
      <sheetName val="Personnaliser..."/>
      <sheetName val="Takt Time"/>
      <sheetName val="J__LOTUS_9605P_BB_C_BD_OUT_YE_2"/>
      <sheetName val="J__LOTUS_9605P_BB_C_BD_OUT_YE_3"/>
      <sheetName val="단가대조"/>
      <sheetName val="99노임기준"/>
      <sheetName val="48산출"/>
      <sheetName val="품목납기"/>
      <sheetName val="INMD1198"/>
      <sheetName val="INFG1198"/>
      <sheetName val="인수공규격"/>
      <sheetName val="5.개인보호구지급"/>
      <sheetName val="견적대비 견적서"/>
      <sheetName val="조경내역"/>
      <sheetName val="금액내렀቟"/>
      <sheetName val="금액내԰_x0000_"/>
      <sheetName val="등록׃】"/>
      <sheetName val="등록_x0010__x0000_"/>
      <sheetName val="설계명세_x0005_"/>
      <sheetName val="DATA 입᠒ᎍ"/>
      <sheetName val="4︀ᇕ԰"/>
      <sheetName val="가계부"/>
      <sheetName val="제품목록"/>
      <sheetName val="매입매출관리"/>
      <sheetName val="설계명세揄"/>
      <sheetName val="설계명세䡲"/>
      <sheetName val="견적의ᰀ፜"/>
      <sheetName val="105,106,107동"/>
      <sheetName val="수로교총재료齘_x0013_"/>
      <sheetName val="통신단가조사"/>
      <sheetName val="사각맨᠜"/>
      <sheetName val="공기԰_x0000_缀"/>
      <sheetName val="설계睮め_x0005_"/>
      <sheetName val="사각맨0"/>
      <sheetName val="CF"/>
      <sheetName val="전기일위목록"/>
      <sheetName val="UPDATA"/>
      <sheetName val="원가계산서(남측)"/>
      <sheetName val="제조 경영"/>
      <sheetName val="예산대비"/>
      <sheetName val="소상 &quot;1&quot;"/>
      <sheetName val="사각맨ﻇ"/>
      <sheetName val="공비대䠚"/>
      <sheetName val="결재판"/>
      <sheetName val="기계경비(旉る_x0000__x0000_"/>
      <sheetName val="기계경비(贘_x0013_짘ࣅ"/>
      <sheetName val="주관사_x0000_"/>
      <sheetName val="주관사提"/>
      <sheetName val="주관사㧨"/>
      <sheetName val="주관사㌈"/>
      <sheetName val="개별직종노임단가(2005.1)"/>
      <sheetName val="맨홀수량"/>
      <sheetName val="5호광장_(만점)"/>
      <sheetName val="인천국제_(만점)_(2)"/>
      <sheetName val="설_계"/>
      <sheetName val="Sheet1_(2)"/>
      <sheetName val="단면_(2)"/>
      <sheetName val="외주대비_-석축"/>
      <sheetName val="외주대비-구조물_(2)"/>
      <sheetName val="견적표지_(3)"/>
      <sheetName val="IMP_(REACTOR)"/>
      <sheetName val="1_설계기준"/>
      <sheetName val="12_xd8b7_⭎ጀ鮂"/>
      <sheetName val="12좷⭘ጀ鮂"/>
      <sheetName val="인원계획-미화"/>
      <sheetName val="11+040(통로)"/>
      <sheetName val="표지판현황"/>
      <sheetName val="CPM챠트"/>
      <sheetName val="원가집계"/>
      <sheetName val="견적시담(송포2공구)"/>
      <sheetName val="밀양노선별공사비명세서"/>
      <sheetName val="inputdata"/>
      <sheetName val="POOM_MOTO2"/>
      <sheetName val="갑(전기)"/>
      <sheetName val="입력변수"/>
      <sheetName val="설계요율"/>
      <sheetName val="주재료비"/>
      <sheetName val="4.전기"/>
      <sheetName val="UB2"/>
      <sheetName val="sheet"/>
      <sheetName val="화재 颮㍓씀넖ԯ"/>
      <sheetName val="설계내"/>
      <sheetName val="설치 일위대가(46~԰_x0000_缀_x0000_"/>
      <sheetName val="4.일위대가목차"/>
      <sheetName val="내역서적용수량"/>
      <sheetName val="청주(철골발주의뢰서)"/>
      <sheetName val="Price List"/>
      <sheetName val="2004상반기"/>
      <sheetName val="조정율"/>
      <sheetName val="N閞㋁"/>
      <sheetName val="기초대가"/>
      <sheetName val="가시설(TYPE-A)"/>
      <sheetName val="1호맨홀가감수량"/>
      <sheetName val="1-1평균터파기고(1)"/>
      <sheetName val="1호맨홀수량산출"/>
      <sheetName val="공사직종별노임"/>
      <sheetName val="중로근거"/>
      <sheetName val="キ⩙"/>
      <sheetName val="전부인쇄"/>
      <sheetName val="1.외주공사"/>
      <sheetName val="2.직영공사"/>
      <sheetName val="전력구구조물산근2구간"/>
      <sheetName val="첨부"/>
      <sheetName val="계산DATA입력"/>
      <sheetName val="Sheet16 (2)"/>
      <sheetName val="시초1교"/>
      <sheetName val="대구-교대(A1)"/>
      <sheetName val="01상노임"/>
      <sheetName val="개산공사비"/>
      <sheetName val="9509"/>
      <sheetName val="우,오수"/>
      <sheetName val="팔당터널(1공구)"/>
      <sheetName val="공정코드"/>
      <sheetName val="card1"/>
      <sheetName val="흙쌓기도수로설치현황(1)"/>
      <sheetName val="총괄집桶青"/>
      <sheetName val="포쐀䑣"/>
      <sheetName val="포䠟⥏"/>
      <sheetName val="포䠠⥏"/>
      <sheetName val="포䈀㙪"/>
      <sheetName val="栍ᾆ"/>
      <sheetName val="동원인원"/>
      <sheetName val="마산방향철근집계"/>
      <sheetName val="시추주상도"/>
      <sheetName val="archi(본사)"/>
      <sheetName val="※참고자료※"/>
      <sheetName val="자(3.0m)"/>
      <sheetName val="정화조"/>
      <sheetName val="백호헾】_x0005_"/>
      <sheetName val="36신설수翇"/>
      <sheetName val="36신설수︀"/>
      <sheetName val="견적꓀᥻"/>
      <sheetName val="36신설수Ç"/>
      <sheetName val="36신설수資"/>
      <sheetName val="총괄집렇♑"/>
      <sheetName val="자재조사표"/>
      <sheetName val="총괄집㸁䧾"/>
      <sheetName val="시설물기초"/>
      <sheetName val="hvac(제어동)"/>
      <sheetName val="교량명원본"/>
      <sheetName val="BOX제원원본"/>
      <sheetName val="국도접속 차도부수량"/>
      <sheetName val="차도부연장현황"/>
      <sheetName val="원곡IC교 내진성능보강공사 실시설계 용역.xlsx"/>
      <sheetName val="금강견적"/>
      <sheetName val="도장"/>
      <sheetName val="전체내역 (2)"/>
      <sheetName val="ITB_COST"/>
      <sheetName val="96보완계획7_12"/>
      <sheetName val="입렀"/>
      <sheetName val="입栀"/>
      <sheetName val="입ꠀ"/>
      <sheetName val="계정"/>
      <sheetName val="BIDDING-SUM"/>
      <sheetName val="입︀"/>
      <sheetName val=" 소방공사 산출근거"/>
      <sheetName val="1._x005f_x005f_x005f_x0018_변전설비"/>
      <sheetName val="YES.XLS"/>
      <sheetName val="장비명"/>
      <sheetName val="경비공통"/>
      <sheetName val="W-현원가"/>
      <sheetName val="노임,자재"/>
      <sheetName val="기계경비(맨홀)"/>
      <sheetName val="부대토목"/>
      <sheetName val="참조자료"/>
      <sheetName val="사업계획1안"/>
      <sheetName val="코드"/>
      <sheetName val="월별수입"/>
      <sheetName val="조건입력"/>
      <sheetName val="조건입력(2)"/>
      <sheetName val="장비선정"/>
      <sheetName val="BREAKDOWN(철거설치)"/>
      <sheetName val="A1_본체_수량산출서"/>
      <sheetName val="물량증감"/>
      <sheetName val="9902"/>
      <sheetName val="장비경비"/>
      <sheetName val="설계변경내역 98"/>
      <sheetName val="환율"/>
      <sheetName val="주소록"/>
      <sheetName val="교사기준면적(초등)"/>
      <sheetName val="조명율"/>
      <sheetName val="보집계표"/>
      <sheetName val="배관내역"/>
      <sheetName val="토목공종세부"/>
      <sheetName val="식재가격"/>
      <sheetName val="식재총괄"/>
      <sheetName val="예산내역"/>
      <sheetName val="총괄수지표"/>
      <sheetName val="견적회신"/>
      <sheetName val="수지표"/>
      <sheetName val="셀명"/>
      <sheetName val="D"/>
      <sheetName val="1. 가로등 설비 공사(산출)"/>
      <sheetName val="도"/>
      <sheetName val="빙장비사양"/>
      <sheetName val="월별"/>
      <sheetName val="EQUIP LIST"/>
      <sheetName val="FAB4생산"/>
      <sheetName val="HVAC"/>
      <sheetName val="첨부파일"/>
      <sheetName val="토목내역서 (도급단가)"/>
      <sheetName val="비목군분류일위"/>
      <sheetName val="음성방향"/>
      <sheetName val="수압집계"/>
      <sheetName val="SP-B1"/>
      <sheetName val="신규 품"/>
      <sheetName val="단산"/>
      <sheetName val="매출단가"/>
      <sheetName val="M-EQPT-Z"/>
      <sheetName val="현장대리인계"/>
      <sheetName val="2000,_x0010__x0000_退˘踇"/>
      <sheetName val="2000,_x0010__x0000_蒘Ȭ踇"/>
      <sheetName val="2000,_x0000__x0000_ᓐ_x0000__x0000_"/>
      <sheetName val="2000,_x0000__x0000_︸_x0000__x0000_"/>
      <sheetName val="2000,_x0000__x0000_Ẩ_x0000__x0000_"/>
      <sheetName val="2000,到_x0016_剼_x0016_徸"/>
      <sheetName val="2000,徸⽝_x0005__x0000_"/>
      <sheetName val="2000,咘೿踇⽟_x0000_"/>
      <sheetName val="2000,ﳨǬ踇⾣_x0000_"/>
      <sheetName val="실행변경(1차)"/>
      <sheetName val="2000,缈,罌,헾"/>
      <sheetName val="2000,薸!藼!헾"/>
      <sheetName val="2000,螨_x0013_蟬_x0013_헾"/>
      <sheetName val="2000,午_x0013_꾈ૂ䡲"/>
      <sheetName val="2000,午_x0013_ॢ䡲"/>
      <sheetName val="SANBAISU"/>
      <sheetName val="전체내ᓈባ"/>
      <sheetName val="전체내죃፺"/>
      <sheetName val="전체내쀀ፐ"/>
      <sheetName val="주관사堀"/>
      <sheetName val="전체내壈᎟"/>
      <sheetName val="전체내惇፵"/>
      <sheetName val="주관사저"/>
      <sheetName val="견적ꀀፐ"/>
      <sheetName val="전체내惈፵"/>
      <sheetName val="일위대가(계측ꀀፐቇ"/>
      <sheetName val="경ꀀፐ"/>
      <sheetName val="전체내죈፺"/>
      <sheetName val="견적堀᎟"/>
      <sheetName val="4렀቟԰"/>
      <sheetName val="Assumptions"/>
      <sheetName val="Change rate"/>
      <sheetName val="B3.PERSONEL-Ucret"/>
      <sheetName val="nomi "/>
      <sheetName val="값"/>
      <sheetName val="---FAB#1업무일지---"/>
      <sheetName val="base"/>
      <sheetName val="S0"/>
      <sheetName val="상가지급현황"/>
      <sheetName val="in"/>
      <sheetName val="운동장 (2)"/>
      <sheetName val="전기일ꙭÀ_x0000_"/>
      <sheetName val="PI_x0000__x0000_"/>
      <sheetName val="미드수량"/>
      <sheetName val="REACTION芨.헾⿁_x0005__x0000_"/>
      <sheetName val="REACTION鴘E鵜E헾⼼_x0005_"/>
      <sheetName val="내역 (2)"/>
      <sheetName val="건축2"/>
      <sheetName val="직원투입계획"/>
      <sheetName val="154TW"/>
      <sheetName val="일반수량집계"/>
      <sheetName val="제丵"/>
      <sheetName val="설계산출기초"/>
      <sheetName val="원가계산하도"/>
      <sheetName val="단위_x0000__x0000_尀"/>
      <sheetName val="단위ࠀᎄ䰀"/>
      <sheetName val="단위倀❹缀"/>
      <sheetName val="단위耀ὡ"/>
      <sheetName val="설변물량"/>
      <sheetName val="소일위대가코드표"/>
      <sheetName val="5사남"/>
      <sheetName val="각종장비전압강하계산"/>
      <sheetName val="시중노임(공사)"/>
      <sheetName val="배관배선 단가조사"/>
      <sheetName val="동력배선"/>
      <sheetName val="본선동력배선"/>
      <sheetName val="본선조명"/>
      <sheetName val="전력간선배선"/>
      <sheetName val="전열배선"/>
      <sheetName val="내역서1"/>
      <sheetName val="절감계산"/>
      <sheetName val="ML"/>
      <sheetName val="기초"/>
      <sheetName val="교대시점"/>
      <sheetName val="LH3 동양시스템"/>
      <sheetName val="변경ᛅ⾒_x0005_"/>
      <sheetName val="7단가"/>
      <sheetName val="정산내역"/>
      <sheetName val="#3_일위대가목록"/>
      <sheetName val="#2_일위대가목록"/>
      <sheetName val="횡배수관집현황(2공구)"/>
      <sheetName val="︀ᇕ"/>
      <sheetName val="怀፵"/>
      <sheetName val="주사무실︀ᇕ"/>
      <sheetName val="주사무실ꠀ፺"/>
      <sheetName val="BOX ꠀ፺"/>
      <sheetName val="㗈቎"/>
      <sheetName val="¼ö·®»êÃ¨"/>
      <sheetName val="EQUI_x0000__x0000__xd9d8_"/>
      <sheetName val="분야별 집계표"/>
      <sheetName val="인테리어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(전기)"/>
      <sheetName val="총괄표(전기)"/>
      <sheetName val="통신"/>
      <sheetName val="원가(통신)"/>
      <sheetName val="총괄표(통신)"/>
      <sheetName val="내역서(통신)"/>
      <sheetName val="소방설비"/>
      <sheetName val="원가계산서(소방설비)"/>
      <sheetName val="공종별집계표(소방설비)"/>
      <sheetName val="공종별내역서(소방설비)"/>
      <sheetName val="소방전기"/>
      <sheetName val="원가(소방전기)"/>
      <sheetName val="총괄표(소방전기)"/>
      <sheetName val="내역서(소방전기)"/>
      <sheetName val="중기단가목록"/>
      <sheetName val="중기단가산출서"/>
      <sheetName val=" 공사설정 "/>
      <sheetName val="ÃÑÁý°è-룓"/>
      <sheetName val="진행 DATA (2)"/>
      <sheetName val="외화계약"/>
      <sheetName val="본사공가현황"/>
      <sheetName val="J直_x0004__x0005_"/>
      <sheetName val="ༀༀ̀ఀЀ"/>
      <sheetName val="동력부하계산"/>
      <sheetName val="관로토공"/>
      <sheetName val="1층"/>
      <sheetName val="재료비내역서"/>
      <sheetName val="복구량산정_및_전용회선_사용1"/>
      <sheetName val="1_전차선조정1"/>
      <sheetName val="2_조가선조정1"/>
      <sheetName val="3_급전선신설1"/>
      <sheetName val="4_급전선철거1"/>
      <sheetName val="5_고배선철거1"/>
      <sheetName val="6_고압케이블신설1"/>
      <sheetName val="7_비절연선조정1"/>
      <sheetName val="8_가동브래키트이설1"/>
      <sheetName val="9_H형강주신설(9m)1"/>
      <sheetName val="10_강관주신설(9m)1"/>
      <sheetName val="11_H강주철거(11m)1"/>
      <sheetName val="11_H형강기초1"/>
      <sheetName val="13_강관주기초1"/>
      <sheetName val="14_장력조정장치신설1"/>
      <sheetName val="15_장력조정장치철거___1"/>
      <sheetName val="16_콘주철거(9m)1"/>
      <sheetName val="17_지선신설(보통)1"/>
      <sheetName val="18_지선신설(v형)1"/>
      <sheetName val="19_지선철거1"/>
      <sheetName val="20_기중개폐기신설1"/>
      <sheetName val="4월_실적추정(건축+토목)1"/>
      <sheetName val="4월_실적추정(건축)1"/>
      <sheetName val="1_수변전설비1"/>
      <sheetName val="2_전력간선1"/>
      <sheetName val="3_동력1"/>
      <sheetName val="4_전등1"/>
      <sheetName val="5_전열1"/>
      <sheetName val="6_약전1"/>
      <sheetName val="7_소방1"/>
      <sheetName val="8_방송1"/>
      <sheetName val="9_조명제어1"/>
      <sheetName val="10_철거공사1"/>
      <sheetName val="남양시작동자105노65기1_3화1_21"/>
      <sheetName val="표지_(2)1"/>
      <sheetName val="0_집계1"/>
      <sheetName val="1_수변전설비공사1"/>
      <sheetName val="조도계산서_(도서)1"/>
      <sheetName val="1_설계조건1"/>
      <sheetName val="3-1_CB1"/>
      <sheetName val="1_수인터널1"/>
      <sheetName val="2__동력설비_공사1"/>
      <sheetName val="3__조명설비공사1"/>
      <sheetName val="4__접지설비공사1"/>
      <sheetName val="5__통신설비_공사1"/>
      <sheetName val="6__전기방식설비공사1"/>
      <sheetName val="6_전기방식_설비공사(2)1"/>
      <sheetName val="7_방호설비공사1"/>
      <sheetName val="8_가설전기공사1"/>
      <sheetName val="2000_11월설계내역1"/>
      <sheetName val="전선_및_전선관1"/>
      <sheetName val="원가계산서_(총괄)"/>
      <sheetName val="원가계산서_(건축)"/>
      <sheetName val="임시급식_(2)"/>
      <sheetName val="-_INFORMATION_-1"/>
      <sheetName val="unit_4"/>
      <sheetName val="Summary_Sheets"/>
      <sheetName val="5호광장_(만점)1"/>
      <sheetName val="인천국제_(만점)_(2)1"/>
      <sheetName val="준검_내역서1"/>
      <sheetName val="96보완계획7_121"/>
      <sheetName val="90_03실행_1"/>
      <sheetName val="3_공통공사대비1"/>
      <sheetName val="2F_회의실견적(5_14_일대)"/>
      <sheetName val="ITB_COST1"/>
      <sheetName val="단면_(2)1"/>
      <sheetName val="단가_및_재료비1"/>
      <sheetName val="수목데이타_1"/>
      <sheetName val="변압기_및_발전기_용량1"/>
      <sheetName val="설_계1"/>
      <sheetName val="3BL공동구_수량1"/>
      <sheetName val="Sheet1_(2)1"/>
      <sheetName val="3_내역서"/>
      <sheetName val="외주대비_-석축1"/>
      <sheetName val="외주대비-구조물_(2)1"/>
      <sheetName val="견적표지_(3)1"/>
      <sheetName val="6PILE__(돌출)"/>
      <sheetName val="AIR_SHOWER(3인용)1"/>
      <sheetName val="º¹±¸·®»êÁ¤_¹×_Àü¿ëÈ¸¼±_»ç¿ë"/>
      <sheetName val="4¿ù_½ÇÀûÃßÁ¤(°ÇÃà+Åä¸ñ)"/>
      <sheetName val="4¿ù_½ÇÀûÃßÁ¤(°ÇÃà)"/>
      <sheetName val="EQUIPMENT_-2"/>
      <sheetName val="빌딩_안내"/>
      <sheetName val="전차선로_물량표"/>
      <sheetName val="IMP_(REACTOR)1"/>
      <sheetName val="1_설계기준1"/>
      <sheetName val="3_바닥판설계1"/>
      <sheetName val="플랜트_설치"/>
      <sheetName val="노원열병합__건축공사기성내역서"/>
      <sheetName val="1공구_건정토건_토공"/>
      <sheetName val="2000,9월_일위"/>
      <sheetName val="CABLE_SIZE-3"/>
      <sheetName val="2000_11¿ù¼³°è³»¿ª"/>
      <sheetName val="Àü¼±_¹×_Àü¼±°ü"/>
      <sheetName val="ÁØ°Ë_³»¿ª¼­"/>
      <sheetName val="¼ö¸ñµ¥ÀÌÅ¸_"/>
      <sheetName val="º¯¾Ð±â_¹×_¹ßÀü±â_¿ë·®"/>
      <sheetName val="1_¼öÀÎÅÍ³Î"/>
      <sheetName val="설산1_나"/>
      <sheetName val="1차_내역서"/>
      <sheetName val="전산_평가대상자용"/>
      <sheetName val="1_변전설비"/>
      <sheetName val="1_¼öº¯Àü¼³ºñ"/>
      <sheetName val="2_Àü·Â°£¼±"/>
      <sheetName val="3_µ¿·Â"/>
      <sheetName val="4_Àüµî"/>
      <sheetName val="5_Àü¿­"/>
      <sheetName val="6_¾àÀü"/>
      <sheetName val="7_¼Ò¹æ"/>
      <sheetName val="8_¹æ¼Û"/>
      <sheetName val="9_Á¶¸íÁ¦¾î"/>
      <sheetName val="10_Ã¶°Å°ø»ç"/>
      <sheetName val="³²¾ç½ÃÀÛµ¿ÀÚ105³ë65±â1_3È­1_2"/>
      <sheetName val="Á¶µµ°è»ê¼­_(µµ¼­)"/>
      <sheetName val="2000년_공정표"/>
      <sheetName val="인건비_"/>
      <sheetName val="AS포장복구_1"/>
      <sheetName val="화재_탐지_설비"/>
      <sheetName val="3련_BOX"/>
      <sheetName val="자동_철거"/>
      <sheetName val="자동_설치"/>
      <sheetName val="토목_철주"/>
      <sheetName val="철거_일위대가(1-19)"/>
      <sheetName val="철거_일위대가(20-22)"/>
      <sheetName val="설치_일위대가(23-45호)"/>
      <sheetName val="설치_일위대가(46~78호)"/>
      <sheetName val="_갑__지_"/>
      <sheetName val="기성내역_진짜"/>
      <sheetName val="세부견적서(DAS_Call_Back)"/>
      <sheetName val="BSD_(2)"/>
      <sheetName val="내역서_(2)"/>
      <sheetName val="Man_Power_&amp;_Comp"/>
      <sheetName val="노무비_근거"/>
      <sheetName val="효성CB_1P기초"/>
      <sheetName val="_견적서"/>
      <sheetName val="TRE_TABLE"/>
      <sheetName val="_총괄표"/>
      <sheetName val="호봉_(2)"/>
      <sheetName val="산#2-1_(2)"/>
      <sheetName val="단가_"/>
      <sheetName val="Cost_bd-&quot;A&quot;"/>
      <sheetName val="단__가__대__비__표1"/>
      <sheetName val="일__위__대__가__목__록1"/>
      <sheetName val="EA"/>
      <sheetName val="const_"/>
      <sheetName val="PROJECT_BRIEF"/>
      <sheetName val="_상부공통집계(총괄)"/>
      <sheetName val="97_사업추정(WEKI)"/>
      <sheetName val="5_공종별예산내역서"/>
      <sheetName val="화재_탐지"/>
      <sheetName val="Customer_Databas"/>
      <sheetName val="220_(2)"/>
      <sheetName val="입고장부_(4)"/>
      <sheetName val="Oper_Amount"/>
      <sheetName val="2007일위_"/>
      <sheetName val="토목일위_(83~)"/>
      <sheetName val="노무비_"/>
      <sheetName val="1_우편집중내역서"/>
      <sheetName val="일위대가표_(2)"/>
      <sheetName val="0_Áý°è"/>
      <sheetName val="1_¼öº¯Àü¼³ºñ°ø»ç"/>
      <sheetName val="Ç¥Áö_(2)"/>
      <sheetName val="1_ÀüÂ÷¼±Á¶Á¤"/>
      <sheetName val="2_Á¶°¡¼±Á¶Á¤"/>
      <sheetName val="3_±ÞÀü¼±½Å¼³"/>
      <sheetName val="4_±ÞÀü¼±Ã¶°Å"/>
      <sheetName val="5_°í¹è¼±Ã¶°Å"/>
      <sheetName val="6_°í¾ÐÄÉÀÌºí½Å¼³"/>
      <sheetName val="소포내역_(2)"/>
      <sheetName val="방음벽_기초_일반수량"/>
      <sheetName val="I_설계조건"/>
      <sheetName val="7_ºñÀý¿¬¼±Á¶Á¤"/>
      <sheetName val="8_°¡µ¿ºê·¡Å°Æ®ÀÌ¼³"/>
      <sheetName val="9_HÇü°­ÁÖ½Å¼³(9m)"/>
      <sheetName val="10_°­°üÁÖ½Å¼³(9m)"/>
      <sheetName val="11_H°­ÁÖÃ¶°Å(11m)"/>
      <sheetName val="11_HÇü°­±âÃÊ"/>
      <sheetName val="13_°­°üÁÖ±âÃÊ"/>
      <sheetName val="14_Àå·ÂÁ¶Á¤ÀåÄ¡½Å¼³"/>
      <sheetName val="15_Àå·ÂÁ¶Á¤ÀåÄ¡Ã¶°Å___"/>
      <sheetName val="16_ÄÜÁÖÃ¶°Å(9m)"/>
      <sheetName val="17_Áö¼±½Å¼³(º¸Åë)"/>
      <sheetName val="18_Áö¼±½Å¼³(vÇü)"/>
      <sheetName val="19_Áö¼±Ã¶°Å"/>
      <sheetName val="20_±âÁß°³Æó±â½Å¼³"/>
      <sheetName val="BASIC_(2)"/>
      <sheetName val="1_¼³°èÁ¶°Ç"/>
      <sheetName val="Pricelist_TAC_AB"/>
      <sheetName val="입출재고현황_(2)"/>
      <sheetName val="현장관리비_"/>
      <sheetName val="할증_"/>
      <sheetName val="별표_"/>
      <sheetName val="2_펌프장(사급자재)"/>
      <sheetName val="2000_11¿ù¼³餀㢘ԯ缀"/>
      <sheetName val="단양_00_아파트-세부내역"/>
      <sheetName val="5_정산서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설계기준_및_하중계산"/>
      <sheetName val="8__안정검토"/>
      <sheetName val="Despacho_(c_civil)"/>
      <sheetName val="plan&amp;section_of_foundation"/>
      <sheetName val="공사별_가중치_산출근거(토목)"/>
      <sheetName val="목동1절주_bh01"/>
      <sheetName val="단가산출서_(2)"/>
      <sheetName val="DATA_입력란"/>
      <sheetName val="1__설계조건_2_단면가정_3__하중계산"/>
      <sheetName val="자__재"/>
      <sheetName val="건축내역서_(경제상무실)"/>
      <sheetName val="w't_table"/>
      <sheetName val="HRSG_SMALL07220"/>
      <sheetName val="BOX_본체"/>
      <sheetName val="8_PILE__(돌출)"/>
      <sheetName val="DATA_입력부"/>
      <sheetName val="자재_단가표"/>
      <sheetName val="토공(우물통,기타)_"/>
      <sheetName val="Cable_schedule"/>
      <sheetName val="Vari_by_Vendor"/>
      <sheetName val="3_자재비(총괄)"/>
      <sheetName val="1_범위"/>
      <sheetName val="2_편성"/>
      <sheetName val="6_GAS"/>
      <sheetName val="토공_total"/>
      <sheetName val="단가비교표_(계측제어)"/>
      <sheetName val="7_1유효폭"/>
      <sheetName val="_토목_처리장도급내역서_"/>
      <sheetName val="2000"/>
      <sheetName val="일위대가_집계표"/>
      <sheetName val="IMPEADENCE_MAP_취수장"/>
      <sheetName val="General_Data"/>
      <sheetName val="제원_설계조건"/>
      <sheetName val="Site_Expenses"/>
      <sheetName val="sum1_(2)"/>
      <sheetName val="단가표_"/>
      <sheetName val="철근량_검토"/>
      <sheetName val="H_PILE수량"/>
      <sheetName val="견적서(대외)_(2)"/>
      <sheetName val="1_¼³°è±âÁØ"/>
      <sheetName val="3_¹Ù´ÚÆÇ¼³°è"/>
      <sheetName val="2__µ¿·Â¼³ºñ_°ø»ç"/>
      <sheetName val="3__Á¶¸í¼³ºñ°ø»ç"/>
      <sheetName val="4__Á¢Áö¼³ºñ°ø»ç"/>
      <sheetName val="5__Åë½Å¼³ºñ_°ø»ç"/>
      <sheetName val="6__Àü±â¹æ½Ä¼³ºñ°ø»ç"/>
      <sheetName val="6_Àü±â¹æ½Ä_¼³ºñ°ø»ç(2)"/>
      <sheetName val="7_¹æÈ£¼³ºñ°ø»ç"/>
      <sheetName val="8_°¡¼³Àü±â°ø»ç"/>
      <sheetName val="8__¾ÈÁ¤°ËÅä"/>
      <sheetName val="°ßÀû¼­(´ë¿Ü)_(2)"/>
      <sheetName val="6PILE__(µ¹Ãâ)"/>
      <sheetName val="Piping_Design_Data"/>
      <sheetName val="Ampecity_Data"/>
      <sheetName val="Upgrades_pricing"/>
      <sheetName val="공사별_가중치_산출근거(건축)"/>
      <sheetName val="1공구_건정토건_철콘"/>
      <sheetName val="69_03%"/>
      <sheetName val="변경내역84_52%"/>
      <sheetName val="P_M_별"/>
      <sheetName val="design_load"/>
      <sheetName val="working_load_at_the_btm_ft_"/>
      <sheetName val="stability_check"/>
      <sheetName val="design_criteria"/>
      <sheetName val="중기조종사_단위단가"/>
      <sheetName val="Pier_3"/>
      <sheetName val="공사비_내역_(가)"/>
      <sheetName val="기술자료_(연수)"/>
      <sheetName val="본선_토공_분배표"/>
      <sheetName val="1_토공"/>
      <sheetName val="제출내역_(2)"/>
      <sheetName val="전화번호DATA_(2001)"/>
      <sheetName val="입찰사유서_제4공종_(흙깎기)"/>
      <sheetName val="전기_원가계산서"/>
      <sheetName val="내역_"/>
      <sheetName val="1_동력공사"/>
      <sheetName val="실행내역서_"/>
      <sheetName val="장비당단가_(1)"/>
      <sheetName val="기존단가_(2)"/>
      <sheetName val="3련_B"/>
      <sheetName val="설치_일위대가(4԰缀"/>
      <sheetName val="내역서_"/>
      <sheetName val="BOQ-Summary_Form_A1"/>
      <sheetName val="BOQ-Summary_Form_A2"/>
      <sheetName val="BOQ-Summary_Form_A3"/>
      <sheetName val="elect_QC"/>
      <sheetName val="금긋기_및_절단"/>
      <sheetName val="2_2_2입적표"/>
      <sheetName val="제3장_기술업무"/>
      <sheetName val="_냉각수펌프"/>
      <sheetName val="총괄원가_"/>
      <sheetName val="1995년_섹터별_매출"/>
      <sheetName val="역T형옹벽(3_0)"/>
      <sheetName val="5_공종별尜層闰"/>
      <sheetName val="9_"/>
      <sheetName val="VENDOR_LIST"/>
      <sheetName val="설명서_"/>
      <sheetName val="산재_안전"/>
      <sheetName val="노무비_경비"/>
      <sheetName val="CHITIET_VL-NC-TT_-1p"/>
      <sheetName val="현장별계약현황('98_10_31)"/>
      <sheetName val="구조______"/>
      <sheetName val="BEND_LOSS"/>
      <sheetName val="Working(wo_WTs)"/>
      <sheetName val="설내역서_"/>
      <sheetName val="단위ὗ␀"/>
      <sheetName val="수성페인트도장_내역서"/>
      <sheetName val="배수공_시멘트_및_골재량_산출"/>
      <sheetName val="기초자료입력및_K치_확인"/>
      <sheetName val="AS"/>
      <sheetName val="8_현장관리비"/>
      <sheetName val="7_안전관리비"/>
      <sheetName val="AH-1_"/>
      <sheetName val="2_1__노무비_평균단가산출"/>
      <sheetName val="PANEL_내역"/>
      <sheetName val="표_지"/>
      <sheetName val="3_하중산정4_지지력"/>
      <sheetName val="A_견적"/>
      <sheetName val="2_대외공문"/>
      <sheetName val="총괄분_설계서용지"/>
      <sheetName val="BOX(1_5X1_5)"/>
      <sheetName val="7_전산해석결과"/>
      <sheetName val="4_하중"/>
      <sheetName val="G_R300경비"/>
      <sheetName val="1_취수장"/>
      <sheetName val="969910(_R)"/>
      <sheetName val="공사비_내역"/>
      <sheetName val="매입내역_"/>
      <sheetName val="Ⅴ-2_공종별내역"/>
      <sheetName val="Matériel_embarqué_PVC"/>
      <sheetName val="3련_B姨#"/>
      <sheetName val="일위대가_"/>
      <sheetName val="분수공별_면적"/>
      <sheetName val="상_부"/>
      <sheetName val="배수관접합및부설__"/>
      <sheetName val="CT_"/>
      <sheetName val="0_갑지"/>
      <sheetName val="Ext__Stone-P"/>
      <sheetName val="건축공사_집계표"/>
      <sheetName val="4_2_1_마루높이_검토"/>
      <sheetName val="B_O_M"/>
      <sheetName val="REINF_"/>
      <sheetName val="노원열병합__건축︀ᇕ԰缀"/>
      <sheetName val="노원열병합__건축ﻕᇕ԰缀"/>
      <sheetName val="IMF_Code"/>
      <sheetName val="Top_PO"/>
      <sheetName val="5_동별횡주관경"/>
      <sheetName val="C_배수관공"/>
      <sheetName val="식재-외주_(2)"/>
      <sheetName val="유효폭의_계산"/>
      <sheetName val="1__x005f_x0018_변전설비"/>
      <sheetName val="05_BOX"/>
      <sheetName val="02_SLAB"/>
      <sheetName val="5_"/>
      <sheetName val="12_"/>
      <sheetName val="14_"/>
      <sheetName val="7_"/>
      <sheetName val="8_"/>
      <sheetName val="10_"/>
      <sheetName val="철거산출午"/>
      <sheetName val="현장관리비_산출내역"/>
      <sheetName val="2_주요계수총괄"/>
      <sheetName val="적용(기尜"/>
      <sheetName val="도장_및_용접_수량"/>
      <sheetName val="영흥TL(UP,DOWN)_"/>
      <sheetName val="TYPE-B_평균H"/>
      <sheetName val="가로등제어반_설치공사(수량)"/>
      <sheetName val="PUMP_SHT"/>
      <sheetName val="FIN_TUBE"/>
      <sheetName val="HED__&amp;_PIPE"/>
      <sheetName val="원내역서_그대로"/>
      <sheetName val="관기성공_내"/>
      <sheetName val="노원열병합__건축렀こ렀䡟ԯ缀"/>
      <sheetName val="노원열병합__건축렀䡟ԯ缀"/>
      <sheetName val="9-1차이내역_"/>
      <sheetName val="OCT_FDN"/>
      <sheetName val="PAD_TR보호대기초"/>
      <sheetName val="º¯°æ»çÀ_"/>
      <sheetName val="주관锼"/>
      <sheetName val="36신丵〒"/>
      <sheetName val="A(Rev_3)"/>
      <sheetName val="날개수량1_5"/>
      <sheetName val="자재_집계표"/>
      <sheetName val="96_12"/>
      <sheetName val="E_P_T수량산출서"/>
      <sheetName val="토_적_표"/>
      <sheetName val="노무비(DB)_이후_출력XXXXXX"/>
      <sheetName val="VS_P-Q"/>
      <sheetName val="업체별_금액"/>
      <sheetName val="사__업__비__수__지__예__산__서"/>
      <sheetName val="공종별_집계표"/>
      <sheetName val="폐기물_(2)"/>
      <sheetName val="노임단가(08_01)"/>
      <sheetName val="기성공문_(2)"/>
      <sheetName val="철콘기성청구서_(2)"/>
      <sheetName val="공종별집계표(건축)_(2)"/>
      <sheetName val="형틀공사기성_(2)"/>
      <sheetName val="조적기성청구서__"/>
      <sheetName val="공종별집계표(조적)_"/>
      <sheetName val="미장기성청구서_"/>
      <sheetName val="공종별집계표(미장_방수)"/>
      <sheetName val="하도급각서_(2)"/>
      <sheetName val="하도급계좌입금의뢰서_"/>
      <sheetName val="일반맨홀수량집계(A-7_LINE)"/>
      <sheetName val="하도내역_(철콘)"/>
      <sheetName val="11_자재단가"/>
      <sheetName val="총괄갑_"/>
      <sheetName val="full_(2)"/>
      <sheetName val="Personnaliser___"/>
      <sheetName val="Takt_Time"/>
      <sheetName val="5_개인보호구지급"/>
      <sheetName val="견적대비_견적서"/>
      <sheetName val="등록"/>
      <sheetName val="DATA_입᠒ᎍ"/>
      <sheetName val="수로교총재료齘"/>
      <sheetName val="설계睮め"/>
      <sheetName val="제조_경영"/>
      <sheetName val="소상_&quot;1&quot;"/>
      <sheetName val="개별직종노임단가(2005_1)"/>
      <sheetName val="4_전기"/>
      <sheetName val="화재_颮㍓씀넖ԯ"/>
      <sheetName val="설치_일위대가(46~԰缀"/>
      <sheetName val="4_일위대가목차"/>
      <sheetName val="Price_List"/>
      <sheetName val="1_외주공사"/>
      <sheetName val="2_직영공사"/>
      <sheetName val="Sheet16_(2)"/>
      <sheetName val="자(3_0m)"/>
      <sheetName val="백호헾】"/>
      <sheetName val="국도접속_차도부수량"/>
      <sheetName val="원곡IC교_내진성능보강공사_실시설계_용역_xlsx"/>
      <sheetName val="전체내역_(2)"/>
      <sheetName val="_소방공사_산출근거"/>
      <sheetName val="1__x005f_x005f_x005f_x0018_변전설비"/>
      <sheetName val="YES_XLS"/>
      <sheetName val="설계변경내역_98"/>
      <sheetName val="1__가로등_설비_공사(산출)"/>
      <sheetName val="EQUIP_LIST"/>
      <sheetName val="토목내역서_(도급단가)"/>
      <sheetName val="신규_품"/>
      <sheetName val="Change_rate"/>
      <sheetName val="B3_PERSONEL-Ucret"/>
      <sheetName val="nomi_"/>
      <sheetName val="운동장_(2)"/>
      <sheetName val="REACTION芨_헾⿁"/>
      <sheetName val="REACTION鴘E鵜E헾⼼"/>
      <sheetName val="내역_(2)"/>
      <sheetName val="배관배선_단가조사"/>
      <sheetName val="LH3_동양시스템"/>
      <sheetName val="변경ᛅ⾒"/>
      <sheetName val="BOX_ꠀ፺"/>
      <sheetName val="MATRLDATA"/>
      <sheetName val="rate"/>
      <sheetName val="´_x0005__x0000_"/>
      <sheetName val="5"/>
      <sheetName val="ÀÏÀ§´ë헾】_x0005__x0000__x0000__x0000_"/>
      <sheetName val="건공실"/>
      <sheetName val="공무공A"/>
      <sheetName val="기계경비(시"/>
      <sheetName val="호표"/>
      <sheetName val="원가계산(2)"/>
      <sheetName val="목표세부명세"/>
      <sheetName val="98수금사업"/>
      <sheetName val="o현장경비"/>
      <sheetName val="가도䠀"/>
      <sheetName val="가도ԯ"/>
      <sheetName val="가도저"/>
      <sheetName val="인공산출"/>
      <sheetName val="VXXXXXXX"/>
      <sheetName val="단  가  垨4奜4睮⿩_x0005_"/>
      <sheetName val="OPG_x0005__x0000__x0000_"/>
      <sheetName val="조정금액결과표 (차수별)"/>
      <sheetName val="국공유지및사유지"/>
      <sheetName val="0"/>
      <sheetName val="평균터파기고(1-2,ASP)"/>
      <sheetName val="암거단위-1련"/>
      <sheetName val="수안보-墰5壼5"/>
      <sheetName val="파일의이용"/>
      <sheetName val="2.조명기구철거(일괄철거분)"/>
      <sheetName val="자재수량"/>
      <sheetName val="기존구조물철거집계계표"/>
      <sheetName val="신공항A-9헾】_x0005__x0000__x0000_"/>
      <sheetName val="심사공종"/>
      <sheetName val="POWER"/>
      <sheetName val="일위대가표(무)"/>
      <sheetName val="일위대가산출기초"/>
      <sheetName val="설계변경내역"/>
      <sheetName val="GTG TR PIT"/>
      <sheetName val="BLR-S"/>
      <sheetName val="제품표준규격"/>
      <sheetName val="당진1,2호기전선관설치및접지4차공사내역서-을지"/>
      <sheetName val="STD"/>
      <sheetName val="FRT_O"/>
      <sheetName val="FAB_I"/>
      <sheetName val="자탐수량산출서"/>
      <sheetName val="C1ㅇ"/>
      <sheetName val="공정"/>
      <sheetName val="연면적"/>
      <sheetName val="991029UTP용 M.D.F"/>
      <sheetName val="현장점검 1"/>
      <sheetName val="상가을 "/>
      <sheetName val="3.사용전검사(1000KW이상)(본동-수정)"/>
      <sheetName val="결재갑지"/>
      <sheetName val="계획예산입력자료"/>
      <sheetName val="투입비"/>
      <sheetName val="손익계산서"/>
      <sheetName val="대차대조표"/>
      <sheetName val="폐토수익화 "/>
      <sheetName val="열차제어동"/>
      <sheetName val="전기성능동"/>
      <sheetName val="차량시스템인자"/>
      <sheetName val="차량부품동"/>
      <sheetName val="신.분"/>
      <sheetName val="공정량산출내역서 "/>
      <sheetName val="피스표"/>
      <sheetName val="할丵〒"/>
      <sheetName val="전기내역서(총계)"/>
      <sheetName val="일위(PN)"/>
      <sheetName val="인부신상자료"/>
      <sheetName val="기성공제요청서"/>
      <sheetName val="하도기성내역 수정"/>
      <sheetName val="기성공제 동의서"/>
      <sheetName val="기성공제 합의서(쓰레기처리비)"/>
      <sheetName val="변경실행(2차) "/>
      <sheetName val="TYPE집계표"/>
      <sheetName val="ꀀ"/>
      <sheetName val="»êÃ렀䡟ԯ_x0000_缀"/>
      <sheetName val="»êÃ︀ᇕ԰_x0000_缀"/>
      <sheetName val="증栀ᙿ가"/>
      <sheetName val="수안보-헾】_x0005__x0000_"/>
      <sheetName val="준공조서갑지"/>
      <sheetName val=" ｹ-ﾌﾞﾙ"/>
      <sheetName val="MW-BM"/>
      <sheetName val="대창(함평)"/>
      <sheetName val="암거공"/>
      <sheetName val="-15.0"/>
      <sheetName val="해평견적"/>
      <sheetName val="사리부설"/>
      <sheetName val="임대견적서"/>
      <sheetName val="4/_x0000_䠀"/>
      <sheetName val="4쌇栅/"/>
      <sheetName val="4က_x0000_က"/>
      <sheetName val="기초ա_x0000_"/>
      <sheetName val="물량尜"/>
      <sheetName val="토공,철콘"/>
      <sheetName val="변경비丵〒_x0005_"/>
      <sheetName val="물량丵"/>
      <sheetName val="AILC005"/>
      <sheetName val="AILC00_x0000_"/>
      <sheetName val="설계변경내역서"/>
      <sheetName val="수안보-徸〒_x0005__x0000_"/>
      <sheetName val="입출재고현⩿〚_x0005__x0000_"/>
      <sheetName val="수안보-娐&gt;闰⿑"/>
      <sheetName val="수안보-ꮸ⿥_x0005__x0000_"/>
      <sheetName val="백호丵〒_x0005_"/>
      <sheetName val="철근총괄집계표"/>
      <sheetName val="참조 DATA"/>
      <sheetName val="5.3 단면가정"/>
      <sheetName val="48신설수량"/>
      <sheetName val="123"/>
      <sheetName val="공사비내역 p1"/>
      <sheetName val="일위대가표(DEEP)"/>
      <sheetName val="각종양식"/>
      <sheetName val="배수내역"/>
      <sheetName val="시설물"/>
      <sheetName val="식재"/>
      <sheetName val="재료할증"/>
      <sheetName val="단위수량산출"/>
      <sheetName val="수량BOQ"/>
      <sheetName val="추천서"/>
      <sheetName val="A"/>
      <sheetName val="주사무실ֳ_x0000_"/>
      <sheetName val="¼ö·®»êÃ_x0005_"/>
      <sheetName val="¼ö·®»êÃ "/>
      <sheetName val="䋈ᅪ"/>
      <sheetName val="거실통로등"/>
      <sheetName val="주사무실墳᎟"/>
      <sheetName val="BOX ︀ᇕ"/>
      <sheetName val="BOX 저፺"/>
      <sheetName val="8.석축단위(H=1.5M)"/>
      <sheetName val="ﻈ䓕"/>
      <sheetName val="BOX ︀釕"/>
      <sheetName val="위치︀釕"/>
      <sheetName val="BOX ᢝ"/>
      <sheetName val="︀動"/>
      <sheetName val="위치᠀ᶛ"/>
      <sheetName val="BOX ︀鷕"/>
      <sheetName val="주사무실頀▀"/>
      <sheetName val="BOX 頀▀"/>
      <sheetName val="주사무실蠀⮂"/>
      <sheetName val="위치蠀⮂"/>
      <sheetName val="BOX 蠀⮂"/>
      <sheetName val="︀嗕"/>
      <sheetName val="위치︀㓕"/>
      <sheetName val="주사무실︀㓕"/>
      <sheetName val="위치_xd800_ᢘ"/>
      <sheetName val="기능공인적사항"/>
      <sheetName val="ALINE"/>
      <sheetName val="화산경계"/>
      <sheetName val="관정비교"/>
      <sheetName val="투찰금액"/>
      <sheetName val="석재장조사"/>
      <sheetName val="유동표"/>
      <sheetName val="견적접수"/>
      <sheetName val="견적내역서"/>
      <sheetName val="PANEL"/>
      <sheetName val="덕전리"/>
      <sheetName val="물塠"/>
      <sheetName val="물徸"/>
      <sheetName val="guard(mac¸"/>
      <sheetName val="물嬼"/>
      <sheetName val="물闰"/>
      <sheetName val="guard(macð"/>
      <sheetName val="물呈"/>
      <sheetName val="guard(macH"/>
      <sheetName val="KSHAHU-6"/>
      <sheetName val="대가 (보완)"/>
      <sheetName val="토목원가계窨_x0013_"/>
      <sheetName val="교실"/>
      <sheetName val="내역서(교량)전체"/>
      <sheetName val="제철"/>
      <sheetName val="배관단가조사서"/>
      <sheetName val="상반기손익차2총괄"/>
      <sheetName val="DRAIN DRUM PIT D-301"/>
      <sheetName val="M5_S"/>
      <sheetName val="M6_S"/>
      <sheetName val="SRAM_CHIP"/>
      <sheetName val="SRAM_생산"/>
      <sheetName val="YLD"/>
      <sheetName val="L_RPTB03_01"/>
      <sheetName val="Macro(부하)"/>
      <sheetName val="집행(2-1)"/>
      <sheetName val="일별1"/>
      <sheetName val="청 구"/>
      <sheetName val="99 조정금액"/>
      <sheetName val="사업성분석"/>
      <sheetName val="총괄표(1)"/>
      <sheetName val="22신설수량"/>
      <sheetName val="파이프류"/>
      <sheetName val="점검내역서(data) (2)"/>
      <sheetName val="사각맨퀀"/>
      <sheetName val="사각맨堀"/>
      <sheetName val="사각맨䈀"/>
      <sheetName val="세부狇譈"/>
      <sheetName val="몰탈재븧܊"/>
      <sheetName val="견적의"/>
      <sheetName val="견적의烇彰"/>
      <sheetName val="앉음벽 (2)"/>
      <sheetName val="하도급선정의뢰서(습식공_x0000__x0000_"/>
      <sheetName val="L형옹벽"/>
      <sheetName val="RAHMEN"/>
      <sheetName val="원가총괄"/>
      <sheetName val="8. 내진해석"/>
      <sheetName val="단위별 일위대가표"/>
      <sheetName val="OHU"/>
      <sheetName val="계좌번호"/>
      <sheetName val="2공종별예산조서"/>
      <sheetName val="토공대비"/>
      <sheetName val="토공및부대2차"/>
      <sheetName val="새공통"/>
      <sheetName val="3절_CheckList_구분"/>
      <sheetName val="내역5"/>
      <sheetName val="품셈총괄표"/>
      <sheetName val="철탑공사"/>
      <sheetName val="원가계산서 "/>
      <sheetName val="강관산출"/>
      <sheetName val="신안설계"/>
      <sheetName val="업체선정"/>
      <sheetName val="실행집계장"/>
      <sheetName val="투찰집계장"/>
      <sheetName val="토목총괄내역서"/>
      <sheetName val="총괄집계"/>
      <sheetName val="하도사항"/>
      <sheetName val="실행별지"/>
      <sheetName val="하도잡비"/>
      <sheetName val="토공부대"/>
      <sheetName val="철콘부대"/>
      <sheetName val="연약부대"/>
      <sheetName val="철골부대"/>
      <sheetName val="철공견갑"/>
      <sheetName val="철골견적"/>
      <sheetName val="토공견갑"/>
      <sheetName val="토공견적"/>
      <sheetName val="철콘견갑"/>
      <sheetName val="철콘견적"/>
      <sheetName val="연약견갑"/>
      <sheetName val="연약견적"/>
      <sheetName val="부대샘플"/>
      <sheetName val="일위대가-1"/>
      <sheetName val="777"/>
      <sheetName val="cross beam"/>
      <sheetName val="2.단면가정"/>
      <sheetName val="가속도응답스펙트럼(Sa)및속도응답스펙트럼(Sv)"/>
      <sheetName val="12"/>
      <sheetName val="이름"/>
      <sheetName val="4,5,6,7,8"/>
      <sheetName val="옹벽1"/>
      <sheetName val="설계흐름도"/>
      <sheetName val="명단"/>
      <sheetName val="5. 차단기 용량계산"/>
      <sheetName val="22-1소단"/>
      <sheetName val="22-2M단"/>
      <sheetName val="Formulas &amp; Tables"/>
      <sheetName val="구조물"/>
      <sheetName val="품셈(기초)"/>
      <sheetName val="수곡내역"/>
      <sheetName val="6.2.1 지하차도 조도계산"/>
      <sheetName val="배수내역 (2)"/>
      <sheetName val="2000.05"/>
      <sheetName val="97노임단가"/>
      <sheetName val="입력란"/>
      <sheetName val="spec"/>
      <sheetName val="program"/>
      <sheetName val="studbolt no."/>
      <sheetName val="studbolt size"/>
      <sheetName val="item sort no"/>
      <sheetName val="적격"/>
      <sheetName val="DT"/>
      <sheetName val="롤러"/>
      <sheetName val="BH"/>
      <sheetName val="펌프차타설"/>
      <sheetName val="방음벽 기초_x0005__x0000__x0000__x0000_"/>
      <sheetName val="foxz"/>
      <sheetName val="실㔀቎԰"/>
      <sheetName val="실︀껕ԯ"/>
      <sheetName val="실ԯ_x0000_缀"/>
      <sheetName val="금리׉"/>
      <sheetName val="실頀▀_xdc00_"/>
      <sheetName val="제㗇"/>
      <sheetName val="주차구丵〒_x0005__x0000_"/>
      <sheetName val="배수관연장산출서"/>
      <sheetName val="수전기기DATA"/>
      <sheetName val="옹벽수량萘_x0013_"/>
      <sheetName val="수"/>
      <sheetName val="관리_x0000__x0000_Ԁ"/>
      <sheetName val="관리ﻇᇕ԰"/>
      <sheetName val="관리᠀㹓㔀"/>
      <sheetName val="관리Ç_x0000_Ԁ"/>
      <sheetName val="관리裇⁒㔀"/>
      <sheetName val="관리㗇ぎԯ"/>
      <sheetName val="관리㔀ぎԯ"/>
      <sheetName val="관리㉓Ⰰ"/>
      <sheetName val="신표鎐)"/>
      <sheetName val="신표司/"/>
      <sheetName val="신표丵⾒"/>
      <sheetName val="신표丵⽀"/>
      <sheetName val="신표錰!"/>
      <sheetName val="신표鋐_x0014_"/>
      <sheetName val="신표丵⼣"/>
      <sheetName val="신표鍀#"/>
      <sheetName val="신표_x0000__x0000_"/>
      <sheetName val="신표丵⾲"/>
      <sheetName val="신표券&quot;"/>
      <sheetName val="작용하중산정"/>
      <sheetName val="6차2회변경내역서"/>
      <sheetName val="倀ᑙ"/>
      <sheetName val="1x"/>
      <sheetName val="栈᲋"/>
      <sheetName val="_xd810_᱓"/>
      <sheetName val="배수및구조물공1"/>
      <sheetName val="계약서"/>
      <sheetName val="앨범표지"/>
      <sheetName val="3차준공"/>
      <sheetName val="물집"/>
      <sheetName val="조견표"/>
      <sheetName val="관헾"/>
      <sheetName val="원가(1︀"/>
      <sheetName val="원가(1䠀"/>
      <sheetName val="관聈"/>
      <sheetName val="개봉3동하수관"/>
      <sheetName val="관_x0005_"/>
      <sheetName val="증감䈀ᅪ"/>
      <sheetName val="제조부문배부"/>
      <sheetName val="XREF"/>
      <sheetName val="반포2차"/>
      <sheetName val="[YES.XLS][YES.XLS][YES.XLS]4/_x0000_䠀"/>
      <sheetName val="[YES.XLS][YES.XLS][YES.XLS]4쌇栅/"/>
      <sheetName val="정산내역서"/>
      <sheetName val="RING WALL"/>
      <sheetName val="공사비PK5월"/>
      <sheetName val="간접비(1)"/>
      <sheetName val="남양주부대"/>
      <sheetName val="조정내역"/>
      <sheetName val="단위목헾"/>
      <sheetName val="산출내역(K2)"/>
      <sheetName val="전체제잡비"/>
      <sheetName val="지입집계"/>
      <sheetName val="공종별 집계"/>
      <sheetName val="용역비내역-진짜"/>
      <sheetName val="지불내역1"/>
      <sheetName val="집수정(1)"/>
      <sheetName val="PAC"/>
      <sheetName val="단가표 (2)"/>
      <sheetName val="안양동교 1안"/>
      <sheetName val="소각장스케줄"/>
      <sheetName val="직접비"/>
      <sheetName val="페인트"/>
      <sheetName val="30신설일위대가"/>
      <sheetName val="30집계표"/>
      <sheetName val="지구단위계획"/>
      <sheetName val="00노임기준"/>
      <sheetName val="일위대가(가설԰"/>
      <sheetName val="시공업체명부"/>
      <sheetName val="Direct (공사비대비)"/>
      <sheetName val="심의대상"/>
      <sheetName val="타견적(을)"/>
      <sheetName val="표준ፙ렀ᑟ"/>
      <sheetName val="직원자료입력"/>
      <sheetName val="MixBed"/>
      <sheetName val="CondPol"/>
      <sheetName val="유첨_x0005__x0000_"/>
      <sheetName val="유첨헾】"/>
      <sheetName val="1,2,3,4,5단위수량"/>
      <sheetName val="예산명ۓ_x0001_"/>
      <sheetName val="______________________________2"/>
      <sheetName val="철거산출徸〒"/>
      <sheetName val="내부수지예산"/>
      <sheetName val="A LINE"/>
      <sheetName val="당사실시1"/>
      <sheetName val="세목별"/>
      <sheetName val="소개"/>
      <sheetName val="#REF!"/>
      <sheetName val="계열사현황종합"/>
      <sheetName val="장비사양"/>
      <sheetName val="찍기"/>
      <sheetName val="설계내역일위"/>
      <sheetName val="자재단가_x0005_"/>
      <sheetName val="변경비_x0000__x0000_Ѡ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°ø»ç¿ø°¡°è牨-犬-"/>
      <sheetName val="전체내역갑지"/>
      <sheetName val="측구터파기공수량집계"/>
      <sheetName val="실행내역서 (조경)"/>
      <sheetName val="형틀공사"/>
      <sheetName val="자재노임단가"/>
      <sheetName val="크레인5ton"/>
      <sheetName val="단가산출-2"/>
      <sheetName val="기초수량-1"/>
      <sheetName val="단가산출-1"/>
      <sheetName val="단가 (2)"/>
      <sheetName val="전체내ꀀፐ"/>
      <sheetName val="교대(A1挔"/>
      <sheetName val="부대헾】"/>
      <sheetName val="교대(A1窨"/>
      <sheetName val="부대窨_x0013_"/>
      <sheetName val="하수급견적대窨"/>
      <sheetName val="하수급견적대_x0005_"/>
      <sheetName val="교대(A1_x0005_"/>
      <sheetName val="부대_x0005__x0000_"/>
      <sheetName val="전체내㗈቎"/>
      <sheetName val="전체내׃_x0000_"/>
      <sheetName val="9-1㔀቎԰_x0000_"/>
      <sheetName val="9-1԰_x0000_缀_x0000_"/>
      <sheetName val="전체내㠀ᎍ"/>
      <sheetName val="하수급견적대齘"/>
      <sheetName val="교대(A1竈"/>
      <sheetName val="하수급견적대헾"/>
      <sheetName val="하수급견적대竈"/>
      <sheetName val="전체내䋈ᅪ"/>
      <sheetName val="전체내֬_x0000_"/>
      <sheetName val="전체내ﻈ䓕"/>
      <sheetName val="교대(A1헾"/>
      <sheetName val="하수급견적대鷸"/>
      <sheetName val="케이블트레이"/>
      <sheetName val="전체내棈᎜"/>
      <sheetName val="전체내䠀ᖞ"/>
      <sheetName val="하수급견적대鬘"/>
      <sheetName val="차압계산"/>
      <sheetName val="하수급견적대風"/>
      <sheetName val="하수급견적대肘"/>
      <sheetName val="부대芈+"/>
      <sheetName val="하수급견적대芈"/>
      <sheetName val="전체내︀嗕"/>
      <sheetName val="부대헾⼴"/>
      <sheetName val="하수급견적대飘"/>
      <sheetName val="강교(Sub)"/>
      <sheetName val="일반토공견적"/>
      <sheetName val="전체내ꠀ፺"/>
      <sheetName val="원형측구(B-type)"/>
      <sheetName val="??????"/>
      <sheetName val="LKVL-CK-HT-GD1"/>
      <sheetName val="영구峤"/>
      <sheetName val="단가_x0005__x0000_"/>
      <sheetName val="영구_x0005_"/>
      <sheetName val="영구射"/>
      <sheetName val="영구嶄"/>
      <sheetName val="암거치수표"/>
      <sheetName val="재료집계표빽업"/>
      <sheetName val="암거수리계산서"/>
      <sheetName val="◀암거위치"/>
      <sheetName val="최종단면▶"/>
      <sheetName val="◀평균높이▶"/>
      <sheetName val="전체내԰_x0000_"/>
      <sheetName val="ꠀ"/>
      <sheetName val="전체내저ᚙ"/>
      <sheetName val="전체내ꠀ᪘"/>
      <sheetName val="주관⩿〚"/>
      <sheetName val="1þ"/>
      <sheetName val="1ð"/>
      <sheetName val="1¨"/>
      <sheetName val="1¸"/>
      <sheetName val="[YES.XLS]신표司/"/>
      <sheetName val="맨홀물량"/>
      <sheetName val="[YES.XLS]4/_x0000_䠀"/>
      <sheetName val="[YES.XLS]4쌇栅/"/>
      <sheetName val="[YES.XLS][YES.XLS]4/_x0000_䠀"/>
      <sheetName val="[YES.XLS][YES.XLS]4쌇栅/"/>
      <sheetName val="시공계_x0005_"/>
      <sheetName val="변경비_x0005__x0000_"/>
      <sheetName val="내역갑지"/>
      <sheetName val="현장유지관리비"/>
      <sheetName val="A-8 PD(도로중앙)"/>
      <sheetName val="CABLE SIZE-1"/>
      <sheetName val="장비가동"/>
      <sheetName val="N賃率_職"/>
      <sheetName val="귀래방향"/>
      <sheetName val="내역총괄표"/>
      <sheetName val="96노임기준"/>
      <sheetName val="식재출력용"/>
      <sheetName val="유지관리"/>
      <sheetName val="관리비"/>
      <sheetName val="8공구 강재 수량"/>
      <sheetName val="가공사"/>
      <sheetName val="FO"/>
      <sheetName val="기본자료"/>
      <sheetName val="DWG-CAB-I"/>
      <sheetName val="잡비계산"/>
      <sheetName val="경사수로"/>
      <sheetName val="확정실적"/>
      <sheetName val="Stem Footing"/>
      <sheetName val="날개벽(좌,우=60도-4개)"/>
      <sheetName val="EVALUATE물량산출서"/>
      <sheetName val="스라브"/>
      <sheetName val="원가계산서 (2)"/>
      <sheetName val="49"/>
      <sheetName val="내역(설계,도급)정이준"/>
      <sheetName val="ᰀ፜"/>
      <sheetName val="N炬≹"/>
      <sheetName val="투찰(하수)"/>
      <sheetName val="SPM(13.84)"/>
      <sheetName val="fitting"/>
      <sheetName val="Look-Up"/>
      <sheetName val="Units"/>
      <sheetName val="노임9월"/>
      <sheetName val="수량산출(CCTV)"/>
      <sheetName val="수량산출(장애자)"/>
      <sheetName val="수량산출(통신선로)"/>
      <sheetName val="수량산출(여객장치)"/>
      <sheetName val="수량산출(방송)"/>
      <sheetName val="수량산출(전화)"/>
      <sheetName val="사업부배부A"/>
      <sheetName val="입력값1"/>
      <sheetName val="insulation"/>
      <sheetName val="Architecture Work"/>
      <sheetName val="PipWT"/>
      <sheetName val="뜃맟뭁돽띿맟?-BLDG"/>
      <sheetName val="PBS"/>
      <sheetName val="SILICATE"/>
      <sheetName val="간접비내역-1"/>
      <sheetName val="총괄집ᨈꥬ"/>
      <sheetName val="INS-SHEET"/>
      <sheetName val="제품橂"/>
      <sheetName val="일위집계(기존)"/>
      <sheetName val="북제주-표지"/>
      <sheetName val="COVERSHEET"/>
      <sheetName val="36+45-113-18+19+20I"/>
      <sheetName val="산출명세서"/>
      <sheetName val="대운반(철재)"/>
      <sheetName val="시점교대"/>
      <sheetName val="설명서"/>
      <sheetName val="예정공정표"/>
      <sheetName val="2.내역서"/>
      <sheetName val="3.2주형지지보"/>
      <sheetName val="x주형보 설계(3차로)"/>
      <sheetName val="집수정단"/>
      <sheetName val="제안서"/>
      <sheetName val="행정표준(1)"/>
      <sheetName val="행정표준(2)"/>
      <sheetName val="1.설계설명서"/>
      <sheetName val="3.예정공정표"/>
      <sheetName val="제수午_x0013_ὐ"/>
      <sheetName val="EJ"/>
      <sheetName val="암거"/>
      <sheetName val="정보"/>
      <sheetName val="OCM"/>
      <sheetName val="형식별 개략공사비"/>
      <sheetName val="01_ 원가계산서"/>
      <sheetName val="방배동내역(리라)"/>
      <sheetName val="건축공사집계표"/>
      <sheetName val="방배동내역 (총괄)"/>
      <sheetName val="부대공사총괄"/>
      <sheetName val="정보매체A동"/>
      <sheetName val="매입세율"/>
      <sheetName val="4.설계예산서"/>
      <sheetName val="공사원가"/>
      <sheetName val="재경"/>
      <sheetName val="5.일위대가"/>
      <sheetName val="6.철거발생품예정조서"/>
      <sheetName val="7.지급자재조서"/>
      <sheetName val="8.가격조사서"/>
      <sheetName val="도면자료제출일정"/>
      <sheetName val="선로정수계산"/>
      <sheetName val="지입자재"/>
      <sheetName val="요약"/>
      <sheetName val="건0_x0000_蠀"/>
      <sheetName val="금0_x0000_䠀"/>
      <sheetName val="금蠣㡎耀"/>
      <sheetName val="배전반용량계산"/>
      <sheetName val="세정탑 설계"/>
      <sheetName val="건축-물가변동"/>
      <sheetName val="기계설비-물가변동"/>
      <sheetName val="5정거장"/>
      <sheetName val="1-3길내기"/>
      <sheetName val="방음벽 기초 일반헾】"/>
      <sheetName val="FB25JN"/>
      <sheetName val="총괄집_x0000__x0000_"/>
      <sheetName val="¹׃】_x0000_"/>
      <sheetName val="토공총괄표"/>
      <sheetName val="1.3.1절점좌표"/>
      <sheetName val="1.1설계기준"/>
      <sheetName val="_x0000_ _x0000__x0006__x0000__x0006_"/>
      <sheetName val="/_x0000_"/>
      <sheetName val="က_x0000_"/>
      <sheetName val="포장쌅"/>
      <sheetName val="전체실적"/>
      <sheetName val="inter"/>
      <sheetName val="일위대가 (PM)"/>
      <sheetName val="임시전기공사설계서"/>
      <sheetName val="±âÀÚÀç´ëºñÇ¥"/>
      <sheetName val="¿¬°áÀÓ½Ã"/>
      <sheetName val="°ü±Þ"/>
      <sheetName val="도시가스현황"/>
      <sheetName val="토공총괄집계"/>
      <sheetName val="(14)전기품셈정산"/>
      <sheetName val="(12)전기경비"/>
      <sheetName val="8. 안_x0000__x0000__x0005_"/>
      <sheetName val="재료집_x0000_"/>
      <sheetName val="내역서(을지)_2-1공구"/>
      <sheetName val="중기비"/>
      <sheetName val="단위"/>
      <sheetName val="일반전기"/>
      <sheetName val="횡배수관설치현황"/>
      <sheetName val="b_balju-단가단가단가"/>
      <sheetName val="별표1"/>
      <sheetName val="INSTR"/>
      <sheetName val="배관"/>
      <sheetName val="TEST1"/>
      <sheetName val="기계내역서"/>
      <sheetName val="Corrib Haz"/>
      <sheetName val="은평작업지시대장"/>
      <sheetName val="전통건설"/>
      <sheetName val="토적계산서"/>
      <sheetName val="B767"/>
      <sheetName val="지입재료비"/>
      <sheetName val="적요"/>
      <sheetName val="철콘집계"/>
      <sheetName val="5회기성03월"/>
      <sheetName val="[YES.XLS][YES.XLS]신표司/"/>
      <sheetName val="[YES.XLS][YES.XLS][YES.XLS]신표司/"/>
      <sheetName val="동원인원계획표"/>
      <sheetName val="지중자재단가"/>
      <sheetName val="LANGUAGE"/>
      <sheetName val="1-최종안"/>
      <sheetName val="사업분석-분양가결정"/>
      <sheetName val="7.경제성결과"/>
      <sheetName val="관급원내역"/>
      <sheetName val="산#3-1"/>
      <sheetName val="산#3-2"/>
      <sheetName val="배관BM(일반)"/>
      <sheetName val="산#3-2-2"/>
      <sheetName val="옥내소화전계산서"/>
      <sheetName val="운반비산정"/>
      <sheetName val="심사계산"/>
      <sheetName val="심사물량"/>
      <sheetName val="공종별집계표"/>
      <sheetName val="총 원가계산"/>
      <sheetName val="장비부하"/>
      <sheetName val="역간(덕_동)"/>
      <sheetName val="역간(의-덕)"/>
      <sheetName val="단가대비표(SYS)"/>
      <sheetName val="제조노임"/>
      <sheetName val="FUSE_MCB"/>
      <sheetName val="월말"/>
      <sheetName val="ISBL-CIV"/>
      <sheetName val="주식"/>
      <sheetName val="Summary Sheet"/>
      <sheetName val="4.2유효폭의 계산"/>
      <sheetName val="CAPVC"/>
      <sheetName val="내역기준"/>
      <sheetName val="짉譥"/>
      <sheetName val="ᣉᎍ"/>
      <sheetName val="조정_x0014__x0008_"/>
      <sheetName val="7.PILE  (돌출)"/>
      <sheetName val="제수_x0000__x0000_"/>
      <sheetName val="제수午_x0013_뺨"/>
      <sheetName val="제수午_x0013_㸀"/>
      <sheetName val="제수午_x0013_㐨"/>
      <sheetName val="제수午_x0013_㺨"/>
      <sheetName val="제수午_x0013_绠"/>
      <sheetName val="제수午_x0013_떰"/>
      <sheetName val="제수午_x0013_"/>
      <sheetName val="거래명세서"/>
      <sheetName val="일반수량총괄집계"/>
      <sheetName val="가옥조"/>
      <sheetName val="기계경비산출"/>
      <sheetName val="1_x0005_"/>
      <sheetName val="부하집계"/>
      <sheetName val="설계(안)"/>
      <sheetName val="콘센트신설"/>
      <sheetName val="수량산출(AFC)"/>
      <sheetName val="수량_작성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본통신)"/>
      <sheetName val="수량산출(TDI)"/>
      <sheetName val="수량집계(본역사)"/>
      <sheetName val="수량집계(임시역사)"/>
      <sheetName val="CATV"/>
      <sheetName val="견적 (2)"/>
      <sheetName val="3.설계예산내역서(예산서)"/>
      <sheetName val="2.예정공정표"/>
      <sheetName val="4.설계예산내역서"/>
      <sheetName val="6.관급자재조서"/>
      <sheetName val="PROCESS"/>
      <sheetName val="포장재료집계표"/>
      <sheetName val="포장면적산출"/>
      <sheetName val="포장수량집계"/>
      <sheetName val="PIPE(UG)내역"/>
      <sheetName val="토적계산"/>
      <sheetName val="96 능제취입"/>
      <sheetName val="M+1"/>
      <sheetName val="광,철광석 사용량(2000)"/>
      <sheetName val="포,철광석 사용량(2000)"/>
      <sheetName val="91,92황산"/>
      <sheetName val="치수표"/>
      <sheetName val="전체총괄"/>
      <sheetName val="dongia (2)"/>
      <sheetName val="gtrinh"/>
      <sheetName val="lam-moi"/>
      <sheetName val="chitiet"/>
      <sheetName val="giathanh1"/>
      <sheetName val="DONGIA"/>
      <sheetName val="thao-go"/>
      <sheetName val="TH XL"/>
      <sheetName val="VC"/>
      <sheetName val="Tiepdia"/>
      <sheetName val="CHITIET VL-NC"/>
      <sheetName val="CAL(1)."/>
      <sheetName val="수장"/>
      <sheetName val="member design"/>
      <sheetName val="soil bearing check"/>
      <sheetName val="돈암사업"/>
      <sheetName val="단면A-A(TR)"/>
      <sheetName val="전체내蠀ᒗ"/>
      <sheetName val="전체내︀盕"/>
      <sheetName val="일위대가(계측︩盕ԯ_x0000_"/>
      <sheetName val="전체내壈▞"/>
      <sheetName val="공종코드"/>
      <sheetName val="방호벽"/>
      <sheetName val="낙석방지책"/>
      <sheetName val="금액︀⣕"/>
      <sheetName val="검색"/>
      <sheetName val="2.노무비명세서(수직보垰7埼"/>
      <sheetName val="주사무실԰_x0000_"/>
      <sheetName val="ꠀ፺"/>
      <sheetName val="BOX ᠀ᶛ"/>
      <sheetName val="저ᚙ"/>
      <sheetName val="위치ꠀ᪘"/>
      <sheetName val="ᓈባ"/>
      <sheetName val="︀盕"/>
      <sheetName val="壈▞"/>
      <sheetName val="합의서"/>
      <sheetName val="포장자재집계표"/>
      <sheetName val="하남내역"/>
      <sheetName val="기က_x0000_退"/>
      <sheetName val="Cover Sht"/>
      <sheetName val="총괄집계 "/>
      <sheetName val="증감내역서"/>
      <sheetName val="하수실행"/>
      <sheetName val="공종별자재"/>
      <sheetName val="갑지(0_x0000_頀"/>
      <sheetName val="갑지(저妶瘍"/>
      <sheetName val="갑지(濪瘊"/>
      <sheetName val="갑지(᐀ባ혀"/>
      <sheetName val="입출재고현황 (2_x0010_"/>
      <sheetName val="갑지(᠀̨瘗"/>
      <sheetName val="갑지(栀ৢ瘊"/>
      <sheetName val="갑지(ꀀ㱹瘆"/>
      <sheetName val="2.노무비명세서頀塔攀๦0_x0000_뀀"/>
      <sheetName val="2.노무비명세서Ç_x0000__x0000__x0000_ꨀ"/>
      <sheetName val="노임2"/>
      <sheetName val="단가(추가)"/>
      <sheetName val="일위대가(추가)"/>
      <sheetName val="2.노무비명세서Ç_x0000_렀_x0013__x0000__x0000_砀"/>
      <sheetName val="갑지(쐂饣/"/>
      <sheetName val="갑지(쐃/"/>
      <sheetName val="갑지(쐎/"/>
      <sheetName val="귀래 설계 공내역서"/>
      <sheetName val="종단계산"/>
      <sheetName val="단목"/>
      <sheetName val="토목수량"/>
      <sheetName val="하도급선정의뢰_x0005__x0000__x0000__x0000__x0000_恐"/>
      <sheetName val="하도급선정의뢰煘_x0013_橂⿜_x0005__x0000_"/>
      <sheetName val="하도급선정의뢰聸_x0013_헾⾧_x0005__x0000_"/>
      <sheetName val="4신규비목발생사유서"/>
      <sheetName val="하도급선정의뢰颙〒_x0005__x0000__x0000__x0000_"/>
      <sheetName val="하도급선정의뢰_x0000__x0000_ರ_x0000__x0000__x0000_Ÿ"/>
      <sheetName val="하도급선정의뢰_x0000__x0000_ꢈ_x0000__x0000__x0000_Ÿ"/>
      <sheetName val="하도급선정의뢰_x0000__x0000_㇀_x0000__x0000__x0000_Ÿ"/>
      <sheetName val="하도급선정의뢰_x0000__x0000_䭠_x0000__x0000__x0000_欓"/>
      <sheetName val="하도급선정의뢰_x0010__x0000_ﻠֲ׃⽣_x0000_"/>
      <sheetName val="하도급선정의뢰_x0000__x0000_枨_x0000__x0000__x0000_"/>
      <sheetName val="하도급선정의뢰_x0000__x0000_优_x0000__x0000__x0000_"/>
      <sheetName val="하도급선정의뢰_x0010__x0000__xdfc0_࡝׃⼫_x0000_"/>
      <sheetName val="하도급선정의뢰佘/ߍ恽⿹_x0000_"/>
      <sheetName val="자재단가徸"/>
      <sheetName val="수안보-๿〚_x0005__x0000_"/>
      <sheetName val="금액내역헾"/>
      <sheetName val="자재단가尜"/>
      <sheetName val="NAIL단가산출"/>
      <sheetName val="수안보-挔_x0012_竖め"/>
      <sheetName val="자재단가헾"/>
      <sheetName val="자재단가丵"/>
      <sheetName val="자재단가壠"/>
      <sheetName val="자재단가厘"/>
      <sheetName val="도급FORM"/>
      <sheetName val="하중재하"/>
      <sheetName val="예가표"/>
      <sheetName val="洊⍩"/>
      <sheetName val="_xd808_⢉"/>
      <sheetName val="砈ẋ"/>
      <sheetName val="참고자료등록"/>
      <sheetName val="하자보수보증자료"/>
      <sheetName val="집계표(건축전기)"/>
      <sheetName val="교대일반수량"/>
      <sheetName val="5차설계"/>
      <sheetName val="Control Sheet"/>
      <sheetName val="b_gunmul"/>
      <sheetName val="b_balju (2)"/>
      <sheetName val="갑(계장)"/>
      <sheetName val="돈"/>
      <sheetName val="보온자재단가표"/>
      <sheetName val="선우통상(을)"/>
      <sheetName val="견적서-골조공사"/>
      <sheetName val="FCU (2)"/>
      <sheetName val="장비분석"/>
      <sheetName val="J형측구단위수량"/>
      <sheetName val="적용단가"/>
      <sheetName val="예산M2"/>
      <sheetName val="2.수량산출"/>
      <sheetName val="계화배수(3대)"/>
      <sheetName val="당초수문"/>
      <sheetName val="일"/>
      <sheetName val="bCord공정"/>
      <sheetName val="d수량"/>
      <sheetName val="e대가"/>
      <sheetName val="g단가"/>
      <sheetName val="h집계"/>
      <sheetName val="BH-1 (2)"/>
      <sheetName val="³²¾ç½ÃÀÛµ¿ÀÚ105³ë65±_x0000__x0000__x0005__x0000_慀ȡ_x0000__x0000__x0000_"/>
      <sheetName val="기타"/>
      <sheetName val="BID FORM"/>
      <sheetName val="Form of Bid"/>
      <sheetName val="이관문서목록표"/>
      <sheetName val="중기사용료산출근거"/>
      <sheetName val="국내"/>
      <sheetName val="구천"/>
      <sheetName val="기둥"/>
      <sheetName val="저판(버림100)"/>
      <sheetName val="조작대(1연)"/>
      <sheetName val="부대tu"/>
      <sheetName val="우수공,맨홀,집수정"/>
      <sheetName val="BID9697"/>
      <sheetName val="산출근거#2-3"/>
      <sheetName val="고창터널(고창방향䈀"/>
      <sheetName val="가압장(토목)"/>
      <sheetName val="가시설공(광장부)"/>
      <sheetName val="8. _x0005__x0000__x0000_"/>
      <sheetName val="옥외배관기본공량"/>
      <sheetName val="적정심사"/>
      <sheetName val="DATA-1"/>
      <sheetName val="구체"/>
      <sheetName val="단가표(전산)"/>
      <sheetName val="2219-SPOOL BOM"/>
      <sheetName val="도급,하도급 예정금액"/>
      <sheetName val="품목현황"/>
      <sheetName val="산출(전기)"/>
      <sheetName val="3-4호기 내역서"/>
      <sheetName val="평형공사비"/>
      <sheetName val="토공검토G"/>
      <sheetName val="미지급금"/>
      <sheetName val="전등수량산출"/>
      <sheetName val="입찰결과(DATA_x0000_"/>
      <sheetName val="내역금액적용"/>
      <sheetName val="비목코드"/>
      <sheetName val="매원개착터널총괄"/>
      <sheetName val="원안"/>
      <sheetName val="목창호"/>
      <sheetName val="포장공총괄수량집계표"/>
      <sheetName val="TOTAL_BOQ"/>
      <sheetName val="5.2코핑"/>
      <sheetName val="일위대가집계표"/>
      <sheetName val="b_balju_ch"/>
      <sheetName val="b_balju_chÈ"/>
      <sheetName val="b_balju_chÛ"/>
      <sheetName val="b_balju_ch("/>
      <sheetName val="REDUCER"/>
      <sheetName val="WE'T"/>
      <sheetName val="자재단가리스트"/>
      <sheetName val="공사내역(총괄)"/>
      <sheetName val="대보~세기"/>
      <sheetName val="기본DATԯ"/>
      <sheetName val="기본DAT頀"/>
      <sheetName val="공종별수량집계"/>
      <sheetName val="울진항공등화 내역서"/>
      <sheetName val="옹벽수량집계표"/>
      <sheetName val="수종별인자"/>
      <sheetName val="배수통관(좌)"/>
      <sheetName val="master(2차)"/>
      <sheetName val="내역통합"/>
      <sheetName val="성토도수로현황"/>
      <sheetName val="중기가격"/>
      <sheetName val="1.1 본체"/>
      <sheetName val="March"/>
      <sheetName val="토목 (2)"/>
      <sheetName val="인력터파기"/>
      <sheetName val="반중력식옹벽3.5"/>
      <sheetName val="단가(1)"/>
      <sheetName val="D.B"/>
      <sheetName val="실행ࠏE"/>
      <sheetName val="실행ဏ_x0000_"/>
      <sheetName val="Manual Valve List"/>
      <sheetName val="1-"/>
      <sheetName val="1g"/>
      <sheetName val="㠈⎗"/>
      <sheetName val="⢔"/>
      <sheetName val="᠇Ẓ"/>
      <sheetName val="1ì"/>
      <sheetName val="1º"/>
      <sheetName val="謂ⷄ"/>
      <sheetName val="ꠀ⢄"/>
      <sheetName val="⠊⢌"/>
      <sheetName val="了"/>
      <sheetName val="栉ᶆ"/>
      <sheetName val=" ᧡"/>
      <sheetName val="1P"/>
      <sheetName val="1("/>
      <sheetName val="1@"/>
      <sheetName val="1 "/>
      <sheetName val="10"/>
      <sheetName val="⠖㔺"/>
      <sheetName val="砖㖌"/>
      <sheetName val="1è"/>
      <sheetName val="1`"/>
      <sheetName val="1°"/>
      <sheetName val="영구청af헾"/>
      <sheetName val="영구청af薸"/>
      <sheetName val="실︀ԯ"/>
      <sheetName val="하수급견적대䧨"/>
      <sheetName val="SHUTDOWN VALVE"/>
      <sheetName val="실资䈀"/>
      <sheetName val="실㠀赫䈀"/>
      <sheetName val="실蠀艆䈀"/>
      <sheetName val="실退艬_xdc00_"/>
      <sheetName val="실ꠀ⑬餀"/>
      <sheetName val="실頀몁_xdc00_"/>
      <sheetName val="하수급견적대䪘"/>
      <sheetName val="하수급견적대桑"/>
      <sheetName val="하수급견적대䗸"/>
      <sheetName val="하수급견적대汈"/>
      <sheetName val="하수급견적대䫘"/>
      <sheetName val="하수급견적대烐"/>
      <sheetName val="하수급견적대䠸"/>
      <sheetName val="하수급견적대溈"/>
      <sheetName val="실舀鐟ԯ"/>
      <sheetName val="하수급견적대靨"/>
      <sheetName val="하수급견적대䝸"/>
      <sheetName val="실렀齈_xdb00_"/>
      <sheetName val="실ࠀ齯_xdb00_"/>
      <sheetName val="단_xd800_镊ἀ"/>
      <sheetName val="단镰Ⰰ"/>
      <sheetName val="실저비_xdb00_"/>
      <sheetName val="실᠀㙋䈀"/>
      <sheetName val="실⠀텊䈀"/>
      <sheetName val="실态吣԰"/>
      <sheetName val="실저칄怀"/>
      <sheetName val="실퀀칪ᰀ"/>
      <sheetName val="하수급견적대炠"/>
      <sheetName val="하수급견적대䞘"/>
      <sheetName val="작성양식"/>
      <sheetName val="품-(주)코①"/>
      <sheetName val="공사예산하조서(O.K)"/>
      <sheetName val="일위대가표 (䀀⅒"/>
      <sheetName val="ÀÏÀ§´ë°¡Ç¥(1@"/>
      <sheetName val="일위대가표 (ԯ_x0000_"/>
      <sheetName val="Summar헾】_x0005__x0000__x0000__x0000__x0000_"/>
      <sheetName val="흄관기초"/>
      <sheetName val="부대공(집계)"/>
      <sheetName val="포장단면별단위수량"/>
      <sheetName val="ACUNIT"/>
      <sheetName val="공사비집_x0005_"/>
      <sheetName val="Macro(전동기)"/>
      <sheetName val="5.단가대비표"/>
      <sheetName val="8.일위대가표(1)"/>
      <sheetName val="8.일위대가표(2)"/>
      <sheetName val="7.청제공기계기구조서"/>
      <sheetName val="103동"/>
      <sheetName val="CRUDE RE-bar"/>
      <sheetName val="횡분배정리(DB)"/>
      <sheetName val="방음벽기초-수량"/>
      <sheetName val="수량산출기초(케블등)"/>
      <sheetName val="터널(토공)"/>
      <sheetName val="JUCK֕_x0000_缀"/>
      <sheetName val="토목변경"/>
      <sheetName val="수로단위수량"/>
      <sheetName val="수량산출내역1115"/>
      <sheetName val="아파트저᝾"/>
      <sheetName val="아파트㾅"/>
      <sheetName val="환율change"/>
      <sheetName val=" 갑지"/>
      <sheetName val="8.수량산출 (2)"/>
      <sheetName val="일위대가표 (⠋ᡏ"/>
      <sheetName val="2차공사"/>
      <sheetName val="Imp-Data"/>
      <sheetName val="내역서 (1차)"/>
      <sheetName val="¿¹Á¤(3က"/>
      <sheetName val="SAMPLE"/>
      <sheetName val="산업개발안내서"/>
      <sheetName val="외자배분"/>
      <sheetName val="외자내역"/>
      <sheetName val="무시"/>
      <sheetName val="電磁弁LIST"/>
      <sheetName val="PLG"/>
      <sheetName val="계약원가"/>
      <sheetName val="준설량산정표"/>
      <sheetName val="01하반기노임"/>
      <sheetName val="주요재료비(원본)"/>
      <sheetName val="한화 둔산 내역서"/>
      <sheetName val="간이영수증"/>
      <sheetName val="내역(정지)"/>
      <sheetName val="1차배부(JB포함)"/>
      <sheetName val="Sheet1(X)"/>
      <sheetName val="인원조직표"/>
      <sheetName val="냉천부속동"/>
      <sheetName val="건축공정"/>
      <sheetName val="방진공정"/>
      <sheetName val="조경공정"/>
      <sheetName val="국별인원"/>
      <sheetName val="산출기초"/>
      <sheetName val="순환펌프"/>
      <sheetName val="저수조"/>
      <sheetName val="급,배기팬"/>
      <sheetName val="급탕순환펌프"/>
      <sheetName val="허용전류-IEC DATA"/>
      <sheetName val="D-RMIL"/>
      <sheetName val="3-1.일위대가집계표(교통시설물1)"/>
      <sheetName val="직_x0005__x0000_"/>
      <sheetName val="임시급식ֿ_x0000_缀_x0000_"/>
      <sheetName val="인부노임"/>
      <sheetName val="직원자료"/>
      <sheetName val="업종분류"/>
      <sheetName val="장비분류"/>
      <sheetName val="단가산출목록표"/>
      <sheetName val="슬래브"/>
      <sheetName val="ÀÏÀ§´ë°¡Ç¥(_x0005__x0000_"/>
      <sheetName val="일위藨-헾"/>
      <sheetName val="새공통(96임금인상기준)"/>
      <sheetName val="AHU-1"/>
      <sheetName val="급탕설비"/>
      <sheetName val="화장실배기팬"/>
      <sheetName val="수출가격"/>
      <sheetName val="IBL-C"/>
      <sheetName val="변경_x0005__x0006__x0004__x0004_"/>
      <sheetName val="직급별"/>
      <sheetName val="S1099기장선행WOP"/>
      <sheetName val="94"/>
      <sheetName val="안전시설"/>
      <sheetName val="20-25"/>
      <sheetName val="설치자재"/>
      <sheetName val="단중"/>
      <sheetName val="차도부수량집계표"/>
      <sheetName val="MEMBER"/>
      <sheetName val="공사별 가중치0_x0000_ꀀâ_x0000__x0000_鬀ӊ㰞"/>
      <sheetName val="말뚝설계"/>
      <sheetName val="입력자료"/>
      <sheetName val="steam table"/>
      <sheetName val="BM"/>
      <sheetName val="별표집계"/>
      <sheetName val="05.18"/>
      <sheetName val="5.28"/>
      <sheetName val="FLANGE"/>
      <sheetName val="dwn"/>
      <sheetName val="PIPE(A)"/>
      <sheetName val="LD"/>
      <sheetName val="2.노무비명欐_x0016_歜_x0016_丵⽃"/>
      <sheetName val="2.노무비명烨$橂⽲_x0005__x0000_"/>
      <sheetName val="한일양산"/>
      <sheetName val="CAL."/>
      <sheetName val="ORIGN"/>
      <sheetName val="ASEM내역"/>
      <sheetName val="1공구내역서(1)"/>
      <sheetName val="이음개소"/>
      <sheetName val="설계서(7)"/>
      <sheetName val="갑지(가로ﻁ"/>
      <sheetName val="조도계산서1"/>
      <sheetName val="분전반"/>
      <sheetName val="수량산출서 갑지"/>
      <sheetName val="감시제어"/>
      <sheetName val="목차임시"/>
      <sheetName val="선로의 %임피던스 "/>
      <sheetName val="을 2"/>
      <sheetName val="을 1"/>
      <sheetName val="전체-원가분리내역"/>
      <sheetName val="유리"/>
      <sheetName val="익산"/>
      <sheetName val="가격표"/>
      <sheetName val="건축외주"/>
      <sheetName val="시장성초안camera"/>
      <sheetName val="집"/>
      <sheetName val="database"/>
      <sheetName val="기성청구현황"/>
      <sheetName val="Priorities"/>
      <sheetName val="Paint,Fire-Proof,Insul(48)"/>
      <sheetName val="[YES.XLS][YES.XLS]A__9701A_OU_2"/>
      <sheetName val="NOTE ALL"/>
      <sheetName val="설계수량"/>
      <sheetName val="3.2.1 마루높이결정"/>
      <sheetName val="산출근거1"/>
      <sheetName val="5.전사투자계획종함안"/>
      <sheetName val="개요입력"/>
      <sheetName val="수량기준"/>
      <sheetName val="단가기준"/>
      <sheetName val="기성신청"/>
      <sheetName val="1단계_견적내역서"/>
      <sheetName val="합계"/>
      <sheetName val="7.3.1 전력간선 굵기"/>
      <sheetName val="DAILY"/>
      <sheetName val="농로수량집계"/>
      <sheetName val="설계서을"/>
      <sheetName val="공감비"/>
      <sheetName val="OCT"/>
      <sheetName val="ISOP"/>
      <sheetName val="MdBase"/>
      <sheetName val="N쌃괅"/>
      <sheetName val="Sheet2 (2)"/>
      <sheetName val="[YES.XLS][YES.XLS][YES.XLS]/_x0000_"/>
      <sheetName val="[YES.XLS][YES.XLS]/_x0000_"/>
      <sheetName val="[YES.XLS]/_x0000_"/>
      <sheetName val="사각맨䠓"/>
      <sheetName val="실행내역 "/>
      <sheetName val="참조 (2)"/>
      <sheetName val="SANTOGO"/>
      <sheetName val="산출서집계"/>
      <sheetName val="집계표(수정)"/>
      <sheetName val="잔여공사월별내역"/>
      <sheetName val="대비(최종이사회)"/>
      <sheetName val="공사비예비관리공감측설산출내역"/>
      <sheetName val="양식"/>
      <sheetName val="표지세로"/>
      <sheetName val="제잡비(주공종)"/>
      <sheetName val="(3.품질관리 시험 총괄표)"/>
      <sheetName val="5.소모재료비"/>
      <sheetName val="전계가"/>
      <sheetName val="Á¤»ê¹°·®︀웕"/>
      <sheetName val="대비2"/>
      <sheetName val="설치공사비"/>
      <sheetName val="Tool"/>
      <sheetName val="1._x0018_변︀ᇕ԰"/>
      <sheetName val="ASP"/>
      <sheetName val="설비공사"/>
      <sheetName val="교사기준면적(중)"/>
      <sheetName val="메뉴"/>
      <sheetName val="조명_x0000__x0000_"/>
      <sheetName val="Result"/>
      <sheetName val="전선관"/>
      <sheetName val="라멘교일반수량"/>
      <sheetName val="기성내역(건축)"/>
      <sheetName val="5.1단가조사"/>
      <sheetName val="배수설비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15.공량산출근거서"/>
      <sheetName val="교각토공"/>
      <sheetName val="작업내역"/>
      <sheetName val="방지책개소별명세"/>
      <sheetName val="[YES.XLS][YES.XLS]A__9701A_OU_3"/>
      <sheetName val="공예을"/>
      <sheetName val="골재및자재집계표"/>
      <sheetName val="수안보-纈!헾『"/>
      <sheetName val="수안보-丵〒_x0005__x0000_"/>
      <sheetName val="수안보-橂】_x0005__x0000_"/>
      <sheetName val="9-1차_x0005__x0000_"/>
      <sheetName val="업무처리전"/>
      <sheetName val="철집"/>
      <sheetName val="변경비懸_x0013_颙"/>
      <sheetName val="변경비颙〒_x0005_"/>
      <sheetName val="일위집԰_x0000_"/>
      <sheetName val="변경비窨_x0013_竬"/>
      <sheetName val="시공계ⱂ"/>
      <sheetName val="참고자료"/>
      <sheetName val="대창(장ԯ_x0000_"/>
      <sheetName val="1호철근량"/>
      <sheetName val="산출서"/>
      <sheetName val="조명시헾"/>
      <sheetName val="8. 안吐呜"/>
      <sheetName val="5.정산ﵠ"/>
      <sheetName val="교량data"/>
      <sheetName val="파일구성"/>
      <sheetName val="No.2LAB Unit"/>
      <sheetName val="약ྀ︁"/>
      <sheetName val="9G࠯_x0015__x0000__x0000_"/>
      <sheetName val="몰탈쐀/_x0000_"/>
      <sheetName val="시멘트,모래"/>
      <sheetName val="CHIP_O"/>
      <sheetName val="FAB_O"/>
      <sheetName val="PKG_I"/>
      <sheetName val="FT_금액"/>
      <sheetName val="YIELD"/>
      <sheetName val="부재치수입력"/>
      <sheetName val="Key assumption"/>
      <sheetName val="경비산출"/>
      <sheetName val="방음벽기초"/>
      <sheetName val="토목׃⿄"/>
      <sheetName val="토목׃⽴"/>
      <sheetName val="토목嘘_x001b_"/>
      <sheetName val="토목ꮸ⽤"/>
      <sheetName val="토목垐%"/>
      <sheetName val="토목狈6"/>
      <sheetName val="토목妀6"/>
      <sheetName val="토목枵〛"/>
      <sheetName val="LCS-SEAT"/>
      <sheetName val="장비단가"/>
      <sheetName val="간이연락"/>
      <sheetName val="PO-BOB"/>
      <sheetName val="재료값"/>
      <sheetName val="보차도경계석수량"/>
      <sheetName val="48전력선로일挔"/>
      <sheetName val="48일위(기존)"/>
      <sheetName val="옥외외등집계표"/>
      <sheetName val="광통신 견적내역서1"/>
      <sheetName val="단가산출2"/>
      <sheetName val="하도급선정의뢰_x0005__x0000__x0000__x0000__x0000_吝"/>
      <sheetName val="하도급선정의뢰唈_x001f_ᛅ⾠_x0005__x0000_"/>
      <sheetName val="하도급선정의뢰ᛅ⼝_x0005__x0000__x0000__x0000_"/>
      <sheetName val="음성(cable)"/>
      <sheetName val="B"/>
      <sheetName val=" 내역"/>
      <sheetName val="제출"/>
      <sheetName val="TCDB"/>
      <sheetName val="1À"/>
      <sheetName val="ꀀ㇞"/>
      <sheetName val="1r"/>
      <sheetName val="　⮒"/>
      <sheetName val="က"/>
      <sheetName val="⠈ⱒ"/>
      <sheetName val="1Ø"/>
      <sheetName val="자재집게표 "/>
      <sheetName val="신천3호용수로"/>
      <sheetName val="B1(반포1차)"/>
      <sheetName val="경영혁신본부"/>
      <sheetName val="R.C RAHMEN 해석"/>
      <sheetName val="본체 설 계"/>
      <sheetName val="Requirement(Work Crew)"/>
      <sheetName val="방송일위대가"/>
      <sheetName val="견적을지"/>
      <sheetName val="전동기"/>
      <sheetName val="2.1 전선굵기"/>
      <sheetName val="CABdata"/>
      <sheetName val="준공내역서(을)"/>
      <sheetName val="결과"/>
      <sheetName val="남양시작동010313100%"/>
      <sheetName val="버스운행안姠"/>
      <sheetName val="버스운행안夸"/>
      <sheetName val="버스운행안哈"/>
      <sheetName val="목공사품의서"/>
      <sheetName val="주공 갑지"/>
      <sheetName val="esc(건축)"/>
      <sheetName val="옥룡잡비"/>
      <sheetName val="AILC00þ"/>
      <sheetName val="º¯°æ»çÀX"/>
      <sheetName val="206 무장,정비 장비용량 산출"/>
      <sheetName val="우석문틀"/>
      <sheetName val="버스운행안_x0005_"/>
      <sheetName val="계장 품셈표"/>
      <sheetName val="BOX1"/>
      <sheetName val="Æ¯º°±³擀睈"/>
      <sheetName val="DATA(광속)"/>
      <sheetName val="토목품셈"/>
      <sheetName val="단위량"/>
      <sheetName val="재료집계표2"/>
      <sheetName val="토적집계표"/>
      <sheetName val="data_dci"/>
      <sheetName val="data_mci"/>
      <sheetName val="behind"/>
      <sheetName val="일위집계"/>
      <sheetName val="2.노무비명세서(수직보_x0005__x0000_"/>
      <sheetName val="2.노무비명세서(수직보丵⿰_x0005_"/>
      <sheetName val="2_노무비명세서(수직보垰7埼"/>
      <sheetName val="2_노무비명세서(수직보"/>
      <sheetName val="2_노무비명세서(수직보丵⿰"/>
      <sheetName val="설계내역2"/>
      <sheetName val="상행-교대(A1-A2)"/>
      <sheetName val="combi(wall)"/>
      <sheetName val="Picture"/>
      <sheetName val="가설경비"/>
      <sheetName val="시점부교대"/>
      <sheetName val="48전력선_x0002__x0000_㣸"/>
      <sheetName val="외천교"/>
      <sheetName val="내역서(사업소)"/>
      <sheetName val="유역면적"/>
      <sheetName val="펌프장수량ԯ_x0000_缀_x0000__x0000_"/>
      <sheetName val="YES-T"/>
      <sheetName val="흄관수량"/>
      <sheetName val="일_x0007__x0006__x0003__x0004__x0007_"/>
      <sheetName val="5공철탑검토표"/>
      <sheetName val="4공철탑검토"/>
      <sheetName val="불변현금흐름표"/>
      <sheetName val="기타유틸리티설비"/>
      <sheetName val="B×a"/>
      <sheetName val="I.설계헾】"/>
      <sheetName val="정문내역"/>
      <sheetName val="음료실행"/>
      <sheetName val="¼ö¸ñ´헾⿨_x0005_"/>
      <sheetName val="100만평"/>
      <sheetName val="평야부단가"/>
      <sheetName val="재1"/>
      <sheetName val="비용"/>
      <sheetName val="WO"/>
      <sheetName val="내역_FILE"/>
      <sheetName val="펌프장수량䈀嵪ԯ_x0000_缀"/>
      <sheetName val="펌프장수량㔀቎԰_x0000_缀"/>
      <sheetName val="N︀軕"/>
      <sheetName val="천방교접속"/>
      <sheetName val="96_x0005__x0000_ø"/>
      <sheetName val="패널"/>
      <sheetName val="공비대䠛"/>
      <sheetName val="역공종"/>
      <sheetName val="수량산출(2공구)"/>
      <sheetName val="수량산출 (3공구)"/>
      <sheetName val="탑( Ṱ氀"/>
      <sheetName val="실焀휦ԯ"/>
      <sheetName val="1SPA8"/>
      <sheetName val="교통_x0005__x0000_"/>
      <sheetName val="교통닑⿃_x0005_"/>
      <sheetName val="교통닑⿣_x0005_"/>
      <sheetName val="교통淀6渌"/>
      <sheetName val="교통墨_x0015_닑"/>
      <sheetName val="LD退"/>
      <sheetName val="1SPA"/>
      <sheetName val="실蠀㑬턀"/>
      <sheetName val="1SPAð"/>
      <sheetName val="1SPAP"/>
      <sheetName val="교통닑⿱_x0005_"/>
      <sheetName val="자재집계 &amp; 총괄표"/>
      <sheetName val="직공ꂲ"/>
      <sheetName val="금액浨+"/>
      <sheetName val="교통닑⼣_x0005_"/>
      <sheetName val="증감퀀䅰"/>
      <sheetName val="실ԯ"/>
      <sheetName val="수량산출(비굴착)"/>
      <sheetName val="4-2.전기관급자재(수배전반)내역서"/>
      <sheetName val="고창터널(딈㩧0_x0000_"/>
      <sheetName val="고창터널(딈㩧0_x0000_㠀"/>
      <sheetName val="고창터널(딊㩧0_x0000_ꀀ"/>
      <sheetName val="고창터널(堌᬴怀䚴딊"/>
      <sheetName val="고창터널(堌᬴堀Ỷ딉"/>
      <sheetName val="MORTAR생산및타설(1;3)"/>
      <sheetName val="노임목록"/>
      <sheetName val="N0_x0000_"/>
      <sheetName val="수정"/>
      <sheetName val="Tenants"/>
      <sheetName val="VA橂⼸_x0005_"/>
      <sheetName val="천마갑지"/>
      <sheetName val="커튼월(pfg)"/>
      <sheetName val="96월별PL"/>
      <sheetName val="양식(직판용)"/>
      <sheetName val="대우단가(풍산)"/>
      <sheetName val="교통惨У԰_x0000_"/>
      <sheetName val="6.¾㉀ᩴ蛀"/>
      <sheetName val="ES조서출력하기"/>
      <sheetName val="9.2.3 각 실별 조도계산(3단계)"/>
      <sheetName val="-몰탈콘크리트"/>
      <sheetName val="-배수구조물공토공"/>
      <sheetName val="횡배수관재료-"/>
      <sheetName val="계산서(직선부)"/>
      <sheetName val="콘크리트측구연장"/>
      <sheetName val="광양방향"/>
      <sheetName val="기계공사"/>
      <sheetName val="98비정기소모"/>
      <sheetName val="도급및 실행내역"/>
      <sheetName val="ꠀ᪘"/>
      <sheetName val="변류기선정표"/>
      <sheetName val="MOF비율계산"/>
      <sheetName val="전기실접지계산예"/>
      <sheetName val="용도별접지선굵기"/>
      <sheetName val="세대부하"/>
      <sheetName val="MCCB선정(구)"/>
      <sheetName val="수용률(분양주택 단상)"/>
      <sheetName val="수용률"/>
      <sheetName val="부하설비용량추정"/>
      <sheetName val="동력부하산정예시"/>
      <sheetName val="동력부하"/>
      <sheetName val="차단기(내규)"/>
      <sheetName val="전동기용량스캔자료"/>
      <sheetName val="전동기용량380V(구)"/>
      <sheetName val="전동기용량220V380V(구)내규"/>
      <sheetName val="전동기용량220V(구)세로"/>
      <sheetName val="전동기용량220V(구)가로"/>
      <sheetName val="허용전류(CV,FR8)LADDER"/>
      <sheetName val="허용전류(CV,FR8)PUNCHED"/>
      <sheetName val="집합감소계수(일반)"/>
      <sheetName val="허용전류(HIV)-A1"/>
      <sheetName val="허용전류(HIV)-B1"/>
      <sheetName val="허용전류(가설)"/>
      <sheetName val="케이블허용전류(내선)"/>
      <sheetName val="다산허용전류"/>
      <sheetName val="동력분전반부하계산"/>
      <sheetName val="허용전류CV(구)"/>
      <sheetName val="허용전류FR-8(구)"/>
      <sheetName val="발전기연결부하"/>
      <sheetName val="BD전압강하"/>
      <sheetName val="쓰레기장비"/>
      <sheetName val="설비불평형률"/>
      <sheetName val="주차관제부하"/>
      <sheetName val="타설계실기준"/>
      <sheetName val="고압등기구시동전류"/>
      <sheetName val="가정용전기기기"/>
      <sheetName val="분당ELEV"/>
      <sheetName val="간선계산서"/>
      <sheetName val="임시동력간선계산서(약식)"/>
      <sheetName val="임시동력간선계산서양식"/>
      <sheetName val="저압반트레이계산(STN)"/>
      <sheetName val="저압반트레이계산(STN)(2)"/>
      <sheetName val="약전트레이(STN)mm2"/>
      <sheetName val="약전트레이(STN)mm"/>
      <sheetName val="DATA(HIV)"/>
      <sheetName val="DATA(GV)"/>
      <sheetName val="DATA(CV,FR-8)"/>
      <sheetName val="DATA(FR-3)"/>
      <sheetName val="DATA(CVV)"/>
      <sheetName val="MCC-DATA"/>
      <sheetName val="수목데이타"/>
      <sheetName val="단가순번"/>
      <sheetName val="관경별내역서"/>
      <sheetName val="목록표"/>
      <sheetName val="재료-CODE"/>
      <sheetName val="9.2단가산출서"/>
      <sheetName val="손료"/>
      <sheetName val="전체공사"/>
      <sheetName val="구조물철거집계 "/>
      <sheetName val="토건"/>
      <sheetName val="철거산䈀㡪ԯ"/>
      <sheetName val="철거산_x0000__x0000_Ԁ"/>
      <sheetName val="도급처리스트"/>
      <sheetName val="[YES.XLS][YES.XLS]A__9701A_OU_4"/>
      <sheetName val="[YES.XLS][YES.XLS]A__9701A_OU_9"/>
      <sheetName val="[YES.XLS][YES.XLS]A__9701A_OU_8"/>
      <sheetName val="[YES.XLS][YES.XLS]A__9701A_OU_5"/>
      <sheetName val="[YES.XLS][YES.XLS]A__9701A_OU_6"/>
      <sheetName val="[YES.XLS][YES.XLS]A__9701A_OU_7"/>
      <sheetName val="[YES.XLS][YES.XLS]A__9701A_O_10"/>
      <sheetName val="RESOURCE"/>
      <sheetName val="내역단가"/>
      <sheetName val="22단傠"/>
      <sheetName val="22단圬"/>
      <sheetName val="토목_x0010__x0000_"/>
      <sheetName val="도담구내 개소별 명세"/>
      <sheetName val="대목"/>
      <sheetName val="06_BATCH "/>
      <sheetName val="부대공사"/>
      <sheetName val="b_sul"/>
      <sheetName val="가야~사상"/>
      <sheetName val="김해~칠산"/>
      <sheetName val="김해(2)"/>
      <sheetName val="부전(2)"/>
      <sheetName val="장유~진례"/>
      <sheetName val="칠산"/>
      <sheetName val="칠산~장유"/>
      <sheetName val="하도급선정의뢰_x0000__x0000_螨_x0000__x0000__x0000_ۈ"/>
      <sheetName val="폐토수익화_"/>
      <sheetName val="공사비예산서"/>
      <sheetName val="09년실적"/>
      <sheetName val="중사"/>
      <sheetName val="국산화"/>
      <sheetName val="ARS"/>
      <sheetName val="도로구조공사비"/>
      <sheetName val="도로토공공사비"/>
      <sheetName val="여수토공사비"/>
      <sheetName val="(포장)BOQ-실적공사"/>
      <sheetName val="철거단가"/>
      <sheetName val="토공(우물통,기타)_2"/>
      <sheetName val="1_범위2"/>
      <sheetName val="2_편성2"/>
      <sheetName val="6_GAS2"/>
      <sheetName val="노임단가(08_01)2"/>
      <sheetName val="기성공문_(2)2"/>
      <sheetName val="철콘기성청구서_(2)2"/>
      <sheetName val="공종별집계표(건축)_(2)2"/>
      <sheetName val="형틀공사기성_(2)2"/>
      <sheetName val="조적기성청구서__2"/>
      <sheetName val="공종별집계표(조적)_2"/>
      <sheetName val="미장기성청구서_2"/>
      <sheetName val="공종별집계표(미장_방수)2"/>
      <sheetName val="하도급각서_(2)2"/>
      <sheetName val="하도급계좌입금의뢰서_2"/>
      <sheetName val="토공(우물통,기타)_1"/>
      <sheetName val="1_범위1"/>
      <sheetName val="2_편성1"/>
      <sheetName val="6_GAS1"/>
      <sheetName val="노임단가(08_01)1"/>
      <sheetName val="기성공문_(2)1"/>
      <sheetName val="철콘기성청구서_(2)1"/>
      <sheetName val="공종별집계표(건축)_(2)1"/>
      <sheetName val="형틀공사기성_(2)1"/>
      <sheetName val="조적기성청구서__1"/>
      <sheetName val="공종별집계표(조적)_1"/>
      <sheetName val="미장기성청구서_1"/>
      <sheetName val="공종별집계표(미장_방수)1"/>
      <sheetName val="하도급각서_(2)1"/>
      <sheetName val="하도급계좌입금의뢰서_1"/>
      <sheetName val="을지로철거"/>
      <sheetName val="7.수량산출"/>
      <sheetName val="6.수량계산"/>
      <sheetName val="KSTAR-M"/>
      <sheetName val="마산월령동골조물량변경"/>
      <sheetName val="자금청구서 19년 3월 -응암2구역 롯데.xlsm"/>
      <sheetName val="간접총괄"/>
      <sheetName val="°ø±¸¼Õ·_x0000_"/>
      <sheetName val="관세,통관수수료,운반비"/>
      <sheetName val="__"/>
      <sheetName val="깨기"/>
      <sheetName val="실행단가철(ems코드적용)"/>
      <sheetName val="몰탈콘크리트"/>
      <sheetName val="철근집계"/>
      <sheetName val="항목등록"/>
      <sheetName val="일대-1"/>
      <sheetName val="종료분석"/>
      <sheetName val="중질쓰레기"/>
      <sheetName val="간접비계산"/>
      <sheetName val="삭제금지단가"/>
      <sheetName val="노무단가"/>
      <sheetName val="cost9702"/>
      <sheetName val="KS-301_WBS"/>
      <sheetName val="되메우기공사"/>
      <sheetName val="배수로굴착공사"/>
      <sheetName val="법면보호공사"/>
      <sheetName val="보강공사"/>
      <sheetName val="본관기초굴착공사"/>
      <sheetName val="본관조경공사"/>
      <sheetName val="부지정지공사"/>
      <sheetName val="765SY부지정지공사"/>
      <sheetName val="옥외매설물공사"/>
      <sheetName val="중량물도로"/>
      <sheetName val="취수로굴착공사"/>
      <sheetName val="효암천이설"/>
      <sheetName val="010101"/>
      <sheetName val="수주추정"/>
      <sheetName val="대전21토목내역서"/>
      <sheetName val="TNC(1안)"/>
      <sheetName val="49-11g"/>
      <sheetName val="49-11H"/>
      <sheetName val="현장식당(1)"/>
      <sheetName val="차선도색수량집계"/>
      <sheetName val="제일"/>
      <sheetName val="제수_x0000__x0000__x0005_"/>
      <sheetName val="bm(CIcable)"/>
      <sheetName val="노무비(DB)"/>
      <sheetName val="수량산출(계측제어)"/>
      <sheetName val="6-4.1일위대가목록"/>
      <sheetName val="강재 수량"/>
      <sheetName val="견적의뢰"/>
      <sheetName val="LG제품"/>
      <sheetName val="우수관"/>
      <sheetName val="사진대지"/>
      <sheetName val="손료기준-공사부구두문의"/>
      <sheetName val="ꢭ፺"/>
      <sheetName val="Nက_x0000_"/>
      <sheetName val="³ëÀ_x001f_"/>
      <sheetName val="총괄BOQ"/>
      <sheetName val="°¡·Îµî耀퓬縺"/>
      <sheetName val="°¡·Îµî⸀朋ԯ_x0000_缀_x0000_"/>
      <sheetName val="관급자재대"/>
      <sheetName val="계정과목"/>
      <sheetName val="가로등산출서 (작업1)"/>
      <sheetName val="전신환매도洸"/>
      <sheetName val="전신환매도永"/>
      <sheetName val="전신환매도欸"/>
      <sheetName val="신호등일위대가"/>
      <sheetName val="손익차9월2"/>
      <sheetName val="PROJECT BRIEF(EX.NEW)"/>
      <sheetName val="검사조怀"/>
      <sheetName val="검사조ԯ"/>
      <sheetName val="검사조砀"/>
      <sheetName val="검사조⠀"/>
      <sheetName val="검사조瀀"/>
      <sheetName val="점검_x0000__x0000_"/>
      <sheetName val="자재co"/>
      <sheetName val="Set"/>
      <sheetName val="항목별내_xdee0_⪏"/>
      <sheetName val="항목별내賐⪏"/>
      <sheetName val="항목별내㳏"/>
      <sheetName val="항목별내"/>
      <sheetName val="항목별내賐涙"/>
      <sheetName val="원가계산서(총괄)"/>
      <sheetName val="원가계산서(전기)"/>
      <sheetName val="원가계산서(소방)"/>
      <sheetName val="공종별집계표(총괄)"/>
      <sheetName val="원가계산서(공종별)"/>
      <sheetName val="원가계산서(공종별-전기,소방 분리)"/>
      <sheetName val="공종별집계표(전기)"/>
      <sheetName val="공종별집계표(소방)"/>
      <sheetName val="노임근거"/>
      <sheetName val="목록별산출서"/>
      <sheetName val="TRAY집계 (2)"/>
      <sheetName val="TRAY-근거 (2)"/>
      <sheetName val="제트팬집계표"/>
      <sheetName val="제트팬"/>
      <sheetName val="터널조명집계"/>
      <sheetName val="전등근거"/>
      <sheetName val="케이블(함양)"/>
      <sheetName val="케이블(울산)"/>
      <sheetName val="등기구"/>
      <sheetName val="접속재"/>
      <sheetName val="사갱조명집계"/>
      <sheetName val="전등근거 (2)"/>
      <sheetName val="케이블(함양) (2)"/>
      <sheetName val="등기구 (2)"/>
      <sheetName val="접속재 (2)"/>
      <sheetName val="4-1.비상경보설비공사 집계표"/>
      <sheetName val="4-2.비상경보설비공사"/>
      <sheetName val="5-1.비상콘센트설비공사 집계표"/>
      <sheetName val="5-2.비상콘센트설비공사"/>
      <sheetName val="6-1.표지등설비공사 집계표"/>
      <sheetName val="6-2.표지등설비공사"/>
      <sheetName val="7-1.시선유도등설비공사 집계표"/>
      <sheetName val="7-2.시선유도등설비공사"/>
      <sheetName val="산출집계 (2)"/>
      <sheetName val="목록별산출서 (2)"/>
      <sheetName val="옥외공동구 산출집계"/>
      <sheetName val="옥외공동구 산출서"/>
      <sheetName val="관리동 산출집계"/>
      <sheetName val="관리동 산출서"/>
      <sheetName val="환기소2 산출집계"/>
      <sheetName val="환기소2 산출서"/>
      <sheetName val="한전공사비"/>
      <sheetName val="역T형교대栄⿇_x0000__x0000_庨_x0000_"/>
      <sheetName val="역T형교대栄⿇_x0000__x0000__x0000_"/>
      <sheetName val="수습"/>
      <sheetName val="토공2"/>
      <sheetName val="FWBS7000,8000"/>
      <sheetName val="ANALYSER"/>
      <sheetName val="ring wall thickness"/>
      <sheetName val="공정표(전체)"/>
      <sheetName val="상수도토공_x0005__x0000_"/>
      <sheetName val="설직재0_x0000_"/>
      <sheetName val="설직재餀㒘"/>
      <sheetName val="설정"/>
      <sheetName val="노임 단가"/>
      <sheetName val="암거 제원표-1단계"/>
      <sheetName val="접지뀀Ῥ"/>
      <sheetName val="4.고용보험"/>
      <sheetName val="##내역서##"/>
      <sheetName val="Piping Cost"/>
      <sheetName val="차단기 BACK DATA"/>
      <sheetName val="³²¾ç½ÃÀÛµ¿ÀÚ105³ë65_x0000__x0000_Ԁ_x0000__x0000_贈_x0002__x0000__x0000__x0000_"/>
      <sheetName val="ÀÔ낼㝗ﰀ㝗"/>
      <sheetName val="10.Ã¶丵⾥_x0005__x0000__x0000_"/>
      <sheetName val="ÀÔԀ_x0000_缀_x0000_"/>
      <sheetName val="Á¶µµ°è»ê¼­ (헾⼵_x0005__x0000_"/>
      <sheetName val="10.Ã¶堨û丵⽏_x0005__x0000_"/>
      <sheetName val="Á¶µµ°è»ê¼­ (堨û丵⽏_x0005_"/>
      <sheetName val="사전공헾"/>
      <sheetName val="사전공颙"/>
      <sheetName val="지선량"/>
      <sheetName val="10_Ã¶丵⾥"/>
      <sheetName val="10_Ã¶堨û丵⽏"/>
      <sheetName val="Á¶µµ°è»ê¼­_(堨û丵⽏"/>
      <sheetName val="Á¶µµ°è»ê¼­_(헾⼵"/>
      <sheetName val="A공구"/>
      <sheetName val="DATE2001"/>
      <sheetName val="좌측"/>
      <sheetName val="견적대비(1차) (2)"/>
      <sheetName val="내역서적용수량집계표(가로)"/>
      <sheetName val="1._x0018_변԰_x0000__x0000_"/>
      <sheetName val="1._x0018_변ԯ_x0000_缀"/>
      <sheetName val="DEVI."/>
      <sheetName val="U.C."/>
      <sheetName val="OVERALL CURVE"/>
      <sheetName val="인벤토리-창원"/>
      <sheetName val="빙100장비사양"/>
      <sheetName val="역T형교대舨&quot;헾⾪_x0005__x0000_"/>
      <sheetName val="스포회원매출"/>
      <sheetName val="Tiburon"/>
      <sheetName val="배출수지B"/>
      <sheetName val="22전선(P)"/>
      <sheetName val="22전선(L)"/>
      <sheetName val="22전선(R)"/>
      <sheetName val="SUS"/>
      <sheetName val="기계단가"/>
      <sheetName val="금액내역㠀"/>
      <sheetName val="횡 연장"/>
      <sheetName val="수지예산"/>
      <sheetName val="VA_x0000__x0000__x0005_"/>
      <sheetName val="(4-2)열관류값-2"/>
      <sheetName val="산정기준"/>
      <sheetName val="철근집계표"/>
      <sheetName val="방송(체육관)"/>
      <sheetName val="계약ITEM"/>
      <sheetName val="ࠀ᎚"/>
      <sheetName val="검사조堀"/>
      <sheetName val="단_x0000__x0000_蠀"/>
      <sheetName val="내역_ver1.0"/>
      <sheetName val="960318-1"/>
      <sheetName val="sum"/>
      <sheetName val="F5"/>
      <sheetName val="#1환기구수량산출근거"/>
      <sheetName val="가동비율"/>
      <sheetName val="3.상가"/>
      <sheetName val="mesc"/>
      <sheetName val="I.일위대가목차"/>
      <sheetName val="수리계산(2021)"/>
      <sheetName val="유화"/>
      <sheetName val="PumpSpec"/>
      <sheetName val="000"/>
      <sheetName val="100"/>
      <sheetName val="본사업"/>
      <sheetName val="4.  단락전류의 계산"/>
      <sheetName val="허용전류-IEC"/>
      <sheetName val="참조(X)"/>
      <sheetName val="부분별수량산출(조합기초)"/>
      <sheetName val="재료집계표"/>
      <sheetName val="일반수량산출"/>
      <sheetName val="산출-설비"/>
      <sheetName val="&lt;--"/>
      <sheetName val="여주,이천(명세)"/>
      <sheetName val="N¬_x0000_"/>
      <sheetName val="토공A1"/>
      <sheetName val="DS-최종"/>
      <sheetName val="기계경비시ᛅ⾆_x0005__x0000__x0000_"/>
      <sheetName val="통계연보"/>
      <sheetName val="신호등"/>
      <sheetName val="미관등"/>
      <sheetName val="Ⅱ1-0타"/>
      <sheetName val="22수"/>
      <sheetName val="22단"/>
      <sheetName val="49단"/>
      <sheetName val="기별"/>
      <sheetName val="평균물량산출서"/>
      <sheetName val="49단_x0005_"/>
      <sheetName val="49단煀"/>
      <sheetName val="측량요율"/>
      <sheetName val="도봉2지구"/>
      <sheetName val="Parts"/>
      <sheetName val="Menu A"/>
      <sheetName val="규격"/>
      <sheetName val="수종"/>
      <sheetName val="맨홀공 수량집계표"/>
      <sheetName val="산출1-수변전"/>
      <sheetName val="산출1-전력"/>
      <sheetName val="산출6-TRAY"/>
      <sheetName val="산출7-본선1)"/>
      <sheetName val="산출7-본선2"/>
      <sheetName val="산출7-본선3"/>
      <sheetName val="하수처리장"/>
      <sheetName val="견적서갑지연속"/>
      <sheetName val="견적2001(1분기)"/>
      <sheetName val="접지耀⧞"/>
      <sheetName val="접지_x0000__x0000_"/>
      <sheetName val="접지쀀ᗡ"/>
      <sheetName val="CA_x0000__x0000_"/>
      <sheetName val="위치�ᢘ"/>
      <sheetName val="1차증가원가怀፵"/>
      <sheetName val="IPS0823"/>
      <sheetName val="청주-교대(A1)"/>
      <sheetName val="pile bearing capa &amp; arrenge"/>
      <sheetName val="BEQ내역"/>
      <sheetName val="1000 DB구축 부표"/>
      <sheetName val="일위대가(4층원격)"/>
      <sheetName val="PILE"/>
      <sheetName val="싱가폴(실지급+인상율)"/>
      <sheetName val="일반동력(380V)"/>
      <sheetName val="단가조정표"/>
      <sheetName val="포장직선구간"/>
      <sheetName val="»êÃâ¸ñ·ÏÇ¥"/>
      <sheetName val="Æ÷ÀåÁ÷¼±±¸°£"/>
      <sheetName val="ÀÏÀ§´ë°¡¸ñÂ÷"/>
      <sheetName val="2F È¸ÀÇ½Ç°ßÀû(5_14 ÀÏ´ë)"/>
      <sheetName val="공통"/>
      <sheetName val="물량 산출 통신 맨홀"/>
      <sheetName val="건축설비"/>
      <sheetName val="검토"/>
      <sheetName val="골조물량"/>
      <sheetName val="견적집계표"/>
      <sheetName val="4.포장집계"/>
      <sheetName val="교량현황"/>
      <sheetName val="하도급선정의뢰桑〒_x0005__x0000__x0000__x0000_"/>
      <sheetName val="대비표(토공1안)"/>
      <sheetName val="C4-CheckList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검Ⴥ_x0000_"/>
      <sheetName val="검Å_x0000_"/>
      <sheetName val="검쏅_xda05_"/>
      <sheetName val="장비내역서"/>
      <sheetName val="주현(해보)"/>
      <sheetName val="철물"/>
      <sheetName val="시멘트 모래 수량산출"/>
      <sheetName val="99차량"/>
      <sheetName val="단위중기"/>
      <sheetName val="부안변전"/>
      <sheetName val="외"/>
      <sheetName val="N淓Ⲧ"/>
      <sheetName val="Nⷓ剆"/>
      <sheetName val="Nﺚ郕"/>
      <sheetName val="N렷"/>
      <sheetName val="conclusion"/>
      <sheetName val="comparables"/>
      <sheetName val="Deduction"/>
      <sheetName val="other"/>
      <sheetName val="A_x0005_þ"/>
      <sheetName val="잡철단가대비"/>
      <sheetName val="금액_x0000__x0000_鱀"/>
      <sheetName val="금액׃⼷_x0000_"/>
      <sheetName val="말고개터널조명전압강⣓"/>
      <sheetName val="통신원가"/>
      <sheetName val="전차선로 물֮_x0000_"/>
      <sheetName val="교량"/>
      <sheetName val="구분"/>
      <sheetName val="판매46"/>
      <sheetName val="남경"/>
      <sheetName val="1.산출근거"/>
      <sheetName val="특수조명기구 단가조사서"/>
      <sheetName val="평당자료"/>
      <sheetName val="예산조서-총ԯ"/>
      <sheetName val="예산조서-총頀"/>
      <sheetName val="1~6 설계조건...."/>
      <sheetName val="변경사항"/>
      <sheetName val="통합내역서(소방기계)"/>
      <sheetName val="통합내역서(소방전기)"/>
      <sheetName val="1.내역서(펌프실 소화전)"/>
      <sheetName val="1.산출서"/>
      <sheetName val="1.관련근거"/>
      <sheetName val="1.관련도면"/>
      <sheetName val="2.내역서(연결송수구,대피공간 보온)"/>
      <sheetName val="2.산출서"/>
      <sheetName val="2.관련근거"/>
      <sheetName val="2.관련도면"/>
      <sheetName val="3.내역서(주민공동시설SP)"/>
      <sheetName val="3.산출서"/>
      <sheetName val="3.관련근거"/>
      <sheetName val="3.관련도면"/>
      <sheetName val="4.내역서(동파방지열선추가)"/>
      <sheetName val="4.산출서"/>
      <sheetName val="4.관련근거"/>
      <sheetName val="4.관련도면"/>
      <sheetName val="5.내역서(세대금속후렉시블 정산, 비상방송 스위치 추가)"/>
      <sheetName val="5.산출서"/>
      <sheetName val="5.관련근거"/>
      <sheetName val="1.방송내역서(감압변추가)"/>
      <sheetName val="1.방송산출서"/>
      <sheetName val="1.방송관련근거"/>
      <sheetName val="1.방송관련도면"/>
      <sheetName val="2.방송내역서(소화전정산)"/>
      <sheetName val="2.방송산출서"/>
      <sheetName val="2.방송관련도면"/>
      <sheetName val="3.방송내역서(SP추가)"/>
      <sheetName val="3.방송산출서"/>
      <sheetName val="3.방송관련근거"/>
      <sheetName val="3.방송관련도면"/>
      <sheetName val="4.방송내역서(청정가스)"/>
      <sheetName val="4.방송산출서"/>
      <sheetName val="4.방송관련근거"/>
      <sheetName val="4.방송관련도면"/>
      <sheetName val="5.방송내역서(자탐추가)"/>
      <sheetName val="5.방송산출서"/>
      <sheetName val="5.방송관련근거"/>
      <sheetName val="5.방송관련도면"/>
      <sheetName val="6.방송내역서(방송추가)"/>
      <sheetName val="6.방송산출서"/>
      <sheetName val="6.방송관련도면"/>
      <sheetName val="1.판매내역서(방송AMP추가)"/>
      <sheetName val="1.판매산출서"/>
      <sheetName val="1.판매관련도면"/>
      <sheetName val="신규단가검토(기계)"/>
      <sheetName val="근거자료(1)"/>
      <sheetName val="신규단가검토(전기)"/>
      <sheetName val="근거자료(2)"/>
      <sheetName val="시공사진"/>
      <sheetName val="시공사진 (2)"/>
      <sheetName val="검토자료(1)"/>
      <sheetName val="X-내역서(기판매)"/>
      <sheetName val="X-내역서(기방송)"/>
      <sheetName val="X-내역서(전방송)"/>
      <sheetName val="X-내역서(전판매)"/>
      <sheetName val="X-산출서(전방송)"/>
      <sheetName val="X-산출서(기방송)"/>
      <sheetName val="X-산출서(전주거)"/>
      <sheetName val="X-산출서"/>
      <sheetName val="X-산출서(전판매)"/>
      <sheetName val="2F_회의실견적(5_14_일대)1"/>
      <sheetName val="unit_41"/>
      <sheetName val="6PILE__(돌출)1"/>
      <sheetName val="º¹±¸·®»êÁ¤_¹×_Àü¿ëÈ¸¼±_»ç¿ë1"/>
      <sheetName val="4¿ù_½ÇÀûÃßÁ¤(°ÇÃà+Åä¸ñ)1"/>
      <sheetName val="4¿ù_½ÇÀûÃßÁ¤(°ÇÃà)1"/>
      <sheetName val="원가계산서_(총괄)1"/>
      <sheetName val="원가계산서_(건축)1"/>
      <sheetName val="임시급식_(2)1"/>
      <sheetName val="Summary_Sheets1"/>
      <sheetName val="전차선로_물량표1"/>
      <sheetName val="1공구_건정토건_토공1"/>
      <sheetName val="1_¼öº¯Àü¼³ºñ1"/>
      <sheetName val="2_Àü·Â°£¼±1"/>
      <sheetName val="3_µ¿·Â1"/>
      <sheetName val="4_Àüµî1"/>
      <sheetName val="5_Àü¿­1"/>
      <sheetName val="6_¾àÀü1"/>
      <sheetName val="7_¼Ò¹æ1"/>
      <sheetName val="8_¹æ¼Û1"/>
      <sheetName val="9_Á¶¸íÁ¦¾î1"/>
      <sheetName val="10_Ã¶°Å°ø»ç1"/>
      <sheetName val="³²¾ç½ÃÀÛµ¿ÀÚ105³ë65±â1_3È­1_21"/>
      <sheetName val="Á¶µµ°è»ê¼­_(µµ¼­)1"/>
      <sheetName val="TRE_TABLE1"/>
      <sheetName val="2000,9월_일위1"/>
      <sheetName val="CABLE_SIZE-31"/>
      <sheetName val="2000_11¿ù¼³°è³»¿ª1"/>
      <sheetName val="Àü¼±_¹×_Àü¼±°ü1"/>
      <sheetName val="ÁØ°Ë_³»¿ª¼­1"/>
      <sheetName val="¼ö¸ñµ¥ÀÌÅ¸_1"/>
      <sheetName val="º¯¾Ð±â_¹×_¹ßÀü±â_¿ë·®1"/>
      <sheetName val="1_¼öÀÎÅÍ³Î1"/>
      <sheetName val="설산1_나1"/>
      <sheetName val="Customer_Databas1"/>
      <sheetName val="design_criteria1"/>
      <sheetName val="plan&amp;section_of_foundation1"/>
      <sheetName val="General_Data1"/>
      <sheetName val="일위대가표_(2)1"/>
      <sheetName val="YES_XLS1"/>
      <sheetName val="도급b_balju"/>
      <sheetName val="건물현황"/>
      <sheetName val="재무가정"/>
      <sheetName val="코드일람표"/>
      <sheetName val="단위ה_x0000_"/>
      <sheetName val="전도품의"/>
      <sheetName val="코드관리"/>
      <sheetName val="포장공사"/>
      <sheetName val="현장일반사항"/>
      <sheetName val="용집"/>
      <sheetName val="Nª_x0000_"/>
      <sheetName val="J__LOTUS_9605P_BB_C_BD_OUT_YE_4"/>
      <sheetName val="Macro상수"/>
      <sheetName val="증감대쀀"/>
      <sheetName val="4.말뚝설계"/>
      <sheetName val="동별집계표(인도대비)"/>
      <sheetName val="설치 일위대가(4԰"/>
      <sheetName val="2000.11¿ù¼³餀㢘ԯ"/>
      <sheetName val="화재 탐지_x0005_"/>
      <sheetName val="갑지(0"/>
      <sheetName val="갑지("/>
      <sheetName val="단ူ"/>
      <sheetName val="현장설က"/>
      <sheetName val="REACTION芨.헾⿁_x0005_"/>
      <sheetName val="설치 일위대가(46~԰"/>
      <sheetName val="노원열병합  건축렀䡟ԯ"/>
      <sheetName val="노원열병합  건축︀ᇕ԰"/>
      <sheetName val="노원열병합  건축ﻕᇕ԰"/>
      <sheetName val="노원열병합  건축렀こ렀䡟ԯ"/>
      <sheetName val="³²¾ç½ÃÀÛµ¿ÀÚ105³ë65±"/>
      <sheetName val="wtdb"/>
      <sheetName val="동결보온"/>
      <sheetName val="원영국도내역"/>
      <sheetName val="3F"/>
      <sheetName val="N렀"/>
      <sheetName val="감액ቀ԰"/>
      <sheetName val="버스운䃸〒_x0005_"/>
      <sheetName val="감액⚁︀"/>
      <sheetName val="5.모델링"/>
      <sheetName val="¿ø°¡"/>
      <sheetName val="LOADS"/>
      <sheetName val="계측기"/>
      <sheetName val="2004,상노임"/>
      <sheetName val="차단용량계산서"/>
      <sheetName val="3지구단위"/>
      <sheetName val="일위(수원)"/>
      <sheetName val="하도계약반영"/>
      <sheetName val="2000.11¿ù¼³倃㒹送ᑉ倓ᑒ"/>
      <sheetName val="신당동집계표"/>
      <sheetName val="기자재수량"/>
      <sheetName val="8.기타유틸리티설비"/>
      <sheetName val="반응조"/>
      <sheetName val="산근1,2"/>
      <sheetName val="5.À_xdcc0_脹¿"/>
      <sheetName val="5.À_x0000__x0000__x0005_"/>
      <sheetName val="5.À贠脹¿"/>
      <sheetName val="총괄원가  (2)"/>
      <sheetName val="변경공종별집계표"/>
      <sheetName val="변경공종별내역서"/>
      <sheetName val="변경공종별집계표(관급)"/>
      <sheetName val="변경공종별내역서(관급)"/>
      <sheetName val="단가입력창"/>
      <sheetName val="공종단가표 "/>
      <sheetName val="시행후면적"/>
      <sheetName val="가설공사비"/>
      <sheetName val="PI壆の"/>
      <sheetName val="단柖Ń"/>
      <sheetName val="7공구 원가계산서(지분)"/>
      <sheetName val="1234"/>
      <sheetName val="증감대비표"/>
      <sheetName val="공사비증(-)감대비표"/>
      <sheetName val="총괄표(총괄)"/>
      <sheetName val="총괄표(소방)"/>
      <sheetName val="일대목차"/>
      <sheetName val="일위노임"/>
      <sheetName val="0100"/>
      <sheetName val="0110"/>
      <sheetName val="0400"/>
      <sheetName val="0410"/>
      <sheetName val="0500"/>
      <sheetName val="0510"/>
      <sheetName val="0610"/>
      <sheetName val="0611"/>
      <sheetName val="0612"/>
      <sheetName val="0613"/>
      <sheetName val="0614"/>
      <sheetName val="0615"/>
      <sheetName val="0620"/>
      <sheetName val="0621"/>
      <sheetName val="0622"/>
      <sheetName val="0623"/>
      <sheetName val="0624"/>
      <sheetName val="0710"/>
      <sheetName val="0711"/>
      <sheetName val="0720"/>
      <sheetName val="0721"/>
      <sheetName val="0910"/>
      <sheetName val="0911"/>
      <sheetName val="0920"/>
      <sheetName val="0921"/>
      <sheetName val="1000"/>
      <sheetName val="1101"/>
      <sheetName val="1020"/>
      <sheetName val="1021"/>
      <sheetName val="1300"/>
      <sheetName val="1301"/>
      <sheetName val="1400"/>
      <sheetName val="1401"/>
      <sheetName val="설치 일위대가(4԰_x0000_缀_x0000__x0000"/>
      <sheetName val="노원열병합  건축︀ᇕ԰_x0000_缀_x0000__x00"/>
      <sheetName val="노원열병합  건축ﻕᇕ԰_x0000_缀_x0000__x00"/>
      <sheetName val="노원열병합  건축렀䡟ԯ_x0000_缀_x0000__x00"/>
      <sheetName val="2000,_x0000__x0000_ᓐ_x0000__x00"/>
      <sheetName val="2000,_x0000__x0000_︸_x0000__x00"/>
      <sheetName val="2000,_x0000__x0000_Ẩ_x0000__x00"/>
      <sheetName val="ÀÏÀ§´ë헾】_x0005__x0000__x0000__"/>
      <sheetName val="방음벽 기초_x0005__x0000__x0000__x0"/>
      <sheetName val="[YES.XLS][YES.XLS][YES.XLS]4/_x"/>
      <sheetName val="_x0000_ _x0000__x0006__x0000__x"/>
      <sheetName val="_x0000__x0008__x0000__x0008__x0"/>
      <sheetName val="2.노무비명세서Ç_x0000__x0000__x0000"/>
      <sheetName val="2.노무비명세서Ç_x0000_렀_x0013__x0000_"/>
      <sheetName val="하도급선정의뢰_x0005__x0000__x0000__x"/>
      <sheetName val="하도급선정의뢰煘_x0013_橂⿜_x0005__x0000_"/>
      <sheetName val="하도급선정의뢰聸_x0013_헾⾧_x0005__x0000_"/>
      <sheetName val="하도급선정의뢰_x0000__x0000_ರ_x0000__x"/>
      <sheetName val="하도급선정의뢰_x0000__x0000_ꢈ_x0000__x"/>
      <sheetName val="하도급선정의뢰_x0000__x0000_㇀_x0000__x"/>
      <sheetName val="하도급선정의뢰_x0000__x0000_䭠_x0000__x"/>
      <sheetName val="하도급선정의뢰_x0010__x0000_ﻠֲ׃⽣_x0000"/>
      <sheetName val="하도급선정의뢰_x0000__x0000_枨_x0000__x"/>
      <sheetName val="하도급선정의뢰_x0000__x0000_优_x0000__x"/>
      <sheetName val="³²¾ç½ÃÀÛµ¿ÀÚ105³ë65±_x0000__x00"/>
      <sheetName val="Summar헾】_x0005__x0000__x0000__"/>
      <sheetName val="공사별 가중치0_x0000_ꀀâ_x0000__x0000_"/>
      <sheetName val="[YES.XLS][YES.XLS][YES.XLS]/_x0"/>
      <sheetName val="하도급선정의뢰唈_x001f_ᛅ⾠_x0005__x0000_"/>
      <sheetName val="일_x0007__x0006__x0003__x0004__x"/>
      <sheetName val="하도급선정의뢰_x0000__x0000_螨_x0000__x"/>
      <sheetName val="³²¾ç½ÃÀÛµ¿ÀÚ105³ë65_x0000__x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/>
      <sheetData sheetId="263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/>
      <sheetData sheetId="2823"/>
      <sheetData sheetId="2824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/>
      <sheetData sheetId="2839"/>
      <sheetData sheetId="2840" refreshError="1"/>
      <sheetData sheetId="2841" refreshError="1"/>
      <sheetData sheetId="2842" refreshError="1"/>
      <sheetData sheetId="2843"/>
      <sheetData sheetId="2844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/>
      <sheetData sheetId="2851"/>
      <sheetData sheetId="2852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/>
      <sheetData sheetId="2909"/>
      <sheetData sheetId="2910"/>
      <sheetData sheetId="2911" refreshError="1"/>
      <sheetData sheetId="2912" refreshError="1"/>
      <sheetData sheetId="2913" refreshError="1"/>
      <sheetData sheetId="2914" refreshError="1"/>
      <sheetData sheetId="2915"/>
      <sheetData sheetId="2916" refreshError="1"/>
      <sheetData sheetId="2917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/>
      <sheetData sheetId="3457" refreshError="1"/>
      <sheetData sheetId="3458" refreshError="1"/>
      <sheetData sheetId="3459"/>
      <sheetData sheetId="3460"/>
      <sheetData sheetId="3461" refreshError="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/>
      <sheetData sheetId="3486"/>
      <sheetData sheetId="3487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/>
      <sheetData sheetId="3890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/>
      <sheetData sheetId="3957" refreshError="1"/>
      <sheetData sheetId="3958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/>
      <sheetData sheetId="4417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/>
      <sheetData sheetId="504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/>
      <sheetData sheetId="5419" refreshError="1"/>
      <sheetData sheetId="5420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/>
      <sheetData sheetId="5461"/>
      <sheetData sheetId="5462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실행철강하도"/>
      <sheetName val="부속동"/>
      <sheetName val="Graph (LGEN)"/>
      <sheetName val="out_prog"/>
      <sheetName val="선적schedule (2)"/>
      <sheetName val="일위대가(목록)"/>
      <sheetName val="재료비"/>
      <sheetName val="LEGEND"/>
      <sheetName val="MDL"/>
      <sheetName val="1.우편집중내역서"/>
      <sheetName val="정부노임단가"/>
      <sheetName val="laroux"/>
      <sheetName val="1.관로"/>
      <sheetName val="2.케이블"/>
      <sheetName val="3.맨홀"/>
      <sheetName val="4.활주로등"/>
      <sheetName val="5.활주로종,말단등"/>
      <sheetName val="6.진입등신설"/>
      <sheetName val="7.섬광등신설"/>
      <sheetName val="8.말단식별등신설"/>
      <sheetName val="9.유도로등 및 유도안내등신설"/>
      <sheetName val="10.거리등"/>
      <sheetName val="11.PAPI이설"/>
      <sheetName val="12.풍향등 신설"/>
      <sheetName val="13.신호등"/>
      <sheetName val="14.PAD TR신설"/>
      <sheetName val="15.배수펌프장 및 수문전력"/>
      <sheetName val="16.기존 항공등화 철거공사"/>
      <sheetName val="17.MA-1A"/>
      <sheetName val="일위대가(최종)"/>
      <sheetName val="산출근거(최종)"/>
      <sheetName val="안내등"/>
      <sheetName val="일위대가"/>
      <sheetName val="5.활주로 종,말단등"/>
      <sheetName val="6.진입등 신설"/>
      <sheetName val="9.유도등 및 안내등"/>
      <sheetName val="10. 거리등 및 표시등 신설"/>
      <sheetName val="14.PAD TR 신설"/>
      <sheetName val="단가 및 재료비"/>
      <sheetName val="중기사용료"/>
      <sheetName val="중기사용료산출근거"/>
      <sheetName val="단가산출1"/>
      <sheetName val="단가산출2"/>
      <sheetName val="일위대가data"/>
      <sheetName val="이름표"/>
      <sheetName val="일위대가 (2)"/>
      <sheetName val="총괄"/>
      <sheetName val="구간별"/>
      <sheetName val="교량공"/>
      <sheetName val="내역표지"/>
      <sheetName val="도급표지 "/>
      <sheetName val="부대표지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예정(3)"/>
      <sheetName val="동원(3)"/>
      <sheetName val="과천MAIN"/>
      <sheetName val="DATE"/>
      <sheetName val="BID"/>
      <sheetName val="Graph_(LGEN)"/>
      <sheetName val="선적schedule_(2)"/>
      <sheetName val="1_우편집중내역서"/>
      <sheetName val="중계소방"/>
      <sheetName val="SCH"/>
      <sheetName val="노임"/>
      <sheetName val="Module1"/>
      <sheetName val="Sheet1"/>
      <sheetName val="투찰"/>
      <sheetName val="수안보-MBR1"/>
      <sheetName val="단가비교표"/>
      <sheetName val="지급자재"/>
      <sheetName val="터널조도"/>
      <sheetName val="ABUT수량-A1"/>
      <sheetName val="JUCK"/>
      <sheetName val="자압1"/>
      <sheetName val="조명시설"/>
      <sheetName val="노임단가"/>
      <sheetName val="자재단가"/>
      <sheetName val="2공구산출내역"/>
      <sheetName val="내역서"/>
      <sheetName val="토공(우물통,기타) "/>
      <sheetName val="BQ(실행)"/>
      <sheetName val="설비"/>
      <sheetName val="토목"/>
      <sheetName val="MOTOR"/>
      <sheetName val="을"/>
      <sheetName val="회로내역(승인)"/>
      <sheetName val="COPING"/>
      <sheetName val="자압"/>
      <sheetName val="수량산출"/>
      <sheetName val="집계표"/>
      <sheetName val="공사비집계"/>
      <sheetName val="전산소모"/>
      <sheetName val="변경서식"/>
      <sheetName val="백호우계수"/>
      <sheetName val="NOMUBI"/>
      <sheetName val="간접비"/>
      <sheetName val="우각부보강"/>
      <sheetName val="장비내역서"/>
      <sheetName val="노무비"/>
      <sheetName val="Total"/>
      <sheetName val="설직재-1"/>
      <sheetName val="제-노임"/>
      <sheetName val="제직재"/>
      <sheetName val="터파기및재료"/>
      <sheetName val="단가표"/>
      <sheetName val="6PILE  (돌출)"/>
      <sheetName val="일보"/>
      <sheetName val="내역"/>
      <sheetName val="단면치수"/>
      <sheetName val="가격조사서"/>
      <sheetName val="현금"/>
      <sheetName val="와동25-3(변경)"/>
      <sheetName val="단가"/>
      <sheetName val="__MAIN"/>
      <sheetName val="1.취수장"/>
      <sheetName val="소상 &quot;1&quot;"/>
      <sheetName val="조도계산서 (도서)"/>
      <sheetName val="Y-WORK"/>
      <sheetName val="노임이"/>
      <sheetName val="VXXXXX"/>
      <sheetName val="1SPAN"/>
      <sheetName val="70%"/>
      <sheetName val="L_RPTA05_목록"/>
      <sheetName val="용역동"/>
      <sheetName val="ROOF(ALKALI)"/>
      <sheetName val="PIPE"/>
      <sheetName val="FLANGE"/>
      <sheetName val="VALVE"/>
      <sheetName val="CONCRETE"/>
      <sheetName val="잡철물"/>
      <sheetName val="물량산출근거"/>
      <sheetName val="CAPVC"/>
      <sheetName val="차액보증"/>
      <sheetName val="일위대가(계측기설치)"/>
      <sheetName val="종배수관"/>
      <sheetName val="실행비교"/>
      <sheetName val="AS포장복구 "/>
      <sheetName val="가설건물"/>
      <sheetName val="#REF"/>
      <sheetName val="도급"/>
      <sheetName val="할증 "/>
      <sheetName val="인건-측정"/>
      <sheetName val="단가조사"/>
      <sheetName val="자재단가비교표"/>
      <sheetName val="물가정보"/>
      <sheetName val="정부노임"/>
      <sheetName val="WORK"/>
      <sheetName val="산근"/>
      <sheetName val="Cost bd-&quot;A&quot;"/>
      <sheetName val="Macro1"/>
      <sheetName val="Macro2"/>
      <sheetName val="9509"/>
      <sheetName val="J01"/>
      <sheetName val="眞비상(진주)"/>
      <sheetName val="구조물철거타공정이월"/>
      <sheetName val="5.모델링"/>
      <sheetName val="안정검토"/>
      <sheetName val="저"/>
      <sheetName val="연결관암거"/>
      <sheetName val="금액내역서"/>
      <sheetName val="교각1"/>
      <sheetName val="3련 BOX"/>
      <sheetName val="설계조건"/>
      <sheetName val="일위(시설)"/>
      <sheetName val="쌍송교"/>
      <sheetName val="CALCULATION"/>
      <sheetName val="TYPE-A"/>
      <sheetName val="공통부대비"/>
      <sheetName val="매입세"/>
      <sheetName val="공사개요 (2)"/>
      <sheetName val="배수공 주요자재 집계표"/>
      <sheetName val="외천교"/>
      <sheetName val="현장관리비 산출내역"/>
      <sheetName val="Excel"/>
      <sheetName val="표지"/>
      <sheetName val="내역(영일)"/>
      <sheetName val="총괄내역서"/>
      <sheetName val="DATA"/>
      <sheetName val="전체내역 (2)"/>
      <sheetName val="단가일람"/>
      <sheetName val="조경일람"/>
      <sheetName val="2000년1차"/>
      <sheetName val="부하계산서"/>
      <sheetName val="별총"/>
      <sheetName val="MaxMin_Change"/>
      <sheetName val="INPUT"/>
      <sheetName val="설계"/>
      <sheetName val="견적대비표"/>
      <sheetName val="Sheet1 (2)"/>
      <sheetName val="코드표"/>
      <sheetName val="ISO_input"/>
      <sheetName val="수량총괄"/>
      <sheetName val="대구실행"/>
      <sheetName val="아파트"/>
      <sheetName val="주차장"/>
      <sheetName val="골조내역"/>
      <sheetName val="공사개요"/>
      <sheetName val="개요"/>
      <sheetName val="부대입찰갑지"/>
      <sheetName val="하도급사항(목포)"/>
      <sheetName val="확약서"/>
      <sheetName val="부대내역갑지"/>
      <sheetName val="원도급계약예정금액"/>
      <sheetName val="원하예정금액대비표(목포)"/>
      <sheetName val="하도급계약예정금액"/>
      <sheetName val="원하도급세부내역"/>
      <sheetName val="도급내역"/>
      <sheetName val="간접비계산"/>
      <sheetName val="경산"/>
      <sheetName val="입력정보"/>
      <sheetName val="정산내역"/>
      <sheetName val="전체"/>
      <sheetName val="부대입찰"/>
      <sheetName val="원가계산서"/>
      <sheetName val="일위"/>
      <sheetName val="일반공사"/>
      <sheetName val="예가표"/>
      <sheetName val="흥양2교토공집계표"/>
      <sheetName val="Project Brief"/>
      <sheetName val="001"/>
      <sheetName val=""/>
      <sheetName val="예산M12A"/>
      <sheetName val="SG"/>
      <sheetName val="sw1"/>
      <sheetName val="97 사업추정(WEKI)"/>
      <sheetName val="갑지"/>
      <sheetName val="1을"/>
      <sheetName val="기계경비일람"/>
      <sheetName val="목록표"/>
      <sheetName val="자재목록"/>
      <sheetName val="중기목록"/>
      <sheetName val="Macro(차단기)"/>
      <sheetName val="단위중량"/>
      <sheetName val="ITEM"/>
      <sheetName val="COVER"/>
      <sheetName val="프랜트면허"/>
      <sheetName val="A-4"/>
      <sheetName val="가시설(TYPE-A)"/>
      <sheetName val="1호맨홀가감수량"/>
      <sheetName val="1-1평균터파기고(1)"/>
      <sheetName val="1호맨홀수량산출"/>
      <sheetName val="2F 회의실견적(5_14 일대)"/>
      <sheetName val="수량산출서"/>
      <sheetName val="11+040(통로)"/>
      <sheetName val="공량산출서"/>
      <sheetName val="세목고시조서 (2)"/>
      <sheetName val="재산취득"/>
      <sheetName val="충주"/>
      <sheetName val="기기리스트"/>
      <sheetName val="가도공"/>
      <sheetName val="PROJECT BRIEF(EX.NEW)"/>
      <sheetName val="토공집계표"/>
      <sheetName val="수목표준대가"/>
      <sheetName val="시설물일위"/>
      <sheetName val="데이타"/>
      <sheetName val=" 견적서"/>
      <sheetName val="공통(20-91)"/>
      <sheetName val="전차선로 물량표"/>
      <sheetName val="한강운반비"/>
      <sheetName val="자재"/>
      <sheetName val="계수시트"/>
      <sheetName val="2.단면가정"/>
      <sheetName val="단가_및_재료비"/>
      <sheetName val="일위대가_(2)"/>
      <sheetName val="1_관로"/>
      <sheetName val="2_케이블"/>
      <sheetName val="3_맨홀"/>
      <sheetName val="4_활주로등"/>
      <sheetName val="5_활주로종,말단등"/>
      <sheetName val="6_진입등신설"/>
      <sheetName val="7_섬광등신설"/>
      <sheetName val="8_말단식별등신설"/>
      <sheetName val="9_유도로등_및_유도안내등신설"/>
      <sheetName val="10_거리등"/>
      <sheetName val="11_PAPI이설"/>
      <sheetName val="12_풍향등_신설"/>
      <sheetName val="13_신호등"/>
      <sheetName val="14_PAD_TR신설"/>
      <sheetName val="15_배수펌프장_및_수문전력"/>
      <sheetName val="16_기존_항공등화_철거공사"/>
      <sheetName val="17_MA-1A"/>
      <sheetName val="5_활주로_종,말단등"/>
      <sheetName val="6_진입등_신설"/>
      <sheetName val="9_유도등_및_안내등"/>
      <sheetName val="10__거리등_및_표시등_신설"/>
      <sheetName val="14_PAD_TR_신설"/>
      <sheetName val="도급표지_"/>
      <sheetName val="토__목"/>
      <sheetName val="조__경"/>
      <sheetName val="전_기"/>
      <sheetName val="건__축"/>
      <sheetName val="6PILE__(돌출)"/>
      <sheetName val="1.설계조건"/>
      <sheetName val="구천"/>
      <sheetName val="실행내역"/>
      <sheetName val="실행"/>
      <sheetName val="토공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철콘견적서 (광우)"/>
      <sheetName val="Total"/>
      <sheetName val="#REF"/>
      <sheetName val="터널조도"/>
      <sheetName val="자압"/>
      <sheetName val="Macro1"/>
      <sheetName val="Macro2"/>
      <sheetName val="c_balju"/>
      <sheetName val="공사개요"/>
      <sheetName val="참고"/>
      <sheetName val="70%"/>
      <sheetName val="개요"/>
      <sheetName val="내역서"/>
      <sheetName val="광우"/>
      <sheetName val="NOMUBI"/>
      <sheetName val="sw1"/>
      <sheetName val="일위대가"/>
      <sheetName val="노임"/>
      <sheetName val="Requirement(Work Crew)"/>
      <sheetName val="DATE"/>
      <sheetName val="매입세율"/>
      <sheetName val="CLAUSE"/>
      <sheetName val="Graph (LGEN)"/>
      <sheetName val="out_prog"/>
      <sheetName val="선적schedule (2)"/>
      <sheetName val="7.신상품현황"/>
      <sheetName val="노무비"/>
      <sheetName val="철콘견적서_(광우)"/>
      <sheetName val="Requirement(Work_Crew)"/>
      <sheetName val="Graph_(LGEN)"/>
      <sheetName val="선적schedule_(2)"/>
      <sheetName val="7_신상품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노임"/>
      <sheetName val="실행철강하도"/>
      <sheetName val="노임단가"/>
      <sheetName val="단가조사서"/>
      <sheetName val="자압"/>
      <sheetName val="ILWIPOH"/>
      <sheetName val="전선 및 전선관"/>
      <sheetName val="중기사용료산출근거"/>
      <sheetName val="단가산출2"/>
      <sheetName val="단가 및 재료비"/>
      <sheetName val="일위대가"/>
      <sheetName val="터널조도"/>
      <sheetName val="DATA"/>
      <sheetName val="BID"/>
      <sheetName val="본사업"/>
      <sheetName val="CABLE SIZE-3"/>
      <sheetName val="Graph (LGEN)"/>
      <sheetName val="out_prog"/>
      <sheetName val="선적schedule (2)"/>
      <sheetName val="협조전"/>
      <sheetName val="공문"/>
      <sheetName val="갑지"/>
      <sheetName val="조도계산서 (도서)"/>
      <sheetName val="부하계산서"/>
      <sheetName val="#REF"/>
      <sheetName val="COPING"/>
      <sheetName val="MOTOR"/>
      <sheetName val="입찰"/>
      <sheetName val="현경"/>
      <sheetName val="L형 옹벽"/>
      <sheetName val="회로내역(승인)"/>
      <sheetName val="Macro(차단기)"/>
      <sheetName val="5.단가대비표"/>
      <sheetName val="Total"/>
      <sheetName val="데이타"/>
      <sheetName val="재료비"/>
      <sheetName val="부하(성남)"/>
      <sheetName val="내역서"/>
      <sheetName val="1을"/>
      <sheetName val="LOPCALC"/>
      <sheetName val="IW-LIST"/>
      <sheetName val="금액내역서"/>
      <sheetName val="JUCK"/>
      <sheetName val="기자재비"/>
      <sheetName val="외천교"/>
      <sheetName val="약품공급2"/>
      <sheetName val="약품설비"/>
      <sheetName val="정부노임단가"/>
      <sheetName val="집계표"/>
      <sheetName val="우각부보강"/>
      <sheetName val="대로근거"/>
      <sheetName val="환율적용표"/>
      <sheetName val="DATE"/>
      <sheetName val="빌딩 안내"/>
      <sheetName val="조명율표"/>
      <sheetName val="수안보-MBR1"/>
      <sheetName val="Cost bd-&quot;A&quot;"/>
      <sheetName val="가로등제어반 설치공사(수량)"/>
      <sheetName val="Y-WORK"/>
      <sheetName val="ENE-CAL 1"/>
      <sheetName val="ELECTRIC"/>
      <sheetName val="자압1"/>
      <sheetName val="자재단가"/>
      <sheetName val="날개벽수량표"/>
      <sheetName val="Sheet2"/>
      <sheetName val="을"/>
      <sheetName val="단면치수"/>
      <sheetName val="CONCRETE"/>
      <sheetName val="001"/>
      <sheetName val="단가비교표"/>
      <sheetName val="물량표"/>
      <sheetName val="동해title"/>
      <sheetName val="옹벽"/>
      <sheetName val="역T형"/>
      <sheetName val="토사(PE)"/>
      <sheetName val="와동25-3(변경)"/>
      <sheetName val="품셈TABLE"/>
      <sheetName val="9811"/>
      <sheetName val="여과지동"/>
      <sheetName val="기초자료"/>
      <sheetName val="감가상각"/>
      <sheetName val="Sheet7"/>
      <sheetName val="SELTDATA"/>
      <sheetName val="BQ(실행)"/>
      <sheetName val="TNHCHINH"/>
      <sheetName val="발신정보"/>
      <sheetName val="현금"/>
      <sheetName val="입찰안"/>
      <sheetName val="RING WALL"/>
      <sheetName val="목차"/>
      <sheetName val="EJ"/>
      <sheetName val="PROJECT BRIEF(EX.NEW)"/>
      <sheetName val="구의33고"/>
      <sheetName val="품셈"/>
      <sheetName val="매입세"/>
      <sheetName val="공사개요"/>
      <sheetName val="품목납기"/>
      <sheetName val="식재인부"/>
      <sheetName val="토목"/>
      <sheetName val="CAPVC"/>
      <sheetName val="Macro1"/>
      <sheetName val="List(rev.B)"/>
      <sheetName val="견"/>
      <sheetName val="DATA입력"/>
      <sheetName val="가설건물"/>
      <sheetName val="bi"/>
      <sheetName val="다이꾸"/>
      <sheetName val="차액보증"/>
      <sheetName val="일위대가표"/>
      <sheetName val="ABUT수량-A1"/>
      <sheetName val="단가조사"/>
      <sheetName val="부하LOAD"/>
      <sheetName val="중기일위대가"/>
      <sheetName val="N賃率-職"/>
      <sheetName val="매입"/>
      <sheetName val="내역"/>
      <sheetName val="투찰"/>
      <sheetName val="노무비 근거"/>
      <sheetName val="산출근거"/>
      <sheetName val="조명일위"/>
      <sheetName val="계산근거"/>
      <sheetName val="1.취수장"/>
      <sheetName val="단면가정"/>
      <sheetName val="1-1"/>
      <sheetName val="경상비"/>
      <sheetName val="개요"/>
      <sheetName val="견적사양비교표"/>
      <sheetName val="PIPE내역(FCN)"/>
      <sheetName val="최종견"/>
      <sheetName val="대림경상68억"/>
      <sheetName val="화재 탐지 설비"/>
      <sheetName val="가로등기초"/>
      <sheetName val="PAD TR보호대기초"/>
      <sheetName val="진주방향"/>
      <sheetName val="C"/>
      <sheetName val="통합"/>
      <sheetName val="제잡비(주공종)"/>
      <sheetName val="6PILE  (돌출)"/>
      <sheetName val="지장물C"/>
      <sheetName val="5.모델링"/>
      <sheetName val="토공A"/>
      <sheetName val="9GNG운반"/>
      <sheetName val="기둥(원형)"/>
      <sheetName val="전계가"/>
      <sheetName val="2F 회의실견적(5_14 일대)"/>
      <sheetName val="수목표준대가"/>
      <sheetName val="내역서(기계)"/>
      <sheetName val="0.1 KEY ASSUMPTIONS"/>
      <sheetName val="0. CONTROL"/>
      <sheetName val="수목데이타 "/>
      <sheetName val="부표총괄"/>
      <sheetName val="기초일위"/>
      <sheetName val="시설일위"/>
      <sheetName val="Site Expenses"/>
      <sheetName val="98지급계획"/>
      <sheetName val="G.노무비,현장경상"/>
      <sheetName val="2000전체분"/>
      <sheetName val="제수"/>
      <sheetName val="공기"/>
      <sheetName val="10.1"/>
      <sheetName val="A6.샤시등"/>
      <sheetName val="cost"/>
      <sheetName val="환경평가"/>
      <sheetName val="인구"/>
      <sheetName val="설계기준"/>
      <sheetName val="내역1"/>
      <sheetName val="설 계"/>
      <sheetName val="전공장2"/>
      <sheetName val="indirect"/>
      <sheetName val="공구"/>
      <sheetName val="2000년1차"/>
      <sheetName val="적용단위길이"/>
      <sheetName val="내역분기"/>
      <sheetName val="기계경비(시간당)"/>
      <sheetName val="램머"/>
      <sheetName val="기본일위"/>
      <sheetName val="설계조건"/>
      <sheetName val="Sheet17"/>
      <sheetName val="1.설계조건"/>
      <sheetName val="자재수량"/>
      <sheetName val="배수통관(좌)"/>
      <sheetName val="전기일위대가"/>
      <sheetName val="마산방향철근집계"/>
      <sheetName val="마산방향"/>
      <sheetName val="TABLE"/>
      <sheetName val="철골산출서"/>
      <sheetName val="교각1"/>
      <sheetName val="설계"/>
      <sheetName val="원가계산서"/>
      <sheetName val="소상 &quot;1&quot;"/>
      <sheetName val="우배수"/>
      <sheetName val="계산식"/>
      <sheetName val="6호기"/>
      <sheetName val="LG제품"/>
      <sheetName val="공조기"/>
      <sheetName val="사급자재"/>
      <sheetName val="PACKING OPEN"/>
      <sheetName val="견적정보"/>
      <sheetName val="견적서"/>
      <sheetName val="2"/>
      <sheetName val="AHU집계"/>
      <sheetName val="MACRO(AT)"/>
      <sheetName val="GRACE"/>
      <sheetName val="공통(20-91)"/>
      <sheetName val="중기목료표"/>
      <sheetName val="KMT물량"/>
      <sheetName val="L형옹벽측구"/>
      <sheetName val="간접비"/>
      <sheetName val="해평견적"/>
      <sheetName val="소비자가"/>
      <sheetName val="첨부"/>
      <sheetName val="견적 (2)"/>
      <sheetName val="원형1호맨홀토공수량"/>
      <sheetName val="중기임차료"/>
      <sheetName val="중기경유공제"/>
      <sheetName val="중기잡유공제"/>
      <sheetName val="중기경유지급대장"/>
      <sheetName val="중기잡유지급대장"/>
      <sheetName val="실행내역서 "/>
      <sheetName val="공사비총괄표"/>
      <sheetName val="예정(3)"/>
      <sheetName val="조건표"/>
      <sheetName val="건축집계"/>
      <sheetName val="매입세율"/>
      <sheetName val="입력DATA"/>
      <sheetName val="바닥판"/>
      <sheetName val="제수변수량"/>
      <sheetName val="POOM_MOTO"/>
      <sheetName val="조명시설"/>
      <sheetName val="조정금액결과표 (차수별)"/>
      <sheetName val="물가시세"/>
      <sheetName val="L_RPTA05_목록"/>
      <sheetName val="기계경비일람"/>
      <sheetName val="단가"/>
      <sheetName val="터파기및재료"/>
      <sheetName val="집수정(600-700)"/>
      <sheetName val="96작생능"/>
      <sheetName val="전차선로 물량표"/>
      <sheetName val="총괄내역서"/>
      <sheetName val="WORK"/>
      <sheetName val="경비2내역"/>
      <sheetName val="일위대가목차"/>
      <sheetName val="변경내역1"/>
      <sheetName val="2공구산출내역"/>
      <sheetName val="실행대비"/>
      <sheetName val="CON'C"/>
      <sheetName val="기기리스트"/>
      <sheetName val="총괄"/>
      <sheetName val="P-산#1-1(WOWA1)"/>
      <sheetName val="규준틀"/>
      <sheetName val="Sheet3"/>
      <sheetName val="역T형옹벽(3.0)"/>
      <sheetName val="흙쌓기도수로설치현황"/>
      <sheetName val="단면"/>
      <sheetName val="일반공사"/>
      <sheetName val="2월가격"/>
      <sheetName val="수량산출"/>
      <sheetName val="2.단면가정"/>
      <sheetName val="가로등내역서"/>
      <sheetName val="노무비"/>
      <sheetName val="Sheet5"/>
      <sheetName val="금긋기 및 절단"/>
      <sheetName val="인건비"/>
      <sheetName val="명세서"/>
      <sheetName val="ITEM"/>
      <sheetName val="일위대가목록"/>
      <sheetName val="단가표 "/>
      <sheetName val="공량산출서"/>
      <sheetName val="간접재료비산출표-27-30"/>
      <sheetName val="Cover sheet"/>
      <sheetName val="IGACP"/>
      <sheetName val="INVACCR"/>
      <sheetName val="공사비 내역 (가)"/>
      <sheetName val="cap01"/>
      <sheetName val="예산M12A"/>
      <sheetName val="OtherKPI"/>
      <sheetName val="118.세금과공과"/>
      <sheetName val="Basis P&amp;L"/>
      <sheetName val="sheeet2"/>
      <sheetName val="산근"/>
      <sheetName val="I一般比"/>
      <sheetName val="BSD (2)"/>
      <sheetName val="토공집계"/>
      <sheetName val="VXXXXXXX"/>
      <sheetName val="안정계산"/>
      <sheetName val="단면검토"/>
      <sheetName val="역T형교대(말뚝기초)"/>
      <sheetName val="말뚝지지력산정"/>
      <sheetName val="FOOTING단면력"/>
      <sheetName val="기초단가"/>
      <sheetName val="건축내역서"/>
      <sheetName val="설비내역서"/>
      <sheetName val="전기내역서"/>
      <sheetName val="준검 내역서"/>
      <sheetName val="평가데이터"/>
      <sheetName val="공종목록표"/>
      <sheetName val="공정증감대ㅈ표"/>
      <sheetName val="401"/>
      <sheetName val="과천MAIN"/>
      <sheetName val="Data&amp;Result"/>
      <sheetName val="Data &amp; Result"/>
      <sheetName val="비율-종합"/>
      <sheetName val="A"/>
      <sheetName val="입력정보"/>
      <sheetName val="인건-측정"/>
      <sheetName val="제품정보"/>
      <sheetName val="대가목록"/>
      <sheetName val="장비내역서"/>
      <sheetName val="2.공종별예산조서(공사용)"/>
      <sheetName val="MFAB"/>
      <sheetName val="MFRT"/>
      <sheetName val="MPKG"/>
      <sheetName val="MPRD"/>
      <sheetName val="덕전리"/>
      <sheetName val="현장관리비데이타"/>
      <sheetName val="제잡비.xls"/>
      <sheetName val="종배수관(신)"/>
      <sheetName val="총계"/>
      <sheetName val="설계예산서"/>
      <sheetName val="예산내역서"/>
      <sheetName val="MM"/>
      <sheetName val="생산량"/>
      <sheetName val="삭제금지단가"/>
      <sheetName val="정공공사"/>
      <sheetName val="UR2-Calculation"/>
      <sheetName val="표지"/>
      <sheetName val="Sheet6"/>
      <sheetName val="집계"/>
      <sheetName val="계화배수(3대)"/>
      <sheetName val="직노"/>
      <sheetName val="102역사"/>
      <sheetName val="1.가설전기"/>
      <sheetName val="2월가격표-ESG-1월"/>
      <sheetName val="SPEC"/>
      <sheetName val="공사원가계산서"/>
      <sheetName val="도급예산내역서총괄표"/>
      <sheetName val="단가산출"/>
      <sheetName val="장비분석"/>
      <sheetName val="기술자료 (광화문)"/>
      <sheetName val="투입인력"/>
      <sheetName val="copy"/>
      <sheetName val="도로정위치부표"/>
      <sheetName val="도로조사부표"/>
      <sheetName val=""/>
      <sheetName val="합의경상"/>
      <sheetName val="토공,철콘"/>
      <sheetName val="CTEMCOST"/>
      <sheetName val="ROOF(ALKALI)"/>
      <sheetName val="L형옹벽(key)"/>
      <sheetName val="일위대가(1)"/>
      <sheetName val="물량산출근거"/>
      <sheetName val="FACTOR"/>
      <sheetName val="kimre scrubber"/>
      <sheetName val="GRDBS"/>
      <sheetName val="여주,이천(명세)"/>
      <sheetName val="11월가격"/>
      <sheetName val="실행품의서"/>
      <sheetName val="플랜트 설치"/>
      <sheetName val="MEXICO-C"/>
      <sheetName val="시설물일위"/>
      <sheetName val="전선_및_전선관"/>
      <sheetName val="Cost_bd-&quot;A&quot;"/>
      <sheetName val="가로등제어반_설치공사(수량)"/>
      <sheetName val="ENE-CAL_1"/>
      <sheetName val="조도계산서_(도서)"/>
      <sheetName val="장비집계"/>
      <sheetName val="PAC"/>
      <sheetName val="NOMUBI"/>
      <sheetName val="sw1"/>
      <sheetName val="20관리비율"/>
      <sheetName val="1.2 시민의탑 투광조명-집계"/>
      <sheetName val="4.4 해변조명 3 산출"/>
      <sheetName val="3.2 갓바위1 산출서"/>
      <sheetName val="3.4 갓바위2 산출서"/>
      <sheetName val="05년"/>
      <sheetName val="c_balju"/>
      <sheetName val="Grade Options"/>
      <sheetName val="ilch"/>
      <sheetName val="1단계_견적내역서"/>
      <sheetName val="list"/>
      <sheetName val="A-4"/>
      <sheetName val="기초코드"/>
      <sheetName val="3.하중산정4.지지력"/>
      <sheetName val="배수공 주요자재 집계표"/>
      <sheetName val="대비"/>
      <sheetName val="piping"/>
      <sheetName val="품의서"/>
      <sheetName val="1.설계기준"/>
      <sheetName val="지급자재"/>
      <sheetName val="가압장(토목)"/>
      <sheetName val="5회토적"/>
      <sheetName val="TYPE-1"/>
      <sheetName val="SORCE1"/>
      <sheetName val="공사비집계"/>
      <sheetName val="산출내역서집계표"/>
      <sheetName val="본공사"/>
      <sheetName val="기둥"/>
      <sheetName val="저판(버림100)"/>
      <sheetName val="당초수량"/>
      <sheetName val="기계-설변"/>
      <sheetName val="날개벽"/>
      <sheetName val="특별교실"/>
      <sheetName val="______PROJECT____project______2"/>
      <sheetName val="표지(1)"/>
      <sheetName val="STEAM"/>
      <sheetName val="AIR"/>
      <sheetName val="철거산출근거"/>
      <sheetName val="도급"/>
      <sheetName val="IMSI"/>
      <sheetName val="배관공사(TIE-IN)"/>
      <sheetName val="FTR MACRo"/>
      <sheetName val="종배수관"/>
      <sheetName val="데이터입력"/>
      <sheetName val="단가_및_재료비"/>
      <sheetName val="CABLE_SIZE-3"/>
      <sheetName val="Graph_(LGEN)"/>
      <sheetName val="선적schedule_(2)"/>
      <sheetName val="L형_옹벽"/>
      <sheetName val="빌딩_안내"/>
      <sheetName val="5_단가대비표"/>
      <sheetName val="PROJECT_BRIEF(EX_NEW)"/>
      <sheetName val="노무비_근거"/>
      <sheetName val="1_취수장"/>
      <sheetName val="10_1"/>
      <sheetName val="List(rev_B)"/>
      <sheetName val="2F_회의실견적(5_14_일대)"/>
      <sheetName val="0_1_KEY_ASSUMPTIONS"/>
      <sheetName val="0__CONTROL"/>
      <sheetName val="수목데이타_"/>
      <sheetName val="Site_Expenses"/>
      <sheetName val="G_노무비,현장경상"/>
      <sheetName val="A6_샤시등"/>
      <sheetName val="화재_탐지_설비"/>
      <sheetName val="PAD_TR보호대기초"/>
      <sheetName val="6PILE__(돌출)"/>
      <sheetName val="5_모델링"/>
      <sheetName val="설_계"/>
      <sheetName val="1_설계조건"/>
      <sheetName val="소상_&quot;1&quot;"/>
      <sheetName val="PACKING_OPEN"/>
      <sheetName val="실행내역서_"/>
      <sheetName val="3_하중산정4_지지력"/>
      <sheetName val="준검_내역서"/>
      <sheetName val="1_설계기준"/>
      <sheetName val="BSD_(2)"/>
      <sheetName val="FTR_MACRo"/>
      <sheetName val="재료비단가"/>
      <sheetName val="3BL공동구 수량"/>
      <sheetName val="심사물량"/>
      <sheetName val="심사계산"/>
      <sheetName val="신관(1)"/>
      <sheetName val="GAEYO"/>
      <sheetName val="FAB별"/>
      <sheetName val="양식"/>
      <sheetName val="깨기"/>
      <sheetName val="배수공 시멘트 및 골재량 산출"/>
      <sheetName val="인원계획-미화"/>
      <sheetName val="요약&amp;결과"/>
      <sheetName val="&lt;목록&gt;"/>
      <sheetName val="기초계산(Pmax)"/>
      <sheetName val="빗물받이(910-510-410)"/>
      <sheetName val="년도별공"/>
      <sheetName val="이설도로유용토"/>
      <sheetName val="화산경계"/>
      <sheetName val="증감대비"/>
      <sheetName val="목교수량집계"/>
      <sheetName val="참조"/>
      <sheetName val="쌍송교"/>
      <sheetName val="FCU (2)"/>
      <sheetName val="hidden"/>
      <sheetName val="Mass"/>
      <sheetName val="Input"/>
      <sheetName val="Heat"/>
      <sheetName val="일위대가(가설)"/>
      <sheetName val="No-&gt;Code"/>
      <sheetName val="적정심사"/>
      <sheetName val="변화치수"/>
      <sheetName val="환율-LIBOR"/>
      <sheetName val="CT "/>
      <sheetName val="신우"/>
      <sheetName val="작업금지"/>
      <sheetName val="갑지(추정)"/>
      <sheetName val="건축내역"/>
      <sheetName val="정산을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 refreshError="1"/>
      <sheetData sheetId="309" refreshError="1"/>
      <sheetData sheetId="310"/>
      <sheetData sheetId="311"/>
      <sheetData sheetId="312"/>
      <sheetData sheetId="313" refreshError="1"/>
      <sheetData sheetId="314" refreshError="1"/>
      <sheetData sheetId="315" refreshError="1"/>
      <sheetData sheetId="316" refreshError="1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#REF"/>
      <sheetName val="일위대가목차"/>
      <sheetName val="BID"/>
      <sheetName val="실행철강하도"/>
      <sheetName val="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총"/>
      <sheetName val="일위대가목차"/>
      <sheetName val="공문"/>
      <sheetName val="정부노임단가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공문"/>
      <sheetName val="표지"/>
      <sheetName val="갑지"/>
      <sheetName val="예산서"/>
      <sheetName val="실행철강하도"/>
      <sheetName val="일위대가"/>
      <sheetName val="업무분장"/>
      <sheetName val="일위대가목차"/>
      <sheetName val="원가총"/>
      <sheetName val="노무비"/>
      <sheetName val="자압"/>
      <sheetName val="노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1.총괄"/>
      <sheetName val="1.2)매출"/>
      <sheetName val="1.3)총손익"/>
      <sheetName val="1.3)팀직접손익"/>
      <sheetName val="1.3)팀직접손익Ⅱ"/>
      <sheetName val="1.3)직접손익"/>
      <sheetName val="1.4)Cash Flow"/>
      <sheetName val="2.매출계획"/>
      <sheetName val="2.1)객실"/>
      <sheetName val="2.2)식음"/>
      <sheetName val="2.3)부대"/>
      <sheetName val="2.4)아쿠아"/>
      <sheetName val="2.5)골프"/>
      <sheetName val="※대중골프"/>
      <sheetName val="※델피노CC"/>
      <sheetName val="※파3골프"/>
      <sheetName val="※이용객-파3"/>
      <sheetName val="#골프세부"/>
      <sheetName val="2.7)유통"/>
      <sheetName val="2.8)임대"/>
      <sheetName val="※이용객_아쿠아1"/>
      <sheetName val="※이용객_아쿠아2"/>
      <sheetName val="※이용객_사우나1"/>
      <sheetName val="※이용객_사우나2"/>
      <sheetName val="※이용객_대중"/>
      <sheetName val="3.손익계획"/>
      <sheetName val="3.1)총괄공통"/>
      <sheetName val="3.2)총괄팀직접"/>
      <sheetName val="3.3)총괄직접"/>
      <sheetName val="ⓐ.1)총괄공통"/>
      <sheetName val="ⓐ.1-1)객실공통"/>
      <sheetName val="ⓐ.1-2)식음공통"/>
      <sheetName val="ⓐ.1-3)아쿠아공통"/>
      <sheetName val="ⓐ.1-5)부대영업공통"/>
      <sheetName val="ⓐ.1-4)슈퍼공통"/>
      <sheetName val="ⓐ.1-6)골프공통"/>
      <sheetName val="ⓐ.1-7)임대공통"/>
      <sheetName val="ⓑ.2)총괄팀직접"/>
      <sheetName val="ⓑ.2-1)객실팀직접"/>
      <sheetName val="ⓑ.2-2)식음팀직접"/>
      <sheetName val="ⓑ.2-3)아쿠아팀직접"/>
      <sheetName val="ⓑ.2-4)부대영업팀직접"/>
      <sheetName val="ⓑ.2-5)슈퍼팀직접"/>
      <sheetName val="ⓑ.2-6)골프팀직접"/>
      <sheetName val="ⓑ.2-7)임대팀직접"/>
      <sheetName val="ⓑ.2-7)공통비"/>
      <sheetName val="ⓒ.3)총괄직접"/>
      <sheetName val="ⓒ.3-1)객실직접"/>
      <sheetName val="ⓒ.3-2)식음직접"/>
      <sheetName val="ⓒ.3-3)아쿠아직접"/>
      <sheetName val="ⓒ.3-4)부대영업직접"/>
      <sheetName val="ⓒ.3-5)슈퍼직접"/>
      <sheetName val="ⓒ.3-6)골프직접"/>
      <sheetName val="ⓒ.3-7)임대직접"/>
      <sheetName val="5.1)공통손익(총괄)"/>
      <sheetName val="5.1)공통손익(총괄) (2)"/>
      <sheetName val="5.1)계(영업장별)"/>
      <sheetName val="5.1) 1월"/>
      <sheetName val="5.1) 2월"/>
      <sheetName val="5.1) 3월"/>
      <sheetName val="5.1) 4월"/>
      <sheetName val="5.1) 5월"/>
      <sheetName val="5.1) 6월"/>
      <sheetName val="5.1) 7월"/>
      <sheetName val="5.1) 8월"/>
      <sheetName val="5.1) 9월"/>
      <sheetName val="5.1) 10월"/>
      <sheetName val="5.1) 11월"/>
      <sheetName val="5.1) 12월"/>
      <sheetName val="5.2)팀직접손익(총괄)"/>
      <sheetName val="5.2)팀직접손익(총괄) (2)"/>
      <sheetName val="5.2)계(영업장별)"/>
      <sheetName val="5.2) 1월"/>
      <sheetName val="5.2) 2월"/>
      <sheetName val="5.2) 3월"/>
      <sheetName val="5.2) 4월"/>
      <sheetName val="5.2) 5월"/>
      <sheetName val="5.2) 6월"/>
      <sheetName val="5.2) 7월"/>
      <sheetName val="5.2) 8월"/>
      <sheetName val="5.2) 9월"/>
      <sheetName val="5.2) 10월"/>
      <sheetName val="5.2) 11월"/>
      <sheetName val="5.2) 12월"/>
      <sheetName val="5.3)직접손익(총괄)"/>
      <sheetName val="5.3)계(영업장별)"/>
      <sheetName val="5.3) 1월"/>
      <sheetName val="5.3) 2월"/>
      <sheetName val="5.3) 3월"/>
      <sheetName val="5.3) 4월"/>
      <sheetName val="5.3) 5월"/>
      <sheetName val="5.3) 6월"/>
      <sheetName val="5.3) 7월"/>
      <sheetName val="5.3) 8월"/>
      <sheetName val="5.3) 9월"/>
      <sheetName val="5.3)10월"/>
      <sheetName val="5.3) 11월"/>
      <sheetName val="5.3) 12월"/>
      <sheetName val="Sheet1"/>
      <sheetName val="Sheet2"/>
      <sheetName val="설악 총계"/>
      <sheetName val="설악1월"/>
      <sheetName val="설악2월"/>
      <sheetName val="설악3월"/>
      <sheetName val="설악4월"/>
      <sheetName val="설악5월"/>
      <sheetName val="설악6월"/>
      <sheetName val="설악7월"/>
      <sheetName val="설악8월"/>
      <sheetName val="설악9월"/>
      <sheetName val="설악10월"/>
      <sheetName val="설악11월"/>
      <sheetName val="설악12월"/>
      <sheetName val="Sheet12"/>
      <sheetName val="Sheet13"/>
      <sheetName val="전산.평가대상자용"/>
      <sheetName val="발신정보"/>
      <sheetName val="실행철강하도"/>
      <sheetName val="울산시산표"/>
      <sheetName val="일위대가목차"/>
      <sheetName val="1_총괄"/>
      <sheetName val="1_2)매출"/>
      <sheetName val="1_3)총손익"/>
      <sheetName val="1_3)팀직접손익"/>
      <sheetName val="1_3)팀직접손익Ⅱ"/>
      <sheetName val="1_3)직접손익"/>
      <sheetName val="1_4)Cash_Flow"/>
      <sheetName val="2_매출계획"/>
      <sheetName val="2_1)객실"/>
      <sheetName val="2_2)식음"/>
      <sheetName val="2_3)부대"/>
      <sheetName val="2_4)아쿠아"/>
      <sheetName val="2_5)골프"/>
      <sheetName val="2_7)유통"/>
      <sheetName val="2_8)임대"/>
      <sheetName val="3_손익계획"/>
      <sheetName val="3_1)총괄공통"/>
      <sheetName val="3_2)총괄팀직접"/>
      <sheetName val="3_3)총괄직접"/>
      <sheetName val="ⓐ_1)총괄공통"/>
      <sheetName val="ⓐ_1-1)객실공통"/>
      <sheetName val="ⓐ_1-2)식음공통"/>
      <sheetName val="ⓐ_1-3)아쿠아공통"/>
      <sheetName val="ⓐ_1-5)부대영업공통"/>
      <sheetName val="ⓐ_1-4)슈퍼공통"/>
      <sheetName val="ⓐ_1-6)골프공통"/>
      <sheetName val="ⓐ_1-7)임대공통"/>
      <sheetName val="ⓑ_2)총괄팀직접"/>
      <sheetName val="ⓑ_2-1)객실팀직접"/>
      <sheetName val="ⓑ_2-2)식음팀직접"/>
      <sheetName val="ⓑ_2-3)아쿠아팀직접"/>
      <sheetName val="ⓑ_2-4)부대영업팀직접"/>
      <sheetName val="ⓑ_2-5)슈퍼팀직접"/>
      <sheetName val="ⓑ_2-6)골프팀직접"/>
      <sheetName val="ⓑ_2-7)임대팀직접"/>
      <sheetName val="ⓑ_2-7)공통비"/>
      <sheetName val="ⓒ_3)총괄직접"/>
      <sheetName val="ⓒ_3-1)객실직접"/>
      <sheetName val="ⓒ_3-2)식음직접"/>
      <sheetName val="ⓒ_3-3)아쿠아직접"/>
      <sheetName val="ⓒ_3-4)부대영업직접"/>
      <sheetName val="ⓒ_3-5)슈퍼직접"/>
      <sheetName val="ⓒ_3-6)골프직접"/>
      <sheetName val="ⓒ_3-7)임대직접"/>
      <sheetName val="5_1)공통손익(총괄)"/>
      <sheetName val="5_1)공통손익(총괄)_(2)"/>
      <sheetName val="5_1)계(영업장별)"/>
      <sheetName val="5_1)_1월"/>
      <sheetName val="5_1)_2월"/>
      <sheetName val="5_1)_3월"/>
      <sheetName val="5_1)_4월"/>
      <sheetName val="5_1)_5월"/>
      <sheetName val="5_1)_6월"/>
      <sheetName val="5_1)_7월"/>
      <sheetName val="5_1)_8월"/>
      <sheetName val="5_1)_9월"/>
      <sheetName val="5_1)_10월"/>
      <sheetName val="5_1)_11월"/>
      <sheetName val="5_1)_12월"/>
      <sheetName val="5_2)팀직접손익(총괄)"/>
      <sheetName val="5_2)팀직접손익(총괄)_(2)"/>
      <sheetName val="5_2)계(영업장별)"/>
      <sheetName val="5_2)_1월"/>
      <sheetName val="5_2)_2월"/>
      <sheetName val="5_2)_3월"/>
      <sheetName val="5_2)_4월"/>
      <sheetName val="5_2)_5월"/>
      <sheetName val="5_2)_6월"/>
      <sheetName val="5_2)_7월"/>
      <sheetName val="5_2)_8월"/>
      <sheetName val="5_2)_9월"/>
      <sheetName val="5_2)_10월"/>
      <sheetName val="5_2)_11월"/>
      <sheetName val="5_2)_12월"/>
      <sheetName val="5_3)직접손익(총괄)"/>
      <sheetName val="5_3)계(영업장별)"/>
      <sheetName val="5_3)_1월"/>
      <sheetName val="5_3)_2월"/>
      <sheetName val="5_3)_3월"/>
      <sheetName val="5_3)_4월"/>
      <sheetName val="5_3)_5월"/>
      <sheetName val="5_3)_6월"/>
      <sheetName val="5_3)_7월"/>
      <sheetName val="5_3)_8월"/>
      <sheetName val="5_3)_9월"/>
      <sheetName val="5_3)10월"/>
      <sheetName val="5_3)_11월"/>
      <sheetName val="5_3)_12월"/>
      <sheetName val="설악_총계"/>
      <sheetName val="전산_평가대상자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36">
          <cell r="F236">
            <v>807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90">
          <cell r="E90">
            <v>0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35">
          <cell r="E35">
            <v>4903</v>
          </cell>
          <cell r="F35">
            <v>2915</v>
          </cell>
          <cell r="G35">
            <v>2915</v>
          </cell>
          <cell r="H35">
            <v>2914.5</v>
          </cell>
          <cell r="I35">
            <v>2915</v>
          </cell>
          <cell r="J35">
            <v>3058</v>
          </cell>
          <cell r="K35">
            <v>3223.3</v>
          </cell>
          <cell r="L35">
            <v>3223</v>
          </cell>
          <cell r="M35">
            <v>3258</v>
          </cell>
          <cell r="N35">
            <v>3113</v>
          </cell>
          <cell r="O35">
            <v>3058</v>
          </cell>
          <cell r="P35">
            <v>3058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9"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</row>
        <row r="40">
          <cell r="E40">
            <v>945.02803738317755</v>
          </cell>
          <cell r="F40">
            <v>912.46728971962614</v>
          </cell>
          <cell r="G40">
            <v>1020.2321428571429</v>
          </cell>
          <cell r="H40">
            <v>567.58260032011776</v>
          </cell>
          <cell r="I40">
            <v>772.53931028551767</v>
          </cell>
          <cell r="J40">
            <v>799.28365201012627</v>
          </cell>
          <cell r="K40">
            <v>805.1978242137011</v>
          </cell>
          <cell r="L40">
            <v>731.21745108600271</v>
          </cell>
          <cell r="M40">
            <v>761.6305570271702</v>
          </cell>
          <cell r="N40">
            <v>877.74545238121004</v>
          </cell>
          <cell r="O40">
            <v>810.51583902349284</v>
          </cell>
          <cell r="P40">
            <v>812.62056644880181</v>
          </cell>
        </row>
        <row r="41">
          <cell r="E41">
            <v>147.112256</v>
          </cell>
          <cell r="F41">
            <v>126.5076773920642</v>
          </cell>
          <cell r="G41">
            <v>94.562466170697178</v>
          </cell>
          <cell r="H41">
            <v>89.573996747566312</v>
          </cell>
          <cell r="I41">
            <v>142.93248634836351</v>
          </cell>
          <cell r="J41">
            <v>151.35766429188115</v>
          </cell>
          <cell r="K41">
            <v>222.13040640490553</v>
          </cell>
          <cell r="L41">
            <v>224.54256889346775</v>
          </cell>
          <cell r="M41">
            <v>149.22149836326327</v>
          </cell>
          <cell r="N41">
            <v>167.82372050099849</v>
          </cell>
          <cell r="O41">
            <v>143.2399770493694</v>
          </cell>
          <cell r="P41">
            <v>142.78129792729055</v>
          </cell>
        </row>
        <row r="42"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</row>
        <row r="44"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</row>
        <row r="50">
          <cell r="E50">
            <v>12350.083469154764</v>
          </cell>
          <cell r="F50">
            <v>12309.271778701052</v>
          </cell>
          <cell r="G50">
            <v>12298.422748813195</v>
          </cell>
          <cell r="H50">
            <v>20401.150853290328</v>
          </cell>
          <cell r="I50">
            <v>36636.242696360321</v>
          </cell>
          <cell r="J50">
            <v>73815.867191083278</v>
          </cell>
          <cell r="K50">
            <v>82489.562617154748</v>
          </cell>
          <cell r="L50">
            <v>78210.734453480167</v>
          </cell>
          <cell r="M50">
            <v>25463.689839578237</v>
          </cell>
          <cell r="N50">
            <v>42547.462535137434</v>
          </cell>
          <cell r="O50">
            <v>16443.720338834595</v>
          </cell>
          <cell r="P50">
            <v>12331.934766168892</v>
          </cell>
        </row>
        <row r="51">
          <cell r="E51">
            <v>150</v>
          </cell>
          <cell r="F51">
            <v>150</v>
          </cell>
          <cell r="G51">
            <v>150</v>
          </cell>
          <cell r="H51">
            <v>150</v>
          </cell>
          <cell r="I51">
            <v>200</v>
          </cell>
          <cell r="J51">
            <v>200</v>
          </cell>
          <cell r="K51">
            <v>400</v>
          </cell>
          <cell r="L51">
            <v>400</v>
          </cell>
          <cell r="M51">
            <v>200</v>
          </cell>
          <cell r="N51">
            <v>250</v>
          </cell>
          <cell r="O51">
            <v>200</v>
          </cell>
          <cell r="P51">
            <v>200</v>
          </cell>
        </row>
        <row r="55"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차공사7회설변기성내역서"/>
      <sheetName val="4차공사7회기성수량 "/>
      <sheetName val="4차7회기성정거장토공"/>
      <sheetName val="4차7회기성공동토공"/>
      <sheetName val="4차7회기성단독토공"/>
      <sheetName val="4차7회정거장가시설기성"/>
      <sheetName val="4차7회정거장EA기성"/>
      <sheetName val="4차7회단독가시설기성"/>
      <sheetName val="4차7회단독EA기성"/>
      <sheetName val="4차7회공동가시설기성"/>
      <sheetName val="4차7회공동EA기성"/>
      <sheetName val="4차7회공동FJ기성"/>
      <sheetName val="4차7회단독FJ기성"/>
      <sheetName val="4차7회기성공동구조물"/>
      <sheetName val="4차7회기성단독구조물"/>
      <sheetName val="4차7회기성정거장구조물"/>
      <sheetName val="4차7회기성가설보도육교공"/>
      <sheetName val="4차공사7회설변기성내역서 (2)"/>
      <sheetName val="4차8회공동FJ기성"/>
      <sheetName val="4차8회단독FJ기성"/>
      <sheetName val="4차8회기성공동구조물"/>
      <sheetName val="4차8회기성단독구조물"/>
      <sheetName val="4차8회기성정거장구조물"/>
      <sheetName val="SG"/>
      <sheetName val="집계표"/>
      <sheetName val="아파트-가설"/>
      <sheetName val="SCH"/>
      <sheetName val="화재 탐지 설비"/>
      <sheetName val="4차설변기성내역서"/>
      <sheetName val="노임단가"/>
      <sheetName val="비교표"/>
      <sheetName val="표지"/>
      <sheetName val="BID"/>
      <sheetName val="맨홀"/>
      <sheetName val="신공항A-9(원가수정)"/>
      <sheetName val="자료"/>
      <sheetName val="설비2차"/>
      <sheetName val="대치판정"/>
      <sheetName val="일위대가(목록)"/>
      <sheetName val="재료비"/>
      <sheetName val="ⓒ.3-4)부대영업직접"/>
      <sheetName val="#REF"/>
      <sheetName val="LEGEND"/>
      <sheetName val="내역서"/>
      <sheetName val="실행철강하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결재"/>
      <sheetName val="목차"/>
      <sheetName val="1.총괄현황"/>
      <sheetName val="5.미수금현황"/>
      <sheetName val="5-1.미수금내역"/>
      <sheetName val="3.유형별매출현황"/>
      <sheetName val="4.매출분석"/>
      <sheetName val="6.인기및비인기상품"/>
      <sheetName val="7.신상품현황"/>
      <sheetName val="2.당월업무추진"/>
      <sheetName val="8.유통요약"/>
      <sheetName val="2.대외공문"/>
      <sheetName val="RCSPlan"/>
      <sheetName val="원가총"/>
      <sheetName val="Graph (LGEN)"/>
      <sheetName val="out_prog"/>
      <sheetName val="선적schedule (2)"/>
      <sheetName val="노무비"/>
      <sheetName val="일위대가목차"/>
      <sheetName val="1_총괄현황"/>
      <sheetName val="5_미수금현황"/>
      <sheetName val="5-1_미수금내역"/>
      <sheetName val="3_유형별매출현황"/>
      <sheetName val="4_매출분석"/>
      <sheetName val="6_인기및비인기상품"/>
      <sheetName val="7_신상품현황"/>
      <sheetName val="2_당월업무추진"/>
      <sheetName val="8_유통요약"/>
      <sheetName val="2_대외공문"/>
      <sheetName val="Graph_(LGEN)"/>
      <sheetName val="선적schedule_(2)"/>
      <sheetName val="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계획조정"/>
      <sheetName val="98재조정"/>
      <sheetName val="피벗테이블"/>
      <sheetName val="지시안"/>
      <sheetName val="요약"/>
      <sheetName val="총괄1"/>
      <sheetName val="총괄1-1"/>
      <sheetName val="총괄2"/>
      <sheetName val="98세목별"/>
      <sheetName val="용역수수료내역"/>
      <sheetName val="Sheet1"/>
      <sheetName val="1억이상"/>
      <sheetName val="5천이상"/>
      <sheetName val="비통제세부"/>
      <sheetName val="임금인원"/>
      <sheetName val="계정"/>
      <sheetName val="2.대외공문"/>
      <sheetName val="7.신상품현황"/>
      <sheetName val="노임단가"/>
      <sheetName val="단가조사서"/>
      <sheetName val="자압"/>
      <sheetName val="노임"/>
      <sheetName val="비교표"/>
      <sheetName val="SCH"/>
      <sheetName val="2_대외공문"/>
      <sheetName val="7_신상품현황"/>
      <sheetName val="발신정보"/>
      <sheetName val="원가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E3" t="str">
            <v>TAAA</v>
          </cell>
          <cell r="F3" t="str">
            <v>경영전략팀</v>
          </cell>
        </row>
        <row r="4">
          <cell r="E4" t="str">
            <v>TAAB</v>
          </cell>
          <cell r="F4" t="str">
            <v>사업기획팀</v>
          </cell>
        </row>
        <row r="5">
          <cell r="E5" t="str">
            <v>TABA</v>
          </cell>
          <cell r="F5" t="str">
            <v>대외협력팀</v>
          </cell>
        </row>
        <row r="6">
          <cell r="E6" t="str">
            <v>TABB</v>
          </cell>
          <cell r="F6" t="str">
            <v>자동차산업연구소</v>
          </cell>
        </row>
        <row r="7">
          <cell r="E7" t="str">
            <v>TACA</v>
          </cell>
          <cell r="F7" t="str">
            <v>승용상품기획팀</v>
          </cell>
        </row>
        <row r="8">
          <cell r="E8" t="str">
            <v>TACB</v>
          </cell>
          <cell r="F8" t="str">
            <v>상용상품기획팀</v>
          </cell>
        </row>
        <row r="9">
          <cell r="E9" t="str">
            <v>TSCA</v>
          </cell>
          <cell r="F9" t="str">
            <v>생산계획조정팀</v>
          </cell>
        </row>
        <row r="11">
          <cell r="E11" t="str">
            <v>TBAA</v>
          </cell>
          <cell r="F11" t="str">
            <v>인사기획팀</v>
          </cell>
        </row>
        <row r="12">
          <cell r="E12" t="str">
            <v>TBAB</v>
          </cell>
          <cell r="F12" t="str">
            <v>인력운영팀</v>
          </cell>
        </row>
        <row r="13">
          <cell r="E13" t="str">
            <v>TBBA</v>
          </cell>
          <cell r="F13" t="str">
            <v>교육기획팀</v>
          </cell>
        </row>
        <row r="14">
          <cell r="E14" t="str">
            <v>TBBB</v>
          </cell>
          <cell r="F14" t="str">
            <v>교육운영팀</v>
          </cell>
        </row>
        <row r="15">
          <cell r="E15" t="str">
            <v>TBBE</v>
          </cell>
          <cell r="F15" t="str">
            <v>천안직훈팀</v>
          </cell>
        </row>
        <row r="16">
          <cell r="E16" t="str">
            <v>TBCA</v>
          </cell>
          <cell r="F16" t="str">
            <v>총무팀</v>
          </cell>
        </row>
        <row r="17">
          <cell r="E17" t="str">
            <v>TBCB</v>
          </cell>
          <cell r="F17" t="str">
            <v>관재팀</v>
          </cell>
        </row>
        <row r="18">
          <cell r="E18" t="str">
            <v>TBCC</v>
          </cell>
          <cell r="F18" t="str">
            <v>법무팀</v>
          </cell>
        </row>
        <row r="19">
          <cell r="E19" t="str">
            <v>TBCD</v>
          </cell>
          <cell r="F19" t="str">
            <v>비상계획팀</v>
          </cell>
        </row>
        <row r="21">
          <cell r="E21" t="str">
            <v>TCAA</v>
          </cell>
          <cell r="F21" t="str">
            <v>회계팀</v>
          </cell>
        </row>
        <row r="22">
          <cell r="E22" t="str">
            <v>TCAB</v>
          </cell>
          <cell r="F22" t="str">
            <v>세무팀</v>
          </cell>
        </row>
        <row r="23">
          <cell r="E23" t="str">
            <v>TCAC</v>
          </cell>
          <cell r="F23" t="str">
            <v>원가기획팀</v>
          </cell>
        </row>
        <row r="24">
          <cell r="E24" t="str">
            <v>TCAE</v>
          </cell>
          <cell r="F24" t="str">
            <v>재무회계프로젝트</v>
          </cell>
        </row>
        <row r="25">
          <cell r="E25" t="str">
            <v>TCAD</v>
          </cell>
          <cell r="F25" t="str">
            <v>경영분석팀</v>
          </cell>
        </row>
        <row r="26">
          <cell r="E26" t="str">
            <v>TCBA</v>
          </cell>
          <cell r="F26" t="str">
            <v>재정팀</v>
          </cell>
        </row>
        <row r="27">
          <cell r="E27" t="str">
            <v>TCBB</v>
          </cell>
          <cell r="F27" t="str">
            <v>국제금융팀</v>
          </cell>
        </row>
        <row r="28">
          <cell r="E28" t="str">
            <v>TCBC</v>
          </cell>
          <cell r="F28" t="str">
            <v>무역금융팀</v>
          </cell>
        </row>
        <row r="29">
          <cell r="E29" t="str">
            <v>TCCA</v>
          </cell>
          <cell r="F29" t="str">
            <v>할부금융팀</v>
          </cell>
        </row>
        <row r="30">
          <cell r="E30" t="str">
            <v>TCCB</v>
          </cell>
          <cell r="F30" t="str">
            <v>채권관리팀</v>
          </cell>
        </row>
        <row r="31">
          <cell r="E31" t="str">
            <v>TDAA</v>
          </cell>
          <cell r="F31" t="str">
            <v>판매지원팀</v>
          </cell>
        </row>
        <row r="32">
          <cell r="E32" t="str">
            <v>TDAB</v>
          </cell>
          <cell r="F32" t="str">
            <v>영업소개발팀</v>
          </cell>
        </row>
        <row r="33">
          <cell r="E33" t="str">
            <v>TDAC</v>
          </cell>
          <cell r="F33" t="str">
            <v>판매교육팀</v>
          </cell>
        </row>
        <row r="34">
          <cell r="E34" t="str">
            <v>TDAD</v>
          </cell>
          <cell r="F34" t="str">
            <v>고객상담센터</v>
          </cell>
        </row>
        <row r="35">
          <cell r="E35" t="str">
            <v>TDAF</v>
          </cell>
          <cell r="F35" t="str">
            <v>판매정보운영팀</v>
          </cell>
        </row>
        <row r="36">
          <cell r="E36" t="str">
            <v>TDBA</v>
          </cell>
          <cell r="F36" t="str">
            <v>승용기획팀</v>
          </cell>
        </row>
        <row r="37">
          <cell r="E37" t="str">
            <v>TDBB</v>
          </cell>
          <cell r="F37" t="str">
            <v>국내승용상품팀</v>
          </cell>
        </row>
        <row r="38">
          <cell r="E38" t="str">
            <v>TDBC</v>
          </cell>
          <cell r="F38" t="str">
            <v>승용판촉팀</v>
          </cell>
        </row>
        <row r="39">
          <cell r="E39" t="str">
            <v>TDBD</v>
          </cell>
          <cell r="F39" t="str">
            <v>승용운영팀</v>
          </cell>
        </row>
        <row r="40">
          <cell r="E40" t="str">
            <v>TDBE</v>
          </cell>
          <cell r="F40" t="str">
            <v>승용특판팀</v>
          </cell>
        </row>
        <row r="41">
          <cell r="E41" t="str">
            <v>TDBF</v>
          </cell>
          <cell r="F41" t="str">
            <v>현대모터스포츠팀</v>
          </cell>
        </row>
        <row r="42">
          <cell r="E42" t="str">
            <v>TDNA</v>
          </cell>
          <cell r="F42" t="str">
            <v>상용기획팀</v>
          </cell>
        </row>
        <row r="43">
          <cell r="E43" t="str">
            <v>TDNB</v>
          </cell>
          <cell r="F43" t="str">
            <v>국내상용상품팀</v>
          </cell>
        </row>
        <row r="44">
          <cell r="E44" t="str">
            <v>TDNC</v>
          </cell>
          <cell r="F44" t="str">
            <v>대상판촉팀</v>
          </cell>
        </row>
        <row r="45">
          <cell r="E45" t="str">
            <v>TDND</v>
          </cell>
          <cell r="F45" t="str">
            <v>소상판촉팀</v>
          </cell>
        </row>
        <row r="46">
          <cell r="E46" t="str">
            <v>TDNE</v>
          </cell>
          <cell r="F46" t="str">
            <v>상용특판팀</v>
          </cell>
        </row>
        <row r="47">
          <cell r="E47" t="str">
            <v>TDNF</v>
          </cell>
          <cell r="F47" t="str">
            <v>특장업무팀</v>
          </cell>
        </row>
        <row r="48">
          <cell r="E48" t="str">
            <v>TDTA</v>
          </cell>
          <cell r="F48" t="str">
            <v>물류운영팀</v>
          </cell>
        </row>
        <row r="49">
          <cell r="E49" t="str">
            <v>TDUJ</v>
          </cell>
          <cell r="F49" t="str">
            <v>써비스기획팀</v>
          </cell>
        </row>
        <row r="50">
          <cell r="E50" t="str">
            <v>TDUB</v>
          </cell>
          <cell r="F50" t="str">
            <v>써비스교육팀</v>
          </cell>
        </row>
        <row r="51">
          <cell r="E51" t="str">
            <v>TDUC</v>
          </cell>
          <cell r="F51" t="str">
            <v>보상업무팀</v>
          </cell>
        </row>
        <row r="52">
          <cell r="E52" t="str">
            <v>TDUE</v>
          </cell>
          <cell r="F52" t="str">
            <v>승용써비스기술팀</v>
          </cell>
        </row>
        <row r="53">
          <cell r="E53" t="str">
            <v>TDUF</v>
          </cell>
          <cell r="F53" t="str">
            <v>상용써비스팀</v>
          </cell>
        </row>
        <row r="54">
          <cell r="E54" t="str">
            <v>TDUG</v>
          </cell>
          <cell r="F54" t="str">
            <v>고객써비스1팀</v>
          </cell>
        </row>
        <row r="55">
          <cell r="E55" t="str">
            <v>TDUH</v>
          </cell>
          <cell r="F55" t="str">
            <v>고객써비스2팀</v>
          </cell>
        </row>
        <row r="56">
          <cell r="E56" t="str">
            <v>TEEA</v>
          </cell>
          <cell r="F56" t="str">
            <v>해외보상업무팀</v>
          </cell>
        </row>
        <row r="57">
          <cell r="E57" t="str">
            <v>TEEB</v>
          </cell>
          <cell r="F57" t="str">
            <v>해외써비스1팀</v>
          </cell>
        </row>
        <row r="58">
          <cell r="E58" t="str">
            <v>TEEC</v>
          </cell>
          <cell r="F58" t="str">
            <v>해외상용써비스팀</v>
          </cell>
        </row>
        <row r="59">
          <cell r="E59" t="str">
            <v>TEEF</v>
          </cell>
          <cell r="F59" t="str">
            <v>써비스정보팀</v>
          </cell>
        </row>
        <row r="60">
          <cell r="E60" t="str">
            <v>TEEH</v>
          </cell>
          <cell r="F60" t="str">
            <v>해외써비스2팀</v>
          </cell>
        </row>
        <row r="62">
          <cell r="E62" t="str">
            <v>TEAA</v>
          </cell>
          <cell r="F62" t="str">
            <v>수출기획팀</v>
          </cell>
        </row>
        <row r="63">
          <cell r="E63" t="str">
            <v>TEAB</v>
          </cell>
          <cell r="F63" t="str">
            <v>수출상품계획팀</v>
          </cell>
        </row>
        <row r="64">
          <cell r="E64" t="str">
            <v>TEAC</v>
          </cell>
          <cell r="F64" t="str">
            <v>수출업무팀</v>
          </cell>
        </row>
        <row r="65">
          <cell r="E65" t="str">
            <v>TEBC</v>
          </cell>
          <cell r="F65" t="str">
            <v>상용특장수출팀</v>
          </cell>
        </row>
        <row r="66">
          <cell r="E66" t="str">
            <v>TECA</v>
          </cell>
          <cell r="F66" t="str">
            <v>서구팀</v>
          </cell>
        </row>
        <row r="67">
          <cell r="E67" t="str">
            <v>TECB</v>
          </cell>
          <cell r="F67" t="str">
            <v>동구팀</v>
          </cell>
        </row>
        <row r="68">
          <cell r="E68" t="str">
            <v>TEDA</v>
          </cell>
          <cell r="F68" t="str">
            <v>미주팀</v>
          </cell>
        </row>
        <row r="69">
          <cell r="E69" t="str">
            <v>TEDB</v>
          </cell>
          <cell r="F69" t="str">
            <v>남미팀</v>
          </cell>
        </row>
        <row r="70">
          <cell r="E70" t="str">
            <v>TEGC</v>
          </cell>
          <cell r="F70" t="str">
            <v>아시아팀</v>
          </cell>
        </row>
        <row r="71">
          <cell r="E71" t="str">
            <v>TEGD</v>
          </cell>
          <cell r="F71" t="str">
            <v>태평양팀</v>
          </cell>
        </row>
        <row r="72">
          <cell r="E72" t="str">
            <v>TEHA</v>
          </cell>
          <cell r="F72" t="str">
            <v>중동팀</v>
          </cell>
        </row>
        <row r="73">
          <cell r="E73" t="str">
            <v>TEHB</v>
          </cell>
          <cell r="F73" t="str">
            <v>아프리카팀</v>
          </cell>
        </row>
        <row r="74">
          <cell r="E74" t="str">
            <v>TFAA</v>
          </cell>
          <cell r="F74" t="str">
            <v>정보기술기획팀</v>
          </cell>
        </row>
        <row r="75">
          <cell r="E75" t="str">
            <v>TFAB</v>
          </cell>
          <cell r="F75" t="str">
            <v>정보기술운영팀</v>
          </cell>
        </row>
        <row r="76">
          <cell r="E76" t="str">
            <v>TFAC</v>
          </cell>
          <cell r="F76" t="str">
            <v>통신팀</v>
          </cell>
        </row>
        <row r="77">
          <cell r="E77" t="str">
            <v>TFDA</v>
          </cell>
          <cell r="F77" t="str">
            <v>관리시스템팀</v>
          </cell>
        </row>
        <row r="78">
          <cell r="E78" t="str">
            <v>TFDB</v>
          </cell>
          <cell r="F78" t="str">
            <v>판매시스템팀</v>
          </cell>
        </row>
        <row r="80">
          <cell r="E80" t="str">
            <v>TKAA</v>
          </cell>
          <cell r="F80" t="str">
            <v>자재기획팀</v>
          </cell>
        </row>
        <row r="81">
          <cell r="E81" t="str">
            <v>TKBB</v>
          </cell>
          <cell r="F81" t="str">
            <v>부품원가2팀</v>
          </cell>
        </row>
        <row r="82">
          <cell r="E82" t="str">
            <v>TKCB</v>
          </cell>
          <cell r="F82" t="str">
            <v>샤시부품개발2팀</v>
          </cell>
        </row>
        <row r="83">
          <cell r="E83" t="str">
            <v>TKCE</v>
          </cell>
          <cell r="F83" t="str">
            <v>공작부품개발3팀</v>
          </cell>
        </row>
        <row r="84">
          <cell r="E84" t="str">
            <v>TKCJ</v>
          </cell>
          <cell r="F84" t="str">
            <v>전장부품개발팀</v>
          </cell>
        </row>
        <row r="85">
          <cell r="E85" t="str">
            <v>TKDD</v>
          </cell>
          <cell r="F85" t="str">
            <v>내자관리팀</v>
          </cell>
        </row>
        <row r="86">
          <cell r="E86" t="str">
            <v>TKEC</v>
          </cell>
          <cell r="F86" t="str">
            <v>상용샤시부품개발팀</v>
          </cell>
        </row>
        <row r="87">
          <cell r="E87" t="str">
            <v>TKFD</v>
          </cell>
          <cell r="F87" t="str">
            <v>본사부품개선팀</v>
          </cell>
        </row>
        <row r="88">
          <cell r="E88" t="str">
            <v>TKGB</v>
          </cell>
          <cell r="F88" t="str">
            <v>수입행정팀</v>
          </cell>
        </row>
        <row r="89">
          <cell r="E89" t="str">
            <v>TKGF</v>
          </cell>
          <cell r="F89" t="str">
            <v>ＣＫＤ개발팀</v>
          </cell>
        </row>
        <row r="90">
          <cell r="E90" t="str">
            <v>TKHA</v>
          </cell>
          <cell r="F90" t="str">
            <v>구매1팀</v>
          </cell>
        </row>
        <row r="91">
          <cell r="E91" t="str">
            <v>TKHB</v>
          </cell>
          <cell r="F91" t="str">
            <v>구매2팀</v>
          </cell>
        </row>
        <row r="92">
          <cell r="E92" t="str">
            <v>TKHE</v>
          </cell>
          <cell r="F92" t="str">
            <v>국제조달팀</v>
          </cell>
        </row>
        <row r="93">
          <cell r="E93" t="str">
            <v>TQBA</v>
          </cell>
          <cell r="F93" t="str">
            <v>CS기획팀</v>
          </cell>
        </row>
        <row r="94">
          <cell r="E94" t="str">
            <v>TQBB</v>
          </cell>
          <cell r="F94" t="str">
            <v>CS추진팀</v>
          </cell>
        </row>
        <row r="95">
          <cell r="E95" t="str">
            <v>TRAA</v>
          </cell>
          <cell r="F95" t="str">
            <v>부품수출1팀</v>
          </cell>
        </row>
        <row r="96">
          <cell r="E96" t="str">
            <v>TRAB</v>
          </cell>
          <cell r="F96" t="str">
            <v>부품수출2팀</v>
          </cell>
        </row>
        <row r="97">
          <cell r="E97" t="str">
            <v>TRAH</v>
          </cell>
          <cell r="F97" t="str">
            <v>부품조달팀</v>
          </cell>
        </row>
        <row r="98">
          <cell r="E98" t="str">
            <v>TKGG</v>
          </cell>
          <cell r="F98" t="str">
            <v>동경사무소</v>
          </cell>
        </row>
        <row r="99">
          <cell r="E99" t="str">
            <v>TSAA</v>
          </cell>
          <cell r="F99" t="str">
            <v>업무개선1팀</v>
          </cell>
        </row>
        <row r="100">
          <cell r="E100" t="str">
            <v>TSBA</v>
          </cell>
          <cell r="F100" t="str">
            <v>홍보1팀</v>
          </cell>
        </row>
        <row r="101">
          <cell r="E101" t="str">
            <v>TSBC</v>
          </cell>
          <cell r="F101" t="str">
            <v>광고팀</v>
          </cell>
        </row>
        <row r="102">
          <cell r="E102" t="str">
            <v>TSBD</v>
          </cell>
          <cell r="F102" t="str">
            <v>산업분석팀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입찰결과(확정) (2)"/>
      <sheetName val="입찰결과(최종확정)"/>
      <sheetName val="내역총괄(최종) (2)"/>
      <sheetName val="기안용지 (2)"/>
      <sheetName val="대비일산"/>
      <sheetName val="대비일산연수"/>
      <sheetName val="연수내역"/>
      <sheetName val="연수내역원본"/>
      <sheetName val="연수내역총괄"/>
      <sheetName val="계약내역서"/>
      <sheetName val="연수대구비교 (2)"/>
      <sheetName val="강남셔터내역"/>
      <sheetName val="대비연수대구"/>
      <sheetName val="동락내역확정"/>
      <sheetName val="동락내역"/>
      <sheetName val="포항점 (롯데폼) (2)"/>
      <sheetName val="마그넷대구 (5)"/>
      <sheetName val="마그넷대구 (4)"/>
      <sheetName val="포항점"/>
      <sheetName val="울산고속"/>
      <sheetName val="견적서"/>
      <sheetName val="포항점 (롯데폼)"/>
      <sheetName val="토공집계표"/>
      <sheetName val="NP-총정리"/>
      <sheetName val="수량산출서"/>
      <sheetName val="내역"/>
      <sheetName val="내역서"/>
      <sheetName val="SIL98"/>
      <sheetName val="총괄표"/>
      <sheetName val="기본가정"/>
      <sheetName val="단가표"/>
      <sheetName val="인건비 "/>
      <sheetName val="남양주부대"/>
      <sheetName val="시설물기초"/>
      <sheetName val="토공총괄표"/>
      <sheetName val="갑지"/>
      <sheetName val="SCH"/>
      <sheetName val="아파트-가설"/>
      <sheetName val="날개벽수량표"/>
      <sheetName val="투찰(하수)"/>
      <sheetName val="토공사B동추가"/>
      <sheetName val="교통대책내역"/>
      <sheetName val="단가"/>
      <sheetName val="견적"/>
      <sheetName val="표지"/>
      <sheetName val="2.대상자"/>
      <sheetName val="토목내역서"/>
      <sheetName val="단양 00 아파트-세부내역"/>
      <sheetName val="시중노임단가"/>
      <sheetName val="신-최종방화방범셔터"/>
      <sheetName val="최종견"/>
      <sheetName val="1.취수장"/>
      <sheetName val="NOMUBI"/>
      <sheetName val="sw1"/>
      <sheetName val="손익분석"/>
      <sheetName val="내   역"/>
      <sheetName val="발신정보"/>
      <sheetName val="1.우편집중내역서"/>
      <sheetName val="7.신상품현황"/>
      <sheetName val="200"/>
      <sheetName val="FORM-0"/>
      <sheetName val="3BL공동구 수량"/>
      <sheetName val="자재집계표"/>
      <sheetName val="98수문일위"/>
      <sheetName val="판매가격(정리)"/>
      <sheetName val="실행내역"/>
      <sheetName val="전기"/>
      <sheetName val="자재단가"/>
      <sheetName val="을지"/>
      <sheetName val="하조서"/>
      <sheetName val="설계내역서"/>
      <sheetName val="#REF"/>
      <sheetName val="배수통관(좌)"/>
      <sheetName val="입찰결과(확정)_(2)"/>
      <sheetName val="내역총괄(최종)_(2)"/>
      <sheetName val="기안용지_(2)"/>
      <sheetName val="연수대구비교_(2)"/>
      <sheetName val="포항점_(롯데폼)_(2)"/>
      <sheetName val="마그넷대구_(5)"/>
      <sheetName val="마그넷대구_(4)"/>
      <sheetName val="포항점_(롯데폼)"/>
      <sheetName val="인건비_"/>
      <sheetName val="2_대상자"/>
      <sheetName val="단양_00_아파트-세부내역"/>
      <sheetName val="1_취수장"/>
      <sheetName val="연습"/>
      <sheetName val="도근좌표"/>
      <sheetName val="내역총괄"/>
      <sheetName val="내역총괄2"/>
      <sheetName val="내역총괄3"/>
      <sheetName val="EJ"/>
      <sheetName val="견"/>
      <sheetName val="일위목록"/>
      <sheetName val="현장관리비"/>
      <sheetName val="제경비"/>
      <sheetName val="실행"/>
      <sheetName val="견적서_자동"/>
      <sheetName val="공사개요"/>
      <sheetName val="부대단위수량"/>
      <sheetName val="국내조달(통합-1)"/>
      <sheetName val="노임"/>
      <sheetName val="자재목록표"/>
      <sheetName val="용소리교"/>
      <sheetName val="성남여성복지내역"/>
      <sheetName val="ITB COST"/>
      <sheetName val="견적서-자동"/>
      <sheetName val="지급자재"/>
      <sheetName val="총괄-1"/>
      <sheetName val="정렬"/>
      <sheetName val="관급"/>
      <sheetName val="Variables"/>
      <sheetName val="LEGEND"/>
      <sheetName val="실행철강하도"/>
      <sheetName val="계정"/>
      <sheetName val="입찰결과(확정)_(2)1"/>
      <sheetName val="내역총괄(최종)_(2)1"/>
      <sheetName val="기안용지_(2)1"/>
      <sheetName val="연수대구비교_(2)1"/>
      <sheetName val="포항점_(롯데폼)_(2)1"/>
      <sheetName val="마그넷대구_(5)1"/>
      <sheetName val="마그넷대구_(4)1"/>
      <sheetName val="포항점_(롯데폼)1"/>
      <sheetName val="인건비_1"/>
      <sheetName val="2_대상자1"/>
      <sheetName val="단양_00_아파트-세부내역1"/>
      <sheetName val="1_취수장1"/>
      <sheetName val="내___역"/>
      <sheetName val="1_우편집중내역서"/>
      <sheetName val="7_신상품현황"/>
      <sheetName val="3BL공동구_수량"/>
      <sheetName val="ITB_COST"/>
      <sheetName val="일위대가표"/>
      <sheetName val="건축내역"/>
      <sheetName val="포장공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토공"/>
      <sheetName val="철근콘크리트공"/>
      <sheetName val="지급자재"/>
      <sheetName val="OZ049E"/>
      <sheetName val="Requirement(Work Crew)"/>
      <sheetName val="MOTOR"/>
      <sheetName val="Graph (LGEN)"/>
      <sheetName val="out_prog"/>
      <sheetName val="선적schedule (2)"/>
      <sheetName val="7.신상품현황"/>
      <sheetName val="토공집계표"/>
      <sheetName val="5사남"/>
      <sheetName val="일위대가목차"/>
      <sheetName val="SCH"/>
      <sheetName val="ⓒ.3-4)부대영업직접"/>
      <sheetName val="Requirement(Work_Crew)"/>
      <sheetName val="Graph_(LGEN)"/>
      <sheetName val="선적schedule_(2)"/>
      <sheetName val="7_신상품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설계내역서"/>
      <sheetName val="아파트 "/>
      <sheetName val="Sheet1"/>
      <sheetName val="UPRI"/>
      <sheetName val="금액내역서"/>
      <sheetName val="INPUT"/>
      <sheetName val="1차증가원가계산"/>
      <sheetName val="입찰안"/>
      <sheetName val="토공집계표"/>
      <sheetName val="자압"/>
      <sheetName val="노임"/>
      <sheetName val="일위대가"/>
      <sheetName val="2.대외공문"/>
      <sheetName val="VAT duoc khau tru"/>
      <sheetName val="GRACE"/>
      <sheetName val="원가총"/>
      <sheetName val="7.신상품현황"/>
      <sheetName val="Requirement(Work Crew)"/>
      <sheetName val="아파트_"/>
      <sheetName val="2_대외공문"/>
      <sheetName val="VAT_duoc_khau_tru"/>
      <sheetName val="7_신상품현황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시운전연료"/>
      <sheetName val="단가(자재)"/>
      <sheetName val="단가(노임)"/>
      <sheetName val="기초목록"/>
      <sheetName val="우수받이"/>
      <sheetName val="견적서"/>
      <sheetName val="SHINME"/>
      <sheetName val="BID"/>
      <sheetName val="집계표(유보지역)"/>
      <sheetName val="FCR-006"/>
      <sheetName val="FCR-010"/>
      <sheetName val="가로등"/>
      <sheetName val="Sheet1"/>
      <sheetName val="중기사용료"/>
      <sheetName val="#REF"/>
      <sheetName val="실행대비"/>
      <sheetName val="청천내"/>
      <sheetName val="연결임시"/>
      <sheetName val="구조물공"/>
      <sheetName val="집계표"/>
      <sheetName val="2000년1차"/>
      <sheetName val="부대공"/>
      <sheetName val="배수공"/>
      <sheetName val="입찰"/>
      <sheetName val="단가"/>
      <sheetName val="포장공"/>
      <sheetName val="원가계산서"/>
      <sheetName val="토공"/>
      <sheetName val="1.취수장"/>
      <sheetName val="현경"/>
      <sheetName val="내역"/>
      <sheetName val="CON'C"/>
      <sheetName val="실행철강하도"/>
      <sheetName val="입찰안"/>
      <sheetName val="공문"/>
      <sheetName val="토공집계표"/>
      <sheetName val="7.신상품현황"/>
      <sheetName val="설계변경개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신정동3,4"/>
      <sheetName val="신정동3,4-1"/>
      <sheetName val="구리상수도"/>
      <sheetName val="강릉상수도"/>
      <sheetName val="강릉상수도-1"/>
      <sheetName val="안양시"/>
      <sheetName val="안양시-1"/>
      <sheetName val="창천동"/>
      <sheetName val="창천동-1"/>
      <sheetName val="염창동"/>
      <sheetName val="염창동-1"/>
      <sheetName val="상봉동"/>
      <sheetName val="상봉동-1"/>
      <sheetName val="상봉동증"/>
      <sheetName val="상봉동증-1"/>
      <sheetName val="상봉동증내역"/>
      <sheetName val="상봉동최종"/>
      <sheetName val="상봉동최종-1"/>
      <sheetName val="Sheet1"/>
      <sheetName val="염창동 (2)"/>
      <sheetName val="염창동-1 (2)"/>
      <sheetName val="총괄표"/>
      <sheetName val="협력업체"/>
      <sheetName val="원가data"/>
      <sheetName val="장비"/>
      <sheetName val="노무"/>
      <sheetName val="BID"/>
      <sheetName val="ⓒ.3-4)부대영업직접"/>
      <sheetName val="견적서"/>
      <sheetName val="※첨부4.손익(유형)"/>
      <sheetName val="염창동_(2)"/>
      <sheetName val="염창동-1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단가조사서"/>
      <sheetName val="일위대가(1)"/>
      <sheetName val="일위대가 (2)"/>
      <sheetName val="수량산출서(1)"/>
      <sheetName val="수량산출서(2)"/>
      <sheetName val="노임단가"/>
      <sheetName val="Sheet1"/>
      <sheetName val="Sheet2"/>
      <sheetName val="Sheet3"/>
      <sheetName val="단가산출서(기계)"/>
      <sheetName val="1호인버트수량"/>
      <sheetName val="원가총"/>
      <sheetName val="정부노임단가"/>
      <sheetName val="원가data"/>
      <sheetName val="공통비총괄표"/>
      <sheetName val="일위대가목차"/>
      <sheetName val="SCH"/>
      <sheetName val="입찰안"/>
      <sheetName val="토공집계표"/>
      <sheetName val="일위대가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9811"/>
      <sheetName val="9509"/>
      <sheetName val="견적단가비교표"/>
      <sheetName val="실행철강하도"/>
      <sheetName val="노무비"/>
      <sheetName val="1호인버트수량"/>
      <sheetName val="200505임금"/>
      <sheetName val="변경연봉"/>
      <sheetName val="7.신상품현황"/>
      <sheetName val="교통대책내역"/>
      <sheetName val="2.대외공문"/>
      <sheetName val="7_신상품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현설(토.철)"/>
      <sheetName val="토공견적서"/>
      <sheetName val="철콘견적서"/>
      <sheetName val="9811"/>
      <sheetName val="9509"/>
      <sheetName val="ⓒ.3-4)부대영업직접"/>
      <sheetName val="발신정보"/>
      <sheetName val="견적단가비교표"/>
      <sheetName val="계정"/>
      <sheetName val="견적서"/>
      <sheetName val="2.대외공문"/>
      <sheetName val="입찰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기계경비(시간당)"/>
      <sheetName val="램머"/>
      <sheetName val="1.우편집중내역서"/>
      <sheetName val="수목데이타 "/>
      <sheetName val="납부서"/>
      <sheetName val="내역"/>
      <sheetName val="참조"/>
      <sheetName val="토목"/>
      <sheetName val="현장관리비"/>
      <sheetName val="자료"/>
      <sheetName val="기초일위"/>
      <sheetName val="시설일위"/>
      <sheetName val="조명일위"/>
      <sheetName val="SCH"/>
      <sheetName val="LEGEND"/>
      <sheetName val="9509"/>
      <sheetName val="작성지침(고정비)"/>
      <sheetName val="ⓒ.3-4)부대영업직접"/>
      <sheetName val="토공집계표"/>
      <sheetName val="원가data"/>
      <sheetName val="견적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표"/>
      <sheetName val="설계예산내역서(전체분)"/>
      <sheetName val="Sheet1"/>
      <sheetName val="본선"/>
      <sheetName val="교차로개선"/>
      <sheetName val="내역서(기계)"/>
      <sheetName val="수목데이타 "/>
      <sheetName val="7.신상품현황"/>
      <sheetName val="Graph (LGEN)"/>
      <sheetName val="out_prog"/>
      <sheetName val="선적schedule (2)"/>
      <sheetName val="내역"/>
      <sheetName val="토사(PE)"/>
      <sheetName val="ABUT수량-A1"/>
      <sheetName val="구조물철거타공정이월"/>
      <sheetName val="백호우계수"/>
      <sheetName val="조명시설"/>
      <sheetName val="냉천부속동"/>
      <sheetName val="노무비"/>
      <sheetName val="경산"/>
      <sheetName val="변화치수"/>
      <sheetName val="건축2"/>
      <sheetName val="수량산출"/>
      <sheetName val="관급"/>
      <sheetName val="토목"/>
      <sheetName val="SCH"/>
      <sheetName val="Requirement(Work Crew)"/>
      <sheetName val="Ⅲ.1.운영총괄"/>
      <sheetName val="원가data"/>
      <sheetName val="수목데이타_"/>
      <sheetName val="7_신상품현황"/>
      <sheetName val="Graph_(LGEN)"/>
      <sheetName val="선적schedule_(2)"/>
      <sheetName val="Requirement(Work_Crew)"/>
      <sheetName val="Ⅲ_1_운영총괄"/>
      <sheetName val="입력"/>
      <sheetName val="96노임기준"/>
      <sheetName val="내역서(총)"/>
      <sheetName val="교각1"/>
      <sheetName val="6공구(당초)"/>
      <sheetName val="상반기손익차2총괄"/>
      <sheetName val="실행대비"/>
      <sheetName val="DAN"/>
      <sheetName val="총괄표"/>
      <sheetName val="비탈면보호공수량산출"/>
      <sheetName val="내역서"/>
      <sheetName val="교대시종점"/>
      <sheetName val="금액결정"/>
      <sheetName val="노임단가"/>
      <sheetName val="자재단가"/>
      <sheetName val="토공유동표"/>
      <sheetName val="일위대가"/>
      <sheetName val="단가"/>
      <sheetName val="남대문빌딩"/>
      <sheetName val="견적서"/>
      <sheetName val="ⴭⴭⴭⴭⴭ"/>
      <sheetName val="Sheet15"/>
      <sheetName val="을"/>
      <sheetName val="소일위대가코드표"/>
      <sheetName val="#REF"/>
      <sheetName val="토공사"/>
      <sheetName val="9811"/>
      <sheetName val="데이타"/>
      <sheetName val="96정변2"/>
      <sheetName val="노무비단가"/>
      <sheetName val="토공운반"/>
      <sheetName val="말뚝지지력산정"/>
      <sheetName val="const."/>
      <sheetName val="노견단위수량"/>
      <sheetName val="노임"/>
      <sheetName val="횡배수관"/>
      <sheetName val="집계표"/>
      <sheetName val="아이콘"/>
      <sheetName val="건축내역"/>
      <sheetName val="wall"/>
      <sheetName val="2.냉난방설비공사"/>
      <sheetName val="7.자동제어공사"/>
      <sheetName val="노무단가"/>
      <sheetName val="CT"/>
      <sheetName val="70%"/>
      <sheetName val="내역서01"/>
      <sheetName val="DONGA4"/>
      <sheetName val="설계내역일위"/>
      <sheetName val="점수계산1-2"/>
      <sheetName val="매각(6)"/>
      <sheetName val="Sheet4"/>
      <sheetName val="제출내역 (2)"/>
      <sheetName val="N賃率-職"/>
      <sheetName val="일위대가표"/>
      <sheetName val="기계경비(시간당)"/>
      <sheetName val="램머"/>
      <sheetName val="내역표지"/>
      <sheetName val="단위수량"/>
      <sheetName val="현장관리비"/>
      <sheetName val="데리네이타현황"/>
      <sheetName val="날개벽"/>
      <sheetName val="단위중량"/>
      <sheetName val="4.2유효폭의 계산"/>
      <sheetName val="시설물일위"/>
      <sheetName val="터파기및재료"/>
      <sheetName val="몰탈재료산출"/>
      <sheetName val="제경비율"/>
      <sheetName val="우,오수"/>
      <sheetName val="수목표준대가"/>
      <sheetName val="COVER"/>
      <sheetName val="날개벽(시점좌측)"/>
      <sheetName val="인부노임"/>
      <sheetName val="대비"/>
      <sheetName val="기초일위"/>
      <sheetName val="시설일위"/>
      <sheetName val="조명일위"/>
      <sheetName val="재료"/>
      <sheetName val="초"/>
      <sheetName val="전차선로 물량표"/>
      <sheetName val="한강운반비"/>
      <sheetName val="총 괄 표"/>
      <sheetName val="2000년1차"/>
      <sheetName val="자재"/>
      <sheetName val="공통(20-91)"/>
      <sheetName val="부표총괄"/>
      <sheetName val="건축공사비내역서-아파트"/>
      <sheetName val="건축공사비내역서-기타시설"/>
      <sheetName val="기계상세"/>
      <sheetName val="개소별수량산출"/>
      <sheetName val="설비"/>
      <sheetName val="일위목록"/>
      <sheetName val="요율"/>
      <sheetName val="단가 "/>
      <sheetName val="일위대가 "/>
      <sheetName val="자료"/>
      <sheetName val="노무비 "/>
      <sheetName val="갑지"/>
      <sheetName val="배수내역"/>
      <sheetName val="공종별자재"/>
      <sheetName val="총괄내역서"/>
      <sheetName val="남원(내)"/>
      <sheetName val="충주"/>
      <sheetName val="설비비4"/>
      <sheetName val="DATE"/>
      <sheetName val="남양주부대"/>
      <sheetName val="견"/>
      <sheetName val="인건비"/>
      <sheetName val="1.우편집중내역서"/>
      <sheetName val="을지"/>
      <sheetName val="ysn"/>
      <sheetName val="매입가격"/>
      <sheetName val="돈암사업"/>
      <sheetName val="관급자재대"/>
      <sheetName val="단면 (2)"/>
      <sheetName val="기둥(원형)"/>
      <sheetName val="견적"/>
      <sheetName val="초기화면"/>
      <sheetName val="데이터"/>
      <sheetName val="산출기준자료"/>
      <sheetName val="물집"/>
      <sheetName val="아스팔트 포장총괄집계표"/>
      <sheetName val="전산망"/>
      <sheetName val="유림골조"/>
      <sheetName val="1호인버트수량"/>
      <sheetName val="말고개터널조명전압강하"/>
      <sheetName val="발주설계서(당초)"/>
      <sheetName val="진주방향"/>
      <sheetName val="마산방향"/>
      <sheetName val="마산방향철근집계"/>
      <sheetName val="부대공"/>
      <sheetName val="배수공"/>
      <sheetName val="구조물공"/>
      <sheetName val="인건비 "/>
      <sheetName val="BID"/>
      <sheetName val="DATA 입력란"/>
      <sheetName val="1. 설계조건 2.단면가정 3. 하중계산"/>
      <sheetName val="실행철강하도"/>
      <sheetName val="일위대가(가설)"/>
      <sheetName val="골조시행"/>
      <sheetName val="Total"/>
      <sheetName val="본실행경비"/>
      <sheetName val="노임이"/>
      <sheetName val="9509"/>
      <sheetName val="예산서"/>
      <sheetName val="목표세부명세"/>
      <sheetName val="가압장구체수량산출서"/>
      <sheetName val="의왕내역"/>
      <sheetName val="중기사용료산출근거"/>
      <sheetName val="단가 및 재료비"/>
      <sheetName val="File_관급"/>
      <sheetName val="공정집계"/>
      <sheetName val="원가계산서(공사)"/>
      <sheetName val="연결임시"/>
      <sheetName val="Sheet3"/>
      <sheetName val="Sheet2"/>
      <sheetName val="반응조"/>
      <sheetName val="하수량수질"/>
      <sheetName val="TRE TABLE"/>
      <sheetName val="내2"/>
      <sheetName val="첨부1-1"/>
      <sheetName val="MATERIAL"/>
      <sheetName val="공조기"/>
      <sheetName val="공조기휀"/>
      <sheetName val="AHU집계"/>
      <sheetName val="시중노임(공사)"/>
      <sheetName val="토목주소"/>
      <sheetName val="대로근거"/>
      <sheetName val="48일위(기존)"/>
      <sheetName val="공사요율"/>
      <sheetName val="실행내역 "/>
      <sheetName val="지주토목내역서"/>
      <sheetName val="설계조건"/>
      <sheetName val="안정계산"/>
      <sheetName val="단면검토"/>
      <sheetName val="시설수량표"/>
      <sheetName val="보도공제면적"/>
      <sheetName val="b_balju"/>
      <sheetName val="지급자재"/>
      <sheetName val="금융비용"/>
      <sheetName val="금액내역서"/>
      <sheetName val="이토변실(A3-LINE)"/>
      <sheetName val="CTEMCOST"/>
      <sheetName val="6PILE  (돌출)"/>
      <sheetName val="토목내역서"/>
      <sheetName val="Sheet17"/>
      <sheetName val="INPUT"/>
      <sheetName val="PAD TR보호대기초"/>
      <sheetName val="가로등기초"/>
      <sheetName val="HANDHOLE(2)"/>
      <sheetName val="몰탈콘크리트"/>
      <sheetName val="철근집계"/>
      <sheetName val="열린교실"/>
      <sheetName val="단가표"/>
      <sheetName val="공문"/>
      <sheetName val="7단가"/>
      <sheetName val="2터널시점"/>
      <sheetName val="공제구간조서"/>
      <sheetName val="투찰추정"/>
      <sheetName val="가정조건"/>
      <sheetName val="원가계산서(남측)"/>
      <sheetName val="DATA 입력부"/>
      <sheetName val="표지"/>
      <sheetName val="보고"/>
      <sheetName val="설계명세서"/>
      <sheetName val="품셈표"/>
      <sheetName val="설계내역서"/>
      <sheetName val="별표"/>
      <sheetName val="설계서을"/>
      <sheetName val="맨홀수량"/>
      <sheetName val="기본단가"/>
      <sheetName val="변경내역"/>
      <sheetName val="식재일위"/>
      <sheetName val="간지(5.04)"/>
      <sheetName val=" 내역"/>
      <sheetName val="H=2.0m"/>
      <sheetName val="49단가"/>
      <sheetName val="49산출"/>
      <sheetName val="품셈"/>
      <sheetName val="노무비목록"/>
      <sheetName val="자재목록"/>
      <sheetName val="기준요인별"/>
      <sheetName val="금광1터널"/>
      <sheetName val="03. 입찰내역서(공내역서 )"/>
      <sheetName val="프랜트면허"/>
      <sheetName val="금융"/>
      <sheetName val="증감내역서"/>
      <sheetName val="적용노임"/>
      <sheetName val="교대(A1)"/>
      <sheetName val="남양시작동010313100%"/>
      <sheetName val="2차공사"/>
      <sheetName val="단 box"/>
      <sheetName val="납부서"/>
      <sheetName val="기본조건"/>
      <sheetName val="(A)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냉천부속동"/>
      <sheetName val="2.냉난방설비공사"/>
      <sheetName val="7.자동제어공사"/>
      <sheetName val="내역서(기계)"/>
      <sheetName val="공조기"/>
      <sheetName val="견적서"/>
      <sheetName val="계정"/>
      <sheetName val="자압"/>
      <sheetName val="노임"/>
      <sheetName val="수목데이타 "/>
      <sheetName val="7.신상품현황"/>
      <sheetName val="입찰안"/>
      <sheetName val="견적단가비교표"/>
      <sheetName val="1호인버트수량"/>
      <sheetName val="2_냉난방설비공사"/>
      <sheetName val="7_자동제어공사"/>
      <sheetName val="수목데이타_"/>
      <sheetName val="7_신상품현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일위산출근거 (2)"/>
      <sheetName val="COST"/>
      <sheetName val="노임"/>
      <sheetName val="본부조서"/>
      <sheetName val="건설갑지"/>
      <sheetName val="광세자재청구서"/>
      <sheetName val="2회기성청구서"/>
      <sheetName val="광세기성고내역"/>
      <sheetName val="견적서갑지"/>
      <sheetName val="견적서을지"/>
      <sheetName val="사진"/>
      <sheetName val="노임단가"/>
      <sheetName val="단가비교표"/>
      <sheetName val="단가산출"/>
      <sheetName val="TRE TABLE"/>
      <sheetName val="횡배수관"/>
      <sheetName val="견적서"/>
      <sheetName val="일위대가표"/>
      <sheetName val="토공집계표"/>
      <sheetName val="실행철강하도"/>
      <sheetName val="내역서(기계)"/>
      <sheetName val="집계표"/>
      <sheetName val="설비내역서"/>
      <sheetName val="건축내역서"/>
      <sheetName val="전기내역서"/>
      <sheetName val="예산명세서"/>
      <sheetName val="설계명세서"/>
      <sheetName val="자료입력"/>
      <sheetName val="교통대책내역"/>
      <sheetName val="수량산출"/>
      <sheetName val="R&amp;D"/>
      <sheetName val="계정"/>
      <sheetName val="200505임금"/>
      <sheetName val="변경연봉"/>
      <sheetName val="일위산출근거_(2)"/>
      <sheetName val="TRE_TABLE"/>
      <sheetName val="AIR갑지"/>
      <sheetName val="갑지"/>
      <sheetName val="내역서"/>
      <sheetName val="시설대외"/>
      <sheetName val="Sheet1"/>
      <sheetName val="갑지 (3)"/>
      <sheetName val="내역서양식"/>
      <sheetName val="단가마지막 (2)"/>
      <sheetName val="열량계단가비교"/>
      <sheetName val="열량계단가비교 (2)"/>
      <sheetName val="일위대가"/>
      <sheetName val="배관공사"/>
      <sheetName val="내역(정지)"/>
      <sheetName val="#REF"/>
      <sheetName val="일위(PN)"/>
      <sheetName val="냉천부속동"/>
      <sheetName val="변경내역을"/>
      <sheetName val="건축내역"/>
      <sheetName val="노무비"/>
      <sheetName val="수목표준대가"/>
      <sheetName val="공조기"/>
      <sheetName val="납부서"/>
      <sheetName val="File_관급"/>
      <sheetName val="공정집계"/>
      <sheetName val="코드표"/>
      <sheetName val="자동차폐수처리장"/>
      <sheetName val="경산"/>
      <sheetName val="기본사항"/>
      <sheetName val="일위대가모듈"/>
      <sheetName val="일위대가집계표"/>
      <sheetName val="DATA"/>
      <sheetName val="일위대가표지"/>
      <sheetName val="시행분집계"/>
      <sheetName val="일위대가시행분"/>
      <sheetName val="단가산출표지"/>
      <sheetName val="단가산출집계"/>
      <sheetName val="H-PILE수량집계"/>
      <sheetName val="내역서2안"/>
      <sheetName val="내역"/>
      <sheetName val="조건표"/>
      <sheetName val="일위대가(4층원격)"/>
      <sheetName val="20관리비율"/>
      <sheetName val="J直材4"/>
      <sheetName val="분전함신설"/>
      <sheetName val="접지1종"/>
      <sheetName val="빗물받이(910-510-410)"/>
      <sheetName val="포장총집"/>
      <sheetName val="포장총집계"/>
      <sheetName val="포장집"/>
      <sheetName val="포장집계"/>
      <sheetName val="표준횡단"/>
      <sheetName val="확폭면적"/>
      <sheetName val="포장연장"/>
      <sheetName val="측구증감"/>
      <sheetName val="측구공제"/>
      <sheetName val="L형절포장공제"/>
      <sheetName val="L형성포장공제"/>
      <sheetName val="L형옹벽포장공제"/>
      <sheetName val="브럭체인"/>
      <sheetName val="접속수량집"/>
      <sheetName val="접속포장집"/>
      <sheetName val="접속산출 "/>
      <sheetName val="수방진입"/>
      <sheetName val="산출근거"/>
      <sheetName val="터파기및재료"/>
      <sheetName val="관로공표지"/>
      <sheetName val="토공1차"/>
      <sheetName val="I一般比"/>
      <sheetName val="N賃率-職"/>
      <sheetName val="현장관리비"/>
      <sheetName val="7.노임단가"/>
      <sheetName val="금융비용"/>
      <sheetName val="단가비교표(노무)"/>
      <sheetName val="정부노임단가"/>
      <sheetName val="자재단가"/>
      <sheetName val="강관배관"/>
      <sheetName val="기계실강관배관"/>
      <sheetName val="STS PIPE"/>
      <sheetName val="기계실STS PIPE"/>
      <sheetName val="화장실STS PIPE"/>
      <sheetName val="배수배관"/>
      <sheetName val="위생기구"/>
      <sheetName val="VALVE"/>
      <sheetName val="신축계수"/>
      <sheetName val="PUMP"/>
      <sheetName val="관보온"/>
      <sheetName val="피팅보온"/>
      <sheetName val="VALVE 보온"/>
      <sheetName val="장비"/>
      <sheetName val="코아"/>
      <sheetName val="DUCT"/>
      <sheetName val="DUCT 철거"/>
      <sheetName val="잡철물"/>
      <sheetName val="소화설비"/>
      <sheetName val="FAN"/>
      <sheetName val="PVC"/>
      <sheetName val="유량계"/>
      <sheetName val="토건"/>
      <sheetName val="설계산출표지"/>
      <sheetName val="내역-가"/>
      <sheetName val="BQ(실행)"/>
      <sheetName val="공통가설"/>
      <sheetName val="공통공사"/>
      <sheetName val="을"/>
      <sheetName val="배수공"/>
      <sheetName val="도수로집"/>
      <sheetName val="도수로"/>
      <sheetName val="측구공집계"/>
      <sheetName val="L형옹벽측구"/>
      <sheetName val="L형측구"/>
      <sheetName val="맹암거(TY-1)"/>
      <sheetName val="맹암거(TY-2)"/>
      <sheetName val="V형측구"/>
      <sheetName val="BOX총집계"/>
      <sheetName val="BOX집계"/>
      <sheetName val="박스단위1"/>
      <sheetName val="암거평균H"/>
      <sheetName val="날개벽집계"/>
      <sheetName val="날개단위"/>
      <sheetName val="BOX난간차수"/>
      <sheetName val="난간지수수량"/>
      <sheetName val="날개벽단위수량"/>
      <sheetName val="날개벽단위수량1"/>
      <sheetName val="날개벽단위수량2"/>
      <sheetName val="날개벽공제"/>
      <sheetName val="암거사각보강"/>
      <sheetName val="횡배수집계"/>
      <sheetName val="횡배수량"/>
      <sheetName val="횡토공1"/>
      <sheetName val="횡토공 2"/>
      <sheetName val="횡토공 3"/>
      <sheetName val="횡배수관보강"/>
      <sheetName val="횡배수단위"/>
      <sheetName val="횡배날개수량"/>
      <sheetName val="날개단위1"/>
      <sheetName val="횡배날공제"/>
      <sheetName val="횡배날개공제"/>
      <sheetName val="횡배날개토공"/>
      <sheetName val="횡배평균H"/>
      <sheetName val="횡날개벽토공"/>
      <sheetName val="절도수단위"/>
      <sheetName val="도수단위"/>
      <sheetName val="집수정집계"/>
      <sheetName val="종배집계표"/>
      <sheetName val="면벽단위량"/>
      <sheetName val="종배토공단위량"/>
      <sheetName val="빗물집계"/>
      <sheetName val="구조물공"/>
      <sheetName val="옹벽집계"/>
      <sheetName val="옹벽단위"/>
      <sheetName val="옹벽신축이음"/>
      <sheetName val="석축집계"/>
      <sheetName val="석축조서"/>
      <sheetName val="돌붙임"/>
      <sheetName val="단가"/>
      <sheetName val="시설물일위"/>
      <sheetName val="남대문빌딩"/>
      <sheetName val="단위수량"/>
      <sheetName val="원가계산"/>
      <sheetName val="인사자료총집계"/>
      <sheetName val="남양주부대"/>
      <sheetName val="96노임기준"/>
      <sheetName val="가로등내역서"/>
      <sheetName val="총괄갑 "/>
      <sheetName val="참고자료"/>
      <sheetName val="소방기계"/>
      <sheetName val="Sheet5"/>
      <sheetName val="10월"/>
      <sheetName val="대비"/>
      <sheetName val="2.대외공문"/>
      <sheetName val="일위대가(건축)"/>
      <sheetName val="구조물총"/>
      <sheetName val="BOX총"/>
      <sheetName val="BOX재료"/>
      <sheetName val="박스단위(1.5×1.0)본선"/>
      <sheetName val="날개단위(1.5×1.5)마을"/>
      <sheetName val="날개수량(1.5×1.5)2마을"/>
      <sheetName val="난간,지수단위"/>
      <sheetName val="난간,지수수량"/>
      <sheetName val="박스연장조서 "/>
      <sheetName val="우오수공집계"/>
      <sheetName val="우수받이집계"/>
      <sheetName val="우수받이단위"/>
      <sheetName val="우수받이위치조서"/>
      <sheetName val="오수관집계"/>
      <sheetName val="오수관연장조서"/>
      <sheetName val="인원계획-미화"/>
      <sheetName val="JUCKEYK"/>
      <sheetName val="일반관리비"/>
      <sheetName val="CR CODE"/>
      <sheetName val="부서CODE"/>
      <sheetName val="THEME CODE"/>
      <sheetName val="작성양식"/>
      <sheetName val="충주"/>
      <sheetName val="COVER"/>
      <sheetName val="예가표"/>
      <sheetName val="급여11월"/>
      <sheetName val="인건비"/>
      <sheetName val="6호기"/>
      <sheetName val="산출기준(파견전산실)"/>
      <sheetName val="7단가"/>
      <sheetName val="관급"/>
      <sheetName val="Sheet2"/>
      <sheetName val="Sheet3"/>
      <sheetName val="Total"/>
      <sheetName val="98지급계획"/>
      <sheetName val="XXXXXX"/>
      <sheetName val="우수관로 자재집계  "/>
      <sheetName val="우수관로 수량집계"/>
      <sheetName val="우수관로자재접합 "/>
      <sheetName val="맨홀집계표 "/>
      <sheetName val="맨홀수량"/>
      <sheetName val="맨홀토공"/>
      <sheetName val="안전장치"/>
      <sheetName val="데이타"/>
      <sheetName val="A"/>
      <sheetName val="8공구일위"/>
      <sheetName val="9공구일위"/>
      <sheetName val="10공구일위"/>
      <sheetName val="11공구일위"/>
      <sheetName val="일위_파일"/>
      <sheetName val="45,46"/>
      <sheetName val="자  재"/>
      <sheetName val="건축외주"/>
      <sheetName val="식재"/>
      <sheetName val="시설물"/>
      <sheetName val="식재출력용"/>
      <sheetName val="유지관리"/>
      <sheetName val="단가결정"/>
      <sheetName val="산출내역서집계표"/>
      <sheetName val="수량집계"/>
      <sheetName val="2000년1차"/>
      <sheetName val="식재인부"/>
      <sheetName val="요율"/>
      <sheetName val="COPING"/>
      <sheetName val="자재단가조사표-수목"/>
      <sheetName val="간지"/>
      <sheetName val="장비종합부표"/>
      <sheetName val="집계표_식재"/>
      <sheetName val="부표"/>
      <sheetName val="단가 및 재료비"/>
      <sheetName val="단가산출2"/>
      <sheetName val="단가산출1"/>
      <sheetName val="중기사용료산출근거"/>
      <sheetName val="표지"/>
      <sheetName val="구조물공집계"/>
      <sheetName val="암거집계 "/>
      <sheetName val="암거구체수량"/>
      <sheetName val="암거구체"/>
      <sheetName val="날개벽집계표"/>
      <sheetName val="날개벽단위"/>
      <sheetName val="차수벽집계표"/>
      <sheetName val="차수벽"/>
      <sheetName val="설계예시"/>
      <sheetName val="전산망"/>
      <sheetName val="실행내역서"/>
      <sheetName val="철콘-부대"/>
      <sheetName val="갑지(추정)"/>
      <sheetName val="부하계산서"/>
      <sheetName val="실행"/>
      <sheetName val="수로단위수량"/>
      <sheetName val="Sheet1 (2)"/>
      <sheetName val="자재별집계"/>
      <sheetName val="총재료집계"/>
      <sheetName val="개거재료집계"/>
      <sheetName val="개거수량산출"/>
      <sheetName val="개거위치조서"/>
      <sheetName val="덮개재료집계"/>
      <sheetName val="덮개수량산출"/>
      <sheetName val="덮개위치조서"/>
      <sheetName val="토적계산"/>
      <sheetName val="폐기물산출"/>
      <sheetName val="깨기재료집계"/>
      <sheetName val="깨기수량산출"/>
      <sheetName val="깨기위치조서"/>
      <sheetName val="중보용수로취입수문재료표"/>
      <sheetName val="중보용수로취입수문"/>
      <sheetName val="중보용수로취입수깨기수량"/>
      <sheetName val="1 자원총괄"/>
      <sheetName val="교각1"/>
      <sheetName val="SIL98"/>
      <sheetName val="소방"/>
      <sheetName val="갑지_(3)"/>
      <sheetName val="단가마지막_(2)"/>
      <sheetName val="열량계단가비교_(2)"/>
      <sheetName val="일위산출근거_(2)1"/>
      <sheetName val="갑지_(3)1"/>
      <sheetName val="단가마지막_(2)1"/>
      <sheetName val="열량계단가비교_(2)1"/>
      <sheetName val="일위산출근거_(2)2"/>
      <sheetName val="갑지_(3)2"/>
      <sheetName val="단가마지막_(2)2"/>
      <sheetName val="열량계단가비교_(2)2"/>
      <sheetName val="copy"/>
      <sheetName val="서식"/>
      <sheetName val="단가조사"/>
      <sheetName val="수목데이타"/>
      <sheetName val="경비"/>
      <sheetName val="공조기휀"/>
      <sheetName val="AHU집계"/>
      <sheetName val="돈암사업"/>
      <sheetName val="골조시행"/>
      <sheetName val="본실행경비"/>
      <sheetName val="노임이"/>
      <sheetName val="내역5"/>
      <sheetName val="일위대가표 "/>
      <sheetName val="견"/>
      <sheetName val="내역전기"/>
      <sheetName val="국내조달(통합-1)"/>
      <sheetName val="Config"/>
      <sheetName val="단가 "/>
      <sheetName val="EQ-R1"/>
      <sheetName val="을지"/>
      <sheetName val="내역서(기둥식)"/>
      <sheetName val="수목데이타 "/>
      <sheetName val="Sheet4"/>
      <sheetName val="8.수량산출 (2)"/>
      <sheetName val="DATE"/>
      <sheetName val="유림골조"/>
      <sheetName val="송전재료비"/>
      <sheetName val="guard(mac)"/>
      <sheetName val="관급자재"/>
      <sheetName val="형식 - 1-2-3"/>
      <sheetName val="4차원가계산서"/>
      <sheetName val="Sheet6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상반기손익차2총괄"/>
      <sheetName val="공제구간조서"/>
      <sheetName val="설계내역서"/>
      <sheetName val="6공구(당초)"/>
      <sheetName val="일위대가표.xls"/>
      <sheetName val="%EC%9D%BC%EC%9C%84%EB%8C%80%EA%"/>
      <sheetName val="지하층LOAD"/>
      <sheetName val="원가계산서(남측)"/>
      <sheetName val="개소별수량산출"/>
      <sheetName val="기계경비"/>
      <sheetName val="VXXXXXX"/>
      <sheetName val="-구조물공토공"/>
      <sheetName val="-접속도로-"/>
      <sheetName val="-접속도로증감1"/>
      <sheetName val="JA8-4"/>
      <sheetName val="밸브설치"/>
      <sheetName val="설계조건"/>
      <sheetName val="ABUT수량-A1"/>
      <sheetName val="저"/>
      <sheetName val="바닥판"/>
      <sheetName val="역T형교대(말뚝기초)"/>
      <sheetName val="3BL공동구 수량"/>
      <sheetName val="SAM"/>
      <sheetName val="인건-측정"/>
      <sheetName val="11.닥트설치공사(bm)"/>
      <sheetName val="소방사항"/>
      <sheetName val="배수장토목공사비"/>
      <sheetName val="주요공사"/>
      <sheetName val="구조물깨기"/>
      <sheetName val="지수토공수량"/>
      <sheetName val="날개벽단위수량1 (2)"/>
      <sheetName val="박스연장조서"/>
      <sheetName val="종배집계"/>
      <sheetName val="철근레미집"/>
      <sheetName val="몰탈포장집"/>
      <sheetName val="토공계획"/>
      <sheetName val="토적표"/>
      <sheetName val="개거집계"/>
      <sheetName val="개거연장"/>
      <sheetName val="개거2.0"/>
      <sheetName val="개거1.7"/>
      <sheetName val="개거1.5"/>
      <sheetName val="개거1.3"/>
      <sheetName val="작업일수"/>
      <sheetName val="그라수량"/>
      <sheetName val="주입량"/>
      <sheetName val="찬공량총괄"/>
      <sheetName val="찬공량공별내역"/>
      <sheetName val="예정공정표"/>
      <sheetName val="예정공정표 (2)"/>
      <sheetName val="예정공정표 (3)"/>
      <sheetName val="목록"/>
      <sheetName val="암거단위-1련"/>
      <sheetName val="설비2차"/>
      <sheetName val="순공사비"/>
      <sheetName val="현장별계약현황('98.10.31)"/>
      <sheetName val="기(단) (1)"/>
      <sheetName val="맨홀조서"/>
      <sheetName val="부속동"/>
      <sheetName val=" 냉각수펌프"/>
      <sheetName val="공문"/>
      <sheetName val="빈"/>
      <sheetName val="부표총괄"/>
      <sheetName val="기초목"/>
      <sheetName val="00노임기준"/>
      <sheetName val="본문"/>
      <sheetName val="회사99"/>
      <sheetName val="참조자료"/>
      <sheetName val="근로자자료입력"/>
      <sheetName val="수입"/>
      <sheetName val="3련 BOX"/>
      <sheetName val="보할공정"/>
      <sheetName val="공통단가"/>
      <sheetName val="운반비"/>
      <sheetName val="2000양배"/>
      <sheetName val="#3_일위대가목록"/>
      <sheetName val="단가표"/>
      <sheetName val="본사공가현황"/>
      <sheetName val="3.하중산정4.지지력"/>
      <sheetName val="제경비율"/>
      <sheetName val="손익차9월2"/>
      <sheetName val="인부신상자료"/>
      <sheetName val="02-10 (실행)"/>
      <sheetName val="대제목 (수량)"/>
      <sheetName val="깨기집계"/>
      <sheetName val="깨기수량(계남)"/>
      <sheetName val="총괄집계"/>
      <sheetName val="골재집계"/>
      <sheetName val="호안집계(계남제)"/>
      <sheetName val="호안 산출근거(계남제) "/>
      <sheetName val="단위수량(계남제)"/>
      <sheetName val="돌붙임수량"/>
      <sheetName val="연장및면적"/>
      <sheetName val="돌붙임보호"/>
      <sheetName val="data (누계)"/>
      <sheetName val="data(실적)"/>
      <sheetName val="data (전년동기)"/>
      <sheetName val="토공(우물통,기타) "/>
      <sheetName val="중기 부표"/>
      <sheetName val="대전(세창동)"/>
      <sheetName val="토목"/>
      <sheetName val="위치조서"/>
      <sheetName val="5Strand-장기처짐PCI"/>
      <sheetName val="형상"/>
      <sheetName val="단위중량"/>
      <sheetName val="노임단"/>
      <sheetName val="운반공"/>
      <sheetName val="자재단"/>
      <sheetName val="장비단"/>
      <sheetName val="광주운남을"/>
      <sheetName val="집계"/>
      <sheetName val="갑지1"/>
      <sheetName val="갑지2"/>
      <sheetName val="갑지3"/>
      <sheetName val="갑지4"/>
      <sheetName val="구조물주요자재 (2)"/>
      <sheetName val="목차"/>
      <sheetName val="구조물주요자재"/>
      <sheetName val="시멘트골재"/>
      <sheetName val="콘크리트수량"/>
      <sheetName val="내역적용수량"/>
      <sheetName val="이기수량"/>
      <sheetName val="가도,축도"/>
      <sheetName val="토공총괄"/>
      <sheetName val="교량총괄집계"/>
      <sheetName val="철근수량총괄"/>
      <sheetName val="토공총괄집계"/>
      <sheetName val="일반수량총괄"/>
      <sheetName val="신성1철근169"/>
      <sheetName val="슬래브수량173"/>
      <sheetName val="슬래브철근175"/>
      <sheetName val="콘크 산툴  179"/>
      <sheetName val="율촌강재"/>
      <sheetName val="거푸집산출"/>
      <sheetName val="도장수량188"/>
      <sheetName val="도장면적수량"/>
      <sheetName val="도장콘크"/>
      <sheetName val="도장거푸집"/>
      <sheetName val="광양강재"/>
      <sheetName val="광양도장208"/>
      <sheetName val="도장면적수량 215"/>
      <sheetName val="강교총량"/>
      <sheetName val="총괄강재"/>
      <sheetName val="도장수량총괄"/>
      <sheetName val="가설벤트수량"/>
      <sheetName val="토공집계222"/>
      <sheetName val="일반수량223"/>
      <sheetName val="교대철근225"/>
      <sheetName val="교대산출227"/>
      <sheetName val="교대산출243"/>
      <sheetName val="교대산출260"/>
      <sheetName val="교대철근280"/>
      <sheetName val="토공집계"/>
      <sheetName val="교각일반수량"/>
      <sheetName val="교각철근수량"/>
      <sheetName val="토공산출"/>
      <sheetName val="콘크리트산출294"/>
      <sheetName val="가시설317"/>
      <sheetName val="옹벽토공"/>
      <sheetName val="옹벽일반"/>
      <sheetName val="옹벽철근"/>
      <sheetName val="옹벽산출322"/>
      <sheetName val="옹벽콘크산출"/>
      <sheetName val="수량잡계328"/>
      <sheetName val="철근수량"/>
      <sheetName val="보강토조립"/>
      <sheetName val="섬유보강재"/>
      <sheetName val="부속자재"/>
      <sheetName val="가축도수량"/>
      <sheetName val="가시설산출336"/>
      <sheetName val="신성1교가교TYPE-A"/>
      <sheetName val="신성1교가교TYPE-B"/>
      <sheetName val="일위목록"/>
      <sheetName val="내역서적용"/>
      <sheetName val="데리네이타현황"/>
      <sheetName val="001"/>
      <sheetName val="소비자가"/>
      <sheetName val="예산M12A"/>
      <sheetName val="상수구조화편집부표"/>
      <sheetName val="철콘공사"/>
      <sheetName val="교각별수량"/>
      <sheetName val="wall"/>
      <sheetName val="인부노임"/>
      <sheetName val="내역표지"/>
      <sheetName val="원가(02발주)"/>
      <sheetName val="사급 관급"/>
      <sheetName val="관급자재 (2)"/>
      <sheetName val="사급자재"/>
      <sheetName val="원가(상우)"/>
      <sheetName val="상와우(변경)"/>
      <sheetName val="원가(상좌)"/>
      <sheetName val="상와좌(변경)"/>
      <sheetName val="원가(이전)"/>
      <sheetName val="이전(변경)"/>
      <sheetName val="원가(구하)"/>
      <sheetName val="구하(변경)"/>
      <sheetName val="원가(구상)"/>
      <sheetName val="구상(변경)"/>
      <sheetName val="비교"/>
      <sheetName val="목차."/>
      <sheetName val="1.설계설명서"/>
      <sheetName val="설계설명서"/>
      <sheetName val="2.예정공정"/>
      <sheetName val="3.일반시방"/>
      <sheetName val="4.설변 내역"/>
      <sheetName val="5.단가결정"/>
      <sheetName val="6.수량산출서"/>
      <sheetName val="설계예산서"/>
      <sheetName val="갑지 (2)"/>
      <sheetName val="동원인원계획표"/>
      <sheetName val="Sheet7"/>
      <sheetName val="설계변경사유 (2)"/>
      <sheetName val="일반공사"/>
      <sheetName val="노무비단가"/>
      <sheetName val="다이꾸"/>
      <sheetName val="보집계표"/>
      <sheetName val="2000,9월 일위"/>
      <sheetName val="일위총괄표"/>
      <sheetName val="3단계"/>
      <sheetName val="2단계"/>
      <sheetName val="공사원가계산서"/>
      <sheetName val="일위대가집계"/>
      <sheetName val="기초일위"/>
      <sheetName val="시설일위"/>
      <sheetName val="조명일위"/>
      <sheetName val="참조"/>
      <sheetName val="총괄내역서"/>
      <sheetName val="하자항목"/>
      <sheetName val="경상직원"/>
      <sheetName val="왕십리방향"/>
      <sheetName val="건축-물가변동"/>
      <sheetName val="급여조견표"/>
      <sheetName val="일위대가목차"/>
      <sheetName val="잡철단가대비"/>
      <sheetName val="견적대비표"/>
      <sheetName val="약품공급2"/>
      <sheetName val="우배수"/>
      <sheetName val="입찰보고"/>
      <sheetName val="2000년 공정표"/>
      <sheetName val="유리"/>
      <sheetName val="DA"/>
      <sheetName val="TEL"/>
      <sheetName val="차액보증"/>
      <sheetName val="부대대비"/>
      <sheetName val="냉연집계"/>
      <sheetName val="우리들공원손익추정"/>
      <sheetName val="벽체면적당일위대가"/>
      <sheetName val="BID"/>
      <sheetName val="도급,하도급 예정금액"/>
      <sheetName val="총괄"/>
      <sheetName val="9811"/>
      <sheetName val="설비"/>
      <sheetName val="보고"/>
      <sheetName val="일위대가표(DEEP)"/>
      <sheetName val="CON'C"/>
      <sheetName val="Revised PEGS98"/>
      <sheetName val="배수내역"/>
      <sheetName val="개산공사비"/>
      <sheetName val="산출내역서"/>
      <sheetName val="식재가격"/>
      <sheetName val="식재총괄"/>
      <sheetName val="수량산출내역1115"/>
      <sheetName val="1-1평균터파기고(1)"/>
      <sheetName val="SG"/>
      <sheetName val="단  가  대  비  표"/>
      <sheetName val="일  위  대  가  목  록"/>
      <sheetName val="적현로"/>
      <sheetName val="BQ"/>
      <sheetName val="시중노임"/>
      <sheetName val="MOTOR"/>
      <sheetName val="적용단위길이"/>
      <sheetName val="중기사용료"/>
      <sheetName val="토목공사"/>
      <sheetName val="화산경계"/>
      <sheetName val="횡배위치"/>
      <sheetName val="TOTAL_BOQ"/>
      <sheetName val="대치판정"/>
      <sheetName val="피벗테이블데이터분석"/>
      <sheetName val="지진시"/>
      <sheetName val="U-TYPE(1)"/>
      <sheetName val="일위대가(가설)"/>
      <sheetName val="단면설계"/>
      <sheetName val="안정검토"/>
      <sheetName val="각형맨홀"/>
      <sheetName val="000000"/>
      <sheetName val="b_balju"/>
      <sheetName val="기초코드"/>
      <sheetName val="Macro1"/>
      <sheetName val="Sheet17"/>
      <sheetName val="부대내역"/>
      <sheetName val="ⴭⴭⴭⴭ"/>
      <sheetName val="물가시세"/>
      <sheetName val="집계표(육상)"/>
      <sheetName val="FOOTING단면력"/>
      <sheetName val="98수문일위"/>
      <sheetName val="횡배수관집현황(2공구)"/>
      <sheetName val="품셈기준"/>
      <sheetName val="수질정화시설"/>
      <sheetName val="평가대상(A1이상) 현황 "/>
      <sheetName val="개인성과Raw Data"/>
      <sheetName val="개인성과종합(평가군별-직급별)"/>
      <sheetName val="개인성과종합(전사단위-직급별)"/>
      <sheetName val="개인성과종합(전사단위-직급무시)"/>
      <sheetName val="개인성과종합(본부별-직급별)"/>
      <sheetName val="개인성과종합(본부별-직급무시)"/>
      <sheetName val="시뮬(종합)"/>
      <sheetName val="양식"/>
      <sheetName val="2.냉난방설비공사"/>
      <sheetName val="7.자동제어공사"/>
      <sheetName val="산수배수"/>
      <sheetName val="공종별집계표"/>
      <sheetName val="실적원가"/>
      <sheetName val="제안서입력"/>
      <sheetName val="절감계산"/>
      <sheetName val="입력창"/>
      <sheetName val="XL4Poppy"/>
      <sheetName val="고정비양식"/>
      <sheetName val="118.세금과공과"/>
      <sheetName val="수선비"/>
      <sheetName val="넉시~922"/>
      <sheetName val="대수산분기~LG918"/>
      <sheetName val="색달~중문"/>
      <sheetName val="중문~삼일"/>
      <sheetName val="신서귀~고근산"/>
      <sheetName val="미악분기~913"/>
      <sheetName val="하수급견적대비"/>
      <sheetName val="실행내역"/>
      <sheetName val="직재"/>
      <sheetName val="재집"/>
      <sheetName val="APT"/>
      <sheetName val="토목주소"/>
      <sheetName val="프랜트면허"/>
      <sheetName val="PYROK"/>
      <sheetName val="FB25JN"/>
      <sheetName val="FB25JCN "/>
      <sheetName val="FB25CN"/>
      <sheetName val="GF25JN"/>
      <sheetName val="GF25JCN"/>
      <sheetName val="GC25JN"/>
      <sheetName val="GC50JN"/>
      <sheetName val="UF25GP"/>
      <sheetName val="UF25HP"/>
      <sheetName val="FUF PL25T"/>
      <sheetName val="UF25TP"/>
      <sheetName val="UF50GP"/>
      <sheetName val="PL25GP"/>
      <sheetName val="PL50GP"/>
      <sheetName val="PF25GP (2)"/>
      <sheetName val="PF25GP"/>
      <sheetName val="PF50GP"/>
      <sheetName val="DP2T"/>
      <sheetName val="DM1T"/>
      <sheetName val="BS"/>
      <sheetName val="SB"/>
      <sheetName val="AF(벽체)"/>
      <sheetName val="AF(천정)"/>
      <sheetName val="고무안전리브"/>
      <sheetName val="라왕몰딩"/>
      <sheetName val="라왕걸레받이"/>
      <sheetName val="유공ST'L RIB"/>
      <sheetName val="코펜하겐리브"/>
      <sheetName val="방음문(편개)"/>
      <sheetName val="ST'L편개"/>
      <sheetName val="방음문(편개) (2)"/>
      <sheetName val="ST'L양개"/>
      <sheetName val="방음문(양개)"/>
      <sheetName val="방음시창1M2 이하"/>
      <sheetName val="방음시창1M2 이상"/>
      <sheetName val="방음시창KSW1P"/>
      <sheetName val="방음시창KSW2P"/>
      <sheetName val="방음시창KSW3P"/>
      <sheetName val="벽체방진기"/>
      <sheetName val="벽돌지지기"/>
      <sheetName val="벽지지브라켓트"/>
      <sheetName val="흡음루바"/>
      <sheetName val="ACCESS FL."/>
      <sheetName val="ACCESS FL. (2)"/>
      <sheetName val="TECTUM"/>
      <sheetName val="TEC+FAB마감"/>
      <sheetName val="GC50JN (2)"/>
      <sheetName val="FB25JCN  (2)"/>
      <sheetName val="투찰추정"/>
      <sheetName val="건축내역(도급)"/>
      <sheetName val="도급양식"/>
      <sheetName val="2공구산출내역"/>
      <sheetName val="문학간접"/>
      <sheetName val="지수"/>
      <sheetName val="김동덕 자산 IF3"/>
      <sheetName val="국산화"/>
      <sheetName val="FAB별"/>
      <sheetName val="시실누(모) "/>
      <sheetName val="6F8"/>
      <sheetName val="TOEIC기준점수"/>
      <sheetName val="노임단가 (2)"/>
      <sheetName val="Low YLD Reject"/>
      <sheetName val="Graph Data"/>
      <sheetName val="A 견적"/>
      <sheetName val="0415"/>
      <sheetName val="노무단가"/>
      <sheetName val="A-4"/>
      <sheetName val="토목내역서"/>
      <sheetName val="할증"/>
      <sheetName val="8)중점관리장비현황"/>
      <sheetName val="Æo°¡±aAØ"/>
      <sheetName val="부하(성남)"/>
      <sheetName val="조도계산서 (도서)"/>
      <sheetName val="CTEMCOST"/>
      <sheetName val="2F 회의실견적(5_14 일대)"/>
      <sheetName val="특별교실"/>
      <sheetName val="예산대비"/>
      <sheetName val="중기일위대가"/>
      <sheetName val="변압기 및 발전기 용량"/>
      <sheetName val="입찰안"/>
      <sheetName val="인건비 "/>
      <sheetName val="산출기초"/>
      <sheetName val="기계공사"/>
      <sheetName val="콘_재료분리(1)"/>
      <sheetName val="단면 (2)"/>
      <sheetName val="사  업  비  수  지  예  산  서"/>
      <sheetName val="1.일위대가"/>
      <sheetName val="날개벽"/>
      <sheetName val="구역화물"/>
      <sheetName val="단위목록"/>
      <sheetName val="일위대가목록"/>
      <sheetName val="TOTAL3"/>
      <sheetName val="보도공제면적"/>
      <sheetName val="우,오수"/>
      <sheetName val="토사(PE)"/>
      <sheetName val="적용노임"/>
      <sheetName val="제출내역 (2)"/>
      <sheetName val="암거단위"/>
      <sheetName val="자재비"/>
      <sheetName val="도근좌표"/>
      <sheetName val="사리부설"/>
      <sheetName val="표지 (3)"/>
      <sheetName val="증감조서"/>
      <sheetName val="표지 (4)"/>
      <sheetName val="갑지 "/>
      <sheetName val="수동원가계산"/>
      <sheetName val="수동내역서"/>
      <sheetName val="표지 (2)"/>
      <sheetName val="총수량집계(1공구)"/>
      <sheetName val="하수공수량집계"/>
      <sheetName val="하수관수량집계"/>
      <sheetName val="관연장조서"/>
      <sheetName val="수로관집계"/>
      <sheetName val="수로관연장조서"/>
      <sheetName val="포장수량산출"/>
      <sheetName val="콘크리트깨기"/>
      <sheetName val="줄눈연장조서"/>
      <sheetName val="토적계산서"/>
      <sheetName val="접속수량산출"/>
      <sheetName val="표지 (1)"/>
      <sheetName val="사진 대지 (2)"/>
      <sheetName val="공사비"/>
      <sheetName val="총괄표"/>
      <sheetName val="용소리교"/>
      <sheetName val="가시설(TYPE-A)"/>
      <sheetName val="AS포장복구 "/>
      <sheetName val="C3"/>
      <sheetName val="간접"/>
      <sheetName val="준검 내역서"/>
      <sheetName val="주소록"/>
      <sheetName val="코드"/>
      <sheetName val="Y-WORK"/>
      <sheetName val="물집"/>
      <sheetName val="인상효1"/>
      <sheetName val="200"/>
      <sheetName val="부대단위수량"/>
      <sheetName val="내역서관리"/>
      <sheetName val="PIPE(UG)내역"/>
      <sheetName val="AL공사(원)"/>
      <sheetName val="원가계산서"/>
      <sheetName val="예총"/>
      <sheetName val="덕전리"/>
      <sheetName val="유림총괄"/>
      <sheetName val="오억미만"/>
      <sheetName val="건축공사"/>
      <sheetName val="COVER-P"/>
      <sheetName val="노단"/>
      <sheetName val="36단가"/>
      <sheetName val="36수량"/>
      <sheetName val="9509"/>
      <sheetName val="SORCE1"/>
      <sheetName val="자재"/>
      <sheetName val="일위산출근거_(2)3"/>
      <sheetName val="갑지_(3)3"/>
      <sheetName val="단가마지막_(2)3"/>
      <sheetName val="열량계단가비교_(2)3"/>
      <sheetName val="2_대외공문"/>
      <sheetName val="박스단위(1_5×1_0)본선"/>
      <sheetName val="날개단위(1_5×1_5)마을"/>
      <sheetName val="날개수량(1_5×1_5)2마을"/>
      <sheetName val="박스연장조서_"/>
      <sheetName val="CR_CODE"/>
      <sheetName val="THEME_CODE"/>
      <sheetName val="우수관로_자재집계__"/>
      <sheetName val="우수관로_수량집계"/>
      <sheetName val="우수관로자재접합_"/>
      <sheetName val="맨홀집계표_"/>
      <sheetName val="접속산출_"/>
      <sheetName val="7_노임단가"/>
      <sheetName val="2_냉난방설비공사"/>
      <sheetName val="7_자동제어공사"/>
      <sheetName val="횡토공_2"/>
      <sheetName val="횡토공_3"/>
      <sheetName val="날개벽단위수량1_(2)"/>
      <sheetName val="개거2_0"/>
      <sheetName val="개거1_7"/>
      <sheetName val="개거1_5"/>
      <sheetName val="개거1_3"/>
      <sheetName val="암거집계_"/>
      <sheetName val="사급_관급"/>
      <sheetName val="관급자재_(2)"/>
      <sheetName val="예정공정표_(2)"/>
      <sheetName val="예정공정표_(3)"/>
      <sheetName val="목차_"/>
      <sheetName val="1_설계설명서"/>
      <sheetName val="2_예정공정"/>
      <sheetName val="3_일반시방"/>
      <sheetName val="4_설변_내역"/>
      <sheetName val="5_단가결정"/>
      <sheetName val="6_수량산출서"/>
      <sheetName val="갑지_(2)"/>
      <sheetName val="설계변경사유_(2)"/>
      <sheetName val="Sheet1_(2)"/>
      <sheetName val="일위대가표_"/>
      <sheetName val="단가_"/>
      <sheetName val="3련_BOX"/>
      <sheetName val="중기_부표"/>
      <sheetName val="TRE_TABLE1"/>
      <sheetName val="2000,9월_일위"/>
      <sheetName val="8_수량산출_(2)"/>
      <sheetName val="형식_-_1-2-3"/>
      <sheetName val="현장별계약현황('98_10_31)"/>
      <sheetName val="기(단)_(1)"/>
      <sheetName val="118_세금과공과"/>
      <sheetName val="_냉각수펌프"/>
      <sheetName val="자__재"/>
      <sheetName val="3_하중산정4_지지력"/>
      <sheetName val="토공(우물통,기타)_"/>
      <sheetName val="STS_PIPE"/>
      <sheetName val="기계실STS_PIPE"/>
      <sheetName val="화장실STS_PIPE"/>
      <sheetName val="VALVE_보온"/>
      <sheetName val="DUCT_철거"/>
      <sheetName val="대제목_(수량)"/>
      <sheetName val="호안_산출근거(계남제)_"/>
      <sheetName val="총괄갑_"/>
      <sheetName val="수목데이타_"/>
      <sheetName val="변압기_및_발전기_용량"/>
      <sheetName val="data_(누계)"/>
      <sheetName val="data_(전년동기)"/>
      <sheetName val="평가대상(A1이상)_현황_"/>
      <sheetName val="개인성과Raw_Data"/>
      <sheetName val="김동덕_자산_IF3"/>
      <sheetName val="구조물주요자재_(2)"/>
      <sheetName val="콘크_산툴__179"/>
      <sheetName val="도장면적수량_215"/>
      <sheetName val="FB25JCN_"/>
      <sheetName val="FUF_PL25T"/>
      <sheetName val="PF25GP_(2)"/>
      <sheetName val="유공ST'L_RIB"/>
      <sheetName val="방음문(편개)_(2)"/>
      <sheetName val="방음시창1M2_이하"/>
      <sheetName val="방음시창1M2_이상"/>
      <sheetName val="ACCESS_FL_"/>
      <sheetName val="ACCESS_FL__(2)"/>
      <sheetName val="GC50JN_(2)"/>
      <sheetName val="FB25JCN__(2)"/>
      <sheetName val="단면_(2)"/>
      <sheetName val="3BL공동구_수량"/>
      <sheetName val="사__업__비__수__지__예__산__서"/>
      <sheetName val="1_일위대가"/>
      <sheetName val="제출내역_(2)"/>
      <sheetName val="표지_(3)"/>
      <sheetName val="표지_(4)"/>
      <sheetName val="갑지_"/>
      <sheetName val="표지_(2)"/>
      <sheetName val="표지_(1)"/>
      <sheetName val="사진_대지_(2)"/>
      <sheetName val="AS포장복구_"/>
      <sheetName val="준검_내역서"/>
      <sheetName val="단가_및_재료비"/>
      <sheetName val="1_자원총괄"/>
      <sheetName val="일위대가표_xls"/>
      <sheetName val="2000년_공정표"/>
      <sheetName val="시실누(모)_"/>
      <sheetName val="노임단가_(2)"/>
      <sheetName val="Low_YLD_Reject"/>
      <sheetName val="Graph_Data"/>
      <sheetName val="A_견적"/>
      <sheetName val="11_닥트설치공사(bm)"/>
      <sheetName val="도급,하도급_예정금액"/>
      <sheetName val="조도계산서_(도서)"/>
      <sheetName val="2F_회의실견적(5_14_일대)"/>
      <sheetName val="인건비_"/>
      <sheetName val="C.배수관공"/>
      <sheetName val="신규일위"/>
      <sheetName val="플랜트 설치"/>
      <sheetName val="공내역"/>
      <sheetName val="접속도로1"/>
      <sheetName val="연결임시"/>
      <sheetName val="설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/>
      <sheetData sheetId="670"/>
      <sheetData sheetId="671"/>
      <sheetData sheetId="672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마그넷대구 (7)"/>
      <sheetName val="마그넷대구 (6)"/>
      <sheetName val="내역동락확정"/>
      <sheetName val="대비일산연수"/>
      <sheetName val="계약내역서"/>
      <sheetName val="내역동락"/>
      <sheetName val="내역동락기본"/>
      <sheetName val="입찰결과(확정) (2)"/>
      <sheetName val="입찰결과(최종확정)"/>
      <sheetName val="내역총괄(최종) (2)"/>
      <sheetName val="기안용지 (2)"/>
      <sheetName val="대비일산"/>
      <sheetName val="연수내역"/>
      <sheetName val="연수내역원본"/>
      <sheetName val="연수내역총괄"/>
      <sheetName val="연수대구비교 (2)"/>
      <sheetName val="강남셔터내역"/>
      <sheetName val="대비연수대구"/>
      <sheetName val="동락내역확정"/>
      <sheetName val="동락내역"/>
      <sheetName val="포항점 (롯데폼) (2)"/>
      <sheetName val="마그넷대구 (5)"/>
      <sheetName val="마그넷대구 (4)"/>
      <sheetName val="포항점"/>
      <sheetName val="울산고속"/>
      <sheetName val="견적서"/>
      <sheetName val="포항점 (롯데폼)"/>
      <sheetName val="일위목록"/>
      <sheetName val="단"/>
      <sheetName val="일위대가표"/>
      <sheetName val="COST"/>
      <sheetName val="단가비교표"/>
      <sheetName val="단가산출"/>
      <sheetName val="일위_파일"/>
      <sheetName val="신-최종확정방화방범셔터"/>
      <sheetName val="대여현황"/>
      <sheetName val="일위대가목차"/>
      <sheetName val="을"/>
      <sheetName val="국내조달(통합-1)"/>
      <sheetName val="보할공정"/>
      <sheetName val="단가조사서"/>
      <sheetName val="아파트"/>
      <sheetName val="TRE TABLE"/>
      <sheetName val="일위대가(건축)"/>
      <sheetName val="교통대책내역"/>
      <sheetName val="단가조사"/>
      <sheetName val="일위대가"/>
      <sheetName val="Sheet1 (2)"/>
      <sheetName val="단가기준"/>
      <sheetName val="회사정보"/>
      <sheetName val="내역서2안"/>
      <sheetName val="일위대가목록"/>
      <sheetName val="※첨부4.손익(유형)"/>
      <sheetName val="노임단가"/>
      <sheetName val="준검 내역서"/>
      <sheetName val="별표 "/>
      <sheetName val="일용노임단가2001상"/>
      <sheetName val="참조자료"/>
      <sheetName val="주문"/>
      <sheetName val="마그넷대구_(7)"/>
      <sheetName val="마그넷대구_(6)"/>
      <sheetName val="입찰결과(확정)_(2)"/>
      <sheetName val="내역총괄(최종)_(2)"/>
      <sheetName val="기안용지_(2)"/>
      <sheetName val="연수대구비교_(2)"/>
      <sheetName val="포항점_(롯데폼)_(2)"/>
      <sheetName val="마그넷대구_(5)"/>
      <sheetName val="마그넷대구_(4)"/>
      <sheetName val="포항점_(롯데폼)"/>
      <sheetName val="TRE_TABLE"/>
      <sheetName val="Sheet1_(2)"/>
      <sheetName val="별표_"/>
      <sheetName val="준검_내역서"/>
      <sheetName val="품셈TABLE"/>
      <sheetName val="내역"/>
      <sheetName val="Sheet4"/>
      <sheetName val="G.R300경비"/>
      <sheetName val="견적"/>
      <sheetName val="납부서"/>
      <sheetName val="1안"/>
      <sheetName val="현장관리비"/>
      <sheetName val="투찰(하수)"/>
      <sheetName val="내역서"/>
      <sheetName val="단가"/>
      <sheetName val="차액보증"/>
      <sheetName val="실행내역서 "/>
      <sheetName val="데이타"/>
      <sheetName val="DATA"/>
      <sheetName val="토공집계표"/>
      <sheetName val="원가data"/>
      <sheetName val="견적단가비교표"/>
      <sheetName val="마그넷대구_(7)1"/>
      <sheetName val="마그넷대구_(6)1"/>
      <sheetName val="입찰결과(확정)_(2)1"/>
      <sheetName val="내역총괄(최종)_(2)1"/>
      <sheetName val="기안용지_(2)1"/>
      <sheetName val="연수대구비교_(2)1"/>
      <sheetName val="포항점_(롯데폼)_(2)1"/>
      <sheetName val="마그넷대구_(5)1"/>
      <sheetName val="마그넷대구_(4)1"/>
      <sheetName val="포항점_(롯데폼)1"/>
      <sheetName val="TRE_TABLE1"/>
      <sheetName val="Sheet1_(2)1"/>
      <sheetName val="※첨부4_손익(유형)"/>
      <sheetName val="준검_내역서1"/>
      <sheetName val="별표_1"/>
      <sheetName val="G_R300경비"/>
      <sheetName val="실행내역서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타부대공"/>
      <sheetName val="공사용침사지집계"/>
      <sheetName val="공사용침사지"/>
      <sheetName val="단가조사"/>
      <sheetName val="일위대가목차"/>
      <sheetName val="Requirement(Work Crew)"/>
      <sheetName val="원가총"/>
      <sheetName val="COST"/>
      <sheetName val="※첨부4.손익(유형)"/>
      <sheetName val="1호인버트수량"/>
      <sheetName val="9509"/>
      <sheetName val="Requirement(Work_Crew)"/>
      <sheetName val="※첨부4_손익(유형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단가조사"/>
      <sheetName val="laroux"/>
      <sheetName val="옥외보안등"/>
      <sheetName val="변전설비"/>
      <sheetName val="전력간선"/>
      <sheetName val="동력설비"/>
      <sheetName val="전등설비"/>
      <sheetName val="전열공사"/>
      <sheetName val="피뢰침설비"/>
      <sheetName val="주차관제"/>
      <sheetName val="화재경보설비"/>
      <sheetName val="케이블트레이"/>
      <sheetName val="전기일위대가"/>
      <sheetName val="전기내역서"/>
      <sheetName val="전기지급자재 (2)"/>
      <sheetName val="전기지급자재"/>
      <sheetName val="감독차량"/>
      <sheetName val="백호우"/>
      <sheetName val="원가계산"/>
      <sheetName val="소방원가"/>
      <sheetName val="총괄표"/>
      <sheetName val="노무비 "/>
      <sheetName val="공사개요"/>
      <sheetName val="경리처용"/>
      <sheetName val="일위대가목차"/>
      <sheetName val="입찰안"/>
      <sheetName val="실행철강하도"/>
      <sheetName val="도기류"/>
      <sheetName val="Requirement(Work Crew)"/>
      <sheetName val="견적단가비교표"/>
      <sheetName val="내역"/>
      <sheetName val="전기지급자재_(2)"/>
      <sheetName val="노무비_"/>
      <sheetName val="Requirement(Work_Crew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XXXXX"/>
      <sheetName val="단가 "/>
      <sheetName val="사무보조원"/>
      <sheetName val="일위대가"/>
      <sheetName val="수량집계"/>
      <sheetName val="가로등기초"/>
      <sheetName val="관로터파기"/>
      <sheetName val="중기"/>
      <sheetName val="노임"/>
      <sheetName val="노무비단가"/>
      <sheetName val="직노"/>
      <sheetName val="총괄"/>
      <sheetName val="냉천부속동"/>
      <sheetName val="일위대가(가설)"/>
      <sheetName val="견적서"/>
      <sheetName val="ⓒ.3-4)부대영업직접"/>
      <sheetName val="일위대가목차"/>
      <sheetName val="5사남"/>
      <sheetName val="2.대외공문"/>
      <sheetName val="9509"/>
      <sheetName val="수목데이타 "/>
      <sheetName val="단가_"/>
      <sheetName val="ⓒ_3-4)부대영업직접"/>
      <sheetName val="2_대외공문"/>
    </sheetNames>
    <sheetDataSet>
      <sheetData sheetId="0"/>
      <sheetData sheetId="1">
        <row r="3">
          <cell r="B3" t="str">
            <v>PE 16C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직종명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 t="str">
            <v>PE 16C</v>
          </cell>
        </row>
      </sheetData>
      <sheetData sheetId="22"/>
      <sheetData sheetId="23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결재"/>
      <sheetName val="목차"/>
      <sheetName val="1.총괄현황"/>
      <sheetName val="5.미수금현황"/>
      <sheetName val="5-1.미수금내역"/>
      <sheetName val="3.유형별매출현황"/>
      <sheetName val="4.매출분석"/>
      <sheetName val="6.인기및비인기상품"/>
      <sheetName val="7.신상품현황"/>
      <sheetName val="2.당월업무추진"/>
      <sheetName val="8.유통요약"/>
      <sheetName val="견적서"/>
      <sheetName val="R&amp;D"/>
      <sheetName val="인원계획-미화"/>
      <sheetName val="SCH"/>
      <sheetName val="노임단가"/>
      <sheetName val="내역"/>
      <sheetName val="입찰안"/>
      <sheetName val="노무비단가"/>
      <sheetName val="1_총괄현황"/>
      <sheetName val="5_미수금현황"/>
      <sheetName val="5-1_미수금내역"/>
      <sheetName val="3_유형별매출현황"/>
      <sheetName val="4_매출분석"/>
      <sheetName val="6_인기및비인기상품"/>
      <sheetName val="7_신상품현황"/>
      <sheetName val="2_당월업무추진"/>
      <sheetName val="8_유통요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******"/>
      <sheetName val="원가"/>
      <sheetName val="내역"/>
      <sheetName val="수량"/>
      <sheetName val="시설"/>
      <sheetName val="일위목록"/>
      <sheetName val="일위대가"/>
      <sheetName val="단가대비"/>
      <sheetName val="단가산출"/>
      <sheetName val="지주산출"/>
      <sheetName val="할증"/>
      <sheetName val="지급"/>
      <sheetName val="노임"/>
      <sheetName val="품셈"/>
      <sheetName val="공간내역"/>
      <sheetName val="Module1"/>
      <sheetName val="대구안동"/>
      <sheetName val="대가목록"/>
      <sheetName val="인원계획-미화"/>
      <sheetName val="대전-교대(A1-A2)"/>
      <sheetName val="1호인버트수량"/>
      <sheetName val="7.신상품현황"/>
      <sheetName val="수목데이타 "/>
      <sheetName val="7_신상품현황"/>
      <sheetName val="수목데이타_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현설(토.철)"/>
      <sheetName val="토공견적서"/>
      <sheetName val="철콘견적서"/>
      <sheetName val="단가산출서"/>
      <sheetName val="BID"/>
      <sheetName val="견적단가비교표"/>
      <sheetName val="계정"/>
      <sheetName val="7.신상품현황"/>
      <sheetName val="STAND20"/>
      <sheetName val="200505임금"/>
      <sheetName val="변경연봉"/>
      <sheetName val="내역서(기계)"/>
      <sheetName val="노무비단가"/>
      <sheetName val="95하U$가격"/>
      <sheetName val="현설(토_철)"/>
      <sheetName val="7_신상품현황"/>
      <sheetName val="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결재"/>
      <sheetName val="목차"/>
      <sheetName val="1.총괄현황"/>
      <sheetName val="5.미수금현황"/>
      <sheetName val="5-1.미수금내역"/>
      <sheetName val="3.유형별매출현황"/>
      <sheetName val="4.매출분석"/>
      <sheetName val="6.인기및비인기상품"/>
      <sheetName val="7.신상품현황"/>
      <sheetName val="2.당월업무추진"/>
      <sheetName val="8.유통요약"/>
      <sheetName val="반별코드"/>
      <sheetName val="95하U$가격"/>
      <sheetName val="노임단가"/>
      <sheetName val="단가비교표"/>
      <sheetName val="9509"/>
      <sheetName val="BID"/>
      <sheetName val="1_총괄현황"/>
      <sheetName val="5_미수금현황"/>
      <sheetName val="5-1_미수금내역"/>
      <sheetName val="3_유형별매출현황"/>
      <sheetName val="4_매출분석"/>
      <sheetName val="6_인기및비인기상품"/>
      <sheetName val="7_신상품현황"/>
      <sheetName val="2_당월업무추진"/>
      <sheetName val="8_유통요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일위대가(가설)"/>
      <sheetName val="코드표"/>
      <sheetName val=""/>
      <sheetName val="내역"/>
      <sheetName val="Requirement(Work Crew)"/>
      <sheetName val="7.신상품현황"/>
      <sheetName val="수목데이타 "/>
      <sheetName val="COST"/>
      <sheetName val="BID"/>
      <sheetName val="2.대외공문"/>
      <sheetName val="Requirement(Work_Crew)"/>
      <sheetName val="7_신상품현황"/>
      <sheetName val="수목데이타_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실행내역"/>
      <sheetName val="실행철강하도"/>
      <sheetName val="EMST10"/>
      <sheetName val="표지-공사실행"/>
      <sheetName val="2.기구조직도"/>
      <sheetName val="개략견적HISTORY"/>
      <sheetName val="1_공사개요"/>
      <sheetName val="실행조건(건축)"/>
      <sheetName val="실행기준(기계)"/>
      <sheetName val="실행기준(전기)"/>
      <sheetName val="실행예산변경총괄표(적용안함)"/>
      <sheetName val="03차 견적실행총괄표"/>
      <sheetName val="대비표"/>
      <sheetName val="집계표"/>
      <sheetName val="---"/>
      <sheetName val="아파트 "/>
      <sheetName val="감액대비표"/>
      <sheetName val="공종별감액대비표"/>
      <sheetName val="개략공사비집계표"/>
      <sheetName val="실행검토의견서"/>
      <sheetName val="직원"/>
      <sheetName val="개략견적대비실행분석"/>
      <sheetName val="발주율분석"/>
      <sheetName val="내역"/>
      <sheetName val="원본"/>
      <sheetName val="산출내역서집계표"/>
      <sheetName val="APT"/>
      <sheetName val="을지"/>
      <sheetName val="콘크리트타설집계표"/>
      <sheetName val="TYPE-A"/>
      <sheetName val="아파트-가설"/>
      <sheetName val="COVER"/>
      <sheetName val="COPING"/>
      <sheetName val="내역서"/>
      <sheetName val="실적"/>
      <sheetName val="비교표"/>
      <sheetName val="도"/>
      <sheetName val="가시설흙막이"/>
      <sheetName val="입찰안"/>
      <sheetName val="일위대가(원주무실)"/>
      <sheetName val="분전함신설"/>
      <sheetName val="접지1종"/>
      <sheetName val="s"/>
      <sheetName val="969910( R)"/>
      <sheetName val="수목데이타 "/>
      <sheetName val="코드표"/>
      <sheetName val="내역서(기계)"/>
      <sheetName val="단가조사"/>
      <sheetName val="2.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여과지동"/>
      <sheetName val="기초자료"/>
      <sheetName val="자재단가"/>
      <sheetName val="단가산출서(기계)"/>
      <sheetName val="내역서(기계)"/>
      <sheetName val="견적서"/>
      <sheetName val="R&amp;D"/>
      <sheetName val="일위대가목차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"/>
      <sheetName val="부산진양"/>
      <sheetName val="냉천부속동"/>
      <sheetName val="여과지동"/>
      <sheetName val="기초자료"/>
      <sheetName val="단가산출서(기계)"/>
      <sheetName val="단양 00 아파트-세부내역"/>
      <sheetName val="b_balju"/>
      <sheetName val="자재단가"/>
      <sheetName val="#REF"/>
      <sheetName val="본부장"/>
      <sheetName val="원가서"/>
      <sheetName val="BID"/>
      <sheetName val="수입"/>
      <sheetName val="Sheet1"/>
      <sheetName val="내역"/>
      <sheetName val="Total"/>
      <sheetName val="BOX1"/>
      <sheetName val="역공종"/>
      <sheetName val="수량산출"/>
      <sheetName val="대치판정"/>
      <sheetName val="노임단가"/>
      <sheetName val="건설성적"/>
      <sheetName val="9GNG운반"/>
      <sheetName val="설비"/>
      <sheetName val="소야공정계획표"/>
      <sheetName val="내역(전체)"/>
      <sheetName val="적용(기계)"/>
      <sheetName val="차액보증"/>
      <sheetName val="단가비교표"/>
      <sheetName val="원가data"/>
      <sheetName val="단가 "/>
      <sheetName val="노임"/>
      <sheetName val="산출개요"/>
      <sheetName val="9703"/>
      <sheetName val="손익차9월2"/>
      <sheetName val="(A)내역서"/>
      <sheetName val="01AC"/>
      <sheetName val="1.우편집중내역서"/>
      <sheetName val="한강운반비"/>
      <sheetName val="기술조건"/>
      <sheetName val="내역서"/>
      <sheetName val="기안"/>
      <sheetName val="자재"/>
      <sheetName val="북부"/>
      <sheetName val="을지"/>
      <sheetName val="입찰견적보고서"/>
      <sheetName val="을"/>
      <sheetName val="견"/>
      <sheetName val="단양_00_아파트-세부내역"/>
      <sheetName val="시화점실행"/>
      <sheetName val="집계표"/>
      <sheetName val="견적"/>
      <sheetName val="회사정보"/>
      <sheetName val="ETC"/>
      <sheetName val="토지"/>
      <sheetName val="Sheet2"/>
      <sheetName val="Summary"/>
      <sheetName val="TEMP1"/>
      <sheetName val="TEMP2"/>
      <sheetName val="BS"/>
      <sheetName val="PL"/>
      <sheetName val="연습"/>
      <sheetName val="Sum"/>
      <sheetName val="LeadSchedule"/>
      <sheetName val="현금및예치금집계표"/>
      <sheetName val="노무비단가"/>
      <sheetName val="Base Info"/>
      <sheetName val="comparables"/>
      <sheetName val="Deduction"/>
      <sheetName val="other"/>
      <sheetName val="conclusion"/>
      <sheetName val="결정단가"/>
      <sheetName val="추이분석"/>
      <sheetName val="안산기계장치"/>
      <sheetName val="변수"/>
      <sheetName val="실행철강하도"/>
      <sheetName val="실행내역서 "/>
      <sheetName val="산출내역서"/>
      <sheetName val="조명시설"/>
      <sheetName val="돈암사업"/>
      <sheetName val="실행(ALT1)"/>
      <sheetName val="신우"/>
      <sheetName val="단가비교"/>
      <sheetName val="견적서"/>
      <sheetName val="전기"/>
      <sheetName val="Sheet1 (2)"/>
      <sheetName val="삼성전기"/>
      <sheetName val="Y-WORK"/>
      <sheetName val="기계시공"/>
      <sheetName val="data"/>
      <sheetName val="실행간접비"/>
      <sheetName val="주안3차A-A"/>
      <sheetName val="단가"/>
      <sheetName val="공사"/>
      <sheetName val="97년 추정"/>
      <sheetName val="여신보고용"/>
      <sheetName val="APT"/>
      <sheetName val="WORK"/>
      <sheetName val="실행"/>
      <sheetName val="일위대가(1)"/>
      <sheetName val="단면가정"/>
      <sheetName val="업무"/>
      <sheetName val="XL4Poppy"/>
      <sheetName val="정렬"/>
      <sheetName val="비교표"/>
      <sheetName val="0Title"/>
      <sheetName val="2.펌프장(사급자재)"/>
      <sheetName val="업체목록"/>
      <sheetName val="danga"/>
      <sheetName val="ilch"/>
      <sheetName val="대우단가(풍산)"/>
      <sheetName val="전기공사"/>
      <sheetName val="6호기"/>
      <sheetName val="간지"/>
      <sheetName val="거래처"/>
      <sheetName val="건축내역"/>
      <sheetName val="1.내역(청.하역장전등)"/>
      <sheetName val="토목주소"/>
      <sheetName val="프랜트면허"/>
      <sheetName val="대비"/>
      <sheetName val="기초일위"/>
      <sheetName val="시설일위"/>
      <sheetName val="조명일위"/>
      <sheetName val="s"/>
      <sheetName val="갑지"/>
      <sheetName val="sst,stl창호"/>
      <sheetName val="DATE"/>
      <sheetName val="기둥(원형)"/>
      <sheetName val="AP1"/>
      <sheetName val="지급자재"/>
      <sheetName val="Macro1"/>
      <sheetName val="Macro2"/>
      <sheetName val="골조시행"/>
      <sheetName val="CTEMCOST"/>
      <sheetName val="SCHEDULE"/>
      <sheetName val="ELECTRIC"/>
      <sheetName val="TRE TABLE"/>
      <sheetName val="2.냉난방설비공사"/>
      <sheetName val="7.자동제어공사"/>
      <sheetName val="토공유동표"/>
      <sheetName val="노무비"/>
      <sheetName val="전체내역서"/>
      <sheetName val="2000.05"/>
      <sheetName val="단양_00_아파트-세부내역1"/>
      <sheetName val="단가_"/>
      <sheetName val="1_우편집중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공사비예산서"/>
      <sheetName val="재료비"/>
      <sheetName val="노무비"/>
      <sheetName val="일위대가 "/>
      <sheetName val="품셈"/>
      <sheetName val="고동,고철"/>
      <sheetName val="견적비교(수배전반)"/>
      <sheetName val="견적비교(조명기구)"/>
      <sheetName val="산출총괄표"/>
      <sheetName val="집계표"/>
      <sheetName val="기성율 산출"/>
      <sheetName val="익산설계"/>
      <sheetName val="1,2공구원가계산서"/>
      <sheetName val="1공구산출내역서"/>
      <sheetName val="Y-WORK"/>
      <sheetName val="실행철강하도"/>
      <sheetName val="남대문빌딩"/>
      <sheetName val="DATA"/>
      <sheetName val="공정집계_국별"/>
      <sheetName val="원가계산서"/>
      <sheetName val="sheet1"/>
      <sheetName val="인부신상자료"/>
      <sheetName val="골조시행"/>
      <sheetName val="산출내역서집계표"/>
      <sheetName val="여과지동"/>
      <sheetName val="기초자료"/>
      <sheetName val="원가서"/>
      <sheetName val="2공구산출내역"/>
      <sheetName val="횡배수관토공수량"/>
      <sheetName val="투자효율분석"/>
      <sheetName val="시운전연료비"/>
      <sheetName val="Sheet5"/>
      <sheetName val="시운전연료"/>
      <sheetName val="일위대가"/>
      <sheetName val="기성내역"/>
      <sheetName val="2"/>
      <sheetName val="입찰"/>
      <sheetName val="현경"/>
      <sheetName val="설계예시"/>
      <sheetName val="표준건축비"/>
      <sheetName val="자재단가"/>
      <sheetName val="C3"/>
      <sheetName val="일일"/>
      <sheetName val="사업관리"/>
      <sheetName val="코드표"/>
      <sheetName val="투찰내역"/>
      <sheetName val="99년원가"/>
      <sheetName val="문학간접"/>
      <sheetName val="수목데이타 "/>
      <sheetName val="주요항목별"/>
      <sheetName val="노임단가"/>
      <sheetName val="내역서"/>
      <sheetName val="일위"/>
      <sheetName val="COST"/>
      <sheetName val="터파기및재료"/>
      <sheetName val="기계내역"/>
      <sheetName val="신우"/>
      <sheetName val="준검 내역서"/>
      <sheetName val="산수배수"/>
      <sheetName val="예가표"/>
      <sheetName val="내역"/>
      <sheetName val="대림경상68억"/>
      <sheetName val="#REF"/>
      <sheetName val="환산"/>
      <sheetName val=" 갑지"/>
      <sheetName val="목차"/>
      <sheetName val="총괄내역서"/>
      <sheetName val="자재단가비교표"/>
      <sheetName val="TB-내역서"/>
      <sheetName val="설계"/>
      <sheetName val="1호인버트수량"/>
      <sheetName val="단가산출"/>
      <sheetName val="내역서 (2)"/>
      <sheetName val="연습"/>
      <sheetName val="기본설계기준"/>
      <sheetName val="날개벽수량표"/>
      <sheetName val="소화실적"/>
      <sheetName val="단가"/>
      <sheetName val=""/>
      <sheetName val="상품입고집계"/>
      <sheetName val="7.신상품현황"/>
      <sheetName val="일위대가_"/>
      <sheetName val="기성율_산출"/>
      <sheetName val="수목데이타_"/>
      <sheetName val="준검_내역서"/>
      <sheetName val="_갑지"/>
      <sheetName val="내역서_(2)"/>
      <sheetName val="7_신상품현황"/>
      <sheetName val="옵션"/>
      <sheetName val="원가"/>
      <sheetName val="ABUT수량-A1"/>
      <sheetName val="수수료율표"/>
      <sheetName val="관급"/>
      <sheetName val="BSD (2)"/>
      <sheetName val="직재"/>
      <sheetName val="메뉴"/>
      <sheetName val="집계"/>
      <sheetName val="정부노임단가"/>
      <sheetName val="기흥하도용"/>
      <sheetName val="내역표지"/>
      <sheetName val="2000전체분"/>
      <sheetName val="2000년1차"/>
      <sheetName val="가스"/>
      <sheetName val="간접"/>
      <sheetName val="견적서갑지연속"/>
      <sheetName val="공통(20-91)"/>
      <sheetName val="원도급"/>
      <sheetName val="하도급"/>
      <sheetName val="목록"/>
      <sheetName val="1공구원가계산서"/>
      <sheetName val="단가목록"/>
      <sheetName val="별표 "/>
      <sheetName val="BID"/>
      <sheetName val="지급자재"/>
      <sheetName val="BJJIN"/>
      <sheetName val="금액내역서"/>
      <sheetName val="원가계산서(변경)"/>
      <sheetName val="9GNG운반"/>
      <sheetName val="시화점실행"/>
      <sheetName val="공통가설"/>
      <sheetName val="갑지(추정)"/>
      <sheetName val="확약서"/>
      <sheetName val="소비자가"/>
      <sheetName val="대구은행"/>
      <sheetName val="실행간접비"/>
      <sheetName val="옥외외등집계표"/>
      <sheetName val="파이프류"/>
      <sheetName val="일위_파일"/>
      <sheetName val="일위대가표"/>
      <sheetName val="서울산업대(토)"/>
      <sheetName val="일반부표"/>
      <sheetName val="제직재"/>
      <sheetName val="설직재-1"/>
      <sheetName val="수량산출"/>
      <sheetName val="실행내역서(DCU)"/>
      <sheetName val="중기조종사 단위단가"/>
      <sheetName val="장비손료"/>
      <sheetName val="현장별"/>
      <sheetName val="경상직원"/>
      <sheetName val="학생내역"/>
      <sheetName val="자료입력"/>
      <sheetName val="gyun"/>
      <sheetName val="전압강하"/>
      <sheetName val="design criteria"/>
      <sheetName val="plan&amp;section of foundation"/>
      <sheetName val="인입관수량총괄"/>
      <sheetName val="1호맨홀가감수량"/>
      <sheetName val="내역서(전기)"/>
      <sheetName val="JUCKEYK"/>
      <sheetName val="성곽내역서"/>
      <sheetName val="수량집계표"/>
      <sheetName val="공종별수량집계"/>
      <sheetName val="전체"/>
      <sheetName val="배수내역"/>
      <sheetName val="DANGA"/>
      <sheetName val="당사실시1"/>
      <sheetName val="유치원내역"/>
      <sheetName val="수토공단위당"/>
      <sheetName val="공사"/>
      <sheetName val="을지"/>
      <sheetName val="차액보증"/>
      <sheetName val="대창(장성)"/>
      <sheetName val="조명시설"/>
      <sheetName val="경산"/>
      <sheetName val="예정(3)"/>
      <sheetName val="사업개요"/>
      <sheetName val="건축집계합계"/>
      <sheetName val="건축집계표이수"/>
      <sheetName val="당정동공통이수"/>
      <sheetName val="당정동경상이수"/>
      <sheetName val="추가예산"/>
      <sheetName val="옥외배관기본공량"/>
      <sheetName val="이월"/>
      <sheetName val="증감대비"/>
      <sheetName val="원가계산서(남측)"/>
      <sheetName val="도급b_balju"/>
      <sheetName val="DHEQSUPT"/>
      <sheetName val="관람석제출"/>
      <sheetName val="방수"/>
      <sheetName val="건설실행"/>
      <sheetName val="인사자료총집계"/>
      <sheetName val="산출근거"/>
      <sheetName val="총물량"/>
      <sheetName val="대비2"/>
      <sheetName val="공기산정기준"/>
      <sheetName val="건축평단가 기준(4)"/>
      <sheetName val="작성기준(3)"/>
      <sheetName val="wall"/>
      <sheetName val="DB"/>
      <sheetName val="인건비"/>
      <sheetName val="명일작업계획 (3)"/>
      <sheetName val="공사비집계"/>
      <sheetName val="한강운반비"/>
      <sheetName val="5직접"/>
      <sheetName val="평가데이터"/>
      <sheetName val="밸브설치"/>
      <sheetName val="입찰안"/>
      <sheetName val="CT"/>
      <sheetName val="설계서"/>
      <sheetName val="1단계"/>
      <sheetName val="식재가격"/>
      <sheetName val="일위목록"/>
      <sheetName val="DATE"/>
      <sheetName val="FAB별"/>
      <sheetName val="건축토목내역"/>
      <sheetName val="자재대"/>
      <sheetName val="측량요율"/>
      <sheetName val="음료실행"/>
      <sheetName val="기성내역서표지"/>
      <sheetName val="수곡내역"/>
      <sheetName val="덕전리"/>
      <sheetName val="기본단가표"/>
      <sheetName val="대운반(철재)"/>
      <sheetName val="전기설계변경"/>
      <sheetName val="공사개요"/>
      <sheetName val="열교환기"/>
      <sheetName val="가계부"/>
      <sheetName val="제품목록"/>
      <sheetName val="매입매출관리"/>
      <sheetName val="Sheet1 (2)"/>
      <sheetName val="토목을"/>
      <sheetName val="TYPE-A"/>
      <sheetName val="표준차도부연장집계-ASP"/>
      <sheetName val="품셈표"/>
      <sheetName val="제잡비"/>
      <sheetName val="원가산출서"/>
      <sheetName val="02자재"/>
      <sheetName val="프랜트면허"/>
      <sheetName val="토목주소"/>
      <sheetName val="에너지요금"/>
      <sheetName val="공사비증감"/>
      <sheetName val="변경내역"/>
      <sheetName val="100XL 세관"/>
      <sheetName val="원하대비"/>
      <sheetName val="1유리"/>
      <sheetName val="Xunit (단위환산)"/>
      <sheetName val="base"/>
      <sheetName val="설계조건"/>
      <sheetName val="데이타"/>
      <sheetName val="Total"/>
      <sheetName val="FB25JN"/>
      <sheetName val="단가조사서"/>
      <sheetName val="유림총괄"/>
      <sheetName val="일위대가(1)"/>
      <sheetName val="인공산출"/>
      <sheetName val="N賃率-職"/>
      <sheetName val="콘크리트타설집계표"/>
      <sheetName val="일위대가(가설)"/>
      <sheetName val="국내조달(통합-1)"/>
      <sheetName val="VOR"/>
      <sheetName val="현장관리비"/>
      <sheetName val="노임"/>
      <sheetName val="정공공사"/>
      <sheetName val="공종별"/>
      <sheetName val="04년하반기장비부표"/>
      <sheetName val="표지 (2)"/>
      <sheetName val="2련간지"/>
      <sheetName val="맨홀수량산출(A-LINE)"/>
      <sheetName val="식재인부"/>
      <sheetName val="총괄서"/>
      <sheetName val="간접(90)"/>
      <sheetName val="Xunit"/>
      <sheetName val="설계명세서"/>
      <sheetName val="예산명세서"/>
      <sheetName val="XL4Poppy"/>
      <sheetName val="식자재사용량(4월20일)"/>
      <sheetName val="기초코드"/>
      <sheetName val="을 1"/>
      <sheetName val="을 2"/>
      <sheetName val="갑지"/>
      <sheetName val="[익산설계.XLS][익산설계.XLS]A__IKSAN__2"/>
      <sheetName val="테이블"/>
      <sheetName val="WORK"/>
      <sheetName val="변경집계2"/>
      <sheetName val="사급비"/>
      <sheetName val="PAY2002"/>
      <sheetName val="MIJIBI"/>
      <sheetName val="6온도스위치(33)"/>
      <sheetName val="s"/>
      <sheetName val="기초입력 DATA"/>
      <sheetName val="터널조도"/>
      <sheetName val="예산"/>
      <sheetName val="본실행경비"/>
      <sheetName val="신대방33(적용)"/>
      <sheetName val="변경갑지"/>
      <sheetName val="증감(갑지)"/>
      <sheetName val="변경명신물량 (2)"/>
      <sheetName val="맨홀수량"/>
      <sheetName val="실행단가철(ems코드적용)"/>
      <sheetName val="입력데이타"/>
      <sheetName val="간 지1"/>
      <sheetName val="토목내역서"/>
      <sheetName val="투찰(하수)"/>
      <sheetName val="인명테이타"/>
      <sheetName val="설비"/>
      <sheetName val="마산월령동골조물량변경"/>
      <sheetName val="본사인상전"/>
      <sheetName val="관개"/>
      <sheetName val="개요"/>
      <sheetName val="배수공"/>
      <sheetName val="맨홀토공"/>
      <sheetName val="단가산출서"/>
      <sheetName val="간접비계산"/>
      <sheetName val="Macro(차단기)"/>
      <sheetName val="노임이"/>
      <sheetName val="#2정산"/>
      <sheetName val="단가(마감)"/>
      <sheetName val="자료"/>
      <sheetName val="위치조서"/>
      <sheetName val="인천제철"/>
      <sheetName val="금융비용"/>
      <sheetName val="PIPE(UG)내역"/>
      <sheetName val="단가비교"/>
      <sheetName val="호표"/>
      <sheetName val="순공사비"/>
      <sheetName val="호곡중학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  <sheetName val="수량"/>
      <sheetName val="예산서"/>
      <sheetName val="실행철강하도"/>
      <sheetName val="단가조사"/>
      <sheetName val="견적단가비교표"/>
      <sheetName val="DATA"/>
      <sheetName val="승급대상자"/>
      <sheetName val="레저산업"/>
      <sheetName val="직원대장"/>
      <sheetName val="여과지동"/>
      <sheetName val="기초자료"/>
      <sheetName val="7.신상품현황"/>
      <sheetName val="급여마스터관리"/>
      <sheetName val="기초사항"/>
      <sheetName val="기준2"/>
      <sheetName val="테이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전입"/>
      <sheetName val="전출"/>
      <sheetName val="11단계"/>
      <sheetName val="2.대외공문"/>
      <sheetName val="총무팀"/>
      <sheetName val="마포-임현"/>
      <sheetName val="일위대가목차"/>
      <sheetName val="9509"/>
      <sheetName val="일위대가목록"/>
      <sheetName val="교통대책내역"/>
      <sheetName val="여과지동"/>
      <sheetName val="기초자료"/>
      <sheetName val="노무비단가"/>
      <sheetName val="실행철강하도"/>
      <sheetName val="2_대외공문"/>
    </sheetNames>
    <sheetDataSet>
      <sheetData sheetId="0" refreshError="1">
        <row r="1">
          <cell r="A1" t="str">
            <v>▶ 전입자 (322명)</v>
          </cell>
        </row>
        <row r="2">
          <cell r="A2" t="str">
            <v>사번</v>
          </cell>
          <cell r="C2" t="str">
            <v>직위</v>
          </cell>
          <cell r="D2" t="str">
            <v>성명</v>
          </cell>
          <cell r="J2" t="str">
            <v>부  서  이  동</v>
          </cell>
          <cell r="U2" t="str">
            <v>보직</v>
          </cell>
          <cell r="BU2" t="str">
            <v>'99</v>
          </cell>
          <cell r="BZ2" t="str">
            <v>'96~'98</v>
          </cell>
        </row>
        <row r="3">
          <cell r="J3" t="str">
            <v>전부서(7/31)</v>
          </cell>
          <cell r="L3" t="str">
            <v>평가부서(10/31)</v>
          </cell>
          <cell r="BW3" t="str">
            <v>'98</v>
          </cell>
          <cell r="BZ3" t="str">
            <v>'98</v>
          </cell>
          <cell r="CB3" t="str">
            <v>'97</v>
          </cell>
          <cell r="CD3" t="str">
            <v>'96</v>
          </cell>
        </row>
        <row r="4">
          <cell r="A4" t="str">
            <v>IDNO</v>
          </cell>
          <cell r="B4" t="str">
            <v>POSN</v>
          </cell>
          <cell r="D4" t="str">
            <v>NAME</v>
          </cell>
          <cell r="E4" t="str">
            <v>JK_C</v>
          </cell>
          <cell r="F4" t="str">
            <v>JB_C</v>
          </cell>
          <cell r="G4" t="str">
            <v>FROM</v>
          </cell>
          <cell r="H4" t="str">
            <v>DV_C</v>
          </cell>
          <cell r="I4" t="str">
            <v>CB08</v>
          </cell>
          <cell r="J4" t="str">
            <v>CH08</v>
          </cell>
          <cell r="K4" t="str">
            <v>CB_C</v>
          </cell>
          <cell r="L4" t="str">
            <v>CB_H</v>
          </cell>
          <cell r="M4" t="str">
            <v>CB11</v>
          </cell>
          <cell r="N4" t="str">
            <v>CH11</v>
          </cell>
          <cell r="O4" t="str">
            <v>EB_C</v>
          </cell>
          <cell r="P4" t="str">
            <v>EB_H</v>
          </cell>
          <cell r="Q4" t="str">
            <v>SORT</v>
          </cell>
          <cell r="R4" t="str">
            <v>AREA</v>
          </cell>
          <cell r="S4" t="str">
            <v>CB_A</v>
          </cell>
          <cell r="T4" t="str">
            <v>DU_L</v>
          </cell>
          <cell r="V4" t="str">
            <v>GROF</v>
          </cell>
          <cell r="W4" t="str">
            <v>GRP1</v>
          </cell>
          <cell r="X4" t="str">
            <v>GRP2</v>
          </cell>
          <cell r="Y4" t="str">
            <v>CHK1</v>
          </cell>
          <cell r="Z4" t="str">
            <v>M1_I</v>
          </cell>
          <cell r="AA4" t="str">
            <v>M1_N</v>
          </cell>
          <cell r="AB4" t="str">
            <v>M1_P</v>
          </cell>
          <cell r="AC4" t="str">
            <v>M1_L</v>
          </cell>
          <cell r="AD4" t="str">
            <v>M1_C</v>
          </cell>
          <cell r="AE4" t="str">
            <v>M1_A</v>
          </cell>
          <cell r="AF4" t="str">
            <v>M1_W</v>
          </cell>
          <cell r="AG4" t="str">
            <v>M2_I</v>
          </cell>
          <cell r="AH4" t="str">
            <v>M2_N</v>
          </cell>
          <cell r="AI4" t="str">
            <v>M2_P</v>
          </cell>
          <cell r="AJ4" t="str">
            <v>M2_L</v>
          </cell>
          <cell r="AK4" t="str">
            <v>M2_C</v>
          </cell>
          <cell r="AL4" t="str">
            <v>M2_A</v>
          </cell>
          <cell r="AM4" t="str">
            <v>M2_W</v>
          </cell>
          <cell r="AN4" t="str">
            <v>M3_I</v>
          </cell>
          <cell r="AO4" t="str">
            <v>M3_N</v>
          </cell>
          <cell r="AP4" t="str">
            <v>M3_P</v>
          </cell>
          <cell r="AQ4" t="str">
            <v>M3_L</v>
          </cell>
          <cell r="AR4" t="str">
            <v>M3_C</v>
          </cell>
          <cell r="AS4" t="str">
            <v>M3_A</v>
          </cell>
          <cell r="AT4" t="str">
            <v>M3_W</v>
          </cell>
          <cell r="AU4" t="str">
            <v>M4_I</v>
          </cell>
          <cell r="AV4" t="str">
            <v>M4_N</v>
          </cell>
          <cell r="AW4" t="str">
            <v>M4_P</v>
          </cell>
          <cell r="AX4" t="str">
            <v>M4_L</v>
          </cell>
          <cell r="AY4" t="str">
            <v>M4_C</v>
          </cell>
          <cell r="AZ4" t="str">
            <v>M4_A</v>
          </cell>
          <cell r="BA4" t="str">
            <v>M4_W</v>
          </cell>
          <cell r="BB4" t="str">
            <v>M5_I</v>
          </cell>
          <cell r="BC4" t="str">
            <v>M5_N</v>
          </cell>
          <cell r="BD4" t="str">
            <v>M5_P</v>
          </cell>
          <cell r="BE4" t="str">
            <v>M5_L</v>
          </cell>
          <cell r="BF4" t="str">
            <v>M5_C</v>
          </cell>
          <cell r="BG4" t="str">
            <v>M5_A</v>
          </cell>
          <cell r="BH4" t="str">
            <v>M5_W</v>
          </cell>
          <cell r="BI4" t="str">
            <v>M6_I</v>
          </cell>
          <cell r="BJ4" t="str">
            <v>M6_N</v>
          </cell>
          <cell r="BK4" t="str">
            <v>M6_P</v>
          </cell>
          <cell r="BL4" t="str">
            <v>M6_L</v>
          </cell>
          <cell r="BM4" t="str">
            <v>M6_C</v>
          </cell>
          <cell r="BN4" t="str">
            <v>M6_A</v>
          </cell>
          <cell r="BO4" t="str">
            <v>M6_W</v>
          </cell>
          <cell r="BP4" t="str">
            <v>OR_L</v>
          </cell>
          <cell r="BQ4" t="str">
            <v>OR_M</v>
          </cell>
          <cell r="BR4" t="str">
            <v>TTLM</v>
          </cell>
          <cell r="BS4" t="str">
            <v>J_RK</v>
          </cell>
          <cell r="BT4" t="str">
            <v>J_PT</v>
          </cell>
          <cell r="BU4" t="str">
            <v>CL05</v>
          </cell>
          <cell r="BV4" t="str">
            <v>CL11</v>
          </cell>
          <cell r="BW4" t="str">
            <v>LAST</v>
          </cell>
          <cell r="BX4" t="str">
            <v>PO_D</v>
          </cell>
          <cell r="BZ4" t="str">
            <v>C_98</v>
          </cell>
          <cell r="CA4" t="str">
            <v>A_98</v>
          </cell>
          <cell r="CB4" t="str">
            <v>C_97</v>
          </cell>
          <cell r="CC4" t="str">
            <v>A_97</v>
          </cell>
          <cell r="CD4" t="str">
            <v>C_96</v>
          </cell>
          <cell r="CE4" t="str">
            <v>A_96</v>
          </cell>
        </row>
        <row r="5">
          <cell r="A5" t="str">
            <v>2725788</v>
          </cell>
          <cell r="B5" t="str">
            <v>26</v>
          </cell>
          <cell r="C5" t="str">
            <v>과장</v>
          </cell>
          <cell r="D5" t="str">
            <v>김준형　　</v>
          </cell>
          <cell r="E5" t="str">
            <v>C</v>
          </cell>
          <cell r="G5">
            <v>1</v>
          </cell>
          <cell r="H5" t="str">
            <v>KO**</v>
          </cell>
          <cell r="K5" t="str">
            <v>KODA</v>
          </cell>
          <cell r="L5" t="str">
            <v>일반구매팀　　　　　</v>
          </cell>
          <cell r="O5" t="str">
            <v>KODA</v>
          </cell>
          <cell r="R5" t="str">
            <v>1</v>
          </cell>
          <cell r="V5" t="str">
            <v>3</v>
          </cell>
          <cell r="W5" t="str">
            <v>1</v>
          </cell>
          <cell r="X5" t="str">
            <v>3</v>
          </cell>
          <cell r="Y5" t="str">
            <v>O</v>
          </cell>
          <cell r="Z5" t="str">
            <v>2067778</v>
          </cell>
          <cell r="AA5" t="str">
            <v>송시용　　</v>
          </cell>
          <cell r="AB5" t="str">
            <v>22</v>
          </cell>
          <cell r="AC5" t="str">
            <v>32</v>
          </cell>
          <cell r="AD5">
            <v>47</v>
          </cell>
          <cell r="AE5">
            <v>50.85</v>
          </cell>
          <cell r="AF5">
            <v>60</v>
          </cell>
          <cell r="AG5" t="str">
            <v>2008268</v>
          </cell>
          <cell r="AH5" t="str">
            <v>이용도　　</v>
          </cell>
          <cell r="AI5" t="str">
            <v>02</v>
          </cell>
          <cell r="AJ5" t="str">
            <v>20</v>
          </cell>
          <cell r="AK5">
            <v>47</v>
          </cell>
          <cell r="AL5">
            <v>47.61</v>
          </cell>
          <cell r="AM5">
            <v>20</v>
          </cell>
          <cell r="AR5">
            <v>0</v>
          </cell>
          <cell r="AS5">
            <v>0</v>
          </cell>
          <cell r="AT5">
            <v>0</v>
          </cell>
          <cell r="AY5">
            <v>0</v>
          </cell>
          <cell r="AZ5">
            <v>0</v>
          </cell>
          <cell r="BA5">
            <v>0</v>
          </cell>
          <cell r="BF5">
            <v>0</v>
          </cell>
          <cell r="BG5">
            <v>0</v>
          </cell>
          <cell r="BH5">
            <v>0</v>
          </cell>
          <cell r="BM5">
            <v>0</v>
          </cell>
          <cell r="BN5">
            <v>0</v>
          </cell>
          <cell r="BO5">
            <v>0</v>
          </cell>
          <cell r="BP5" t="b">
            <v>0</v>
          </cell>
          <cell r="BQ5">
            <v>0</v>
          </cell>
          <cell r="BR5">
            <v>50.04</v>
          </cell>
          <cell r="BS5">
            <v>1115</v>
          </cell>
          <cell r="BT5">
            <v>98.2</v>
          </cell>
          <cell r="BU5" t="str">
            <v>E</v>
          </cell>
          <cell r="BV5" t="str">
            <v>11</v>
          </cell>
          <cell r="BW5">
            <v>40</v>
          </cell>
          <cell r="BX5" t="str">
            <v>19990101</v>
          </cell>
        </row>
        <row r="6">
          <cell r="A6" t="str">
            <v>2649826</v>
          </cell>
          <cell r="B6" t="str">
            <v>33</v>
          </cell>
          <cell r="C6" t="str">
            <v>5급</v>
          </cell>
          <cell r="D6" t="str">
            <v>김태우　　</v>
          </cell>
          <cell r="E6" t="str">
            <v>C</v>
          </cell>
          <cell r="G6">
            <v>1</v>
          </cell>
          <cell r="H6" t="str">
            <v>KH**</v>
          </cell>
          <cell r="I6" t="str">
            <v>KHJH</v>
          </cell>
          <cell r="J6" t="str">
            <v>경기）용인지점　　　</v>
          </cell>
          <cell r="K6" t="str">
            <v>KHJI</v>
          </cell>
          <cell r="L6" t="str">
            <v>경기）이천지점　　　</v>
          </cell>
          <cell r="O6" t="str">
            <v>KHJIA</v>
          </cell>
          <cell r="R6" t="str">
            <v>2</v>
          </cell>
          <cell r="V6" t="str">
            <v>7</v>
          </cell>
          <cell r="W6" t="str">
            <v>3</v>
          </cell>
          <cell r="X6" t="str">
            <v>4</v>
          </cell>
          <cell r="Y6" t="str">
            <v>O</v>
          </cell>
          <cell r="Z6" t="str">
            <v>2116749</v>
          </cell>
          <cell r="AA6" t="str">
            <v>강부용　　</v>
          </cell>
          <cell r="AB6" t="str">
            <v>26</v>
          </cell>
          <cell r="AC6" t="str">
            <v>44</v>
          </cell>
          <cell r="AD6">
            <v>84</v>
          </cell>
          <cell r="AE6">
            <v>55.28</v>
          </cell>
          <cell r="AF6">
            <v>60</v>
          </cell>
          <cell r="AG6" t="str">
            <v>2209609</v>
          </cell>
          <cell r="AH6" t="str">
            <v>김익래　　</v>
          </cell>
          <cell r="AI6" t="str">
            <v>20</v>
          </cell>
          <cell r="AJ6" t="str">
            <v>32</v>
          </cell>
          <cell r="AK6">
            <v>77</v>
          </cell>
          <cell r="AL6">
            <v>51.76</v>
          </cell>
          <cell r="AM6">
            <v>30</v>
          </cell>
          <cell r="AR6">
            <v>0</v>
          </cell>
          <cell r="AS6">
            <v>0</v>
          </cell>
          <cell r="AT6">
            <v>0</v>
          </cell>
          <cell r="AY6">
            <v>0</v>
          </cell>
          <cell r="AZ6">
            <v>0</v>
          </cell>
          <cell r="BA6">
            <v>0</v>
          </cell>
          <cell r="BF6">
            <v>0</v>
          </cell>
          <cell r="BG6">
            <v>0</v>
          </cell>
          <cell r="BH6">
            <v>0</v>
          </cell>
          <cell r="BM6">
            <v>0</v>
          </cell>
          <cell r="BN6">
            <v>0</v>
          </cell>
          <cell r="BO6">
            <v>0</v>
          </cell>
          <cell r="BP6" t="b">
            <v>0</v>
          </cell>
          <cell r="BQ6">
            <v>0</v>
          </cell>
          <cell r="BR6">
            <v>54.11</v>
          </cell>
          <cell r="BS6">
            <v>593</v>
          </cell>
          <cell r="BT6">
            <v>86.6</v>
          </cell>
          <cell r="BU6" t="str">
            <v>D</v>
          </cell>
          <cell r="BV6" t="str">
            <v>10</v>
          </cell>
          <cell r="BW6">
            <v>44</v>
          </cell>
          <cell r="BX6" t="str">
            <v>19951221</v>
          </cell>
        </row>
        <row r="7">
          <cell r="A7" t="str">
            <v>2650509</v>
          </cell>
          <cell r="B7" t="str">
            <v>33</v>
          </cell>
          <cell r="C7" t="str">
            <v>5급</v>
          </cell>
          <cell r="D7" t="str">
            <v>김연진　　</v>
          </cell>
          <cell r="E7" t="str">
            <v>C</v>
          </cell>
          <cell r="G7">
            <v>1</v>
          </cell>
          <cell r="H7" t="str">
            <v>KH**</v>
          </cell>
          <cell r="I7" t="str">
            <v>KHP*</v>
          </cell>
          <cell r="J7" t="str">
            <v>전남지역본부　　　　</v>
          </cell>
          <cell r="K7" t="str">
            <v>KHPE</v>
          </cell>
          <cell r="L7" t="str">
            <v>전남）나주지점　　　</v>
          </cell>
          <cell r="O7" t="str">
            <v>KHPEA</v>
          </cell>
          <cell r="R7" t="str">
            <v>2</v>
          </cell>
          <cell r="V7" t="str">
            <v>7</v>
          </cell>
          <cell r="W7" t="str">
            <v>3</v>
          </cell>
          <cell r="X7" t="str">
            <v>4</v>
          </cell>
          <cell r="Y7" t="str">
            <v>O</v>
          </cell>
          <cell r="Z7" t="str">
            <v>2082215</v>
          </cell>
          <cell r="AA7" t="str">
            <v>임현욱　　</v>
          </cell>
          <cell r="AB7" t="str">
            <v>26</v>
          </cell>
          <cell r="AC7" t="str">
            <v>44</v>
          </cell>
          <cell r="AD7">
            <v>53</v>
          </cell>
          <cell r="AE7">
            <v>52.35</v>
          </cell>
          <cell r="AF7">
            <v>60</v>
          </cell>
          <cell r="AG7" t="str">
            <v>2018828</v>
          </cell>
          <cell r="AH7" t="str">
            <v>이종성　　</v>
          </cell>
          <cell r="AI7" t="str">
            <v>20</v>
          </cell>
          <cell r="AJ7" t="str">
            <v>32</v>
          </cell>
          <cell r="AK7">
            <v>52</v>
          </cell>
          <cell r="AL7">
            <v>52.1</v>
          </cell>
          <cell r="AM7">
            <v>30</v>
          </cell>
          <cell r="AR7">
            <v>0</v>
          </cell>
          <cell r="AS7">
            <v>0</v>
          </cell>
          <cell r="AT7">
            <v>0</v>
          </cell>
          <cell r="AY7">
            <v>0</v>
          </cell>
          <cell r="AZ7">
            <v>0</v>
          </cell>
          <cell r="BA7">
            <v>0</v>
          </cell>
          <cell r="BF7">
            <v>0</v>
          </cell>
          <cell r="BG7">
            <v>0</v>
          </cell>
          <cell r="BH7">
            <v>0</v>
          </cell>
          <cell r="BM7">
            <v>0</v>
          </cell>
          <cell r="BN7">
            <v>0</v>
          </cell>
          <cell r="BO7">
            <v>0</v>
          </cell>
          <cell r="BP7" t="b">
            <v>0</v>
          </cell>
          <cell r="BQ7">
            <v>0</v>
          </cell>
          <cell r="BR7">
            <v>52.27</v>
          </cell>
          <cell r="BS7">
            <v>647</v>
          </cell>
          <cell r="BT7">
            <v>94.5</v>
          </cell>
          <cell r="BU7" t="str">
            <v>E</v>
          </cell>
          <cell r="BV7" t="str">
            <v>10</v>
          </cell>
          <cell r="BW7">
            <v>44</v>
          </cell>
          <cell r="BX7" t="str">
            <v>19960208</v>
          </cell>
        </row>
        <row r="8">
          <cell r="A8" t="str">
            <v>2725251</v>
          </cell>
          <cell r="B8" t="str">
            <v>28</v>
          </cell>
          <cell r="C8" t="str">
            <v>대리</v>
          </cell>
          <cell r="D8" t="str">
            <v>조상운　　</v>
          </cell>
          <cell r="E8" t="str">
            <v>C</v>
          </cell>
          <cell r="G8">
            <v>1</v>
          </cell>
          <cell r="H8" t="str">
            <v>KK**</v>
          </cell>
          <cell r="K8" t="str">
            <v>KLBA</v>
          </cell>
          <cell r="L8" t="str">
            <v>수출상품전략팀　　　</v>
          </cell>
          <cell r="O8" t="str">
            <v>KLBA</v>
          </cell>
          <cell r="R8" t="str">
            <v>1</v>
          </cell>
          <cell r="V8" t="str">
            <v>4</v>
          </cell>
          <cell r="W8" t="str">
            <v>1</v>
          </cell>
          <cell r="X8" t="str">
            <v>3</v>
          </cell>
          <cell r="Y8" t="str">
            <v>O</v>
          </cell>
          <cell r="Z8" t="str">
            <v>2724308</v>
          </cell>
          <cell r="AA8" t="str">
            <v>안용모　　</v>
          </cell>
          <cell r="AB8" t="str">
            <v>22</v>
          </cell>
          <cell r="AC8" t="str">
            <v>43</v>
          </cell>
          <cell r="AD8">
            <v>53</v>
          </cell>
          <cell r="AE8">
            <v>53.87</v>
          </cell>
          <cell r="AF8">
            <v>30</v>
          </cell>
          <cell r="AG8" t="str">
            <v>2712521</v>
          </cell>
          <cell r="AH8" t="str">
            <v>서동식　　</v>
          </cell>
          <cell r="AI8" t="str">
            <v>05</v>
          </cell>
          <cell r="AJ8" t="str">
            <v>32</v>
          </cell>
          <cell r="AK8">
            <v>64</v>
          </cell>
          <cell r="AL8">
            <v>53.28</v>
          </cell>
          <cell r="AM8">
            <v>20</v>
          </cell>
          <cell r="AN8" t="str">
            <v>2002024</v>
          </cell>
          <cell r="AO8" t="str">
            <v>이덕규　　</v>
          </cell>
          <cell r="AP8" t="str">
            <v>04</v>
          </cell>
          <cell r="AQ8" t="str">
            <v>30</v>
          </cell>
          <cell r="AR8">
            <v>49</v>
          </cell>
          <cell r="AS8">
            <v>51.19</v>
          </cell>
          <cell r="AT8">
            <v>20</v>
          </cell>
          <cell r="AU8" t="str">
            <v>2005295</v>
          </cell>
          <cell r="AV8" t="str">
            <v>박성도　　</v>
          </cell>
          <cell r="AW8" t="str">
            <v>02</v>
          </cell>
          <cell r="AX8" t="str">
            <v>20</v>
          </cell>
          <cell r="AY8">
            <v>47</v>
          </cell>
          <cell r="AZ8">
            <v>50.02</v>
          </cell>
          <cell r="BA8">
            <v>10</v>
          </cell>
          <cell r="BF8">
            <v>0</v>
          </cell>
          <cell r="BG8">
            <v>0</v>
          </cell>
          <cell r="BH8">
            <v>0</v>
          </cell>
          <cell r="BM8">
            <v>0</v>
          </cell>
          <cell r="BN8">
            <v>0</v>
          </cell>
          <cell r="BO8">
            <v>0</v>
          </cell>
          <cell r="BP8" t="b">
            <v>0</v>
          </cell>
          <cell r="BQ8">
            <v>0</v>
          </cell>
          <cell r="BR8">
            <v>52.57</v>
          </cell>
          <cell r="BS8">
            <v>1514</v>
          </cell>
          <cell r="BT8">
            <v>90.4</v>
          </cell>
          <cell r="BU8" t="str">
            <v>E</v>
          </cell>
          <cell r="BV8" t="str">
            <v>10</v>
          </cell>
          <cell r="BW8">
            <v>44</v>
          </cell>
          <cell r="BX8" t="str">
            <v>19980101</v>
          </cell>
        </row>
        <row r="9">
          <cell r="A9" t="str">
            <v>2724078</v>
          </cell>
          <cell r="B9" t="str">
            <v>26</v>
          </cell>
          <cell r="C9" t="str">
            <v>과장</v>
          </cell>
          <cell r="D9" t="str">
            <v>김태성　　</v>
          </cell>
          <cell r="E9" t="str">
            <v>C</v>
          </cell>
          <cell r="G9">
            <v>1</v>
          </cell>
          <cell r="H9" t="str">
            <v>KQ**</v>
          </cell>
          <cell r="I9" t="str">
            <v>KSBF</v>
          </cell>
          <cell r="J9" t="str">
            <v>소）시설관리팀　　　</v>
          </cell>
          <cell r="K9" t="str">
            <v>KSBD</v>
          </cell>
          <cell r="L9" t="str">
            <v>생산교육팀　　　　　</v>
          </cell>
          <cell r="O9" t="str">
            <v>KSBD</v>
          </cell>
          <cell r="R9" t="str">
            <v>4</v>
          </cell>
          <cell r="V9" t="str">
            <v>3</v>
          </cell>
          <cell r="W9" t="str">
            <v>2</v>
          </cell>
          <cell r="X9" t="str">
            <v>3</v>
          </cell>
          <cell r="Y9" t="str">
            <v>O</v>
          </cell>
          <cell r="Z9" t="str">
            <v>2069962</v>
          </cell>
          <cell r="AA9" t="str">
            <v>전경배　　</v>
          </cell>
          <cell r="AB9" t="str">
            <v>24</v>
          </cell>
          <cell r="AC9" t="str">
            <v>43</v>
          </cell>
          <cell r="AD9">
            <v>50</v>
          </cell>
          <cell r="AE9">
            <v>52.58</v>
          </cell>
          <cell r="AF9">
            <v>30</v>
          </cell>
          <cell r="AG9" t="str">
            <v>2007762</v>
          </cell>
          <cell r="AH9" t="str">
            <v>이효행　　</v>
          </cell>
          <cell r="AI9" t="str">
            <v>20</v>
          </cell>
          <cell r="AJ9" t="str">
            <v>32</v>
          </cell>
          <cell r="AK9">
            <v>49</v>
          </cell>
          <cell r="AL9">
            <v>52.41</v>
          </cell>
          <cell r="AM9">
            <v>20</v>
          </cell>
          <cell r="AN9" t="str">
            <v>2060576</v>
          </cell>
          <cell r="AO9" t="str">
            <v>이동룡　　</v>
          </cell>
          <cell r="AP9" t="str">
            <v>02</v>
          </cell>
          <cell r="AQ9" t="str">
            <v>30</v>
          </cell>
          <cell r="AR9">
            <v>46</v>
          </cell>
          <cell r="AS9">
            <v>51.68</v>
          </cell>
          <cell r="AT9">
            <v>20</v>
          </cell>
          <cell r="AU9" t="str">
            <v>2728462</v>
          </cell>
          <cell r="AV9" t="str">
            <v>임승근　　</v>
          </cell>
          <cell r="AW9" t="str">
            <v>02</v>
          </cell>
          <cell r="AX9" t="str">
            <v>20</v>
          </cell>
          <cell r="AY9">
            <v>47</v>
          </cell>
          <cell r="AZ9">
            <v>51.37</v>
          </cell>
          <cell r="BA9">
            <v>10</v>
          </cell>
          <cell r="BF9">
            <v>0</v>
          </cell>
          <cell r="BG9">
            <v>0</v>
          </cell>
          <cell r="BH9">
            <v>0</v>
          </cell>
          <cell r="BM9">
            <v>0</v>
          </cell>
          <cell r="BN9">
            <v>0</v>
          </cell>
          <cell r="BO9">
            <v>0</v>
          </cell>
          <cell r="BP9" t="b">
            <v>0</v>
          </cell>
          <cell r="BQ9">
            <v>0</v>
          </cell>
          <cell r="BR9">
            <v>52.16</v>
          </cell>
          <cell r="BS9">
            <v>1052</v>
          </cell>
          <cell r="BT9">
            <v>92.6</v>
          </cell>
          <cell r="BU9" t="str">
            <v>E</v>
          </cell>
          <cell r="BV9" t="str">
            <v>10</v>
          </cell>
          <cell r="BW9">
            <v>44</v>
          </cell>
          <cell r="BX9" t="str">
            <v>19980101</v>
          </cell>
        </row>
        <row r="10">
          <cell r="A10" t="str">
            <v>2712172</v>
          </cell>
          <cell r="B10" t="str">
            <v>24</v>
          </cell>
          <cell r="C10" t="str">
            <v>차장</v>
          </cell>
          <cell r="D10" t="str">
            <v>최유건　　</v>
          </cell>
          <cell r="E10" t="str">
            <v>C</v>
          </cell>
          <cell r="G10">
            <v>1</v>
          </cell>
          <cell r="H10" t="str">
            <v>KK**</v>
          </cell>
          <cell r="I10" t="str">
            <v>KLCE</v>
          </cell>
          <cell r="J10" t="str">
            <v>상용특장수출팀　　　</v>
          </cell>
          <cell r="K10" t="str">
            <v>KLAB</v>
          </cell>
          <cell r="L10" t="str">
            <v>수출업무팀　　　　　</v>
          </cell>
          <cell r="O10" t="str">
            <v>KLAB</v>
          </cell>
          <cell r="R10" t="str">
            <v>1</v>
          </cell>
          <cell r="V10" t="str">
            <v>2</v>
          </cell>
          <cell r="W10" t="str">
            <v>1</v>
          </cell>
          <cell r="X10" t="str">
            <v>3</v>
          </cell>
          <cell r="Y10" t="str">
            <v>O</v>
          </cell>
          <cell r="Z10" t="str">
            <v>2046791</v>
          </cell>
          <cell r="AA10" t="str">
            <v>김욱　　　</v>
          </cell>
          <cell r="AB10" t="str">
            <v>22</v>
          </cell>
          <cell r="AC10" t="str">
            <v>43</v>
          </cell>
          <cell r="AD10">
            <v>75</v>
          </cell>
          <cell r="AE10">
            <v>59.75</v>
          </cell>
          <cell r="AF10">
            <v>30</v>
          </cell>
          <cell r="AG10" t="str">
            <v>2725267</v>
          </cell>
          <cell r="AH10" t="str">
            <v>김진성　　</v>
          </cell>
          <cell r="AI10" t="str">
            <v>05</v>
          </cell>
          <cell r="AJ10" t="str">
            <v>32</v>
          </cell>
          <cell r="AK10">
            <v>53</v>
          </cell>
          <cell r="AL10">
            <v>49.35</v>
          </cell>
          <cell r="AM10">
            <v>20</v>
          </cell>
          <cell r="AN10" t="str">
            <v>2002024</v>
          </cell>
          <cell r="AO10" t="str">
            <v>이덕규　　</v>
          </cell>
          <cell r="AP10" t="str">
            <v>04</v>
          </cell>
          <cell r="AQ10" t="str">
            <v>30</v>
          </cell>
          <cell r="AR10">
            <v>53</v>
          </cell>
          <cell r="AS10">
            <v>52.13</v>
          </cell>
          <cell r="AT10">
            <v>20</v>
          </cell>
          <cell r="AU10" t="str">
            <v>2005295</v>
          </cell>
          <cell r="AV10" t="str">
            <v>박성도　　</v>
          </cell>
          <cell r="AW10" t="str">
            <v>02</v>
          </cell>
          <cell r="AX10" t="str">
            <v>20</v>
          </cell>
          <cell r="AY10">
            <v>53</v>
          </cell>
          <cell r="AZ10">
            <v>51.54</v>
          </cell>
          <cell r="BA10">
            <v>10</v>
          </cell>
          <cell r="BF10">
            <v>0</v>
          </cell>
          <cell r="BG10">
            <v>0</v>
          </cell>
          <cell r="BH10">
            <v>0</v>
          </cell>
          <cell r="BM10">
            <v>0</v>
          </cell>
          <cell r="BN10">
            <v>0</v>
          </cell>
          <cell r="BO10">
            <v>0</v>
          </cell>
          <cell r="BP10" t="b">
            <v>0</v>
          </cell>
          <cell r="BQ10">
            <v>0</v>
          </cell>
          <cell r="BR10">
            <v>54.22</v>
          </cell>
          <cell r="BS10">
            <v>221</v>
          </cell>
          <cell r="BT10">
            <v>85</v>
          </cell>
          <cell r="BU10" t="str">
            <v>D</v>
          </cell>
          <cell r="BV10" t="str">
            <v>09</v>
          </cell>
          <cell r="BW10">
            <v>48</v>
          </cell>
          <cell r="BX10" t="str">
            <v>19990101</v>
          </cell>
        </row>
        <row r="11">
          <cell r="A11" t="str">
            <v>2728389</v>
          </cell>
          <cell r="B11" t="str">
            <v>22</v>
          </cell>
          <cell r="C11" t="str">
            <v>부장</v>
          </cell>
          <cell r="D11" t="str">
            <v>윤길근　　</v>
          </cell>
          <cell r="E11" t="str">
            <v>C</v>
          </cell>
          <cell r="G11">
            <v>1</v>
          </cell>
          <cell r="H11" t="str">
            <v>KQ**</v>
          </cell>
          <cell r="K11" t="str">
            <v>KR**</v>
          </cell>
          <cell r="L11" t="str">
            <v>생산기술센타　　　　</v>
          </cell>
          <cell r="O11" t="str">
            <v>KR**</v>
          </cell>
          <cell r="R11" t="str">
            <v>4</v>
          </cell>
          <cell r="V11" t="str">
            <v>1</v>
          </cell>
          <cell r="W11" t="str">
            <v>2</v>
          </cell>
          <cell r="X11" t="str">
            <v>3</v>
          </cell>
          <cell r="Y11" t="str">
            <v>O</v>
          </cell>
          <cell r="Z11" t="str">
            <v>7034958</v>
          </cell>
          <cell r="AA11" t="str">
            <v>정성은　　</v>
          </cell>
          <cell r="AB11" t="str">
            <v>05</v>
          </cell>
          <cell r="AC11" t="str">
            <v>32</v>
          </cell>
          <cell r="AD11">
            <v>80</v>
          </cell>
          <cell r="AE11">
            <v>55.28</v>
          </cell>
          <cell r="AF11">
            <v>50</v>
          </cell>
          <cell r="AG11" t="str">
            <v>2002001</v>
          </cell>
          <cell r="AH11" t="str">
            <v>신도철　　</v>
          </cell>
          <cell r="AI11" t="str">
            <v>03</v>
          </cell>
          <cell r="AJ11" t="str">
            <v>30</v>
          </cell>
          <cell r="AK11">
            <v>66</v>
          </cell>
          <cell r="AL11">
            <v>56.67</v>
          </cell>
          <cell r="AM11">
            <v>20</v>
          </cell>
          <cell r="AN11" t="str">
            <v>2728462</v>
          </cell>
          <cell r="AO11" t="str">
            <v>임승근　　</v>
          </cell>
          <cell r="AP11" t="str">
            <v>02</v>
          </cell>
          <cell r="AQ11" t="str">
            <v>20</v>
          </cell>
          <cell r="AR11">
            <v>47</v>
          </cell>
          <cell r="AS11">
            <v>51.64</v>
          </cell>
          <cell r="AT11">
            <v>10</v>
          </cell>
          <cell r="AY11">
            <v>0</v>
          </cell>
          <cell r="AZ11">
            <v>0</v>
          </cell>
          <cell r="BA11">
            <v>0</v>
          </cell>
          <cell r="BF11">
            <v>0</v>
          </cell>
          <cell r="BG11">
            <v>0</v>
          </cell>
          <cell r="BH11">
            <v>0</v>
          </cell>
          <cell r="BM11">
            <v>0</v>
          </cell>
          <cell r="BN11">
            <v>0</v>
          </cell>
          <cell r="BO11">
            <v>0</v>
          </cell>
          <cell r="BP11" t="b">
            <v>0</v>
          </cell>
          <cell r="BQ11">
            <v>0</v>
          </cell>
          <cell r="BR11">
            <v>55.17</v>
          </cell>
          <cell r="BS11">
            <v>74</v>
          </cell>
          <cell r="BT11">
            <v>75.5</v>
          </cell>
          <cell r="BU11" t="str">
            <v>D</v>
          </cell>
          <cell r="BV11" t="str">
            <v>09</v>
          </cell>
          <cell r="BW11">
            <v>48</v>
          </cell>
          <cell r="BX11" t="str">
            <v>19950101</v>
          </cell>
        </row>
        <row r="12">
          <cell r="A12" t="str">
            <v>2437902</v>
          </cell>
          <cell r="B12" t="str">
            <v>30</v>
          </cell>
          <cell r="C12" t="str">
            <v>4갑</v>
          </cell>
          <cell r="D12" t="str">
            <v>김종표　　</v>
          </cell>
          <cell r="E12" t="str">
            <v>C</v>
          </cell>
          <cell r="G12">
            <v>1</v>
          </cell>
          <cell r="H12" t="str">
            <v>KQ**</v>
          </cell>
          <cell r="I12" t="str">
            <v>KTFC</v>
          </cell>
          <cell r="J12" t="str">
            <v>화）디젤엔진부　　　</v>
          </cell>
          <cell r="K12" t="str">
            <v>KTBB</v>
          </cell>
          <cell r="L12" t="str">
            <v>화）인력관리팀　　　</v>
          </cell>
          <cell r="O12" t="str">
            <v>KTBB</v>
          </cell>
          <cell r="R12" t="str">
            <v>5</v>
          </cell>
          <cell r="V12" t="str">
            <v>5</v>
          </cell>
          <cell r="W12" t="str">
            <v>2</v>
          </cell>
          <cell r="X12" t="str">
            <v>3</v>
          </cell>
          <cell r="Y12" t="str">
            <v>O</v>
          </cell>
          <cell r="Z12" t="str">
            <v>2029596</v>
          </cell>
          <cell r="AA12" t="str">
            <v>김효진　　</v>
          </cell>
          <cell r="AB12" t="str">
            <v>22</v>
          </cell>
          <cell r="AC12" t="str">
            <v>43</v>
          </cell>
          <cell r="AD12">
            <v>53</v>
          </cell>
          <cell r="AE12">
            <v>51.44</v>
          </cell>
          <cell r="AF12">
            <v>30</v>
          </cell>
          <cell r="AG12" t="str">
            <v>2043797</v>
          </cell>
          <cell r="AH12" t="str">
            <v>김영호　　</v>
          </cell>
          <cell r="AI12" t="str">
            <v>20</v>
          </cell>
          <cell r="AJ12" t="str">
            <v>32</v>
          </cell>
          <cell r="AK12">
            <v>73</v>
          </cell>
          <cell r="AL12">
            <v>55.71</v>
          </cell>
          <cell r="AM12">
            <v>20</v>
          </cell>
          <cell r="AN12" t="str">
            <v>2100100</v>
          </cell>
          <cell r="AO12" t="str">
            <v>김무일　　</v>
          </cell>
          <cell r="AP12" t="str">
            <v>02</v>
          </cell>
          <cell r="AQ12" t="str">
            <v>30</v>
          </cell>
          <cell r="AR12">
            <v>47</v>
          </cell>
          <cell r="AS12">
            <v>52.03</v>
          </cell>
          <cell r="AT12">
            <v>20</v>
          </cell>
          <cell r="AU12" t="str">
            <v>2728462</v>
          </cell>
          <cell r="AV12" t="str">
            <v>임승근　　</v>
          </cell>
          <cell r="AW12" t="str">
            <v>02</v>
          </cell>
          <cell r="AX12" t="str">
            <v>20</v>
          </cell>
          <cell r="AY12">
            <v>70</v>
          </cell>
          <cell r="AZ12">
            <v>59.82</v>
          </cell>
          <cell r="BA12">
            <v>10</v>
          </cell>
          <cell r="BF12">
            <v>0</v>
          </cell>
          <cell r="BG12">
            <v>0</v>
          </cell>
          <cell r="BH12">
            <v>0</v>
          </cell>
          <cell r="BM12">
            <v>0</v>
          </cell>
          <cell r="BN12">
            <v>0</v>
          </cell>
          <cell r="BO12">
            <v>0</v>
          </cell>
          <cell r="BP12" t="b">
            <v>0</v>
          </cell>
          <cell r="BQ12">
            <v>0</v>
          </cell>
          <cell r="BR12">
            <v>53.7</v>
          </cell>
          <cell r="BS12">
            <v>1223</v>
          </cell>
          <cell r="BT12">
            <v>84.3</v>
          </cell>
          <cell r="BU12" t="str">
            <v>D</v>
          </cell>
          <cell r="BV12" t="str">
            <v>09</v>
          </cell>
          <cell r="BW12">
            <v>48</v>
          </cell>
        </row>
        <row r="13">
          <cell r="A13" t="str">
            <v>2650002</v>
          </cell>
          <cell r="B13" t="str">
            <v>33</v>
          </cell>
          <cell r="C13" t="str">
            <v>5급</v>
          </cell>
          <cell r="D13" t="str">
            <v>차지웅　　</v>
          </cell>
          <cell r="E13" t="str">
            <v>C</v>
          </cell>
          <cell r="G13">
            <v>1</v>
          </cell>
          <cell r="H13" t="str">
            <v>KH**</v>
          </cell>
          <cell r="I13" t="str">
            <v>KDAB</v>
          </cell>
          <cell r="J13" t="str">
            <v>인사팀　　　　　　　</v>
          </cell>
          <cell r="K13" t="str">
            <v>KHEL</v>
          </cell>
          <cell r="L13" t="str">
            <v>동부）삼선교지점　　</v>
          </cell>
          <cell r="O13" t="str">
            <v>KHELA</v>
          </cell>
          <cell r="R13" t="str">
            <v>2</v>
          </cell>
          <cell r="V13" t="str">
            <v>7</v>
          </cell>
          <cell r="W13" t="str">
            <v>3</v>
          </cell>
          <cell r="X13" t="str">
            <v>4</v>
          </cell>
          <cell r="Y13" t="str">
            <v>O</v>
          </cell>
          <cell r="Z13" t="str">
            <v>2142498</v>
          </cell>
          <cell r="AA13" t="str">
            <v>황유석　　</v>
          </cell>
          <cell r="AB13" t="str">
            <v>28</v>
          </cell>
          <cell r="AC13" t="str">
            <v>50</v>
          </cell>
          <cell r="AD13">
            <v>86</v>
          </cell>
          <cell r="AE13">
            <v>55.28</v>
          </cell>
          <cell r="AF13">
            <v>10</v>
          </cell>
          <cell r="AG13" t="str">
            <v>2022802</v>
          </cell>
          <cell r="AH13" t="str">
            <v>정시택　　</v>
          </cell>
          <cell r="AI13" t="str">
            <v>24</v>
          </cell>
          <cell r="AJ13" t="str">
            <v>44</v>
          </cell>
          <cell r="AK13">
            <v>81</v>
          </cell>
          <cell r="AL13">
            <v>55.29</v>
          </cell>
          <cell r="AM13">
            <v>50</v>
          </cell>
          <cell r="AN13" t="str">
            <v>2718162</v>
          </cell>
          <cell r="AO13" t="str">
            <v>박광인　　</v>
          </cell>
          <cell r="AP13" t="str">
            <v>03</v>
          </cell>
          <cell r="AQ13" t="str">
            <v>32</v>
          </cell>
          <cell r="AR13">
            <v>71</v>
          </cell>
          <cell r="AS13">
            <v>58.97</v>
          </cell>
          <cell r="AT13">
            <v>30</v>
          </cell>
          <cell r="AY13">
            <v>0</v>
          </cell>
          <cell r="AZ13">
            <v>0</v>
          </cell>
          <cell r="BA13">
            <v>0</v>
          </cell>
          <cell r="BF13">
            <v>0</v>
          </cell>
          <cell r="BG13">
            <v>0</v>
          </cell>
          <cell r="BH13">
            <v>0</v>
          </cell>
          <cell r="BM13">
            <v>0</v>
          </cell>
          <cell r="BN13">
            <v>0</v>
          </cell>
          <cell r="BO13">
            <v>0</v>
          </cell>
          <cell r="BP13" t="b">
            <v>0</v>
          </cell>
          <cell r="BQ13">
            <v>0</v>
          </cell>
          <cell r="BR13">
            <v>56.52</v>
          </cell>
          <cell r="BS13">
            <v>492</v>
          </cell>
          <cell r="BT13">
            <v>71.8</v>
          </cell>
          <cell r="BU13" t="str">
            <v>D</v>
          </cell>
          <cell r="BV13" t="str">
            <v>08</v>
          </cell>
          <cell r="BW13">
            <v>52</v>
          </cell>
          <cell r="BX13" t="str">
            <v>19951221</v>
          </cell>
        </row>
        <row r="14">
          <cell r="A14" t="str">
            <v>2551272</v>
          </cell>
          <cell r="B14" t="str">
            <v>33</v>
          </cell>
          <cell r="C14" t="str">
            <v>5급</v>
          </cell>
          <cell r="D14" t="str">
            <v>송인순　　</v>
          </cell>
          <cell r="E14" t="str">
            <v>C</v>
          </cell>
          <cell r="G14">
            <v>1</v>
          </cell>
          <cell r="H14" t="str">
            <v>KH**</v>
          </cell>
          <cell r="I14" t="str">
            <v>KHL*</v>
          </cell>
          <cell r="J14" t="str">
            <v>대전지역본부　　　　</v>
          </cell>
          <cell r="K14" t="str">
            <v>KHLC</v>
          </cell>
          <cell r="L14" t="str">
            <v>대전）대전중구지점　</v>
          </cell>
          <cell r="O14" t="str">
            <v>KHLCA</v>
          </cell>
          <cell r="R14" t="str">
            <v>2</v>
          </cell>
          <cell r="V14" t="str">
            <v>7</v>
          </cell>
          <cell r="W14" t="str">
            <v>3</v>
          </cell>
          <cell r="X14" t="str">
            <v>4</v>
          </cell>
          <cell r="Y14" t="str">
            <v>S</v>
          </cell>
          <cell r="Z14" t="str">
            <v>2341281</v>
          </cell>
          <cell r="AA14" t="str">
            <v>두영균　　</v>
          </cell>
          <cell r="AB14" t="str">
            <v>28</v>
          </cell>
          <cell r="AC14" t="str">
            <v>50</v>
          </cell>
          <cell r="AD14">
            <v>53</v>
          </cell>
          <cell r="AE14">
            <v>55.29</v>
          </cell>
          <cell r="AF14">
            <v>10</v>
          </cell>
          <cell r="AG14" t="str">
            <v>2021851</v>
          </cell>
          <cell r="AH14" t="str">
            <v>길재열　　</v>
          </cell>
          <cell r="AI14" t="str">
            <v>22</v>
          </cell>
          <cell r="AJ14" t="str">
            <v>44</v>
          </cell>
          <cell r="AK14">
            <v>60</v>
          </cell>
          <cell r="AL14">
            <v>55.28</v>
          </cell>
          <cell r="AM14">
            <v>50</v>
          </cell>
          <cell r="AN14" t="str">
            <v>2006365</v>
          </cell>
          <cell r="AO14" t="str">
            <v>김선기　　</v>
          </cell>
          <cell r="AP14" t="str">
            <v>04</v>
          </cell>
          <cell r="AQ14" t="str">
            <v>32</v>
          </cell>
          <cell r="AR14">
            <v>77</v>
          </cell>
          <cell r="AS14">
            <v>61.22</v>
          </cell>
          <cell r="AT14">
            <v>30</v>
          </cell>
          <cell r="AY14">
            <v>0</v>
          </cell>
          <cell r="AZ14">
            <v>0</v>
          </cell>
          <cell r="BA14">
            <v>0</v>
          </cell>
          <cell r="BF14">
            <v>0</v>
          </cell>
          <cell r="BG14">
            <v>0</v>
          </cell>
          <cell r="BH14">
            <v>0</v>
          </cell>
          <cell r="BM14">
            <v>0</v>
          </cell>
          <cell r="BN14">
            <v>0</v>
          </cell>
          <cell r="BO14">
            <v>0</v>
          </cell>
          <cell r="BP14" t="b">
            <v>0</v>
          </cell>
          <cell r="BQ14">
            <v>0</v>
          </cell>
          <cell r="BR14">
            <v>57.26</v>
          </cell>
          <cell r="BS14">
            <v>449</v>
          </cell>
          <cell r="BT14">
            <v>65.5</v>
          </cell>
          <cell r="BU14" t="str">
            <v>C</v>
          </cell>
          <cell r="BV14" t="str">
            <v>08</v>
          </cell>
          <cell r="BW14">
            <v>52</v>
          </cell>
          <cell r="BX14" t="str">
            <v>19940411</v>
          </cell>
        </row>
        <row r="15">
          <cell r="A15" t="str">
            <v>2654656</v>
          </cell>
          <cell r="B15" t="str">
            <v>30</v>
          </cell>
          <cell r="C15" t="str">
            <v>4갑</v>
          </cell>
          <cell r="D15" t="str">
            <v>김홍용　　</v>
          </cell>
          <cell r="E15" t="str">
            <v>C</v>
          </cell>
          <cell r="G15">
            <v>1</v>
          </cell>
          <cell r="H15" t="str">
            <v>KH**</v>
          </cell>
          <cell r="I15" t="str">
            <v>KHDB</v>
          </cell>
          <cell r="J15" t="str">
            <v>특장업무팀　　　　　</v>
          </cell>
          <cell r="K15" t="str">
            <v>KHPB</v>
          </cell>
          <cell r="L15" t="str">
            <v>전남）순천지점　　　</v>
          </cell>
          <cell r="O15" t="str">
            <v>KHPBA</v>
          </cell>
          <cell r="R15" t="str">
            <v>2</v>
          </cell>
          <cell r="V15" t="str">
            <v>5</v>
          </cell>
          <cell r="W15" t="str">
            <v>3</v>
          </cell>
          <cell r="X15" t="str">
            <v>3</v>
          </cell>
          <cell r="Y15" t="str">
            <v>S</v>
          </cell>
          <cell r="Z15" t="str">
            <v>2060107</v>
          </cell>
          <cell r="AA15" t="str">
            <v>한승호　　</v>
          </cell>
          <cell r="AB15" t="str">
            <v>24</v>
          </cell>
          <cell r="AC15" t="str">
            <v>44</v>
          </cell>
          <cell r="AD15">
            <v>68</v>
          </cell>
          <cell r="AE15">
            <v>58.89</v>
          </cell>
          <cell r="AF15">
            <v>50</v>
          </cell>
          <cell r="AG15" t="str">
            <v>2018828</v>
          </cell>
          <cell r="AH15" t="str">
            <v>이종성　　</v>
          </cell>
          <cell r="AI15" t="str">
            <v>20</v>
          </cell>
          <cell r="AJ15" t="str">
            <v>32</v>
          </cell>
          <cell r="AK15">
            <v>52</v>
          </cell>
          <cell r="AL15">
            <v>51.43</v>
          </cell>
          <cell r="AM15">
            <v>30</v>
          </cell>
          <cell r="AN15" t="str">
            <v>2059744</v>
          </cell>
          <cell r="AO15" t="str">
            <v>김도영　　</v>
          </cell>
          <cell r="AP15" t="str">
            <v>02</v>
          </cell>
          <cell r="AQ15" t="str">
            <v>20</v>
          </cell>
          <cell r="AR15">
            <v>70</v>
          </cell>
          <cell r="AS15">
            <v>59.89</v>
          </cell>
          <cell r="AT15">
            <v>10</v>
          </cell>
          <cell r="AY15">
            <v>0</v>
          </cell>
          <cell r="AZ15">
            <v>0</v>
          </cell>
          <cell r="BA15">
            <v>0</v>
          </cell>
          <cell r="BF15">
            <v>0</v>
          </cell>
          <cell r="BG15">
            <v>0</v>
          </cell>
          <cell r="BH15">
            <v>0</v>
          </cell>
          <cell r="BM15">
            <v>0</v>
          </cell>
          <cell r="BN15">
            <v>0</v>
          </cell>
          <cell r="BO15">
            <v>0</v>
          </cell>
          <cell r="BP15" t="b">
            <v>0</v>
          </cell>
          <cell r="BQ15">
            <v>0</v>
          </cell>
          <cell r="BR15">
            <v>56.51</v>
          </cell>
          <cell r="BS15">
            <v>1020</v>
          </cell>
          <cell r="BT15">
            <v>70.3</v>
          </cell>
          <cell r="BU15" t="str">
            <v>D</v>
          </cell>
          <cell r="BV15" t="str">
            <v>08</v>
          </cell>
          <cell r="BW15">
            <v>52</v>
          </cell>
          <cell r="BX15" t="str">
            <v>19960104</v>
          </cell>
        </row>
        <row r="16">
          <cell r="A16" t="str">
            <v>2725319</v>
          </cell>
          <cell r="B16" t="str">
            <v>26</v>
          </cell>
          <cell r="C16" t="str">
            <v>과장</v>
          </cell>
          <cell r="D16" t="str">
            <v>조해환　　</v>
          </cell>
          <cell r="E16" t="str">
            <v>C</v>
          </cell>
          <cell r="G16">
            <v>1</v>
          </cell>
          <cell r="H16" t="str">
            <v>KK**</v>
          </cell>
          <cell r="K16" t="str">
            <v>KLBC</v>
          </cell>
          <cell r="L16" t="str">
            <v>해외광고팀　　　　　</v>
          </cell>
          <cell r="O16" t="str">
            <v>KLBC</v>
          </cell>
          <cell r="R16" t="str">
            <v>1</v>
          </cell>
          <cell r="V16" t="str">
            <v>3</v>
          </cell>
          <cell r="W16" t="str">
            <v>1</v>
          </cell>
          <cell r="X16" t="str">
            <v>3</v>
          </cell>
          <cell r="Y16" t="str">
            <v>O</v>
          </cell>
          <cell r="Z16" t="str">
            <v>2082684</v>
          </cell>
          <cell r="AA16" t="str">
            <v>황정렬　　</v>
          </cell>
          <cell r="AB16" t="str">
            <v>24</v>
          </cell>
          <cell r="AC16" t="str">
            <v>43</v>
          </cell>
          <cell r="AD16">
            <v>91</v>
          </cell>
          <cell r="AE16">
            <v>55.29</v>
          </cell>
          <cell r="AF16">
            <v>30</v>
          </cell>
          <cell r="AG16" t="str">
            <v>2712521</v>
          </cell>
          <cell r="AH16" t="str">
            <v>서동식　　</v>
          </cell>
          <cell r="AI16" t="str">
            <v>05</v>
          </cell>
          <cell r="AJ16" t="str">
            <v>32</v>
          </cell>
          <cell r="AK16">
            <v>73</v>
          </cell>
          <cell r="AL16">
            <v>55.44</v>
          </cell>
          <cell r="AM16">
            <v>20</v>
          </cell>
          <cell r="AN16" t="str">
            <v>2002024</v>
          </cell>
          <cell r="AO16" t="str">
            <v>이덕규　　</v>
          </cell>
          <cell r="AP16" t="str">
            <v>04</v>
          </cell>
          <cell r="AQ16" t="str">
            <v>30</v>
          </cell>
          <cell r="AR16">
            <v>70</v>
          </cell>
          <cell r="AS16">
            <v>59.37</v>
          </cell>
          <cell r="AT16">
            <v>20</v>
          </cell>
          <cell r="AU16" t="str">
            <v>2005295</v>
          </cell>
          <cell r="AV16" t="str">
            <v>박성도　　</v>
          </cell>
          <cell r="AW16" t="str">
            <v>02</v>
          </cell>
          <cell r="AX16" t="str">
            <v>20</v>
          </cell>
          <cell r="AY16">
            <v>77</v>
          </cell>
          <cell r="AZ16">
            <v>62.25</v>
          </cell>
          <cell r="BA16">
            <v>10</v>
          </cell>
          <cell r="BF16">
            <v>0</v>
          </cell>
          <cell r="BG16">
            <v>0</v>
          </cell>
          <cell r="BH16">
            <v>0</v>
          </cell>
          <cell r="BM16">
            <v>0</v>
          </cell>
          <cell r="BN16">
            <v>0</v>
          </cell>
          <cell r="BO16">
            <v>0</v>
          </cell>
          <cell r="BP16" t="b">
            <v>0</v>
          </cell>
          <cell r="BQ16">
            <v>0</v>
          </cell>
          <cell r="BR16">
            <v>57.22</v>
          </cell>
          <cell r="BS16">
            <v>768</v>
          </cell>
          <cell r="BT16">
            <v>67.599999999999994</v>
          </cell>
          <cell r="BU16" t="str">
            <v>C</v>
          </cell>
          <cell r="BV16" t="str">
            <v>08</v>
          </cell>
          <cell r="BW16">
            <v>52</v>
          </cell>
          <cell r="BX16" t="str">
            <v>19960101</v>
          </cell>
        </row>
        <row r="17">
          <cell r="A17" t="str">
            <v>2505764</v>
          </cell>
          <cell r="B17" t="str">
            <v>32</v>
          </cell>
          <cell r="C17" t="str">
            <v>4을</v>
          </cell>
          <cell r="D17" t="str">
            <v>육상준　　</v>
          </cell>
          <cell r="E17" t="str">
            <v>C</v>
          </cell>
          <cell r="G17">
            <v>1</v>
          </cell>
          <cell r="H17" t="str">
            <v>KH**</v>
          </cell>
          <cell r="I17" t="str">
            <v>KHLH</v>
          </cell>
          <cell r="J17" t="str">
            <v>대전）금산지점　　　</v>
          </cell>
          <cell r="K17" t="str">
            <v>KHLD</v>
          </cell>
          <cell r="L17" t="str">
            <v>대전）남대전지점　　</v>
          </cell>
          <cell r="O17" t="str">
            <v>KHLDA</v>
          </cell>
          <cell r="R17" t="str">
            <v>2</v>
          </cell>
          <cell r="V17" t="str">
            <v>6</v>
          </cell>
          <cell r="W17" t="str">
            <v>3</v>
          </cell>
          <cell r="X17" t="str">
            <v>4</v>
          </cell>
          <cell r="Y17" t="str">
            <v>O</v>
          </cell>
          <cell r="Z17" t="str">
            <v>2521934</v>
          </cell>
          <cell r="AA17" t="str">
            <v>박태갑　　</v>
          </cell>
          <cell r="AB17" t="str">
            <v>28</v>
          </cell>
          <cell r="AC17" t="str">
            <v>50</v>
          </cell>
          <cell r="AD17">
            <v>92</v>
          </cell>
          <cell r="AE17">
            <v>66.099999999999994</v>
          </cell>
          <cell r="AF17">
            <v>10</v>
          </cell>
          <cell r="AG17" t="str">
            <v>2159805</v>
          </cell>
          <cell r="AH17" t="str">
            <v>김선국　　</v>
          </cell>
          <cell r="AI17" t="str">
            <v>26</v>
          </cell>
          <cell r="AJ17" t="str">
            <v>44</v>
          </cell>
          <cell r="AK17">
            <v>75</v>
          </cell>
          <cell r="AL17">
            <v>58.54</v>
          </cell>
          <cell r="AM17">
            <v>50</v>
          </cell>
          <cell r="AN17" t="str">
            <v>2006365</v>
          </cell>
          <cell r="AO17" t="str">
            <v>김선기　　</v>
          </cell>
          <cell r="AP17" t="str">
            <v>04</v>
          </cell>
          <cell r="AQ17" t="str">
            <v>32</v>
          </cell>
          <cell r="AR17">
            <v>68</v>
          </cell>
          <cell r="AS17">
            <v>57.32</v>
          </cell>
          <cell r="AT17">
            <v>30</v>
          </cell>
          <cell r="AY17">
            <v>0</v>
          </cell>
          <cell r="AZ17">
            <v>0</v>
          </cell>
          <cell r="BA17">
            <v>0</v>
          </cell>
          <cell r="BF17">
            <v>0</v>
          </cell>
          <cell r="BG17">
            <v>0</v>
          </cell>
          <cell r="BH17">
            <v>0</v>
          </cell>
          <cell r="BM17">
            <v>0</v>
          </cell>
          <cell r="BN17">
            <v>0</v>
          </cell>
          <cell r="BO17">
            <v>0</v>
          </cell>
          <cell r="BP17" t="b">
            <v>0</v>
          </cell>
          <cell r="BQ17">
            <v>0</v>
          </cell>
          <cell r="BR17">
            <v>58.97</v>
          </cell>
          <cell r="BS17">
            <v>423</v>
          </cell>
          <cell r="BT17">
            <v>60.7</v>
          </cell>
          <cell r="BU17" t="str">
            <v>C</v>
          </cell>
          <cell r="BV17" t="str">
            <v>07</v>
          </cell>
          <cell r="BW17">
            <v>56</v>
          </cell>
          <cell r="BX17" t="str">
            <v>19970101</v>
          </cell>
        </row>
        <row r="18">
          <cell r="A18" t="str">
            <v>2095644</v>
          </cell>
          <cell r="B18" t="str">
            <v>24</v>
          </cell>
          <cell r="C18" t="str">
            <v>차장</v>
          </cell>
          <cell r="D18" t="str">
            <v>윤기봉　　</v>
          </cell>
          <cell r="E18" t="str">
            <v>C</v>
          </cell>
          <cell r="G18">
            <v>1</v>
          </cell>
          <cell r="H18" t="str">
            <v>KF**</v>
          </cell>
          <cell r="I18" t="str">
            <v>KUBC</v>
          </cell>
          <cell r="J18" t="str">
            <v>광）경리팀　　　　　</v>
          </cell>
          <cell r="K18" t="str">
            <v>KFBA</v>
          </cell>
          <cell r="L18" t="str">
            <v>재정팀　　　　　　　</v>
          </cell>
          <cell r="O18" t="str">
            <v>KFBA</v>
          </cell>
          <cell r="R18" t="str">
            <v>1</v>
          </cell>
          <cell r="V18" t="str">
            <v>2</v>
          </cell>
          <cell r="W18" t="str">
            <v>1</v>
          </cell>
          <cell r="X18" t="str">
            <v>3</v>
          </cell>
          <cell r="Y18" t="str">
            <v>O</v>
          </cell>
          <cell r="Z18" t="str">
            <v>2064976</v>
          </cell>
          <cell r="AA18" t="str">
            <v>이주록　　</v>
          </cell>
          <cell r="AB18" t="str">
            <v>24</v>
          </cell>
          <cell r="AC18" t="str">
            <v>43</v>
          </cell>
          <cell r="AD18">
            <v>84</v>
          </cell>
          <cell r="AE18">
            <v>55.16</v>
          </cell>
          <cell r="AF18">
            <v>40</v>
          </cell>
          <cell r="AG18" t="str">
            <v>2023777</v>
          </cell>
          <cell r="AH18" t="str">
            <v>구태환　　</v>
          </cell>
          <cell r="AI18" t="str">
            <v>20</v>
          </cell>
          <cell r="AJ18" t="str">
            <v>32</v>
          </cell>
          <cell r="AK18">
            <v>90</v>
          </cell>
          <cell r="AL18">
            <v>55.46</v>
          </cell>
          <cell r="AM18">
            <v>30</v>
          </cell>
          <cell r="AN18" t="str">
            <v>2011581</v>
          </cell>
          <cell r="AO18" t="str">
            <v>정학진　　</v>
          </cell>
          <cell r="AP18" t="str">
            <v>02</v>
          </cell>
          <cell r="AQ18" t="str">
            <v>20</v>
          </cell>
          <cell r="AR18">
            <v>77</v>
          </cell>
          <cell r="AS18">
            <v>60.6</v>
          </cell>
          <cell r="AT18">
            <v>10</v>
          </cell>
          <cell r="AY18">
            <v>0</v>
          </cell>
          <cell r="AZ18">
            <v>0</v>
          </cell>
          <cell r="BA18">
            <v>0</v>
          </cell>
          <cell r="BF18">
            <v>0</v>
          </cell>
          <cell r="BG18">
            <v>0</v>
          </cell>
          <cell r="BH18">
            <v>0</v>
          </cell>
          <cell r="BM18">
            <v>0</v>
          </cell>
          <cell r="BN18">
            <v>0</v>
          </cell>
          <cell r="BO18">
            <v>0</v>
          </cell>
          <cell r="BP18" t="b">
            <v>0</v>
          </cell>
          <cell r="BQ18">
            <v>0</v>
          </cell>
          <cell r="BR18">
            <v>55.95</v>
          </cell>
          <cell r="BS18">
            <v>189</v>
          </cell>
          <cell r="BT18">
            <v>72.7</v>
          </cell>
          <cell r="BU18" t="str">
            <v>D</v>
          </cell>
          <cell r="BV18" t="str">
            <v>08</v>
          </cell>
          <cell r="BW18">
            <v>52</v>
          </cell>
          <cell r="BX18" t="str">
            <v>19980701</v>
          </cell>
          <cell r="BZ18" t="str">
            <v>A</v>
          </cell>
          <cell r="CA18" t="str">
            <v>01</v>
          </cell>
          <cell r="CB18" t="str">
            <v>A</v>
          </cell>
          <cell r="CC18" t="str">
            <v>02</v>
          </cell>
          <cell r="CD18" t="str">
            <v>A</v>
          </cell>
          <cell r="CE18" t="str">
            <v>01</v>
          </cell>
        </row>
        <row r="19">
          <cell r="A19" t="str">
            <v>2182752</v>
          </cell>
          <cell r="B19" t="str">
            <v>26</v>
          </cell>
          <cell r="C19" t="str">
            <v>과장</v>
          </cell>
          <cell r="D19" t="str">
            <v>변석호　　</v>
          </cell>
          <cell r="E19" t="str">
            <v>C</v>
          </cell>
          <cell r="G19">
            <v>1</v>
          </cell>
          <cell r="H19" t="str">
            <v>KQ**</v>
          </cell>
          <cell r="I19" t="str">
            <v>KSCA</v>
          </cell>
          <cell r="J19" t="str">
            <v>소）제조관리１부　　</v>
          </cell>
          <cell r="K19" t="str">
            <v>KSEA</v>
          </cell>
          <cell r="L19" t="str">
            <v>소）엔진변속기제조관</v>
          </cell>
          <cell r="O19" t="str">
            <v>KSEAG</v>
          </cell>
          <cell r="R19" t="str">
            <v>4</v>
          </cell>
          <cell r="T19" t="str">
            <v>50</v>
          </cell>
          <cell r="U19" t="str">
            <v>과장</v>
          </cell>
          <cell r="V19" t="str">
            <v>3</v>
          </cell>
          <cell r="W19" t="str">
            <v>2</v>
          </cell>
          <cell r="X19" t="str">
            <v>2</v>
          </cell>
          <cell r="Y19" t="str">
            <v>O</v>
          </cell>
          <cell r="Z19" t="str">
            <v>2060055</v>
          </cell>
          <cell r="AA19" t="str">
            <v>정청열　　</v>
          </cell>
          <cell r="AB19" t="str">
            <v>24</v>
          </cell>
          <cell r="AC19" t="str">
            <v>40</v>
          </cell>
          <cell r="AD19">
            <v>52</v>
          </cell>
          <cell r="AE19">
            <v>51.92</v>
          </cell>
          <cell r="AF19">
            <v>30</v>
          </cell>
          <cell r="AG19" t="str">
            <v>2022238</v>
          </cell>
          <cell r="AH19" t="str">
            <v>백종원　　</v>
          </cell>
          <cell r="AI19" t="str">
            <v>22</v>
          </cell>
          <cell r="AJ19" t="str">
            <v>32</v>
          </cell>
          <cell r="AK19">
            <v>68</v>
          </cell>
          <cell r="AL19">
            <v>59</v>
          </cell>
          <cell r="AM19">
            <v>20</v>
          </cell>
          <cell r="AN19" t="str">
            <v>2014814</v>
          </cell>
          <cell r="AO19" t="str">
            <v>박근성　　</v>
          </cell>
          <cell r="AP19" t="str">
            <v>20</v>
          </cell>
          <cell r="AQ19" t="str">
            <v>31</v>
          </cell>
          <cell r="AR19">
            <v>50</v>
          </cell>
          <cell r="AS19">
            <v>53.18</v>
          </cell>
          <cell r="AT19">
            <v>10</v>
          </cell>
          <cell r="AU19" t="str">
            <v>2060576</v>
          </cell>
          <cell r="AV19" t="str">
            <v>이동룡　　</v>
          </cell>
          <cell r="AW19" t="str">
            <v>02</v>
          </cell>
          <cell r="AX19" t="str">
            <v>30</v>
          </cell>
          <cell r="AY19">
            <v>51</v>
          </cell>
          <cell r="AZ19">
            <v>53.63</v>
          </cell>
          <cell r="BA19">
            <v>10</v>
          </cell>
          <cell r="BB19" t="str">
            <v>2728462</v>
          </cell>
          <cell r="BC19" t="str">
            <v>임승근　　</v>
          </cell>
          <cell r="BD19" t="str">
            <v>02</v>
          </cell>
          <cell r="BE19" t="str">
            <v>20</v>
          </cell>
          <cell r="BF19">
            <v>47</v>
          </cell>
          <cell r="BG19">
            <v>51.37</v>
          </cell>
          <cell r="BH19">
            <v>10</v>
          </cell>
          <cell r="BM19">
            <v>0</v>
          </cell>
          <cell r="BN19">
            <v>0</v>
          </cell>
          <cell r="BO19">
            <v>0</v>
          </cell>
          <cell r="BP19" t="b">
            <v>0</v>
          </cell>
          <cell r="BQ19">
            <v>0</v>
          </cell>
          <cell r="BR19">
            <v>53.99</v>
          </cell>
          <cell r="BS19">
            <v>973</v>
          </cell>
          <cell r="BT19">
            <v>85.7</v>
          </cell>
          <cell r="BU19" t="str">
            <v>D</v>
          </cell>
          <cell r="BV19" t="str">
            <v>10</v>
          </cell>
          <cell r="BW19">
            <v>44</v>
          </cell>
          <cell r="BX19" t="str">
            <v>19980101</v>
          </cell>
          <cell r="BZ19" t="str">
            <v>C</v>
          </cell>
          <cell r="CA19" t="str">
            <v>08</v>
          </cell>
          <cell r="CB19" t="str">
            <v>A</v>
          </cell>
          <cell r="CC19" t="str">
            <v>02</v>
          </cell>
          <cell r="CD19" t="str">
            <v>B</v>
          </cell>
          <cell r="CE19" t="str">
            <v>02</v>
          </cell>
        </row>
        <row r="20">
          <cell r="A20" t="str">
            <v>2725281</v>
          </cell>
          <cell r="B20" t="str">
            <v>24</v>
          </cell>
          <cell r="C20" t="str">
            <v>차장</v>
          </cell>
          <cell r="D20" t="str">
            <v>여수동　　</v>
          </cell>
          <cell r="E20" t="str">
            <v>C</v>
          </cell>
          <cell r="G20">
            <v>1</v>
          </cell>
          <cell r="H20" t="str">
            <v>KK**</v>
          </cell>
          <cell r="K20" t="str">
            <v>KLCB</v>
          </cell>
          <cell r="L20" t="str">
            <v>수출２팀　　　　　　</v>
          </cell>
          <cell r="O20" t="str">
            <v>KLCB</v>
          </cell>
          <cell r="R20" t="str">
            <v>1</v>
          </cell>
          <cell r="V20" t="str">
            <v>2</v>
          </cell>
          <cell r="W20" t="str">
            <v>1</v>
          </cell>
          <cell r="X20" t="str">
            <v>3</v>
          </cell>
          <cell r="Y20" t="str">
            <v>O</v>
          </cell>
          <cell r="Z20" t="str">
            <v>2053144</v>
          </cell>
          <cell r="AA20" t="str">
            <v>오영근　　</v>
          </cell>
          <cell r="AB20" t="str">
            <v>22</v>
          </cell>
          <cell r="AC20" t="str">
            <v>43</v>
          </cell>
          <cell r="AD20">
            <v>67</v>
          </cell>
          <cell r="AE20">
            <v>55.29</v>
          </cell>
          <cell r="AF20">
            <v>30</v>
          </cell>
          <cell r="AG20" t="str">
            <v>2718221</v>
          </cell>
          <cell r="AH20" t="str">
            <v>김병주　　</v>
          </cell>
          <cell r="AI20" t="str">
            <v>20</v>
          </cell>
          <cell r="AJ20" t="str">
            <v>32</v>
          </cell>
          <cell r="AK20">
            <v>77</v>
          </cell>
          <cell r="AL20">
            <v>64.569999999999993</v>
          </cell>
          <cell r="AM20">
            <v>20</v>
          </cell>
          <cell r="AN20" t="str">
            <v>2002024</v>
          </cell>
          <cell r="AO20" t="str">
            <v>이덕규　　</v>
          </cell>
          <cell r="AP20" t="str">
            <v>04</v>
          </cell>
          <cell r="AQ20" t="str">
            <v>30</v>
          </cell>
          <cell r="AR20">
            <v>70</v>
          </cell>
          <cell r="AS20">
            <v>59.01</v>
          </cell>
          <cell r="AT20">
            <v>20</v>
          </cell>
          <cell r="AU20" t="str">
            <v>2005295</v>
          </cell>
          <cell r="AV20" t="str">
            <v>박성도　　</v>
          </cell>
          <cell r="AW20" t="str">
            <v>02</v>
          </cell>
          <cell r="AX20" t="str">
            <v>20</v>
          </cell>
          <cell r="AY20">
            <v>77</v>
          </cell>
          <cell r="AZ20">
            <v>61.55</v>
          </cell>
          <cell r="BA20">
            <v>10</v>
          </cell>
          <cell r="BF20">
            <v>0</v>
          </cell>
          <cell r="BG20">
            <v>0</v>
          </cell>
          <cell r="BH20">
            <v>0</v>
          </cell>
          <cell r="BM20">
            <v>0</v>
          </cell>
          <cell r="BN20">
            <v>0</v>
          </cell>
          <cell r="BO20">
            <v>0</v>
          </cell>
          <cell r="BP20" t="b">
            <v>0</v>
          </cell>
          <cell r="BQ20">
            <v>0</v>
          </cell>
          <cell r="BR20">
            <v>59.32</v>
          </cell>
          <cell r="BS20">
            <v>138</v>
          </cell>
          <cell r="BT20">
            <v>53.1</v>
          </cell>
          <cell r="BU20" t="str">
            <v>C</v>
          </cell>
          <cell r="BV20" t="str">
            <v>06</v>
          </cell>
          <cell r="BW20">
            <v>60</v>
          </cell>
          <cell r="BX20" t="str">
            <v>19980101</v>
          </cell>
        </row>
        <row r="21">
          <cell r="A21" t="str">
            <v>2725297</v>
          </cell>
          <cell r="B21" t="str">
            <v>26</v>
          </cell>
          <cell r="C21" t="str">
            <v>과장</v>
          </cell>
          <cell r="D21" t="str">
            <v>노충환　　</v>
          </cell>
          <cell r="E21" t="str">
            <v>C</v>
          </cell>
          <cell r="G21">
            <v>1</v>
          </cell>
          <cell r="H21" t="str">
            <v>KK**</v>
          </cell>
          <cell r="K21" t="str">
            <v>KLCC</v>
          </cell>
          <cell r="L21" t="str">
            <v>수출３팀　　　　　　</v>
          </cell>
          <cell r="O21" t="str">
            <v>KLCC</v>
          </cell>
          <cell r="R21" t="str">
            <v>1</v>
          </cell>
          <cell r="V21" t="str">
            <v>3</v>
          </cell>
          <cell r="W21" t="str">
            <v>1</v>
          </cell>
          <cell r="X21" t="str">
            <v>3</v>
          </cell>
          <cell r="Y21" t="str">
            <v>O</v>
          </cell>
          <cell r="Z21" t="str">
            <v>2088295</v>
          </cell>
          <cell r="AA21" t="str">
            <v>김종한　　</v>
          </cell>
          <cell r="AB21" t="str">
            <v>24</v>
          </cell>
          <cell r="AC21" t="str">
            <v>43</v>
          </cell>
          <cell r="AD21">
            <v>68</v>
          </cell>
          <cell r="AE21">
            <v>60</v>
          </cell>
          <cell r="AF21">
            <v>30</v>
          </cell>
          <cell r="AG21" t="str">
            <v>2718221</v>
          </cell>
          <cell r="AH21" t="str">
            <v>김병주　　</v>
          </cell>
          <cell r="AI21" t="str">
            <v>20</v>
          </cell>
          <cell r="AJ21" t="str">
            <v>32</v>
          </cell>
          <cell r="AK21">
            <v>73</v>
          </cell>
          <cell r="AL21">
            <v>60.27</v>
          </cell>
          <cell r="AM21">
            <v>20</v>
          </cell>
          <cell r="AN21" t="str">
            <v>2002024</v>
          </cell>
          <cell r="AO21" t="str">
            <v>이덕규　　</v>
          </cell>
          <cell r="AP21" t="str">
            <v>04</v>
          </cell>
          <cell r="AQ21" t="str">
            <v>30</v>
          </cell>
          <cell r="AR21">
            <v>72</v>
          </cell>
          <cell r="AS21">
            <v>60.18</v>
          </cell>
          <cell r="AT21">
            <v>20</v>
          </cell>
          <cell r="AU21" t="str">
            <v>2005295</v>
          </cell>
          <cell r="AV21" t="str">
            <v>박성도　　</v>
          </cell>
          <cell r="AW21" t="str">
            <v>02</v>
          </cell>
          <cell r="AX21" t="str">
            <v>20</v>
          </cell>
          <cell r="AY21">
            <v>70</v>
          </cell>
          <cell r="AZ21">
            <v>59.26</v>
          </cell>
          <cell r="BA21">
            <v>10</v>
          </cell>
          <cell r="BF21">
            <v>0</v>
          </cell>
          <cell r="BG21">
            <v>0</v>
          </cell>
          <cell r="BH21">
            <v>0</v>
          </cell>
          <cell r="BM21">
            <v>0</v>
          </cell>
          <cell r="BN21">
            <v>0</v>
          </cell>
          <cell r="BO21">
            <v>0</v>
          </cell>
          <cell r="BP21" t="b">
            <v>0</v>
          </cell>
          <cell r="BQ21">
            <v>0</v>
          </cell>
          <cell r="BR21">
            <v>60.02</v>
          </cell>
          <cell r="BS21">
            <v>541</v>
          </cell>
          <cell r="BT21">
            <v>47.6</v>
          </cell>
          <cell r="BU21" t="str">
            <v>C</v>
          </cell>
          <cell r="BV21" t="str">
            <v>06</v>
          </cell>
          <cell r="BW21">
            <v>60</v>
          </cell>
          <cell r="BX21" t="str">
            <v>19960101</v>
          </cell>
        </row>
        <row r="22">
          <cell r="A22" t="str">
            <v>2725244</v>
          </cell>
          <cell r="B22" t="str">
            <v>26</v>
          </cell>
          <cell r="C22" t="str">
            <v>과장</v>
          </cell>
          <cell r="D22" t="str">
            <v>김종우　　</v>
          </cell>
          <cell r="E22" t="str">
            <v>C</v>
          </cell>
          <cell r="G22">
            <v>1</v>
          </cell>
          <cell r="H22" t="str">
            <v>KK**</v>
          </cell>
          <cell r="K22" t="str">
            <v>KLCE</v>
          </cell>
          <cell r="L22" t="str">
            <v>상용특장수출팀　　　</v>
          </cell>
          <cell r="O22" t="str">
            <v>KLCE</v>
          </cell>
          <cell r="R22" t="str">
            <v>1</v>
          </cell>
          <cell r="V22" t="str">
            <v>3</v>
          </cell>
          <cell r="W22" t="str">
            <v>1</v>
          </cell>
          <cell r="X22" t="str">
            <v>3</v>
          </cell>
          <cell r="Y22" t="str">
            <v>O</v>
          </cell>
          <cell r="Z22" t="str">
            <v>2013104</v>
          </cell>
          <cell r="AA22" t="str">
            <v>김남중　　</v>
          </cell>
          <cell r="AB22" t="str">
            <v>20</v>
          </cell>
          <cell r="AC22" t="str">
            <v>43</v>
          </cell>
          <cell r="AD22">
            <v>70</v>
          </cell>
          <cell r="AE22">
            <v>59.12</v>
          </cell>
          <cell r="AF22">
            <v>40</v>
          </cell>
          <cell r="AG22" t="str">
            <v>2002024</v>
          </cell>
          <cell r="AH22" t="str">
            <v>이덕규　　</v>
          </cell>
          <cell r="AI22" t="str">
            <v>04</v>
          </cell>
          <cell r="AJ22" t="str">
            <v>30</v>
          </cell>
          <cell r="AK22">
            <v>72</v>
          </cell>
          <cell r="AL22">
            <v>60.18</v>
          </cell>
          <cell r="AM22">
            <v>30</v>
          </cell>
          <cell r="AN22" t="str">
            <v>2005295</v>
          </cell>
          <cell r="AO22" t="str">
            <v>박성도　　</v>
          </cell>
          <cell r="AP22" t="str">
            <v>02</v>
          </cell>
          <cell r="AQ22" t="str">
            <v>20</v>
          </cell>
          <cell r="AR22">
            <v>70</v>
          </cell>
          <cell r="AS22">
            <v>59.26</v>
          </cell>
          <cell r="AT22">
            <v>10</v>
          </cell>
          <cell r="AY22">
            <v>0</v>
          </cell>
          <cell r="AZ22">
            <v>0</v>
          </cell>
          <cell r="BA22">
            <v>0</v>
          </cell>
          <cell r="BF22">
            <v>0</v>
          </cell>
          <cell r="BG22">
            <v>0</v>
          </cell>
          <cell r="BH22">
            <v>0</v>
          </cell>
          <cell r="BM22">
            <v>0</v>
          </cell>
          <cell r="BN22">
            <v>0</v>
          </cell>
          <cell r="BO22">
            <v>0</v>
          </cell>
          <cell r="BP22" t="b">
            <v>0</v>
          </cell>
          <cell r="BQ22">
            <v>0</v>
          </cell>
          <cell r="BR22">
            <v>59.54</v>
          </cell>
          <cell r="BS22">
            <v>592</v>
          </cell>
          <cell r="BT22">
            <v>52.1</v>
          </cell>
          <cell r="BU22" t="str">
            <v>C</v>
          </cell>
          <cell r="BV22" t="str">
            <v>06</v>
          </cell>
          <cell r="BW22">
            <v>60</v>
          </cell>
          <cell r="BX22" t="str">
            <v>19970101</v>
          </cell>
        </row>
        <row r="23">
          <cell r="A23" t="str">
            <v>2506649</v>
          </cell>
          <cell r="B23" t="str">
            <v>32</v>
          </cell>
          <cell r="C23" t="str">
            <v>4을</v>
          </cell>
          <cell r="D23" t="str">
            <v>한옥현　　</v>
          </cell>
          <cell r="E23" t="str">
            <v>C</v>
          </cell>
          <cell r="G23">
            <v>1</v>
          </cell>
          <cell r="H23" t="str">
            <v>KH**</v>
          </cell>
          <cell r="I23" t="str">
            <v>KHGQ</v>
          </cell>
          <cell r="J23" t="str">
            <v>남부）교대역지점　　</v>
          </cell>
          <cell r="K23" t="str">
            <v>KHZA</v>
          </cell>
          <cell r="L23" t="str">
            <v>ＲＶ판촉팀　　　　　</v>
          </cell>
          <cell r="O23" t="str">
            <v>KHZA</v>
          </cell>
          <cell r="R23" t="str">
            <v>1</v>
          </cell>
          <cell r="V23" t="str">
            <v>6</v>
          </cell>
          <cell r="W23" t="str">
            <v>1</v>
          </cell>
          <cell r="X23" t="str">
            <v>4</v>
          </cell>
          <cell r="Y23" t="str">
            <v>O</v>
          </cell>
          <cell r="Z23" t="str">
            <v>2718214</v>
          </cell>
          <cell r="AA23" t="str">
            <v>이지원　　</v>
          </cell>
          <cell r="AB23" t="str">
            <v>04</v>
          </cell>
          <cell r="AC23" t="str">
            <v>32</v>
          </cell>
          <cell r="AD23">
            <v>52</v>
          </cell>
          <cell r="AE23">
            <v>54.83</v>
          </cell>
          <cell r="AF23">
            <v>80</v>
          </cell>
          <cell r="AK23">
            <v>0</v>
          </cell>
          <cell r="AL23">
            <v>0</v>
          </cell>
          <cell r="AM23">
            <v>0</v>
          </cell>
          <cell r="AR23">
            <v>0</v>
          </cell>
          <cell r="AS23">
            <v>0</v>
          </cell>
          <cell r="AT23">
            <v>0</v>
          </cell>
          <cell r="AY23">
            <v>0</v>
          </cell>
          <cell r="AZ23">
            <v>0</v>
          </cell>
          <cell r="BA23">
            <v>0</v>
          </cell>
          <cell r="BF23">
            <v>0</v>
          </cell>
          <cell r="BG23">
            <v>0</v>
          </cell>
          <cell r="BH23">
            <v>0</v>
          </cell>
          <cell r="BM23">
            <v>0</v>
          </cell>
          <cell r="BN23">
            <v>0</v>
          </cell>
          <cell r="BO23">
            <v>0</v>
          </cell>
          <cell r="BP23" t="b">
            <v>0</v>
          </cell>
          <cell r="BQ23">
            <v>0</v>
          </cell>
          <cell r="BR23">
            <v>54.83</v>
          </cell>
          <cell r="BS23">
            <v>605</v>
          </cell>
          <cell r="BT23">
            <v>86.8</v>
          </cell>
          <cell r="BU23" t="str">
            <v>D</v>
          </cell>
          <cell r="BV23" t="str">
            <v>10</v>
          </cell>
          <cell r="BW23">
            <v>44</v>
          </cell>
          <cell r="BX23" t="str">
            <v>19970101</v>
          </cell>
          <cell r="BZ23" t="str">
            <v>C</v>
          </cell>
          <cell r="CA23" t="str">
            <v>06</v>
          </cell>
          <cell r="CB23" t="str">
            <v>C</v>
          </cell>
          <cell r="CC23" t="str">
            <v>04</v>
          </cell>
          <cell r="CD23" t="str">
            <v>B</v>
          </cell>
          <cell r="CE23" t="str">
            <v>03</v>
          </cell>
        </row>
        <row r="24">
          <cell r="A24" t="str">
            <v>2156528</v>
          </cell>
          <cell r="B24" t="str">
            <v>28</v>
          </cell>
          <cell r="C24" t="str">
            <v>대리</v>
          </cell>
          <cell r="D24" t="str">
            <v>이기윤　　</v>
          </cell>
          <cell r="E24" t="str">
            <v>C</v>
          </cell>
          <cell r="G24">
            <v>1</v>
          </cell>
          <cell r="H24" t="str">
            <v>KH**</v>
          </cell>
          <cell r="I24" t="str">
            <v>KHOS</v>
          </cell>
          <cell r="J24" t="str">
            <v>전북）동전주지점　　</v>
          </cell>
          <cell r="K24" t="str">
            <v>KHO*</v>
          </cell>
          <cell r="L24" t="str">
            <v>전북지역본부　　　　</v>
          </cell>
          <cell r="O24" t="str">
            <v>KHO*2</v>
          </cell>
          <cell r="R24" t="str">
            <v>2</v>
          </cell>
          <cell r="V24" t="str">
            <v>4</v>
          </cell>
          <cell r="W24" t="str">
            <v>3</v>
          </cell>
          <cell r="X24" t="str">
            <v>3</v>
          </cell>
          <cell r="Y24" t="str">
            <v>O</v>
          </cell>
          <cell r="Z24" t="str">
            <v>2257087</v>
          </cell>
          <cell r="AA24" t="str">
            <v>정장근　　</v>
          </cell>
          <cell r="AB24" t="str">
            <v>26</v>
          </cell>
          <cell r="AC24" t="str">
            <v>50</v>
          </cell>
          <cell r="AD24">
            <v>86</v>
          </cell>
          <cell r="AE24">
            <v>52.75</v>
          </cell>
          <cell r="AF24">
            <v>40</v>
          </cell>
          <cell r="AG24" t="str">
            <v>2718148</v>
          </cell>
          <cell r="AH24" t="str">
            <v>김춘원　　</v>
          </cell>
          <cell r="AI24" t="str">
            <v>05</v>
          </cell>
          <cell r="AJ24" t="str">
            <v>32</v>
          </cell>
          <cell r="AK24">
            <v>69</v>
          </cell>
          <cell r="AL24">
            <v>59.21</v>
          </cell>
          <cell r="AM24">
            <v>40</v>
          </cell>
          <cell r="AN24" t="str">
            <v>2059744</v>
          </cell>
          <cell r="AO24" t="str">
            <v>김도영　　</v>
          </cell>
          <cell r="AP24" t="str">
            <v>02</v>
          </cell>
          <cell r="AQ24" t="str">
            <v>20</v>
          </cell>
          <cell r="AR24">
            <v>100</v>
          </cell>
          <cell r="AS24">
            <v>70.650000000000006</v>
          </cell>
          <cell r="AT24">
            <v>10</v>
          </cell>
          <cell r="AY24">
            <v>0</v>
          </cell>
          <cell r="AZ24">
            <v>0</v>
          </cell>
          <cell r="BA24">
            <v>0</v>
          </cell>
          <cell r="BF24">
            <v>0</v>
          </cell>
          <cell r="BG24">
            <v>0</v>
          </cell>
          <cell r="BH24">
            <v>0</v>
          </cell>
          <cell r="BM24">
            <v>0</v>
          </cell>
          <cell r="BN24">
            <v>0</v>
          </cell>
          <cell r="BO24">
            <v>0</v>
          </cell>
          <cell r="BP24" t="b">
            <v>0</v>
          </cell>
          <cell r="BQ24">
            <v>0</v>
          </cell>
          <cell r="BR24">
            <v>57.61</v>
          </cell>
          <cell r="BS24">
            <v>1105</v>
          </cell>
          <cell r="BT24">
            <v>66</v>
          </cell>
          <cell r="BU24" t="str">
            <v>C</v>
          </cell>
          <cell r="BV24" t="str">
            <v>08</v>
          </cell>
          <cell r="BW24">
            <v>52</v>
          </cell>
          <cell r="BX24" t="str">
            <v>19970101</v>
          </cell>
          <cell r="BZ24" t="str">
            <v>A</v>
          </cell>
          <cell r="CA24" t="str">
            <v>01</v>
          </cell>
          <cell r="CB24" t="str">
            <v>C</v>
          </cell>
          <cell r="CC24" t="str">
            <v>05</v>
          </cell>
          <cell r="CD24" t="str">
            <v>A</v>
          </cell>
          <cell r="CE24" t="str">
            <v>02</v>
          </cell>
        </row>
        <row r="25">
          <cell r="A25" t="str">
            <v>2452712</v>
          </cell>
          <cell r="B25" t="str">
            <v>28</v>
          </cell>
          <cell r="C25" t="str">
            <v>대리</v>
          </cell>
          <cell r="D25" t="str">
            <v>이종태　　</v>
          </cell>
          <cell r="E25" t="str">
            <v>C</v>
          </cell>
          <cell r="G25">
            <v>1</v>
          </cell>
          <cell r="H25" t="str">
            <v>KAA*</v>
          </cell>
          <cell r="I25" t="str">
            <v>KFBA</v>
          </cell>
          <cell r="J25" t="str">
            <v>재정팀　　　　　　　</v>
          </cell>
          <cell r="K25" t="str">
            <v>KAAB</v>
          </cell>
          <cell r="L25" t="str">
            <v>사업기획팀　　　　　</v>
          </cell>
          <cell r="O25" t="str">
            <v>KAAB</v>
          </cell>
          <cell r="R25" t="str">
            <v>1</v>
          </cell>
          <cell r="V25" t="str">
            <v>4</v>
          </cell>
          <cell r="W25" t="str">
            <v>1</v>
          </cell>
          <cell r="X25" t="str">
            <v>3</v>
          </cell>
          <cell r="Y25" t="str">
            <v>O</v>
          </cell>
          <cell r="Z25" t="str">
            <v>2063451</v>
          </cell>
          <cell r="AA25" t="str">
            <v>강길모　　</v>
          </cell>
          <cell r="AB25" t="str">
            <v>22</v>
          </cell>
          <cell r="AC25" t="str">
            <v>43</v>
          </cell>
          <cell r="AD25">
            <v>50</v>
          </cell>
          <cell r="AE25">
            <v>51.67</v>
          </cell>
          <cell r="AF25">
            <v>50</v>
          </cell>
          <cell r="AG25" t="str">
            <v>7133725</v>
          </cell>
          <cell r="AH25" t="str">
            <v>제갈걸　　</v>
          </cell>
          <cell r="AI25" t="str">
            <v>05</v>
          </cell>
          <cell r="AJ25" t="str">
            <v>32</v>
          </cell>
          <cell r="AK25">
            <v>53</v>
          </cell>
          <cell r="AL25">
            <v>51.85</v>
          </cell>
          <cell r="AM25">
            <v>30</v>
          </cell>
          <cell r="AR25">
            <v>0</v>
          </cell>
          <cell r="AS25">
            <v>0</v>
          </cell>
          <cell r="AT25">
            <v>0</v>
          </cell>
          <cell r="AY25">
            <v>0</v>
          </cell>
          <cell r="AZ25">
            <v>0</v>
          </cell>
          <cell r="BA25">
            <v>0</v>
          </cell>
          <cell r="BF25">
            <v>0</v>
          </cell>
          <cell r="BG25">
            <v>0</v>
          </cell>
          <cell r="BH25">
            <v>0</v>
          </cell>
          <cell r="BM25">
            <v>0</v>
          </cell>
          <cell r="BN25">
            <v>0</v>
          </cell>
          <cell r="BO25">
            <v>0</v>
          </cell>
          <cell r="BP25" t="b">
            <v>0</v>
          </cell>
          <cell r="BQ25">
            <v>0</v>
          </cell>
          <cell r="BR25">
            <v>51.74</v>
          </cell>
          <cell r="BS25">
            <v>1571</v>
          </cell>
          <cell r="BT25">
            <v>93.8</v>
          </cell>
          <cell r="BU25" t="str">
            <v>E</v>
          </cell>
          <cell r="BV25" t="str">
            <v>10</v>
          </cell>
          <cell r="BW25">
            <v>44</v>
          </cell>
          <cell r="BX25" t="str">
            <v>19970101</v>
          </cell>
          <cell r="BZ25" t="str">
            <v>B</v>
          </cell>
          <cell r="CA25" t="str">
            <v>04</v>
          </cell>
          <cell r="CB25" t="str">
            <v>D</v>
          </cell>
          <cell r="CC25" t="str">
            <v>08</v>
          </cell>
          <cell r="CD25" t="str">
            <v>B</v>
          </cell>
          <cell r="CE25" t="str">
            <v>02</v>
          </cell>
        </row>
        <row r="26">
          <cell r="A26" t="str">
            <v>2183644</v>
          </cell>
          <cell r="B26" t="str">
            <v>28</v>
          </cell>
          <cell r="C26" t="str">
            <v>대리</v>
          </cell>
          <cell r="D26" t="str">
            <v>김창원　　</v>
          </cell>
          <cell r="E26" t="str">
            <v>C</v>
          </cell>
          <cell r="G26">
            <v>1</v>
          </cell>
          <cell r="H26" t="str">
            <v>KH**</v>
          </cell>
          <cell r="I26" t="str">
            <v>KHAE</v>
          </cell>
          <cell r="J26" t="str">
            <v>출하지원팀　　　　　</v>
          </cell>
          <cell r="K26" t="str">
            <v>KHW*</v>
          </cell>
          <cell r="L26" t="str">
            <v>경남서부지역본부　　</v>
          </cell>
          <cell r="O26" t="str">
            <v>KHW*1</v>
          </cell>
          <cell r="R26" t="str">
            <v>2</v>
          </cell>
          <cell r="V26" t="str">
            <v>4</v>
          </cell>
          <cell r="W26" t="str">
            <v>3</v>
          </cell>
          <cell r="X26" t="str">
            <v>3</v>
          </cell>
          <cell r="Y26" t="str">
            <v>O</v>
          </cell>
          <cell r="Z26" t="str">
            <v>7116633</v>
          </cell>
          <cell r="AA26" t="str">
            <v>이병기　　</v>
          </cell>
          <cell r="AB26" t="str">
            <v>22</v>
          </cell>
          <cell r="AC26" t="str">
            <v>32</v>
          </cell>
          <cell r="AD26">
            <v>60</v>
          </cell>
          <cell r="AE26">
            <v>50.05</v>
          </cell>
          <cell r="AF26">
            <v>70</v>
          </cell>
          <cell r="AG26" t="str">
            <v>2059744</v>
          </cell>
          <cell r="AH26" t="str">
            <v>김도영　　</v>
          </cell>
          <cell r="AI26" t="str">
            <v>02</v>
          </cell>
          <cell r="AJ26" t="str">
            <v>20</v>
          </cell>
          <cell r="AK26">
            <v>86</v>
          </cell>
          <cell r="AL26">
            <v>65.63</v>
          </cell>
          <cell r="AM26">
            <v>20</v>
          </cell>
          <cell r="AR26">
            <v>0</v>
          </cell>
          <cell r="AS26">
            <v>0</v>
          </cell>
          <cell r="AT26">
            <v>0</v>
          </cell>
          <cell r="AY26">
            <v>0</v>
          </cell>
          <cell r="AZ26">
            <v>0</v>
          </cell>
          <cell r="BA26">
            <v>0</v>
          </cell>
          <cell r="BF26">
            <v>0</v>
          </cell>
          <cell r="BG26">
            <v>0</v>
          </cell>
          <cell r="BH26">
            <v>0</v>
          </cell>
          <cell r="BM26">
            <v>0</v>
          </cell>
          <cell r="BN26">
            <v>0</v>
          </cell>
          <cell r="BO26">
            <v>0</v>
          </cell>
          <cell r="BP26" t="b">
            <v>0</v>
          </cell>
          <cell r="BQ26">
            <v>0</v>
          </cell>
          <cell r="BR26">
            <v>53.51</v>
          </cell>
          <cell r="BS26">
            <v>1452</v>
          </cell>
          <cell r="BT26">
            <v>86.7</v>
          </cell>
          <cell r="BU26" t="str">
            <v>D</v>
          </cell>
          <cell r="BV26" t="str">
            <v>10</v>
          </cell>
          <cell r="BW26">
            <v>44</v>
          </cell>
          <cell r="BX26" t="str">
            <v>19970101</v>
          </cell>
          <cell r="BZ26" t="str">
            <v>C</v>
          </cell>
          <cell r="CA26" t="str">
            <v>07</v>
          </cell>
          <cell r="CB26" t="str">
            <v>C</v>
          </cell>
          <cell r="CC26" t="str">
            <v>05</v>
          </cell>
          <cell r="CD26" t="str">
            <v>A</v>
          </cell>
          <cell r="CE26" t="str">
            <v>02</v>
          </cell>
        </row>
        <row r="27">
          <cell r="A27" t="str">
            <v>2507756</v>
          </cell>
          <cell r="B27" t="str">
            <v>28</v>
          </cell>
          <cell r="C27" t="str">
            <v>대리</v>
          </cell>
          <cell r="D27" t="str">
            <v>김경민　　</v>
          </cell>
          <cell r="E27" t="str">
            <v>C</v>
          </cell>
          <cell r="G27">
            <v>1</v>
          </cell>
          <cell r="H27" t="str">
            <v>KK**</v>
          </cell>
          <cell r="I27" t="str">
            <v>KFBA</v>
          </cell>
          <cell r="J27" t="str">
            <v>재정팀　　　　　　　</v>
          </cell>
          <cell r="K27" t="str">
            <v>KLCC</v>
          </cell>
          <cell r="L27" t="str">
            <v>수출３팀　　　　　　</v>
          </cell>
          <cell r="O27" t="str">
            <v>KLCC</v>
          </cell>
          <cell r="R27" t="str">
            <v>1</v>
          </cell>
          <cell r="V27" t="str">
            <v>4</v>
          </cell>
          <cell r="W27" t="str">
            <v>1</v>
          </cell>
          <cell r="X27" t="str">
            <v>3</v>
          </cell>
          <cell r="Y27" t="str">
            <v>O</v>
          </cell>
          <cell r="Z27" t="str">
            <v>2088295</v>
          </cell>
          <cell r="AA27" t="str">
            <v>김종한　　</v>
          </cell>
          <cell r="AB27" t="str">
            <v>24</v>
          </cell>
          <cell r="AC27" t="str">
            <v>43</v>
          </cell>
          <cell r="AD27">
            <v>53</v>
          </cell>
          <cell r="AE27">
            <v>49.33</v>
          </cell>
          <cell r="AF27">
            <v>30</v>
          </cell>
          <cell r="AG27" t="str">
            <v>2718221</v>
          </cell>
          <cell r="AH27" t="str">
            <v>김병주　　</v>
          </cell>
          <cell r="AI27" t="str">
            <v>20</v>
          </cell>
          <cell r="AJ27" t="str">
            <v>32</v>
          </cell>
          <cell r="AK27">
            <v>68</v>
          </cell>
          <cell r="AL27">
            <v>53.52</v>
          </cell>
          <cell r="AM27">
            <v>20</v>
          </cell>
          <cell r="AN27" t="str">
            <v>2002024</v>
          </cell>
          <cell r="AO27" t="str">
            <v>이덕규　　</v>
          </cell>
          <cell r="AP27" t="str">
            <v>04</v>
          </cell>
          <cell r="AQ27" t="str">
            <v>30</v>
          </cell>
          <cell r="AR27">
            <v>51</v>
          </cell>
          <cell r="AS27">
            <v>51.99</v>
          </cell>
          <cell r="AT27">
            <v>20</v>
          </cell>
          <cell r="AU27" t="str">
            <v>2005295</v>
          </cell>
          <cell r="AV27" t="str">
            <v>박성도　　</v>
          </cell>
          <cell r="AW27" t="str">
            <v>02</v>
          </cell>
          <cell r="AX27" t="str">
            <v>20</v>
          </cell>
          <cell r="AY27">
            <v>47</v>
          </cell>
          <cell r="AZ27">
            <v>50.02</v>
          </cell>
          <cell r="BA27">
            <v>10</v>
          </cell>
          <cell r="BF27">
            <v>0</v>
          </cell>
          <cell r="BG27">
            <v>0</v>
          </cell>
          <cell r="BH27">
            <v>0</v>
          </cell>
          <cell r="BM27">
            <v>0</v>
          </cell>
          <cell r="BN27">
            <v>0</v>
          </cell>
          <cell r="BO27">
            <v>0</v>
          </cell>
          <cell r="BP27" t="b">
            <v>0</v>
          </cell>
          <cell r="BQ27">
            <v>0</v>
          </cell>
          <cell r="BR27">
            <v>51.13</v>
          </cell>
          <cell r="BS27">
            <v>1610</v>
          </cell>
          <cell r="BT27">
            <v>96.2</v>
          </cell>
          <cell r="BU27" t="str">
            <v>E</v>
          </cell>
          <cell r="BV27" t="str">
            <v>11</v>
          </cell>
          <cell r="BW27">
            <v>40</v>
          </cell>
          <cell r="BX27" t="str">
            <v>19980101</v>
          </cell>
          <cell r="BZ27" t="str">
            <v>C</v>
          </cell>
          <cell r="CA27" t="str">
            <v>07</v>
          </cell>
          <cell r="CB27" t="str">
            <v>B</v>
          </cell>
          <cell r="CC27" t="str">
            <v>02</v>
          </cell>
          <cell r="CD27" t="str">
            <v>D</v>
          </cell>
          <cell r="CE27" t="str">
            <v>09</v>
          </cell>
        </row>
        <row r="28">
          <cell r="A28" t="str">
            <v>2156691</v>
          </cell>
          <cell r="B28" t="str">
            <v>28</v>
          </cell>
          <cell r="C28" t="str">
            <v>대리</v>
          </cell>
          <cell r="D28" t="str">
            <v>전오택　　</v>
          </cell>
          <cell r="E28" t="str">
            <v>C</v>
          </cell>
          <cell r="G28">
            <v>1</v>
          </cell>
          <cell r="H28" t="str">
            <v>KH**</v>
          </cell>
          <cell r="I28" t="str">
            <v>KHKF</v>
          </cell>
          <cell r="J28" t="str">
            <v>강원）홍천지점　　　</v>
          </cell>
          <cell r="K28" t="str">
            <v>KHKA</v>
          </cell>
          <cell r="L28" t="str">
            <v>강원）춘천지점　　　</v>
          </cell>
          <cell r="O28" t="str">
            <v>KHKAA</v>
          </cell>
          <cell r="R28" t="str">
            <v>2</v>
          </cell>
          <cell r="T28" t="str">
            <v>50</v>
          </cell>
          <cell r="U28" t="str">
            <v>과장</v>
          </cell>
          <cell r="V28" t="str">
            <v>4</v>
          </cell>
          <cell r="W28" t="str">
            <v>3</v>
          </cell>
          <cell r="X28" t="str">
            <v>2</v>
          </cell>
          <cell r="Y28" t="str">
            <v>O</v>
          </cell>
          <cell r="Z28" t="str">
            <v>2130064</v>
          </cell>
          <cell r="AA28" t="str">
            <v>심현식　　</v>
          </cell>
          <cell r="AB28" t="str">
            <v>26</v>
          </cell>
          <cell r="AC28" t="str">
            <v>44</v>
          </cell>
          <cell r="AD28">
            <v>81</v>
          </cell>
          <cell r="AE28">
            <v>55.29</v>
          </cell>
          <cell r="AF28">
            <v>50</v>
          </cell>
          <cell r="AG28" t="str">
            <v>2032367</v>
          </cell>
          <cell r="AH28" t="str">
            <v>최진　　　</v>
          </cell>
          <cell r="AI28" t="str">
            <v>22</v>
          </cell>
          <cell r="AJ28" t="str">
            <v>32</v>
          </cell>
          <cell r="AK28">
            <v>73</v>
          </cell>
          <cell r="AL28">
            <v>52.15</v>
          </cell>
          <cell r="AM28">
            <v>30</v>
          </cell>
          <cell r="AN28" t="str">
            <v>2059744</v>
          </cell>
          <cell r="AO28" t="str">
            <v>김도영　　</v>
          </cell>
          <cell r="AP28" t="str">
            <v>02</v>
          </cell>
          <cell r="AQ28" t="str">
            <v>20</v>
          </cell>
          <cell r="AR28">
            <v>40</v>
          </cell>
          <cell r="AS28">
            <v>49.12</v>
          </cell>
          <cell r="AT28">
            <v>10</v>
          </cell>
          <cell r="AY28">
            <v>0</v>
          </cell>
          <cell r="AZ28">
            <v>0</v>
          </cell>
          <cell r="BA28">
            <v>0</v>
          </cell>
          <cell r="BF28">
            <v>0</v>
          </cell>
          <cell r="BG28">
            <v>0</v>
          </cell>
          <cell r="BH28">
            <v>0</v>
          </cell>
          <cell r="BM28">
            <v>0</v>
          </cell>
          <cell r="BN28">
            <v>0</v>
          </cell>
          <cell r="BO28">
            <v>0</v>
          </cell>
          <cell r="BP28" t="b">
            <v>0</v>
          </cell>
          <cell r="BQ28">
            <v>0</v>
          </cell>
          <cell r="BR28">
            <v>53.56</v>
          </cell>
          <cell r="BS28">
            <v>1448</v>
          </cell>
          <cell r="BT28">
            <v>86.5</v>
          </cell>
          <cell r="BU28" t="str">
            <v>D</v>
          </cell>
          <cell r="BV28" t="str">
            <v>10</v>
          </cell>
          <cell r="BW28">
            <v>44</v>
          </cell>
          <cell r="BX28" t="str">
            <v>19980101</v>
          </cell>
          <cell r="BZ28" t="str">
            <v>E</v>
          </cell>
          <cell r="CA28" t="str">
            <v>11</v>
          </cell>
          <cell r="CB28" t="str">
            <v>B</v>
          </cell>
          <cell r="CC28" t="str">
            <v>02</v>
          </cell>
          <cell r="CD28" t="str">
            <v>B</v>
          </cell>
          <cell r="CE28" t="str">
            <v>02</v>
          </cell>
        </row>
        <row r="29">
          <cell r="A29" t="str">
            <v>2179179</v>
          </cell>
          <cell r="B29" t="str">
            <v>28</v>
          </cell>
          <cell r="C29" t="str">
            <v>대리</v>
          </cell>
          <cell r="D29" t="str">
            <v>안석준　　</v>
          </cell>
          <cell r="E29" t="str">
            <v>C</v>
          </cell>
          <cell r="G29">
            <v>1</v>
          </cell>
          <cell r="H29" t="str">
            <v>KH**</v>
          </cell>
          <cell r="I29" t="str">
            <v>KHHS</v>
          </cell>
          <cell r="J29" t="str">
            <v>북부）가좌지점　　　</v>
          </cell>
          <cell r="K29" t="str">
            <v>KHHJ</v>
          </cell>
          <cell r="L29" t="str">
            <v>북부）충정로지점　　</v>
          </cell>
          <cell r="O29" t="str">
            <v>KHHJA</v>
          </cell>
          <cell r="R29" t="str">
            <v>2</v>
          </cell>
          <cell r="T29" t="str">
            <v>50</v>
          </cell>
          <cell r="U29" t="str">
            <v>과장</v>
          </cell>
          <cell r="V29" t="str">
            <v>4</v>
          </cell>
          <cell r="W29" t="str">
            <v>3</v>
          </cell>
          <cell r="X29" t="str">
            <v>2</v>
          </cell>
          <cell r="Y29" t="str">
            <v>O</v>
          </cell>
          <cell r="Z29" t="str">
            <v>2093481</v>
          </cell>
          <cell r="AA29" t="str">
            <v>박병식　　</v>
          </cell>
          <cell r="AB29" t="str">
            <v>26</v>
          </cell>
          <cell r="AC29" t="str">
            <v>44</v>
          </cell>
          <cell r="AD29">
            <v>86</v>
          </cell>
          <cell r="AE29">
            <v>55.29</v>
          </cell>
          <cell r="AF29">
            <v>50</v>
          </cell>
          <cell r="AG29" t="str">
            <v>2006008</v>
          </cell>
          <cell r="AH29" t="str">
            <v>이덕준　　</v>
          </cell>
          <cell r="AI29" t="str">
            <v>03</v>
          </cell>
          <cell r="AJ29" t="str">
            <v>32</v>
          </cell>
          <cell r="AK29">
            <v>49</v>
          </cell>
          <cell r="AL29">
            <v>49.47</v>
          </cell>
          <cell r="AM29">
            <v>30</v>
          </cell>
          <cell r="AN29" t="str">
            <v>2059744</v>
          </cell>
          <cell r="AO29" t="str">
            <v>김도영　　</v>
          </cell>
          <cell r="AP29" t="str">
            <v>02</v>
          </cell>
          <cell r="AQ29" t="str">
            <v>20</v>
          </cell>
          <cell r="AR29">
            <v>93</v>
          </cell>
          <cell r="AS29">
            <v>68.14</v>
          </cell>
          <cell r="AT29">
            <v>10</v>
          </cell>
          <cell r="AY29">
            <v>0</v>
          </cell>
          <cell r="AZ29">
            <v>0</v>
          </cell>
          <cell r="BA29">
            <v>0</v>
          </cell>
          <cell r="BF29">
            <v>0</v>
          </cell>
          <cell r="BG29">
            <v>0</v>
          </cell>
          <cell r="BH29">
            <v>0</v>
          </cell>
          <cell r="BM29">
            <v>0</v>
          </cell>
          <cell r="BN29">
            <v>0</v>
          </cell>
          <cell r="BO29">
            <v>0</v>
          </cell>
          <cell r="BP29" t="b">
            <v>0</v>
          </cell>
          <cell r="BQ29">
            <v>0</v>
          </cell>
          <cell r="BR29">
            <v>54.78</v>
          </cell>
          <cell r="BS29">
            <v>1359</v>
          </cell>
          <cell r="BT29">
            <v>81.2</v>
          </cell>
          <cell r="BU29" t="str">
            <v>D</v>
          </cell>
          <cell r="BV29" t="str">
            <v>09</v>
          </cell>
          <cell r="BW29">
            <v>48</v>
          </cell>
          <cell r="BX29" t="str">
            <v>19980101</v>
          </cell>
          <cell r="BZ29" t="str">
            <v>C</v>
          </cell>
          <cell r="CA29" t="str">
            <v>05</v>
          </cell>
          <cell r="CB29" t="str">
            <v>A</v>
          </cell>
          <cell r="CC29" t="str">
            <v>02</v>
          </cell>
          <cell r="CD29" t="str">
            <v>C</v>
          </cell>
          <cell r="CE29" t="str">
            <v>05</v>
          </cell>
        </row>
        <row r="30">
          <cell r="A30" t="str">
            <v>2604442</v>
          </cell>
          <cell r="B30" t="str">
            <v>30</v>
          </cell>
          <cell r="C30" t="str">
            <v>4갑</v>
          </cell>
          <cell r="D30" t="str">
            <v>유헌종　　</v>
          </cell>
          <cell r="E30" t="str">
            <v>C</v>
          </cell>
          <cell r="G30">
            <v>1</v>
          </cell>
          <cell r="H30" t="str">
            <v>KQ**</v>
          </cell>
          <cell r="I30" t="str">
            <v>KSBA</v>
          </cell>
          <cell r="J30" t="str">
            <v>소）총무팀　　　　　</v>
          </cell>
          <cell r="K30" t="str">
            <v>KTBA</v>
          </cell>
          <cell r="L30" t="str">
            <v>화）총무팀　　　　　</v>
          </cell>
          <cell r="O30" t="str">
            <v>KTBA</v>
          </cell>
          <cell r="R30" t="str">
            <v>5</v>
          </cell>
          <cell r="V30" t="str">
            <v>5</v>
          </cell>
          <cell r="W30" t="str">
            <v>2</v>
          </cell>
          <cell r="X30" t="str">
            <v>3</v>
          </cell>
          <cell r="Y30" t="str">
            <v>S</v>
          </cell>
          <cell r="Z30" t="str">
            <v>2139496</v>
          </cell>
          <cell r="AA30" t="str">
            <v>고상원　　</v>
          </cell>
          <cell r="AB30" t="str">
            <v>22</v>
          </cell>
          <cell r="AC30" t="str">
            <v>43</v>
          </cell>
          <cell r="AD30">
            <v>49</v>
          </cell>
          <cell r="AE30">
            <v>49.96</v>
          </cell>
          <cell r="AF30">
            <v>30</v>
          </cell>
          <cell r="AG30" t="str">
            <v>2043797</v>
          </cell>
          <cell r="AH30" t="str">
            <v>김영호　　</v>
          </cell>
          <cell r="AI30" t="str">
            <v>20</v>
          </cell>
          <cell r="AJ30" t="str">
            <v>32</v>
          </cell>
          <cell r="AK30">
            <v>76</v>
          </cell>
          <cell r="AL30">
            <v>57.39</v>
          </cell>
          <cell r="AM30">
            <v>20</v>
          </cell>
          <cell r="AN30" t="str">
            <v>2100100</v>
          </cell>
          <cell r="AO30" t="str">
            <v>김무일　　</v>
          </cell>
          <cell r="AP30" t="str">
            <v>02</v>
          </cell>
          <cell r="AQ30" t="str">
            <v>30</v>
          </cell>
          <cell r="AR30">
            <v>47</v>
          </cell>
          <cell r="AS30">
            <v>52.03</v>
          </cell>
          <cell r="AT30">
            <v>20</v>
          </cell>
          <cell r="AU30" t="str">
            <v>2728462</v>
          </cell>
          <cell r="AV30" t="str">
            <v>임승근　　</v>
          </cell>
          <cell r="AW30" t="str">
            <v>02</v>
          </cell>
          <cell r="AX30" t="str">
            <v>20</v>
          </cell>
          <cell r="AY30">
            <v>70</v>
          </cell>
          <cell r="AZ30">
            <v>59.82</v>
          </cell>
          <cell r="BA30">
            <v>10</v>
          </cell>
          <cell r="BF30">
            <v>0</v>
          </cell>
          <cell r="BG30">
            <v>0</v>
          </cell>
          <cell r="BH30">
            <v>0</v>
          </cell>
          <cell r="BM30">
            <v>0</v>
          </cell>
          <cell r="BN30">
            <v>0</v>
          </cell>
          <cell r="BO30">
            <v>0</v>
          </cell>
          <cell r="BP30" t="b">
            <v>0</v>
          </cell>
          <cell r="BQ30">
            <v>0</v>
          </cell>
          <cell r="BR30">
            <v>53.57</v>
          </cell>
          <cell r="BS30">
            <v>1234</v>
          </cell>
          <cell r="BT30">
            <v>85</v>
          </cell>
          <cell r="BU30" t="str">
            <v>D</v>
          </cell>
          <cell r="BV30" t="str">
            <v>09</v>
          </cell>
          <cell r="BW30">
            <v>48</v>
          </cell>
          <cell r="BX30" t="str">
            <v>19950116</v>
          </cell>
          <cell r="BZ30" t="str">
            <v>B</v>
          </cell>
          <cell r="CA30" t="str">
            <v>03</v>
          </cell>
          <cell r="CB30" t="str">
            <v>A</v>
          </cell>
          <cell r="CC30" t="str">
            <v>01</v>
          </cell>
          <cell r="CD30" t="str">
            <v>C</v>
          </cell>
          <cell r="CE30" t="str">
            <v>08</v>
          </cell>
        </row>
        <row r="31">
          <cell r="A31" t="str">
            <v>2053978</v>
          </cell>
          <cell r="B31" t="str">
            <v>24</v>
          </cell>
          <cell r="C31" t="str">
            <v>차장</v>
          </cell>
          <cell r="D31" t="str">
            <v>박태영　　</v>
          </cell>
          <cell r="E31" t="str">
            <v>C</v>
          </cell>
          <cell r="G31">
            <v>1</v>
          </cell>
          <cell r="H31" t="str">
            <v>KK**</v>
          </cell>
          <cell r="I31" t="str">
            <v>KLAB</v>
          </cell>
          <cell r="J31" t="str">
            <v>수출업무팀　　　　　</v>
          </cell>
          <cell r="K31" t="str">
            <v>KLCA</v>
          </cell>
          <cell r="L31" t="str">
            <v>수출１팀　　　　　　</v>
          </cell>
          <cell r="O31" t="str">
            <v>KLCA</v>
          </cell>
          <cell r="R31" t="str">
            <v>1</v>
          </cell>
          <cell r="V31" t="str">
            <v>2</v>
          </cell>
          <cell r="W31" t="str">
            <v>1</v>
          </cell>
          <cell r="X31" t="str">
            <v>3</v>
          </cell>
          <cell r="Y31" t="str">
            <v>O</v>
          </cell>
          <cell r="Z31" t="str">
            <v>2718221</v>
          </cell>
          <cell r="AA31" t="str">
            <v>김병주　　</v>
          </cell>
          <cell r="AB31" t="str">
            <v>20</v>
          </cell>
          <cell r="AC31" t="str">
            <v>32</v>
          </cell>
          <cell r="AD31">
            <v>79</v>
          </cell>
          <cell r="AE31">
            <v>69.13</v>
          </cell>
          <cell r="AF31">
            <v>40</v>
          </cell>
          <cell r="AG31" t="str">
            <v>2002024</v>
          </cell>
          <cell r="AH31" t="str">
            <v>이덕규　　</v>
          </cell>
          <cell r="AI31" t="str">
            <v>04</v>
          </cell>
          <cell r="AJ31" t="str">
            <v>30</v>
          </cell>
          <cell r="AK31">
            <v>51</v>
          </cell>
          <cell r="AL31">
            <v>51.32</v>
          </cell>
          <cell r="AM31">
            <v>30</v>
          </cell>
          <cell r="AN31" t="str">
            <v>2005295</v>
          </cell>
          <cell r="AO31" t="str">
            <v>박성도　　</v>
          </cell>
          <cell r="AP31" t="str">
            <v>02</v>
          </cell>
          <cell r="AQ31" t="str">
            <v>20</v>
          </cell>
          <cell r="AR31">
            <v>53</v>
          </cell>
          <cell r="AS31">
            <v>51.54</v>
          </cell>
          <cell r="AT31">
            <v>10</v>
          </cell>
          <cell r="AY31">
            <v>0</v>
          </cell>
          <cell r="AZ31">
            <v>0</v>
          </cell>
          <cell r="BA31">
            <v>0</v>
          </cell>
          <cell r="BF31">
            <v>0</v>
          </cell>
          <cell r="BG31">
            <v>0</v>
          </cell>
          <cell r="BH31">
            <v>0</v>
          </cell>
          <cell r="BM31">
            <v>0</v>
          </cell>
          <cell r="BN31">
            <v>0</v>
          </cell>
          <cell r="BO31">
            <v>0</v>
          </cell>
          <cell r="BP31" t="b">
            <v>0</v>
          </cell>
          <cell r="BQ31">
            <v>0</v>
          </cell>
          <cell r="BR31">
            <v>60.25</v>
          </cell>
          <cell r="BS31">
            <v>115</v>
          </cell>
          <cell r="BT31">
            <v>44.2</v>
          </cell>
          <cell r="BU31" t="str">
            <v>C</v>
          </cell>
          <cell r="BV31" t="str">
            <v>05</v>
          </cell>
          <cell r="BW31">
            <v>64</v>
          </cell>
          <cell r="BX31" t="str">
            <v>19960101</v>
          </cell>
        </row>
        <row r="32">
          <cell r="A32" t="str">
            <v>2728402</v>
          </cell>
          <cell r="B32" t="str">
            <v>22</v>
          </cell>
          <cell r="C32" t="str">
            <v>부장</v>
          </cell>
          <cell r="D32" t="str">
            <v>김용철　　</v>
          </cell>
          <cell r="E32" t="str">
            <v>C</v>
          </cell>
          <cell r="G32">
            <v>1</v>
          </cell>
          <cell r="H32" t="str">
            <v>KQ**</v>
          </cell>
          <cell r="K32" t="str">
            <v>KRBC</v>
          </cell>
          <cell r="L32" t="str">
            <v>조립생기팀　　　　　</v>
          </cell>
          <cell r="O32" t="str">
            <v>KRBC</v>
          </cell>
          <cell r="R32" t="str">
            <v>4</v>
          </cell>
          <cell r="T32" t="str">
            <v>43</v>
          </cell>
          <cell r="U32" t="str">
            <v>팀장</v>
          </cell>
          <cell r="V32" t="str">
            <v>1</v>
          </cell>
          <cell r="W32" t="str">
            <v>2</v>
          </cell>
          <cell r="X32" t="str">
            <v>1</v>
          </cell>
          <cell r="Y32" t="str">
            <v>O</v>
          </cell>
          <cell r="Z32" t="str">
            <v>7034958</v>
          </cell>
          <cell r="AA32" t="str">
            <v>정성은　　</v>
          </cell>
          <cell r="AB32" t="str">
            <v>05</v>
          </cell>
          <cell r="AC32" t="str">
            <v>32</v>
          </cell>
          <cell r="AD32">
            <v>86</v>
          </cell>
          <cell r="AE32">
            <v>64.72</v>
          </cell>
          <cell r="AF32">
            <v>20</v>
          </cell>
          <cell r="AG32" t="str">
            <v>2002001</v>
          </cell>
          <cell r="AH32" t="str">
            <v>신도철　　</v>
          </cell>
          <cell r="AI32" t="str">
            <v>03</v>
          </cell>
          <cell r="AJ32" t="str">
            <v>30</v>
          </cell>
          <cell r="AK32">
            <v>70</v>
          </cell>
          <cell r="AL32">
            <v>60.77</v>
          </cell>
          <cell r="AM32">
            <v>40</v>
          </cell>
          <cell r="AN32" t="str">
            <v>2728462</v>
          </cell>
          <cell r="AO32" t="str">
            <v>임승근　　</v>
          </cell>
          <cell r="AP32" t="str">
            <v>02</v>
          </cell>
          <cell r="AQ32" t="str">
            <v>20</v>
          </cell>
          <cell r="AR32">
            <v>70</v>
          </cell>
          <cell r="AS32">
            <v>60</v>
          </cell>
          <cell r="AT32">
            <v>10</v>
          </cell>
          <cell r="AY32">
            <v>0</v>
          </cell>
          <cell r="AZ32">
            <v>0</v>
          </cell>
          <cell r="BA32">
            <v>0</v>
          </cell>
          <cell r="BF32">
            <v>0</v>
          </cell>
          <cell r="BG32">
            <v>0</v>
          </cell>
          <cell r="BH32">
            <v>0</v>
          </cell>
          <cell r="BM32">
            <v>0</v>
          </cell>
          <cell r="BN32">
            <v>0</v>
          </cell>
          <cell r="BO32">
            <v>0</v>
          </cell>
          <cell r="BP32" t="b">
            <v>1</v>
          </cell>
          <cell r="BQ32">
            <v>6</v>
          </cell>
          <cell r="BR32">
            <v>60.07</v>
          </cell>
          <cell r="BS32">
            <v>39</v>
          </cell>
          <cell r="BT32">
            <v>39.799999999999997</v>
          </cell>
          <cell r="BU32" t="str">
            <v>C</v>
          </cell>
          <cell r="BV32" t="str">
            <v>05</v>
          </cell>
          <cell r="BW32">
            <v>64</v>
          </cell>
          <cell r="BX32" t="str">
            <v>19970101</v>
          </cell>
        </row>
        <row r="33">
          <cell r="A33" t="str">
            <v>2725237</v>
          </cell>
          <cell r="B33" t="str">
            <v>30</v>
          </cell>
          <cell r="C33" t="str">
            <v>4갑</v>
          </cell>
          <cell r="D33" t="str">
            <v>이동준　　</v>
          </cell>
          <cell r="E33" t="str">
            <v>C</v>
          </cell>
          <cell r="G33">
            <v>1</v>
          </cell>
          <cell r="H33" t="str">
            <v>KQ**</v>
          </cell>
          <cell r="K33" t="str">
            <v>KTBA</v>
          </cell>
          <cell r="L33" t="str">
            <v>화）총무팀　　　　　</v>
          </cell>
          <cell r="O33" t="str">
            <v>KTBA</v>
          </cell>
          <cell r="R33" t="str">
            <v>5</v>
          </cell>
          <cell r="V33" t="str">
            <v>5</v>
          </cell>
          <cell r="W33" t="str">
            <v>2</v>
          </cell>
          <cell r="X33" t="str">
            <v>3</v>
          </cell>
          <cell r="Y33" t="str">
            <v>S</v>
          </cell>
          <cell r="Z33" t="str">
            <v>2139496</v>
          </cell>
          <cell r="AA33" t="str">
            <v>고상원　　</v>
          </cell>
          <cell r="AB33" t="str">
            <v>22</v>
          </cell>
          <cell r="AC33" t="str">
            <v>43</v>
          </cell>
          <cell r="AD33">
            <v>76</v>
          </cell>
          <cell r="AE33">
            <v>60.89</v>
          </cell>
          <cell r="AF33">
            <v>30</v>
          </cell>
          <cell r="AG33" t="str">
            <v>2043797</v>
          </cell>
          <cell r="AH33" t="str">
            <v>김영호　　</v>
          </cell>
          <cell r="AI33" t="str">
            <v>20</v>
          </cell>
          <cell r="AJ33" t="str">
            <v>32</v>
          </cell>
          <cell r="AK33">
            <v>94</v>
          </cell>
          <cell r="AL33">
            <v>67.459999999999994</v>
          </cell>
          <cell r="AM33">
            <v>20</v>
          </cell>
          <cell r="AN33" t="str">
            <v>2100100</v>
          </cell>
          <cell r="AO33" t="str">
            <v>김무일　　</v>
          </cell>
          <cell r="AP33" t="str">
            <v>02</v>
          </cell>
          <cell r="AQ33" t="str">
            <v>30</v>
          </cell>
          <cell r="AR33">
            <v>53</v>
          </cell>
          <cell r="AS33">
            <v>54.17</v>
          </cell>
          <cell r="AT33">
            <v>20</v>
          </cell>
          <cell r="AU33" t="str">
            <v>2728462</v>
          </cell>
          <cell r="AV33" t="str">
            <v>임승근　　</v>
          </cell>
          <cell r="AW33" t="str">
            <v>02</v>
          </cell>
          <cell r="AX33" t="str">
            <v>20</v>
          </cell>
          <cell r="AY33">
            <v>70</v>
          </cell>
          <cell r="AZ33">
            <v>59.82</v>
          </cell>
          <cell r="BA33">
            <v>10</v>
          </cell>
          <cell r="BF33">
            <v>0</v>
          </cell>
          <cell r="BG33">
            <v>0</v>
          </cell>
          <cell r="BH33">
            <v>0</v>
          </cell>
          <cell r="BM33">
            <v>0</v>
          </cell>
          <cell r="BN33">
            <v>0</v>
          </cell>
          <cell r="BO33">
            <v>0</v>
          </cell>
          <cell r="BP33" t="b">
            <v>0</v>
          </cell>
          <cell r="BQ33">
            <v>0</v>
          </cell>
          <cell r="BR33">
            <v>60.72</v>
          </cell>
          <cell r="BS33">
            <v>615</v>
          </cell>
          <cell r="BT33">
            <v>42.4</v>
          </cell>
          <cell r="BU33" t="str">
            <v>C</v>
          </cell>
          <cell r="BV33" t="str">
            <v>05</v>
          </cell>
          <cell r="BW33">
            <v>64</v>
          </cell>
          <cell r="BX33" t="str">
            <v>19960101</v>
          </cell>
        </row>
        <row r="34">
          <cell r="A34" t="str">
            <v>2388627</v>
          </cell>
          <cell r="B34" t="str">
            <v>22</v>
          </cell>
          <cell r="C34" t="str">
            <v>부장</v>
          </cell>
          <cell r="D34" t="str">
            <v>장성환　　</v>
          </cell>
          <cell r="E34" t="str">
            <v>C</v>
          </cell>
          <cell r="G34">
            <v>1</v>
          </cell>
          <cell r="H34" t="str">
            <v>KQ**</v>
          </cell>
          <cell r="I34" t="str">
            <v>KUDC</v>
          </cell>
          <cell r="J34" t="str">
            <v>광）소형제조２부　　</v>
          </cell>
          <cell r="K34" t="str">
            <v>KUCC</v>
          </cell>
          <cell r="L34" t="str">
            <v>광）특장제조부　　　</v>
          </cell>
          <cell r="O34" t="str">
            <v>KUCC</v>
          </cell>
          <cell r="R34" t="str">
            <v>6</v>
          </cell>
          <cell r="T34" t="str">
            <v>40</v>
          </cell>
          <cell r="U34" t="str">
            <v>부서장</v>
          </cell>
          <cell r="V34" t="str">
            <v>1</v>
          </cell>
          <cell r="W34" t="str">
            <v>2</v>
          </cell>
          <cell r="X34" t="str">
            <v>1</v>
          </cell>
          <cell r="Y34" t="str">
            <v>O</v>
          </cell>
          <cell r="Z34" t="str">
            <v>2026563</v>
          </cell>
          <cell r="AA34" t="str">
            <v>전천수　　</v>
          </cell>
          <cell r="AB34" t="str">
            <v>03</v>
          </cell>
          <cell r="AC34" t="str">
            <v>30</v>
          </cell>
          <cell r="AD34">
            <v>80</v>
          </cell>
          <cell r="AE34">
            <v>65.459999999999994</v>
          </cell>
          <cell r="AF34">
            <v>50</v>
          </cell>
          <cell r="AG34" t="str">
            <v>2728462</v>
          </cell>
          <cell r="AH34" t="str">
            <v>임승근　　</v>
          </cell>
          <cell r="AI34" t="str">
            <v>02</v>
          </cell>
          <cell r="AJ34" t="str">
            <v>20</v>
          </cell>
          <cell r="AK34">
            <v>47</v>
          </cell>
          <cell r="AL34">
            <v>51.64</v>
          </cell>
          <cell r="AM34">
            <v>20</v>
          </cell>
          <cell r="AR34">
            <v>0</v>
          </cell>
          <cell r="AS34">
            <v>0</v>
          </cell>
          <cell r="AT34">
            <v>0</v>
          </cell>
          <cell r="AY34">
            <v>0</v>
          </cell>
          <cell r="AZ34">
            <v>0</v>
          </cell>
          <cell r="BA34">
            <v>0</v>
          </cell>
          <cell r="BF34">
            <v>0</v>
          </cell>
          <cell r="BG34">
            <v>0</v>
          </cell>
          <cell r="BH34">
            <v>0</v>
          </cell>
          <cell r="BM34">
            <v>0</v>
          </cell>
          <cell r="BN34">
            <v>0</v>
          </cell>
          <cell r="BO34">
            <v>0</v>
          </cell>
          <cell r="BP34" t="b">
            <v>1</v>
          </cell>
          <cell r="BQ34">
            <v>6</v>
          </cell>
          <cell r="BR34">
            <v>59.82</v>
          </cell>
          <cell r="BS34">
            <v>43</v>
          </cell>
          <cell r="BT34">
            <v>43.9</v>
          </cell>
          <cell r="BU34" t="str">
            <v>C</v>
          </cell>
          <cell r="BV34" t="str">
            <v>05</v>
          </cell>
          <cell r="BW34">
            <v>64</v>
          </cell>
          <cell r="BX34" t="str">
            <v>19950101</v>
          </cell>
        </row>
        <row r="35">
          <cell r="A35" t="str">
            <v>2028502</v>
          </cell>
          <cell r="B35" t="str">
            <v>26</v>
          </cell>
          <cell r="C35" t="str">
            <v>과장</v>
          </cell>
          <cell r="D35" t="str">
            <v>김태운　　</v>
          </cell>
          <cell r="E35" t="str">
            <v>C</v>
          </cell>
          <cell r="G35">
            <v>1</v>
          </cell>
          <cell r="H35" t="str">
            <v>KH**</v>
          </cell>
          <cell r="I35" t="str">
            <v>KHFE</v>
          </cell>
          <cell r="J35" t="str">
            <v>서부）관악지점　　　</v>
          </cell>
          <cell r="K35" t="str">
            <v>KHF*</v>
          </cell>
          <cell r="L35" t="str">
            <v>서부지역본부　　　　</v>
          </cell>
          <cell r="O35" t="str">
            <v>KHF*</v>
          </cell>
          <cell r="R35" t="str">
            <v>2</v>
          </cell>
          <cell r="V35" t="str">
            <v>3</v>
          </cell>
          <cell r="W35" t="str">
            <v>3</v>
          </cell>
          <cell r="X35" t="str">
            <v>3</v>
          </cell>
          <cell r="Y35" t="str">
            <v>S</v>
          </cell>
          <cell r="Z35" t="str">
            <v>7120125</v>
          </cell>
          <cell r="AA35" t="str">
            <v>송만섭　　</v>
          </cell>
          <cell r="AB35" t="str">
            <v>22</v>
          </cell>
          <cell r="AC35" t="str">
            <v>32</v>
          </cell>
          <cell r="AD35">
            <v>65</v>
          </cell>
          <cell r="AE35">
            <v>47.44</v>
          </cell>
          <cell r="AF35">
            <v>70</v>
          </cell>
          <cell r="AG35" t="str">
            <v>2059744</v>
          </cell>
          <cell r="AH35" t="str">
            <v>김도영　　</v>
          </cell>
          <cell r="AI35" t="str">
            <v>02</v>
          </cell>
          <cell r="AJ35" t="str">
            <v>20</v>
          </cell>
          <cell r="AK35">
            <v>63</v>
          </cell>
          <cell r="AL35">
            <v>57.3</v>
          </cell>
          <cell r="AM35">
            <v>20</v>
          </cell>
          <cell r="AR35">
            <v>0</v>
          </cell>
          <cell r="AS35">
            <v>0</v>
          </cell>
          <cell r="AT35">
            <v>0</v>
          </cell>
          <cell r="AY35">
            <v>0</v>
          </cell>
          <cell r="AZ35">
            <v>0</v>
          </cell>
          <cell r="BA35">
            <v>0</v>
          </cell>
          <cell r="BF35">
            <v>0</v>
          </cell>
          <cell r="BG35">
            <v>0</v>
          </cell>
          <cell r="BH35">
            <v>0</v>
          </cell>
          <cell r="BM35">
            <v>0</v>
          </cell>
          <cell r="BN35">
            <v>0</v>
          </cell>
          <cell r="BO35">
            <v>0</v>
          </cell>
          <cell r="BP35" t="b">
            <v>0</v>
          </cell>
          <cell r="BQ35">
            <v>0</v>
          </cell>
          <cell r="BR35">
            <v>49.63</v>
          </cell>
          <cell r="BS35">
            <v>1118</v>
          </cell>
          <cell r="BT35">
            <v>98.4</v>
          </cell>
          <cell r="BU35" t="str">
            <v>E</v>
          </cell>
          <cell r="BV35" t="str">
            <v>11</v>
          </cell>
          <cell r="BW35">
            <v>40</v>
          </cell>
          <cell r="BX35" t="str">
            <v>19940101</v>
          </cell>
          <cell r="BZ35" t="str">
            <v>C</v>
          </cell>
          <cell r="CA35" t="str">
            <v>04</v>
          </cell>
          <cell r="CB35" t="str">
            <v>C</v>
          </cell>
          <cell r="CC35" t="str">
            <v>08</v>
          </cell>
          <cell r="CD35" t="str">
            <v>C</v>
          </cell>
          <cell r="CE35" t="str">
            <v>07</v>
          </cell>
        </row>
        <row r="36">
          <cell r="A36" t="str">
            <v>2152923</v>
          </cell>
          <cell r="B36" t="str">
            <v>30</v>
          </cell>
          <cell r="C36" t="str">
            <v>4갑</v>
          </cell>
          <cell r="D36" t="str">
            <v>천은경　　</v>
          </cell>
          <cell r="E36" t="str">
            <v>C</v>
          </cell>
          <cell r="G36">
            <v>1</v>
          </cell>
          <cell r="H36" t="str">
            <v>KH**</v>
          </cell>
          <cell r="I36" t="str">
            <v>KHUF</v>
          </cell>
          <cell r="J36" t="str">
            <v>대구）구미지점　　　</v>
          </cell>
          <cell r="K36" t="str">
            <v>KHUG</v>
          </cell>
          <cell r="L36" t="str">
            <v>대구）금오지점　　　</v>
          </cell>
          <cell r="O36" t="str">
            <v>KHUGA</v>
          </cell>
          <cell r="R36" t="str">
            <v>2</v>
          </cell>
          <cell r="V36" t="str">
            <v>5</v>
          </cell>
          <cell r="W36" t="str">
            <v>3</v>
          </cell>
          <cell r="X36" t="str">
            <v>3</v>
          </cell>
          <cell r="Y36" t="str">
            <v>O</v>
          </cell>
          <cell r="Z36" t="str">
            <v>2134375</v>
          </cell>
          <cell r="AA36" t="str">
            <v>이응석　　</v>
          </cell>
          <cell r="AB36" t="str">
            <v>26</v>
          </cell>
          <cell r="AC36" t="str">
            <v>44</v>
          </cell>
          <cell r="AD36">
            <v>58</v>
          </cell>
          <cell r="AE36">
            <v>53.04</v>
          </cell>
          <cell r="AF36">
            <v>50</v>
          </cell>
          <cell r="AG36" t="str">
            <v>2018769</v>
          </cell>
          <cell r="AH36" t="str">
            <v>이문식　　</v>
          </cell>
          <cell r="AI36" t="str">
            <v>20</v>
          </cell>
          <cell r="AJ36" t="str">
            <v>32</v>
          </cell>
          <cell r="AK36">
            <v>63</v>
          </cell>
          <cell r="AL36">
            <v>46.02</v>
          </cell>
          <cell r="AM36">
            <v>30</v>
          </cell>
          <cell r="AN36" t="str">
            <v>2059744</v>
          </cell>
          <cell r="AO36" t="str">
            <v>김도영　　</v>
          </cell>
          <cell r="AP36" t="str">
            <v>02</v>
          </cell>
          <cell r="AQ36" t="str">
            <v>20</v>
          </cell>
          <cell r="AR36">
            <v>77</v>
          </cell>
          <cell r="AS36">
            <v>62.39</v>
          </cell>
          <cell r="AT36">
            <v>10</v>
          </cell>
          <cell r="AY36">
            <v>0</v>
          </cell>
          <cell r="AZ36">
            <v>0</v>
          </cell>
          <cell r="BA36">
            <v>0</v>
          </cell>
          <cell r="BF36">
            <v>0</v>
          </cell>
          <cell r="BG36">
            <v>0</v>
          </cell>
          <cell r="BH36">
            <v>0</v>
          </cell>
          <cell r="BM36">
            <v>0</v>
          </cell>
          <cell r="BN36">
            <v>0</v>
          </cell>
          <cell r="BO36">
            <v>0</v>
          </cell>
          <cell r="BP36" t="b">
            <v>0</v>
          </cell>
          <cell r="BQ36">
            <v>0</v>
          </cell>
          <cell r="BR36">
            <v>51.74</v>
          </cell>
          <cell r="BS36">
            <v>1346</v>
          </cell>
          <cell r="BT36">
            <v>92.8</v>
          </cell>
          <cell r="BU36" t="str">
            <v>E</v>
          </cell>
          <cell r="BV36" t="str">
            <v>10</v>
          </cell>
          <cell r="BW36">
            <v>44</v>
          </cell>
          <cell r="BX36" t="str">
            <v>19970101</v>
          </cell>
          <cell r="BZ36" t="str">
            <v>C</v>
          </cell>
          <cell r="CA36" t="str">
            <v>06</v>
          </cell>
          <cell r="CB36" t="str">
            <v>C</v>
          </cell>
          <cell r="CC36" t="str">
            <v>06</v>
          </cell>
          <cell r="CD36" t="str">
            <v>B</v>
          </cell>
          <cell r="CE36" t="str">
            <v>04</v>
          </cell>
        </row>
        <row r="37">
          <cell r="A37" t="str">
            <v>2095585</v>
          </cell>
          <cell r="B37" t="str">
            <v>26</v>
          </cell>
          <cell r="C37" t="str">
            <v>과장</v>
          </cell>
          <cell r="D37" t="str">
            <v>양기남　　</v>
          </cell>
          <cell r="E37" t="str">
            <v>C</v>
          </cell>
          <cell r="G37">
            <v>1</v>
          </cell>
          <cell r="H37" t="str">
            <v>KK**</v>
          </cell>
          <cell r="I37" t="str">
            <v>ZB03</v>
          </cell>
          <cell r="K37" t="str">
            <v>KLBB</v>
          </cell>
          <cell r="L37" t="str">
            <v>해외시장조사팀　　　</v>
          </cell>
          <cell r="O37" t="str">
            <v>KLBB</v>
          </cell>
          <cell r="R37" t="str">
            <v>1</v>
          </cell>
          <cell r="V37" t="str">
            <v>3</v>
          </cell>
          <cell r="W37" t="str">
            <v>1</v>
          </cell>
          <cell r="X37" t="str">
            <v>3</v>
          </cell>
          <cell r="Y37" t="str">
            <v>O</v>
          </cell>
          <cell r="Z37" t="str">
            <v>7271782</v>
          </cell>
          <cell r="AA37" t="str">
            <v>예병태　　</v>
          </cell>
          <cell r="AB37" t="str">
            <v>24</v>
          </cell>
          <cell r="AC37" t="str">
            <v>43</v>
          </cell>
          <cell r="AD37">
            <v>53</v>
          </cell>
          <cell r="AE37">
            <v>53.14</v>
          </cell>
          <cell r="AF37">
            <v>30</v>
          </cell>
          <cell r="AG37" t="str">
            <v>2712521</v>
          </cell>
          <cell r="AH37" t="str">
            <v>서동식　　</v>
          </cell>
          <cell r="AI37" t="str">
            <v>05</v>
          </cell>
          <cell r="AJ37" t="str">
            <v>32</v>
          </cell>
          <cell r="AK37">
            <v>70</v>
          </cell>
          <cell r="AL37">
            <v>53.7</v>
          </cell>
          <cell r="AM37">
            <v>20</v>
          </cell>
          <cell r="AN37" t="str">
            <v>2002024</v>
          </cell>
          <cell r="AO37" t="str">
            <v>이덕규　　</v>
          </cell>
          <cell r="AP37" t="str">
            <v>04</v>
          </cell>
          <cell r="AQ37" t="str">
            <v>30</v>
          </cell>
          <cell r="AR37">
            <v>49</v>
          </cell>
          <cell r="AS37">
            <v>50.84</v>
          </cell>
          <cell r="AT37">
            <v>20</v>
          </cell>
          <cell r="AU37" t="str">
            <v>2005295</v>
          </cell>
          <cell r="AV37" t="str">
            <v>박성도　　</v>
          </cell>
          <cell r="AW37" t="str">
            <v>02</v>
          </cell>
          <cell r="AX37" t="str">
            <v>20</v>
          </cell>
          <cell r="AY37">
            <v>53</v>
          </cell>
          <cell r="AZ37">
            <v>51.98</v>
          </cell>
          <cell r="BA37">
            <v>10</v>
          </cell>
          <cell r="BF37">
            <v>0</v>
          </cell>
          <cell r="BG37">
            <v>0</v>
          </cell>
          <cell r="BH37">
            <v>0</v>
          </cell>
          <cell r="BM37">
            <v>0</v>
          </cell>
          <cell r="BN37">
            <v>0</v>
          </cell>
          <cell r="BO37">
            <v>0</v>
          </cell>
          <cell r="BP37" t="b">
            <v>0</v>
          </cell>
          <cell r="BQ37">
            <v>0</v>
          </cell>
          <cell r="BR37">
            <v>52.56</v>
          </cell>
          <cell r="BS37">
            <v>1030</v>
          </cell>
          <cell r="BT37">
            <v>90.7</v>
          </cell>
          <cell r="BU37" t="str">
            <v>E</v>
          </cell>
          <cell r="BV37" t="str">
            <v>10</v>
          </cell>
          <cell r="BW37">
            <v>44</v>
          </cell>
          <cell r="BX37" t="str">
            <v>19960101</v>
          </cell>
          <cell r="BZ37" t="str">
            <v>C</v>
          </cell>
          <cell r="CA37" t="str">
            <v>06</v>
          </cell>
          <cell r="CB37" t="str">
            <v>C</v>
          </cell>
          <cell r="CC37" t="str">
            <v>07</v>
          </cell>
          <cell r="CD37" t="str">
            <v>B</v>
          </cell>
          <cell r="CE37" t="str">
            <v>03</v>
          </cell>
        </row>
        <row r="38">
          <cell r="A38" t="str">
            <v>2681973</v>
          </cell>
          <cell r="B38" t="str">
            <v>30</v>
          </cell>
          <cell r="C38" t="str">
            <v>4갑</v>
          </cell>
          <cell r="D38" t="str">
            <v>류재광　　</v>
          </cell>
          <cell r="E38" t="str">
            <v>C</v>
          </cell>
          <cell r="G38">
            <v>1</v>
          </cell>
          <cell r="H38" t="str">
            <v>KH**</v>
          </cell>
          <cell r="I38" t="str">
            <v>KHFP</v>
          </cell>
          <cell r="J38" t="str">
            <v>서부）가양지점　　　</v>
          </cell>
          <cell r="K38" t="str">
            <v>KHFH</v>
          </cell>
          <cell r="L38" t="str">
            <v>서부）시흥지점　　　</v>
          </cell>
          <cell r="O38" t="str">
            <v>KHFHA</v>
          </cell>
          <cell r="R38" t="str">
            <v>2</v>
          </cell>
          <cell r="V38" t="str">
            <v>5</v>
          </cell>
          <cell r="W38" t="str">
            <v>3</v>
          </cell>
          <cell r="X38" t="str">
            <v>3</v>
          </cell>
          <cell r="Y38" t="str">
            <v>O</v>
          </cell>
          <cell r="Z38" t="str">
            <v>2228819</v>
          </cell>
          <cell r="AA38" t="str">
            <v>최달우　　</v>
          </cell>
          <cell r="AB38" t="str">
            <v>26</v>
          </cell>
          <cell r="AC38" t="str">
            <v>50</v>
          </cell>
          <cell r="AD38">
            <v>85</v>
          </cell>
          <cell r="AE38">
            <v>55.29</v>
          </cell>
          <cell r="AF38">
            <v>10</v>
          </cell>
          <cell r="AG38" t="str">
            <v>2067792</v>
          </cell>
          <cell r="AH38" t="str">
            <v>윤재근　　</v>
          </cell>
          <cell r="AI38" t="str">
            <v>26</v>
          </cell>
          <cell r="AJ38" t="str">
            <v>44</v>
          </cell>
          <cell r="AK38">
            <v>64</v>
          </cell>
          <cell r="AL38">
            <v>55.29</v>
          </cell>
          <cell r="AM38">
            <v>40</v>
          </cell>
          <cell r="AN38" t="str">
            <v>7120125</v>
          </cell>
          <cell r="AO38" t="str">
            <v>송만섭　　</v>
          </cell>
          <cell r="AP38" t="str">
            <v>22</v>
          </cell>
          <cell r="AQ38" t="str">
            <v>32</v>
          </cell>
          <cell r="AR38">
            <v>70</v>
          </cell>
          <cell r="AS38">
            <v>51.27</v>
          </cell>
          <cell r="AT38">
            <v>30</v>
          </cell>
          <cell r="AU38" t="str">
            <v>2059744</v>
          </cell>
          <cell r="AV38" t="str">
            <v>김도영　　</v>
          </cell>
          <cell r="AW38" t="str">
            <v>02</v>
          </cell>
          <cell r="AX38" t="str">
            <v>20</v>
          </cell>
          <cell r="AY38">
            <v>100</v>
          </cell>
          <cell r="AZ38">
            <v>70.58</v>
          </cell>
          <cell r="BA38">
            <v>10</v>
          </cell>
          <cell r="BF38">
            <v>0</v>
          </cell>
          <cell r="BG38">
            <v>0</v>
          </cell>
          <cell r="BH38">
            <v>0</v>
          </cell>
          <cell r="BM38">
            <v>0</v>
          </cell>
          <cell r="BN38">
            <v>0</v>
          </cell>
          <cell r="BO38">
            <v>0</v>
          </cell>
          <cell r="BP38" t="b">
            <v>0</v>
          </cell>
          <cell r="BQ38">
            <v>0</v>
          </cell>
          <cell r="BR38">
            <v>55.65</v>
          </cell>
          <cell r="BS38">
            <v>1096</v>
          </cell>
          <cell r="BT38">
            <v>75.5</v>
          </cell>
          <cell r="BU38" t="str">
            <v>D</v>
          </cell>
          <cell r="BV38" t="str">
            <v>09</v>
          </cell>
          <cell r="BW38">
            <v>48</v>
          </cell>
          <cell r="BX38" t="str">
            <v>19980101</v>
          </cell>
          <cell r="BZ38" t="str">
            <v>C</v>
          </cell>
          <cell r="CA38" t="str">
            <v>06</v>
          </cell>
          <cell r="CB38" t="str">
            <v>B</v>
          </cell>
          <cell r="CC38" t="str">
            <v>03</v>
          </cell>
        </row>
        <row r="39">
          <cell r="A39" t="str">
            <v>2155844</v>
          </cell>
          <cell r="B39" t="str">
            <v>26</v>
          </cell>
          <cell r="C39" t="str">
            <v>과장</v>
          </cell>
          <cell r="D39" t="str">
            <v>박수용　　</v>
          </cell>
          <cell r="E39" t="str">
            <v>C</v>
          </cell>
          <cell r="G39">
            <v>1</v>
          </cell>
          <cell r="H39" t="str">
            <v>KM**</v>
          </cell>
          <cell r="I39" t="str">
            <v>KMD*</v>
          </cell>
          <cell r="J39" t="str">
            <v>대구직매점</v>
          </cell>
          <cell r="K39" t="str">
            <v>KMID</v>
          </cell>
          <cell r="L39" t="str">
            <v>대구부품사업소　　　</v>
          </cell>
          <cell r="O39" t="str">
            <v>KMIDB</v>
          </cell>
          <cell r="R39" t="str">
            <v>2</v>
          </cell>
          <cell r="V39" t="str">
            <v>3</v>
          </cell>
          <cell r="W39" t="str">
            <v>4</v>
          </cell>
          <cell r="X39" t="str">
            <v>3</v>
          </cell>
          <cell r="Y39" t="str">
            <v>O</v>
          </cell>
          <cell r="Z39" t="str">
            <v>2127055</v>
          </cell>
          <cell r="AA39" t="str">
            <v>박병화　　</v>
          </cell>
          <cell r="AB39" t="str">
            <v>28</v>
          </cell>
          <cell r="AC39" t="str">
            <v>50</v>
          </cell>
          <cell r="AD39">
            <v>52</v>
          </cell>
          <cell r="AE39">
            <v>60</v>
          </cell>
          <cell r="AF39">
            <v>40</v>
          </cell>
          <cell r="AG39" t="str">
            <v>2011112</v>
          </cell>
          <cell r="AH39" t="str">
            <v>백원량　　</v>
          </cell>
          <cell r="AI39" t="str">
            <v>22</v>
          </cell>
          <cell r="AJ39" t="str">
            <v>43</v>
          </cell>
          <cell r="AK39">
            <v>52</v>
          </cell>
          <cell r="AL39">
            <v>55.29</v>
          </cell>
          <cell r="AM39">
            <v>40</v>
          </cell>
          <cell r="AN39" t="str">
            <v>2001319</v>
          </cell>
          <cell r="AO39" t="str">
            <v>차정식　　</v>
          </cell>
          <cell r="AP39" t="str">
            <v>02</v>
          </cell>
          <cell r="AQ39" t="str">
            <v>20</v>
          </cell>
          <cell r="AR39">
            <v>47</v>
          </cell>
          <cell r="AS39">
            <v>51.17</v>
          </cell>
          <cell r="AT39">
            <v>10</v>
          </cell>
          <cell r="AY39">
            <v>0</v>
          </cell>
          <cell r="AZ39">
            <v>0</v>
          </cell>
          <cell r="BA39">
            <v>0</v>
          </cell>
          <cell r="BF39">
            <v>0</v>
          </cell>
          <cell r="BG39">
            <v>0</v>
          </cell>
          <cell r="BH39">
            <v>0</v>
          </cell>
          <cell r="BM39">
            <v>0</v>
          </cell>
          <cell r="BN39">
            <v>0</v>
          </cell>
          <cell r="BO39">
            <v>0</v>
          </cell>
          <cell r="BP39" t="b">
            <v>0</v>
          </cell>
          <cell r="BQ39">
            <v>0</v>
          </cell>
          <cell r="BR39">
            <v>56.93</v>
          </cell>
          <cell r="BS39">
            <v>791</v>
          </cell>
          <cell r="BT39">
            <v>69.599999999999994</v>
          </cell>
          <cell r="BU39" t="str">
            <v>C</v>
          </cell>
          <cell r="BV39" t="str">
            <v>08</v>
          </cell>
          <cell r="BW39">
            <v>52</v>
          </cell>
          <cell r="BX39" t="str">
            <v>19980101</v>
          </cell>
          <cell r="BZ39" t="str">
            <v>C</v>
          </cell>
          <cell r="CA39" t="str">
            <v>07</v>
          </cell>
          <cell r="CB39" t="str">
            <v>B</v>
          </cell>
          <cell r="CC39" t="str">
            <v>02</v>
          </cell>
          <cell r="CD39" t="str">
            <v>A</v>
          </cell>
          <cell r="CE39" t="str">
            <v>02</v>
          </cell>
        </row>
        <row r="40">
          <cell r="A40" t="str">
            <v>2346335</v>
          </cell>
          <cell r="B40" t="str">
            <v>30</v>
          </cell>
          <cell r="C40" t="str">
            <v>4갑</v>
          </cell>
          <cell r="D40" t="str">
            <v>이준학　　</v>
          </cell>
          <cell r="E40" t="str">
            <v>C</v>
          </cell>
          <cell r="G40">
            <v>1</v>
          </cell>
          <cell r="H40" t="str">
            <v>KH**</v>
          </cell>
          <cell r="I40" t="str">
            <v>KHSC</v>
          </cell>
          <cell r="J40" t="str">
            <v>부산）금정지점　　　</v>
          </cell>
          <cell r="K40" t="str">
            <v>KHSB</v>
          </cell>
          <cell r="L40" t="str">
            <v>부산）동래지점　　　</v>
          </cell>
          <cell r="O40" t="str">
            <v>KHSBA</v>
          </cell>
          <cell r="R40" t="str">
            <v>2</v>
          </cell>
          <cell r="V40" t="str">
            <v>5</v>
          </cell>
          <cell r="W40" t="str">
            <v>3</v>
          </cell>
          <cell r="X40" t="str">
            <v>3</v>
          </cell>
          <cell r="Y40" t="str">
            <v>O</v>
          </cell>
          <cell r="Z40" t="str">
            <v>2179789</v>
          </cell>
          <cell r="AA40" t="str">
            <v>하용수　　</v>
          </cell>
          <cell r="AB40" t="str">
            <v>28</v>
          </cell>
          <cell r="AC40" t="str">
            <v>50</v>
          </cell>
          <cell r="AD40">
            <v>87</v>
          </cell>
          <cell r="AE40">
            <v>64.709999999999994</v>
          </cell>
          <cell r="AF40">
            <v>10</v>
          </cell>
          <cell r="AG40" t="str">
            <v>2718281</v>
          </cell>
          <cell r="AH40" t="str">
            <v>정동주　　</v>
          </cell>
          <cell r="AI40" t="str">
            <v>24</v>
          </cell>
          <cell r="AJ40" t="str">
            <v>44</v>
          </cell>
          <cell r="AK40">
            <v>95</v>
          </cell>
          <cell r="AL40">
            <v>60</v>
          </cell>
          <cell r="AM40">
            <v>40</v>
          </cell>
          <cell r="AN40" t="str">
            <v>2718178</v>
          </cell>
          <cell r="AO40" t="str">
            <v>박환　　　</v>
          </cell>
          <cell r="AP40" t="str">
            <v>20</v>
          </cell>
          <cell r="AQ40" t="str">
            <v>32</v>
          </cell>
          <cell r="AR40">
            <v>66</v>
          </cell>
          <cell r="AS40">
            <v>53.83</v>
          </cell>
          <cell r="AT40">
            <v>30</v>
          </cell>
          <cell r="AU40" t="str">
            <v>2059744</v>
          </cell>
          <cell r="AV40" t="str">
            <v>김도영　　</v>
          </cell>
          <cell r="AW40" t="str">
            <v>02</v>
          </cell>
          <cell r="AX40" t="str">
            <v>20</v>
          </cell>
          <cell r="AY40">
            <v>47</v>
          </cell>
          <cell r="AZ40">
            <v>51.7</v>
          </cell>
          <cell r="BA40">
            <v>10</v>
          </cell>
          <cell r="BF40">
            <v>0</v>
          </cell>
          <cell r="BG40">
            <v>0</v>
          </cell>
          <cell r="BH40">
            <v>0</v>
          </cell>
          <cell r="BM40">
            <v>0</v>
          </cell>
          <cell r="BN40">
            <v>0</v>
          </cell>
          <cell r="BO40">
            <v>0</v>
          </cell>
          <cell r="BP40" t="b">
            <v>0</v>
          </cell>
          <cell r="BQ40">
            <v>0</v>
          </cell>
          <cell r="BR40">
            <v>57.54</v>
          </cell>
          <cell r="BS40">
            <v>938</v>
          </cell>
          <cell r="BT40">
            <v>64.599999999999994</v>
          </cell>
          <cell r="BU40" t="str">
            <v>C</v>
          </cell>
          <cell r="BV40" t="str">
            <v>07</v>
          </cell>
          <cell r="BW40">
            <v>56</v>
          </cell>
          <cell r="BX40" t="str">
            <v>19940101</v>
          </cell>
          <cell r="BZ40" t="str">
            <v>C</v>
          </cell>
          <cell r="CA40" t="str">
            <v>04</v>
          </cell>
          <cell r="CB40" t="str">
            <v>A</v>
          </cell>
          <cell r="CC40" t="str">
            <v>01</v>
          </cell>
          <cell r="CD40" t="str">
            <v>B</v>
          </cell>
          <cell r="CE40" t="str">
            <v>03</v>
          </cell>
        </row>
        <row r="41">
          <cell r="A41" t="str">
            <v>2280108</v>
          </cell>
          <cell r="B41" t="str">
            <v>32</v>
          </cell>
          <cell r="C41" t="str">
            <v>4을</v>
          </cell>
          <cell r="D41" t="str">
            <v>강민숙　　</v>
          </cell>
          <cell r="E41" t="str">
            <v>C</v>
          </cell>
          <cell r="G41">
            <v>1</v>
          </cell>
          <cell r="H41" t="str">
            <v>KH**</v>
          </cell>
          <cell r="I41" t="str">
            <v>KHRG</v>
          </cell>
          <cell r="J41" t="str">
            <v>제주）제주대형상용지</v>
          </cell>
          <cell r="K41" t="str">
            <v>KHRA</v>
          </cell>
          <cell r="L41" t="str">
            <v>제주）제주지점　　　</v>
          </cell>
          <cell r="O41" t="str">
            <v>KHRAA</v>
          </cell>
          <cell r="R41" t="str">
            <v>2</v>
          </cell>
          <cell r="V41" t="str">
            <v>6</v>
          </cell>
          <cell r="W41" t="str">
            <v>3</v>
          </cell>
          <cell r="X41" t="str">
            <v>4</v>
          </cell>
          <cell r="Y41" t="str">
            <v>S</v>
          </cell>
          <cell r="Z41" t="str">
            <v>2233871</v>
          </cell>
          <cell r="AA41" t="str">
            <v>김영태　　</v>
          </cell>
          <cell r="AB41" t="str">
            <v>28</v>
          </cell>
          <cell r="AC41" t="str">
            <v>50</v>
          </cell>
          <cell r="AD41">
            <v>72</v>
          </cell>
          <cell r="AE41">
            <v>52.36</v>
          </cell>
          <cell r="AF41">
            <v>10</v>
          </cell>
          <cell r="AG41" t="str">
            <v>2063444</v>
          </cell>
          <cell r="AH41" t="str">
            <v>강기범　　</v>
          </cell>
          <cell r="AI41" t="str">
            <v>24</v>
          </cell>
          <cell r="AJ41" t="str">
            <v>44</v>
          </cell>
          <cell r="AK41">
            <v>74</v>
          </cell>
          <cell r="AL41">
            <v>53.23</v>
          </cell>
          <cell r="AM41">
            <v>50</v>
          </cell>
          <cell r="AN41" t="str">
            <v>0288117</v>
          </cell>
          <cell r="AO41" t="str">
            <v>김창희　　</v>
          </cell>
          <cell r="AP41" t="str">
            <v>04</v>
          </cell>
          <cell r="AQ41" t="str">
            <v>32</v>
          </cell>
          <cell r="AR41">
            <v>63</v>
          </cell>
          <cell r="AS41">
            <v>45.38</v>
          </cell>
          <cell r="AT41">
            <v>30</v>
          </cell>
          <cell r="AY41">
            <v>0</v>
          </cell>
          <cell r="AZ41">
            <v>0</v>
          </cell>
          <cell r="BA41">
            <v>0</v>
          </cell>
          <cell r="BF41">
            <v>0</v>
          </cell>
          <cell r="BG41">
            <v>0</v>
          </cell>
          <cell r="BH41">
            <v>0</v>
          </cell>
          <cell r="BM41">
            <v>0</v>
          </cell>
          <cell r="BN41">
            <v>0</v>
          </cell>
          <cell r="BO41">
            <v>0</v>
          </cell>
          <cell r="BP41" t="b">
            <v>0</v>
          </cell>
          <cell r="BQ41">
            <v>0</v>
          </cell>
          <cell r="BR41">
            <v>50.52</v>
          </cell>
          <cell r="BS41">
            <v>691</v>
          </cell>
          <cell r="BT41">
            <v>99.1</v>
          </cell>
          <cell r="BU41" t="str">
            <v>E</v>
          </cell>
          <cell r="BV41" t="str">
            <v>11</v>
          </cell>
          <cell r="BW41">
            <v>40</v>
          </cell>
          <cell r="BX41" t="str">
            <v>19950101</v>
          </cell>
          <cell r="BZ41" t="str">
            <v>B</v>
          </cell>
          <cell r="CA41" t="str">
            <v>04</v>
          </cell>
          <cell r="CB41" t="str">
            <v>C</v>
          </cell>
          <cell r="CC41" t="str">
            <v>06</v>
          </cell>
          <cell r="CD41" t="str">
            <v>D</v>
          </cell>
          <cell r="CE41" t="str">
            <v>10</v>
          </cell>
        </row>
        <row r="42">
          <cell r="A42" t="str">
            <v>2508721</v>
          </cell>
          <cell r="B42" t="str">
            <v>28</v>
          </cell>
          <cell r="C42" t="str">
            <v>대리</v>
          </cell>
          <cell r="D42" t="str">
            <v>김학규　　</v>
          </cell>
          <cell r="E42" t="str">
            <v>C</v>
          </cell>
          <cell r="G42">
            <v>1</v>
          </cell>
          <cell r="H42" t="str">
            <v>KQ**</v>
          </cell>
          <cell r="I42" t="str">
            <v>KTDFB</v>
          </cell>
          <cell r="J42" t="str">
            <v>보전２과　　　　　　</v>
          </cell>
          <cell r="K42" t="str">
            <v>KTDA</v>
          </cell>
          <cell r="L42" t="str">
            <v>화）제조관리２부　　</v>
          </cell>
          <cell r="O42" t="str">
            <v>KTDAE</v>
          </cell>
          <cell r="R42" t="str">
            <v>5</v>
          </cell>
          <cell r="V42" t="str">
            <v>4</v>
          </cell>
          <cell r="W42" t="str">
            <v>2</v>
          </cell>
          <cell r="X42" t="str">
            <v>3</v>
          </cell>
          <cell r="Y42" t="str">
            <v>O</v>
          </cell>
          <cell r="Z42" t="str">
            <v>2093698</v>
          </cell>
          <cell r="AA42" t="str">
            <v>서덕범　　</v>
          </cell>
          <cell r="AB42" t="str">
            <v>26</v>
          </cell>
          <cell r="AC42" t="str">
            <v>50</v>
          </cell>
          <cell r="AD42">
            <v>53</v>
          </cell>
          <cell r="AE42">
            <v>51.45</v>
          </cell>
          <cell r="AF42">
            <v>20</v>
          </cell>
          <cell r="AG42" t="str">
            <v>2074168</v>
          </cell>
          <cell r="AH42" t="str">
            <v>유재광　　</v>
          </cell>
          <cell r="AI42" t="str">
            <v>24</v>
          </cell>
          <cell r="AJ42" t="str">
            <v>40</v>
          </cell>
          <cell r="AK42">
            <v>50</v>
          </cell>
          <cell r="AL42">
            <v>50.3</v>
          </cell>
          <cell r="AM42">
            <v>20</v>
          </cell>
          <cell r="AN42" t="str">
            <v>2018783</v>
          </cell>
          <cell r="AO42" t="str">
            <v>이성복　　</v>
          </cell>
          <cell r="AP42" t="str">
            <v>22</v>
          </cell>
          <cell r="AQ42" t="str">
            <v>32</v>
          </cell>
          <cell r="AR42">
            <v>47</v>
          </cell>
          <cell r="AS42">
            <v>51.31</v>
          </cell>
          <cell r="AT42">
            <v>10</v>
          </cell>
          <cell r="AU42" t="str">
            <v>7019858</v>
          </cell>
          <cell r="AV42" t="str">
            <v>홍석종　　</v>
          </cell>
          <cell r="AW42" t="str">
            <v>04</v>
          </cell>
          <cell r="AX42" t="str">
            <v>31</v>
          </cell>
          <cell r="AY42">
            <v>47</v>
          </cell>
          <cell r="AZ42">
            <v>50.92</v>
          </cell>
          <cell r="BA42">
            <v>10</v>
          </cell>
          <cell r="BB42" t="str">
            <v>2100100</v>
          </cell>
          <cell r="BC42" t="str">
            <v>김무일　　</v>
          </cell>
          <cell r="BD42" t="str">
            <v>02</v>
          </cell>
          <cell r="BE42" t="str">
            <v>30</v>
          </cell>
          <cell r="BF42">
            <v>47</v>
          </cell>
          <cell r="BG42">
            <v>50.45</v>
          </cell>
          <cell r="BH42">
            <v>10</v>
          </cell>
          <cell r="BI42" t="str">
            <v>2728462</v>
          </cell>
          <cell r="BJ42" t="str">
            <v>임승근　　</v>
          </cell>
          <cell r="BK42" t="str">
            <v>02</v>
          </cell>
          <cell r="BL42" t="str">
            <v>20</v>
          </cell>
          <cell r="BM42">
            <v>47</v>
          </cell>
          <cell r="BN42">
            <v>51.51</v>
          </cell>
          <cell r="BO42">
            <v>10</v>
          </cell>
          <cell r="BP42" t="b">
            <v>0</v>
          </cell>
          <cell r="BQ42">
            <v>0</v>
          </cell>
          <cell r="BR42">
            <v>50.96</v>
          </cell>
          <cell r="BS42">
            <v>1621</v>
          </cell>
          <cell r="BT42">
            <v>96.8</v>
          </cell>
          <cell r="BU42" t="str">
            <v>E</v>
          </cell>
          <cell r="BV42" t="str">
            <v>11</v>
          </cell>
          <cell r="BW42">
            <v>40</v>
          </cell>
          <cell r="BX42" t="str">
            <v>19980101</v>
          </cell>
          <cell r="BZ42" t="str">
            <v>E</v>
          </cell>
          <cell r="CA42" t="str">
            <v>11</v>
          </cell>
          <cell r="CB42" t="str">
            <v>A</v>
          </cell>
          <cell r="CC42" t="str">
            <v>02</v>
          </cell>
          <cell r="CD42" t="str">
            <v>C</v>
          </cell>
          <cell r="CE42" t="str">
            <v>07</v>
          </cell>
        </row>
        <row r="43">
          <cell r="A43" t="str">
            <v>2100324</v>
          </cell>
          <cell r="B43" t="str">
            <v>28</v>
          </cell>
          <cell r="C43" t="str">
            <v>대리</v>
          </cell>
          <cell r="D43" t="str">
            <v>채태병　　</v>
          </cell>
          <cell r="E43" t="str">
            <v>C</v>
          </cell>
          <cell r="G43">
            <v>1</v>
          </cell>
          <cell r="H43" t="str">
            <v>KO**</v>
          </cell>
          <cell r="I43" t="str">
            <v>KPCA</v>
          </cell>
          <cell r="J43" t="str">
            <v>구동부품개발업무팀　</v>
          </cell>
          <cell r="K43" t="str">
            <v>KPCB</v>
          </cell>
          <cell r="L43" t="str">
            <v>승용구동부품개발팀　</v>
          </cell>
          <cell r="O43" t="str">
            <v>KPCB</v>
          </cell>
          <cell r="R43" t="str">
            <v>4</v>
          </cell>
          <cell r="V43" t="str">
            <v>4</v>
          </cell>
          <cell r="W43" t="str">
            <v>1</v>
          </cell>
          <cell r="X43" t="str">
            <v>3</v>
          </cell>
          <cell r="Y43" t="str">
            <v>O</v>
          </cell>
          <cell r="Z43" t="str">
            <v>7342966</v>
          </cell>
          <cell r="AA43" t="str">
            <v>황윤철　　</v>
          </cell>
          <cell r="AB43" t="str">
            <v>24</v>
          </cell>
          <cell r="AC43" t="str">
            <v>43</v>
          </cell>
          <cell r="AD43">
            <v>58</v>
          </cell>
          <cell r="AE43">
            <v>54.73</v>
          </cell>
          <cell r="AF43">
            <v>30</v>
          </cell>
          <cell r="AG43" t="str">
            <v>7151374</v>
          </cell>
          <cell r="AH43" t="str">
            <v>고승환　　</v>
          </cell>
          <cell r="AI43" t="str">
            <v>20</v>
          </cell>
          <cell r="AJ43" t="str">
            <v>32</v>
          </cell>
          <cell r="AK43">
            <v>49</v>
          </cell>
          <cell r="AL43">
            <v>51.1</v>
          </cell>
          <cell r="AM43">
            <v>20</v>
          </cell>
          <cell r="AN43" t="str">
            <v>7043317</v>
          </cell>
          <cell r="AO43" t="str">
            <v>박승하　　</v>
          </cell>
          <cell r="AP43" t="str">
            <v>04</v>
          </cell>
          <cell r="AQ43" t="str">
            <v>30</v>
          </cell>
          <cell r="AR43">
            <v>51</v>
          </cell>
          <cell r="AS43">
            <v>51.15</v>
          </cell>
          <cell r="AT43">
            <v>20</v>
          </cell>
          <cell r="AU43" t="str">
            <v>2008268</v>
          </cell>
          <cell r="AV43" t="str">
            <v>이용도　　</v>
          </cell>
          <cell r="AW43" t="str">
            <v>02</v>
          </cell>
          <cell r="AX43" t="str">
            <v>20</v>
          </cell>
          <cell r="AY43">
            <v>52</v>
          </cell>
          <cell r="AZ43">
            <v>51.05</v>
          </cell>
          <cell r="BA43">
            <v>10</v>
          </cell>
          <cell r="BF43">
            <v>0</v>
          </cell>
          <cell r="BG43">
            <v>0</v>
          </cell>
          <cell r="BH43">
            <v>0</v>
          </cell>
          <cell r="BM43">
            <v>0</v>
          </cell>
          <cell r="BN43">
            <v>0</v>
          </cell>
          <cell r="BO43">
            <v>0</v>
          </cell>
          <cell r="BP43" t="b">
            <v>0</v>
          </cell>
          <cell r="BQ43">
            <v>0</v>
          </cell>
          <cell r="BR43">
            <v>52.47</v>
          </cell>
          <cell r="BS43">
            <v>1521</v>
          </cell>
          <cell r="BT43">
            <v>90.9</v>
          </cell>
          <cell r="BU43" t="str">
            <v>E</v>
          </cell>
          <cell r="BV43" t="str">
            <v>10</v>
          </cell>
          <cell r="BW43">
            <v>44</v>
          </cell>
          <cell r="BX43" t="str">
            <v>19980101</v>
          </cell>
          <cell r="BZ43" t="str">
            <v>E</v>
          </cell>
          <cell r="CA43" t="str">
            <v>10</v>
          </cell>
          <cell r="CB43" t="str">
            <v>B</v>
          </cell>
          <cell r="CC43" t="str">
            <v>03</v>
          </cell>
          <cell r="CD43" t="str">
            <v>B</v>
          </cell>
          <cell r="CE43" t="str">
            <v>04</v>
          </cell>
        </row>
        <row r="44">
          <cell r="A44" t="str">
            <v>2179691</v>
          </cell>
          <cell r="B44" t="str">
            <v>28</v>
          </cell>
          <cell r="C44" t="str">
            <v>대리</v>
          </cell>
          <cell r="D44" t="str">
            <v>조성용　　</v>
          </cell>
          <cell r="E44" t="str">
            <v>C</v>
          </cell>
          <cell r="G44">
            <v>1</v>
          </cell>
          <cell r="H44" t="str">
            <v>KQ**</v>
          </cell>
          <cell r="I44" t="str">
            <v>KSBB</v>
          </cell>
          <cell r="J44" t="str">
            <v>소）인력관리팀　　　</v>
          </cell>
          <cell r="K44" t="str">
            <v>KTBB</v>
          </cell>
          <cell r="L44" t="str">
            <v>화）인력관리팀　　　</v>
          </cell>
          <cell r="O44" t="str">
            <v>KTBB</v>
          </cell>
          <cell r="R44" t="str">
            <v>5</v>
          </cell>
          <cell r="V44" t="str">
            <v>4</v>
          </cell>
          <cell r="W44" t="str">
            <v>2</v>
          </cell>
          <cell r="X44" t="str">
            <v>3</v>
          </cell>
          <cell r="Y44" t="str">
            <v>O</v>
          </cell>
          <cell r="Z44" t="str">
            <v>2029596</v>
          </cell>
          <cell r="AA44" t="str">
            <v>김효진　　</v>
          </cell>
          <cell r="AB44" t="str">
            <v>22</v>
          </cell>
          <cell r="AC44" t="str">
            <v>43</v>
          </cell>
          <cell r="AD44">
            <v>55</v>
          </cell>
          <cell r="AE44">
            <v>52.28</v>
          </cell>
          <cell r="AF44">
            <v>30</v>
          </cell>
          <cell r="AG44" t="str">
            <v>2043797</v>
          </cell>
          <cell r="AH44" t="str">
            <v>김영호　　</v>
          </cell>
          <cell r="AI44" t="str">
            <v>20</v>
          </cell>
          <cell r="AJ44" t="str">
            <v>32</v>
          </cell>
          <cell r="AK44">
            <v>70</v>
          </cell>
          <cell r="AL44">
            <v>52.15</v>
          </cell>
          <cell r="AM44">
            <v>20</v>
          </cell>
          <cell r="AN44" t="str">
            <v>2100100</v>
          </cell>
          <cell r="AO44" t="str">
            <v>김무일　　</v>
          </cell>
          <cell r="AP44" t="str">
            <v>02</v>
          </cell>
          <cell r="AQ44" t="str">
            <v>30</v>
          </cell>
          <cell r="AR44">
            <v>47</v>
          </cell>
          <cell r="AS44">
            <v>50.45</v>
          </cell>
          <cell r="AT44">
            <v>20</v>
          </cell>
          <cell r="AU44" t="str">
            <v>2728462</v>
          </cell>
          <cell r="AV44" t="str">
            <v>임승근　　</v>
          </cell>
          <cell r="AW44" t="str">
            <v>02</v>
          </cell>
          <cell r="AX44" t="str">
            <v>20</v>
          </cell>
          <cell r="AY44">
            <v>70</v>
          </cell>
          <cell r="AZ44">
            <v>60.01</v>
          </cell>
          <cell r="BA44">
            <v>10</v>
          </cell>
          <cell r="BF44">
            <v>0</v>
          </cell>
          <cell r="BG44">
            <v>0</v>
          </cell>
          <cell r="BH44">
            <v>0</v>
          </cell>
          <cell r="BM44">
            <v>0</v>
          </cell>
          <cell r="BN44">
            <v>0</v>
          </cell>
          <cell r="BO44">
            <v>0</v>
          </cell>
          <cell r="BP44" t="b">
            <v>0</v>
          </cell>
          <cell r="BQ44">
            <v>0</v>
          </cell>
          <cell r="BR44">
            <v>52.76</v>
          </cell>
          <cell r="BS44">
            <v>1507</v>
          </cell>
          <cell r="BT44">
            <v>90</v>
          </cell>
          <cell r="BU44" t="str">
            <v>D</v>
          </cell>
          <cell r="BV44" t="str">
            <v>10</v>
          </cell>
          <cell r="BW44">
            <v>44</v>
          </cell>
          <cell r="BX44" t="str">
            <v>19980101</v>
          </cell>
          <cell r="BZ44" t="str">
            <v>E</v>
          </cell>
          <cell r="CA44" t="str">
            <v>10</v>
          </cell>
          <cell r="CB44" t="str">
            <v>B</v>
          </cell>
          <cell r="CC44" t="str">
            <v>03</v>
          </cell>
          <cell r="CD44" t="str">
            <v>B</v>
          </cell>
          <cell r="CE44" t="str">
            <v>04</v>
          </cell>
        </row>
        <row r="45">
          <cell r="A45" t="str">
            <v>2326642</v>
          </cell>
          <cell r="B45" t="str">
            <v>28</v>
          </cell>
          <cell r="C45" t="str">
            <v>대리</v>
          </cell>
          <cell r="D45" t="str">
            <v>박경래　　</v>
          </cell>
          <cell r="E45" t="str">
            <v>C</v>
          </cell>
          <cell r="G45">
            <v>1</v>
          </cell>
          <cell r="H45" t="str">
            <v>KK**</v>
          </cell>
          <cell r="I45" t="str">
            <v>KHAE</v>
          </cell>
          <cell r="J45" t="str">
            <v>출하지원팀　　　　　</v>
          </cell>
          <cell r="K45" t="str">
            <v>KLAB</v>
          </cell>
          <cell r="L45" t="str">
            <v>수출업무팀　　　　　</v>
          </cell>
          <cell r="O45" t="str">
            <v>KLAB</v>
          </cell>
          <cell r="R45" t="str">
            <v>1</v>
          </cell>
          <cell r="V45" t="str">
            <v>4</v>
          </cell>
          <cell r="W45" t="str">
            <v>1</v>
          </cell>
          <cell r="X45" t="str">
            <v>3</v>
          </cell>
          <cell r="Y45" t="str">
            <v>O</v>
          </cell>
          <cell r="Z45" t="str">
            <v>2046791</v>
          </cell>
          <cell r="AA45" t="str">
            <v>김욱　　　</v>
          </cell>
          <cell r="AB45" t="str">
            <v>22</v>
          </cell>
          <cell r="AC45" t="str">
            <v>43</v>
          </cell>
          <cell r="AD45">
            <v>67</v>
          </cell>
          <cell r="AE45">
            <v>55.24</v>
          </cell>
          <cell r="AF45">
            <v>30</v>
          </cell>
          <cell r="AG45" t="str">
            <v>2725267</v>
          </cell>
          <cell r="AH45" t="str">
            <v>김진성　　</v>
          </cell>
          <cell r="AI45" t="str">
            <v>05</v>
          </cell>
          <cell r="AJ45" t="str">
            <v>32</v>
          </cell>
          <cell r="AK45">
            <v>47</v>
          </cell>
          <cell r="AL45">
            <v>49.7</v>
          </cell>
          <cell r="AM45">
            <v>20</v>
          </cell>
          <cell r="AN45" t="str">
            <v>2002024</v>
          </cell>
          <cell r="AO45" t="str">
            <v>이덕규　　</v>
          </cell>
          <cell r="AP45" t="str">
            <v>04</v>
          </cell>
          <cell r="AQ45" t="str">
            <v>30</v>
          </cell>
          <cell r="AR45">
            <v>73</v>
          </cell>
          <cell r="AS45">
            <v>60.77</v>
          </cell>
          <cell r="AT45">
            <v>20</v>
          </cell>
          <cell r="AU45" t="str">
            <v>2005295</v>
          </cell>
          <cell r="AV45" t="str">
            <v>박성도　　</v>
          </cell>
          <cell r="AW45" t="str">
            <v>02</v>
          </cell>
          <cell r="AX45" t="str">
            <v>20</v>
          </cell>
          <cell r="AY45">
            <v>70</v>
          </cell>
          <cell r="AZ45">
            <v>59.54</v>
          </cell>
          <cell r="BA45">
            <v>10</v>
          </cell>
          <cell r="BF45">
            <v>0</v>
          </cell>
          <cell r="BG45">
            <v>0</v>
          </cell>
          <cell r="BH45">
            <v>0</v>
          </cell>
          <cell r="BM45">
            <v>0</v>
          </cell>
          <cell r="BN45">
            <v>0</v>
          </cell>
          <cell r="BO45">
            <v>0</v>
          </cell>
          <cell r="BP45" t="b">
            <v>0</v>
          </cell>
          <cell r="BQ45">
            <v>0</v>
          </cell>
          <cell r="BR45">
            <v>55.78</v>
          </cell>
          <cell r="BS45">
            <v>1290</v>
          </cell>
          <cell r="BT45">
            <v>77.099999999999994</v>
          </cell>
          <cell r="BU45" t="str">
            <v>D</v>
          </cell>
          <cell r="BV45" t="str">
            <v>09</v>
          </cell>
          <cell r="BW45">
            <v>48</v>
          </cell>
          <cell r="BX45" t="str">
            <v>19980101</v>
          </cell>
          <cell r="BZ45" t="str">
            <v>D</v>
          </cell>
          <cell r="CA45" t="str">
            <v>09</v>
          </cell>
          <cell r="CB45" t="str">
            <v>A</v>
          </cell>
          <cell r="CC45" t="str">
            <v>02</v>
          </cell>
          <cell r="CD45" t="str">
            <v>B</v>
          </cell>
          <cell r="CE45" t="str">
            <v>03</v>
          </cell>
        </row>
        <row r="46">
          <cell r="A46" t="str">
            <v>2183413</v>
          </cell>
          <cell r="B46" t="str">
            <v>26</v>
          </cell>
          <cell r="C46" t="str">
            <v>과장</v>
          </cell>
          <cell r="D46" t="str">
            <v>천철봉　　</v>
          </cell>
          <cell r="E46" t="str">
            <v>C</v>
          </cell>
          <cell r="G46">
            <v>1</v>
          </cell>
          <cell r="H46" t="str">
            <v>KM**</v>
          </cell>
          <cell r="I46" t="str">
            <v>KMJR</v>
          </cell>
          <cell r="J46" t="str">
            <v>부산사업소　　　　　</v>
          </cell>
          <cell r="K46" t="str">
            <v>KMJA</v>
          </cell>
          <cell r="L46" t="str">
            <v>영등포사업소　　　　</v>
          </cell>
          <cell r="O46" t="str">
            <v>KMJAC</v>
          </cell>
          <cell r="R46" t="str">
            <v>2</v>
          </cell>
          <cell r="T46" t="str">
            <v>50</v>
          </cell>
          <cell r="U46" t="str">
            <v>과장</v>
          </cell>
          <cell r="V46" t="str">
            <v>3</v>
          </cell>
          <cell r="W46" t="str">
            <v>4</v>
          </cell>
          <cell r="X46" t="str">
            <v>2</v>
          </cell>
          <cell r="Y46" t="str">
            <v>O</v>
          </cell>
          <cell r="Z46" t="str">
            <v>2037227</v>
          </cell>
          <cell r="AA46" t="str">
            <v>이준희　　</v>
          </cell>
          <cell r="AB46" t="str">
            <v>22</v>
          </cell>
          <cell r="AC46" t="str">
            <v>43</v>
          </cell>
          <cell r="AD46">
            <v>77</v>
          </cell>
          <cell r="AE46">
            <v>52.44</v>
          </cell>
          <cell r="AF46">
            <v>60</v>
          </cell>
          <cell r="AG46" t="str">
            <v>2001319</v>
          </cell>
          <cell r="AH46" t="str">
            <v>차정식　　</v>
          </cell>
          <cell r="AI46" t="str">
            <v>02</v>
          </cell>
          <cell r="AJ46" t="str">
            <v>20</v>
          </cell>
          <cell r="AK46">
            <v>70</v>
          </cell>
          <cell r="AL46">
            <v>59.28</v>
          </cell>
          <cell r="AM46">
            <v>20</v>
          </cell>
          <cell r="AR46">
            <v>0</v>
          </cell>
          <cell r="AS46">
            <v>0</v>
          </cell>
          <cell r="AT46">
            <v>0</v>
          </cell>
          <cell r="AY46">
            <v>0</v>
          </cell>
          <cell r="AZ46">
            <v>0</v>
          </cell>
          <cell r="BA46">
            <v>0</v>
          </cell>
          <cell r="BF46">
            <v>0</v>
          </cell>
          <cell r="BG46">
            <v>0</v>
          </cell>
          <cell r="BH46">
            <v>0</v>
          </cell>
          <cell r="BM46">
            <v>0</v>
          </cell>
          <cell r="BN46">
            <v>0</v>
          </cell>
          <cell r="BO46">
            <v>0</v>
          </cell>
          <cell r="BP46" t="b">
            <v>1</v>
          </cell>
          <cell r="BQ46">
            <v>7</v>
          </cell>
          <cell r="BR46">
            <v>54.38</v>
          </cell>
          <cell r="BS46">
            <v>956</v>
          </cell>
          <cell r="BT46">
            <v>84.2</v>
          </cell>
          <cell r="BU46" t="str">
            <v>D</v>
          </cell>
          <cell r="BV46" t="str">
            <v>09</v>
          </cell>
          <cell r="BW46">
            <v>48</v>
          </cell>
          <cell r="BX46" t="str">
            <v>19970101</v>
          </cell>
          <cell r="BZ46" t="str">
            <v>C</v>
          </cell>
          <cell r="CA46" t="str">
            <v>08</v>
          </cell>
          <cell r="CB46" t="str">
            <v>C</v>
          </cell>
          <cell r="CC46" t="str">
            <v>05</v>
          </cell>
          <cell r="CD46" t="str">
            <v>A</v>
          </cell>
          <cell r="CE46" t="str">
            <v>01</v>
          </cell>
        </row>
        <row r="47">
          <cell r="A47" t="str">
            <v>2436505</v>
          </cell>
          <cell r="B47" t="str">
            <v>32</v>
          </cell>
          <cell r="C47" t="str">
            <v>4을</v>
          </cell>
          <cell r="D47" t="str">
            <v>이순옥　　</v>
          </cell>
          <cell r="E47" t="str">
            <v>C</v>
          </cell>
          <cell r="G47">
            <v>1</v>
          </cell>
          <cell r="H47" t="str">
            <v>KQ**</v>
          </cell>
          <cell r="I47" t="str">
            <v>KRBF</v>
          </cell>
          <cell r="J47" t="str">
            <v>광주생기팀　　　　　</v>
          </cell>
          <cell r="K47" t="str">
            <v>KUAA</v>
          </cell>
          <cell r="L47" t="str">
            <v>광）생산관리팀　　　</v>
          </cell>
          <cell r="O47" t="str">
            <v>KUAA</v>
          </cell>
          <cell r="R47" t="str">
            <v>6</v>
          </cell>
          <cell r="V47" t="str">
            <v>6</v>
          </cell>
          <cell r="W47" t="str">
            <v>2</v>
          </cell>
          <cell r="X47" t="str">
            <v>4</v>
          </cell>
          <cell r="Y47" t="str">
            <v>O</v>
          </cell>
          <cell r="Z47" t="str">
            <v>2074198</v>
          </cell>
          <cell r="AA47" t="str">
            <v>윤영한　　</v>
          </cell>
          <cell r="AB47" t="str">
            <v>24</v>
          </cell>
          <cell r="AC47" t="str">
            <v>43</v>
          </cell>
          <cell r="AD47">
            <v>50</v>
          </cell>
          <cell r="AE47">
            <v>53.72</v>
          </cell>
          <cell r="AF47">
            <v>40</v>
          </cell>
          <cell r="AG47" t="str">
            <v>2024118</v>
          </cell>
          <cell r="AH47" t="str">
            <v>정정규　　</v>
          </cell>
          <cell r="AI47" t="str">
            <v>20</v>
          </cell>
          <cell r="AJ47" t="str">
            <v>31</v>
          </cell>
          <cell r="AK47">
            <v>57</v>
          </cell>
          <cell r="AL47">
            <v>52.57</v>
          </cell>
          <cell r="AM47">
            <v>20</v>
          </cell>
          <cell r="AN47" t="str">
            <v>2026563</v>
          </cell>
          <cell r="AO47" t="str">
            <v>전천수　　</v>
          </cell>
          <cell r="AP47" t="str">
            <v>03</v>
          </cell>
          <cell r="AQ47" t="str">
            <v>30</v>
          </cell>
          <cell r="AR47">
            <v>43</v>
          </cell>
          <cell r="AS47">
            <v>50.05</v>
          </cell>
          <cell r="AT47">
            <v>20</v>
          </cell>
          <cell r="AY47">
            <v>0</v>
          </cell>
          <cell r="AZ47">
            <v>0</v>
          </cell>
          <cell r="BA47">
            <v>0</v>
          </cell>
          <cell r="BF47">
            <v>0</v>
          </cell>
          <cell r="BG47">
            <v>0</v>
          </cell>
          <cell r="BH47">
            <v>0</v>
          </cell>
          <cell r="BM47">
            <v>0</v>
          </cell>
          <cell r="BN47">
            <v>0</v>
          </cell>
          <cell r="BO47">
            <v>0</v>
          </cell>
          <cell r="BP47" t="b">
            <v>0</v>
          </cell>
          <cell r="BQ47">
            <v>0</v>
          </cell>
          <cell r="BR47">
            <v>52.52</v>
          </cell>
          <cell r="BS47">
            <v>678</v>
          </cell>
          <cell r="BT47">
            <v>97.3</v>
          </cell>
          <cell r="BU47" t="str">
            <v>E</v>
          </cell>
          <cell r="BV47" t="str">
            <v>11</v>
          </cell>
          <cell r="BW47">
            <v>40</v>
          </cell>
          <cell r="BX47" t="str">
            <v>19980101</v>
          </cell>
          <cell r="BZ47" t="str">
            <v>D</v>
          </cell>
          <cell r="CA47" t="str">
            <v>10</v>
          </cell>
          <cell r="CB47" t="str">
            <v>C</v>
          </cell>
          <cell r="CC47" t="str">
            <v>04</v>
          </cell>
          <cell r="CD47" t="str">
            <v>C</v>
          </cell>
          <cell r="CE47" t="str">
            <v>07</v>
          </cell>
        </row>
        <row r="48">
          <cell r="A48" t="str">
            <v>2179051</v>
          </cell>
          <cell r="B48" t="str">
            <v>30</v>
          </cell>
          <cell r="C48" t="str">
            <v>4갑</v>
          </cell>
          <cell r="D48" t="str">
            <v>박철문　　</v>
          </cell>
          <cell r="E48" t="str">
            <v>C</v>
          </cell>
          <cell r="G48">
            <v>1</v>
          </cell>
          <cell r="H48" t="str">
            <v>KH**</v>
          </cell>
          <cell r="I48" t="str">
            <v>KHN*</v>
          </cell>
          <cell r="J48" t="str">
            <v>충북지역본부　　　　</v>
          </cell>
          <cell r="K48" t="str">
            <v>KHNH</v>
          </cell>
          <cell r="L48" t="str">
            <v>충북）청주중부지점　</v>
          </cell>
          <cell r="O48" t="str">
            <v>KHNHA</v>
          </cell>
          <cell r="R48" t="str">
            <v>2</v>
          </cell>
          <cell r="V48" t="str">
            <v>5</v>
          </cell>
          <cell r="W48" t="str">
            <v>3</v>
          </cell>
          <cell r="X48" t="str">
            <v>3</v>
          </cell>
          <cell r="Y48" t="str">
            <v>O</v>
          </cell>
          <cell r="Z48" t="str">
            <v>2338548</v>
          </cell>
          <cell r="AA48" t="str">
            <v>남철우　　</v>
          </cell>
          <cell r="AB48" t="str">
            <v>28</v>
          </cell>
          <cell r="AC48" t="str">
            <v>50</v>
          </cell>
          <cell r="AD48">
            <v>83</v>
          </cell>
          <cell r="AE48">
            <v>60</v>
          </cell>
          <cell r="AF48">
            <v>10</v>
          </cell>
          <cell r="AG48" t="str">
            <v>2718363</v>
          </cell>
          <cell r="AH48" t="str">
            <v>김경덕　　</v>
          </cell>
          <cell r="AI48" t="str">
            <v>24</v>
          </cell>
          <cell r="AJ48" t="str">
            <v>44</v>
          </cell>
          <cell r="AK48">
            <v>84</v>
          </cell>
          <cell r="AL48">
            <v>55.28</v>
          </cell>
          <cell r="AM48">
            <v>40</v>
          </cell>
          <cell r="AN48" t="str">
            <v>2029305</v>
          </cell>
          <cell r="AO48" t="str">
            <v>송명걸　　</v>
          </cell>
          <cell r="AP48" t="str">
            <v>22</v>
          </cell>
          <cell r="AQ48" t="str">
            <v>32</v>
          </cell>
          <cell r="AR48">
            <v>53</v>
          </cell>
          <cell r="AS48">
            <v>52.17</v>
          </cell>
          <cell r="AT48">
            <v>30</v>
          </cell>
          <cell r="AU48" t="str">
            <v>2059744</v>
          </cell>
          <cell r="AV48" t="str">
            <v>김도영　　</v>
          </cell>
          <cell r="AW48" t="str">
            <v>02</v>
          </cell>
          <cell r="AX48" t="str">
            <v>20</v>
          </cell>
          <cell r="AY48">
            <v>53</v>
          </cell>
          <cell r="AZ48">
            <v>53.84</v>
          </cell>
          <cell r="BA48">
            <v>10</v>
          </cell>
          <cell r="BF48">
            <v>0</v>
          </cell>
          <cell r="BG48">
            <v>0</v>
          </cell>
          <cell r="BH48">
            <v>0</v>
          </cell>
          <cell r="BM48">
            <v>0</v>
          </cell>
          <cell r="BN48">
            <v>0</v>
          </cell>
          <cell r="BO48">
            <v>0</v>
          </cell>
          <cell r="BP48" t="b">
            <v>0</v>
          </cell>
          <cell r="BQ48">
            <v>0</v>
          </cell>
          <cell r="BR48">
            <v>54.61</v>
          </cell>
          <cell r="BS48">
            <v>1179</v>
          </cell>
          <cell r="BT48">
            <v>81.3</v>
          </cell>
          <cell r="BU48" t="str">
            <v>D</v>
          </cell>
          <cell r="BV48" t="str">
            <v>09</v>
          </cell>
          <cell r="BW48">
            <v>48</v>
          </cell>
          <cell r="BX48" t="str">
            <v>19940101</v>
          </cell>
          <cell r="BZ48" t="str">
            <v>C</v>
          </cell>
          <cell r="CA48" t="str">
            <v>06</v>
          </cell>
          <cell r="CB48" t="str">
            <v>C</v>
          </cell>
          <cell r="CC48" t="str">
            <v>06</v>
          </cell>
          <cell r="CD48" t="str">
            <v>B</v>
          </cell>
          <cell r="CE48" t="str">
            <v>03</v>
          </cell>
        </row>
        <row r="49">
          <cell r="A49" t="str">
            <v>2156624</v>
          </cell>
          <cell r="B49" t="str">
            <v>28</v>
          </cell>
          <cell r="C49" t="str">
            <v>대리</v>
          </cell>
          <cell r="D49" t="str">
            <v>이종재　　</v>
          </cell>
          <cell r="E49" t="str">
            <v>C</v>
          </cell>
          <cell r="G49">
            <v>1</v>
          </cell>
          <cell r="H49" t="str">
            <v>KH**</v>
          </cell>
          <cell r="I49" t="str">
            <v>KHGO</v>
          </cell>
          <cell r="J49" t="str">
            <v>남부）강남영동지점　</v>
          </cell>
          <cell r="K49" t="str">
            <v>KHGS</v>
          </cell>
          <cell r="L49" t="str">
            <v>남부）반포지점　　　</v>
          </cell>
          <cell r="O49" t="str">
            <v>KHGSA</v>
          </cell>
          <cell r="R49" t="str">
            <v>2</v>
          </cell>
          <cell r="T49" t="str">
            <v>50</v>
          </cell>
          <cell r="U49" t="str">
            <v>과장</v>
          </cell>
          <cell r="V49" t="str">
            <v>4</v>
          </cell>
          <cell r="W49" t="str">
            <v>3</v>
          </cell>
          <cell r="X49" t="str">
            <v>2</v>
          </cell>
          <cell r="Y49" t="str">
            <v>O</v>
          </cell>
          <cell r="Z49" t="str">
            <v>2095964</v>
          </cell>
          <cell r="AA49" t="str">
            <v>한상기　　</v>
          </cell>
          <cell r="AB49" t="str">
            <v>24</v>
          </cell>
          <cell r="AC49" t="str">
            <v>44</v>
          </cell>
          <cell r="AD49">
            <v>87</v>
          </cell>
          <cell r="AE49">
            <v>60</v>
          </cell>
          <cell r="AF49">
            <v>50</v>
          </cell>
          <cell r="AG49" t="str">
            <v>2013194</v>
          </cell>
          <cell r="AH49" t="str">
            <v>박종호　　</v>
          </cell>
          <cell r="AI49" t="str">
            <v>05</v>
          </cell>
          <cell r="AJ49" t="str">
            <v>32</v>
          </cell>
          <cell r="AK49">
            <v>60</v>
          </cell>
          <cell r="AL49">
            <v>55.02</v>
          </cell>
          <cell r="AM49">
            <v>30</v>
          </cell>
          <cell r="AN49" t="str">
            <v>2059744</v>
          </cell>
          <cell r="AO49" t="str">
            <v>김도영　　</v>
          </cell>
          <cell r="AP49" t="str">
            <v>02</v>
          </cell>
          <cell r="AQ49" t="str">
            <v>20</v>
          </cell>
          <cell r="AR49">
            <v>77</v>
          </cell>
          <cell r="AS49">
            <v>62.4</v>
          </cell>
          <cell r="AT49">
            <v>10</v>
          </cell>
          <cell r="AY49">
            <v>0</v>
          </cell>
          <cell r="AZ49">
            <v>0</v>
          </cell>
          <cell r="BA49">
            <v>0</v>
          </cell>
          <cell r="BF49">
            <v>0</v>
          </cell>
          <cell r="BG49">
            <v>0</v>
          </cell>
          <cell r="BH49">
            <v>0</v>
          </cell>
          <cell r="BM49">
            <v>0</v>
          </cell>
          <cell r="BN49">
            <v>0</v>
          </cell>
          <cell r="BO49">
            <v>0</v>
          </cell>
          <cell r="BP49" t="b">
            <v>0</v>
          </cell>
          <cell r="BQ49">
            <v>0</v>
          </cell>
          <cell r="BR49">
            <v>58.61</v>
          </cell>
          <cell r="BS49">
            <v>992</v>
          </cell>
          <cell r="BT49">
            <v>59.3</v>
          </cell>
          <cell r="BU49" t="str">
            <v>C</v>
          </cell>
          <cell r="BV49" t="str">
            <v>07</v>
          </cell>
          <cell r="BW49">
            <v>56</v>
          </cell>
          <cell r="BX49" t="str">
            <v>19980101</v>
          </cell>
          <cell r="BZ49" t="str">
            <v>C</v>
          </cell>
          <cell r="CA49" t="str">
            <v>05</v>
          </cell>
          <cell r="CB49" t="str">
            <v>A</v>
          </cell>
          <cell r="CC49" t="str">
            <v>01</v>
          </cell>
          <cell r="CD49" t="str">
            <v>B</v>
          </cell>
          <cell r="CE49" t="str">
            <v>03</v>
          </cell>
        </row>
        <row r="50">
          <cell r="A50" t="str">
            <v>2454296</v>
          </cell>
          <cell r="B50" t="str">
            <v>28</v>
          </cell>
          <cell r="C50" t="str">
            <v>대리</v>
          </cell>
          <cell r="D50" t="str">
            <v>범진규　　</v>
          </cell>
          <cell r="E50" t="str">
            <v>C</v>
          </cell>
          <cell r="G50">
            <v>1</v>
          </cell>
          <cell r="H50" t="str">
            <v>KF**</v>
          </cell>
          <cell r="I50" t="str">
            <v>KFBB</v>
          </cell>
          <cell r="J50" t="str">
            <v>국제금융팀　　　　　</v>
          </cell>
          <cell r="K50" t="str">
            <v>KFBA</v>
          </cell>
          <cell r="L50" t="str">
            <v>재정팀　　　　　　　</v>
          </cell>
          <cell r="O50" t="str">
            <v>KFBA</v>
          </cell>
          <cell r="R50" t="str">
            <v>1</v>
          </cell>
          <cell r="V50" t="str">
            <v>4</v>
          </cell>
          <cell r="W50" t="str">
            <v>1</v>
          </cell>
          <cell r="X50" t="str">
            <v>3</v>
          </cell>
          <cell r="Y50" t="str">
            <v>O</v>
          </cell>
          <cell r="Z50" t="str">
            <v>2064976</v>
          </cell>
          <cell r="AA50" t="str">
            <v>이주록　　</v>
          </cell>
          <cell r="AB50" t="str">
            <v>24</v>
          </cell>
          <cell r="AC50" t="str">
            <v>43</v>
          </cell>
          <cell r="AD50">
            <v>83</v>
          </cell>
          <cell r="AE50">
            <v>61.56</v>
          </cell>
          <cell r="AF50">
            <v>40</v>
          </cell>
          <cell r="AG50" t="str">
            <v>2023777</v>
          </cell>
          <cell r="AH50" t="str">
            <v>구태환　　</v>
          </cell>
          <cell r="AI50" t="str">
            <v>20</v>
          </cell>
          <cell r="AJ50" t="str">
            <v>32</v>
          </cell>
          <cell r="AK50">
            <v>96</v>
          </cell>
          <cell r="AL50">
            <v>68.38</v>
          </cell>
          <cell r="AM50">
            <v>30</v>
          </cell>
          <cell r="AN50" t="str">
            <v>2011581</v>
          </cell>
          <cell r="AO50" t="str">
            <v>정학진　　</v>
          </cell>
          <cell r="AP50" t="str">
            <v>02</v>
          </cell>
          <cell r="AQ50" t="str">
            <v>20</v>
          </cell>
          <cell r="AR50">
            <v>70</v>
          </cell>
          <cell r="AS50">
            <v>60</v>
          </cell>
          <cell r="AT50">
            <v>10</v>
          </cell>
          <cell r="AY50">
            <v>0</v>
          </cell>
          <cell r="AZ50">
            <v>0</v>
          </cell>
          <cell r="BA50">
            <v>0</v>
          </cell>
          <cell r="BF50">
            <v>0</v>
          </cell>
          <cell r="BG50">
            <v>0</v>
          </cell>
          <cell r="BH50">
            <v>0</v>
          </cell>
          <cell r="BM50">
            <v>0</v>
          </cell>
          <cell r="BN50">
            <v>0</v>
          </cell>
          <cell r="BO50">
            <v>0</v>
          </cell>
          <cell r="BP50" t="b">
            <v>0</v>
          </cell>
          <cell r="BQ50">
            <v>0</v>
          </cell>
          <cell r="BR50">
            <v>63.92</v>
          </cell>
          <cell r="BS50">
            <v>481</v>
          </cell>
          <cell r="BT50">
            <v>28.7</v>
          </cell>
          <cell r="BU50" t="str">
            <v>B</v>
          </cell>
          <cell r="BV50" t="str">
            <v>04</v>
          </cell>
          <cell r="BW50">
            <v>68</v>
          </cell>
          <cell r="BX50" t="str">
            <v>19970101</v>
          </cell>
        </row>
        <row r="51">
          <cell r="A51" t="str">
            <v>2611963</v>
          </cell>
          <cell r="B51" t="str">
            <v>33</v>
          </cell>
          <cell r="C51" t="str">
            <v>5급</v>
          </cell>
          <cell r="D51" t="str">
            <v>이오복　　</v>
          </cell>
          <cell r="E51" t="str">
            <v>C</v>
          </cell>
          <cell r="G51">
            <v>1</v>
          </cell>
          <cell r="H51" t="str">
            <v>KH**</v>
          </cell>
          <cell r="I51" t="str">
            <v>KHKT</v>
          </cell>
          <cell r="J51" t="str">
            <v>강원）인제지점　　　</v>
          </cell>
          <cell r="K51" t="str">
            <v>KHKA</v>
          </cell>
          <cell r="L51" t="str">
            <v>강원）춘천지점　　　</v>
          </cell>
          <cell r="O51" t="str">
            <v>KHKAA</v>
          </cell>
          <cell r="R51" t="str">
            <v>2</v>
          </cell>
          <cell r="V51" t="str">
            <v>7</v>
          </cell>
          <cell r="W51" t="str">
            <v>3</v>
          </cell>
          <cell r="X51" t="str">
            <v>4</v>
          </cell>
          <cell r="Y51" t="str">
            <v>S</v>
          </cell>
          <cell r="Z51" t="str">
            <v>2156691</v>
          </cell>
          <cell r="AA51" t="str">
            <v>전오택　　</v>
          </cell>
          <cell r="AB51" t="str">
            <v>28</v>
          </cell>
          <cell r="AC51" t="str">
            <v>50</v>
          </cell>
          <cell r="AD51">
            <v>94</v>
          </cell>
          <cell r="AE51">
            <v>60</v>
          </cell>
          <cell r="AF51">
            <v>10</v>
          </cell>
          <cell r="AG51" t="str">
            <v>2130064</v>
          </cell>
          <cell r="AH51" t="str">
            <v>심현식　　</v>
          </cell>
          <cell r="AI51" t="str">
            <v>26</v>
          </cell>
          <cell r="AJ51" t="str">
            <v>44</v>
          </cell>
          <cell r="AK51">
            <v>94</v>
          </cell>
          <cell r="AL51">
            <v>60</v>
          </cell>
          <cell r="AM51">
            <v>50</v>
          </cell>
          <cell r="AN51" t="str">
            <v>2032367</v>
          </cell>
          <cell r="AO51" t="str">
            <v>최진　　　</v>
          </cell>
          <cell r="AP51" t="str">
            <v>22</v>
          </cell>
          <cell r="AQ51" t="str">
            <v>32</v>
          </cell>
          <cell r="AR51">
            <v>83</v>
          </cell>
          <cell r="AS51">
            <v>67.959999999999994</v>
          </cell>
          <cell r="AT51">
            <v>30</v>
          </cell>
          <cell r="AY51">
            <v>0</v>
          </cell>
          <cell r="AZ51">
            <v>0</v>
          </cell>
          <cell r="BA51">
            <v>0</v>
          </cell>
          <cell r="BF51">
            <v>0</v>
          </cell>
          <cell r="BG51">
            <v>0</v>
          </cell>
          <cell r="BH51">
            <v>0</v>
          </cell>
          <cell r="BM51">
            <v>0</v>
          </cell>
          <cell r="BN51">
            <v>0</v>
          </cell>
          <cell r="BO51">
            <v>0</v>
          </cell>
          <cell r="BP51" t="b">
            <v>0</v>
          </cell>
          <cell r="BQ51">
            <v>0</v>
          </cell>
          <cell r="BR51">
            <v>62.65</v>
          </cell>
          <cell r="BS51">
            <v>184</v>
          </cell>
          <cell r="BT51">
            <v>26.9</v>
          </cell>
          <cell r="BU51" t="str">
            <v>B</v>
          </cell>
          <cell r="BV51" t="str">
            <v>04</v>
          </cell>
          <cell r="BW51">
            <v>68</v>
          </cell>
          <cell r="BX51" t="str">
            <v>19950213</v>
          </cell>
        </row>
        <row r="52">
          <cell r="A52" t="str">
            <v>2412049</v>
          </cell>
          <cell r="B52" t="str">
            <v>30</v>
          </cell>
          <cell r="C52" t="str">
            <v>4갑</v>
          </cell>
          <cell r="D52" t="str">
            <v>김경호　　</v>
          </cell>
          <cell r="E52" t="str">
            <v>C</v>
          </cell>
          <cell r="G52">
            <v>1</v>
          </cell>
          <cell r="H52" t="str">
            <v>KH**</v>
          </cell>
          <cell r="I52" t="str">
            <v>KHL*</v>
          </cell>
          <cell r="J52" t="str">
            <v>대전지역본부　　　　</v>
          </cell>
          <cell r="K52" t="str">
            <v>KHLC</v>
          </cell>
          <cell r="L52" t="str">
            <v>대전）대전중구지점　</v>
          </cell>
          <cell r="O52" t="str">
            <v>KHLCA</v>
          </cell>
          <cell r="R52" t="str">
            <v>2</v>
          </cell>
          <cell r="V52" t="str">
            <v>5</v>
          </cell>
          <cell r="W52" t="str">
            <v>3</v>
          </cell>
          <cell r="X52" t="str">
            <v>3</v>
          </cell>
          <cell r="Y52" t="str">
            <v>O</v>
          </cell>
          <cell r="Z52" t="str">
            <v>2341281</v>
          </cell>
          <cell r="AA52" t="str">
            <v>두영균　　</v>
          </cell>
          <cell r="AB52" t="str">
            <v>28</v>
          </cell>
          <cell r="AC52" t="str">
            <v>50</v>
          </cell>
          <cell r="AD52">
            <v>96</v>
          </cell>
          <cell r="AE52">
            <v>60</v>
          </cell>
          <cell r="AF52">
            <v>10</v>
          </cell>
          <cell r="AG52" t="str">
            <v>2021851</v>
          </cell>
          <cell r="AH52" t="str">
            <v>길재열　　</v>
          </cell>
          <cell r="AI52" t="str">
            <v>22</v>
          </cell>
          <cell r="AJ52" t="str">
            <v>44</v>
          </cell>
          <cell r="AK52">
            <v>85</v>
          </cell>
          <cell r="AL52">
            <v>64.73</v>
          </cell>
          <cell r="AM52">
            <v>40</v>
          </cell>
          <cell r="AN52" t="str">
            <v>2006365</v>
          </cell>
          <cell r="AO52" t="str">
            <v>김선기　　</v>
          </cell>
          <cell r="AP52" t="str">
            <v>04</v>
          </cell>
          <cell r="AQ52" t="str">
            <v>32</v>
          </cell>
          <cell r="AR52">
            <v>75</v>
          </cell>
          <cell r="AS52">
            <v>60.82</v>
          </cell>
          <cell r="AT52">
            <v>30</v>
          </cell>
          <cell r="AU52" t="str">
            <v>2059744</v>
          </cell>
          <cell r="AV52" t="str">
            <v>김도영　　</v>
          </cell>
          <cell r="AW52" t="str">
            <v>02</v>
          </cell>
          <cell r="AX52" t="str">
            <v>20</v>
          </cell>
          <cell r="AY52">
            <v>93</v>
          </cell>
          <cell r="AZ52">
            <v>68.08</v>
          </cell>
          <cell r="BA52">
            <v>10</v>
          </cell>
          <cell r="BF52">
            <v>0</v>
          </cell>
          <cell r="BG52">
            <v>0</v>
          </cell>
          <cell r="BH52">
            <v>0</v>
          </cell>
          <cell r="BM52">
            <v>0</v>
          </cell>
          <cell r="BN52">
            <v>0</v>
          </cell>
          <cell r="BO52">
            <v>0</v>
          </cell>
          <cell r="BP52" t="b">
            <v>0</v>
          </cell>
          <cell r="BQ52">
            <v>0</v>
          </cell>
          <cell r="BR52">
            <v>63.27</v>
          </cell>
          <cell r="BS52">
            <v>420</v>
          </cell>
          <cell r="BT52">
            <v>28.9</v>
          </cell>
          <cell r="BU52" t="str">
            <v>B</v>
          </cell>
          <cell r="BV52" t="str">
            <v>04</v>
          </cell>
          <cell r="BW52">
            <v>68</v>
          </cell>
          <cell r="BX52" t="str">
            <v>19980101</v>
          </cell>
        </row>
        <row r="53">
          <cell r="A53" t="str">
            <v>2612044</v>
          </cell>
          <cell r="B53" t="str">
            <v>33</v>
          </cell>
          <cell r="C53" t="str">
            <v>5급</v>
          </cell>
          <cell r="D53" t="str">
            <v>장종덕　　</v>
          </cell>
          <cell r="E53" t="str">
            <v>C</v>
          </cell>
          <cell r="G53">
            <v>1</v>
          </cell>
          <cell r="H53" t="str">
            <v>KH**</v>
          </cell>
          <cell r="I53" t="str">
            <v>KHU*</v>
          </cell>
          <cell r="J53" t="str">
            <v>대구지역본부　　　　</v>
          </cell>
          <cell r="K53" t="str">
            <v>KHUG</v>
          </cell>
          <cell r="L53" t="str">
            <v>대구）금오지점　　　</v>
          </cell>
          <cell r="O53" t="str">
            <v>KHUGA</v>
          </cell>
          <cell r="R53" t="str">
            <v>2</v>
          </cell>
          <cell r="V53" t="str">
            <v>7</v>
          </cell>
          <cell r="W53" t="str">
            <v>3</v>
          </cell>
          <cell r="X53" t="str">
            <v>4</v>
          </cell>
          <cell r="Y53" t="str">
            <v>S</v>
          </cell>
          <cell r="Z53" t="str">
            <v>2134375</v>
          </cell>
          <cell r="AA53" t="str">
            <v>이응석　　</v>
          </cell>
          <cell r="AB53" t="str">
            <v>26</v>
          </cell>
          <cell r="AC53" t="str">
            <v>44</v>
          </cell>
          <cell r="AD53">
            <v>83</v>
          </cell>
          <cell r="AE53">
            <v>60</v>
          </cell>
          <cell r="AF53">
            <v>60</v>
          </cell>
          <cell r="AG53" t="str">
            <v>2018769</v>
          </cell>
          <cell r="AH53" t="str">
            <v>이문식　　</v>
          </cell>
          <cell r="AI53" t="str">
            <v>20</v>
          </cell>
          <cell r="AJ53" t="str">
            <v>32</v>
          </cell>
          <cell r="AK53">
            <v>88</v>
          </cell>
          <cell r="AL53">
            <v>68.48</v>
          </cell>
          <cell r="AM53">
            <v>30</v>
          </cell>
          <cell r="AR53">
            <v>0</v>
          </cell>
          <cell r="AS53">
            <v>0</v>
          </cell>
          <cell r="AT53">
            <v>0</v>
          </cell>
          <cell r="AY53">
            <v>0</v>
          </cell>
          <cell r="AZ53">
            <v>0</v>
          </cell>
          <cell r="BA53">
            <v>0</v>
          </cell>
          <cell r="BF53">
            <v>0</v>
          </cell>
          <cell r="BG53">
            <v>0</v>
          </cell>
          <cell r="BH53">
            <v>0</v>
          </cell>
          <cell r="BM53">
            <v>0</v>
          </cell>
          <cell r="BN53">
            <v>0</v>
          </cell>
          <cell r="BO53">
            <v>0</v>
          </cell>
          <cell r="BP53" t="b">
            <v>0</v>
          </cell>
          <cell r="BQ53">
            <v>0</v>
          </cell>
          <cell r="BR53">
            <v>62.83</v>
          </cell>
          <cell r="BS53">
            <v>177</v>
          </cell>
          <cell r="BT53">
            <v>25.8</v>
          </cell>
          <cell r="BU53" t="str">
            <v>B</v>
          </cell>
          <cell r="BV53" t="str">
            <v>04</v>
          </cell>
          <cell r="BW53">
            <v>68</v>
          </cell>
          <cell r="BX53" t="str">
            <v>19950213</v>
          </cell>
        </row>
        <row r="54">
          <cell r="A54" t="str">
            <v>2728396</v>
          </cell>
          <cell r="B54" t="str">
            <v>26</v>
          </cell>
          <cell r="C54" t="str">
            <v>과장</v>
          </cell>
          <cell r="D54" t="str">
            <v>허세훈　　</v>
          </cell>
          <cell r="E54" t="str">
            <v>C</v>
          </cell>
          <cell r="G54">
            <v>1</v>
          </cell>
          <cell r="H54" t="str">
            <v>KQ**</v>
          </cell>
          <cell r="K54" t="str">
            <v>KRBB</v>
          </cell>
          <cell r="L54" t="str">
            <v>도장생기팀　　　　　</v>
          </cell>
          <cell r="O54" t="str">
            <v>KRBB</v>
          </cell>
          <cell r="R54" t="str">
            <v>4</v>
          </cell>
          <cell r="V54" t="str">
            <v>3</v>
          </cell>
          <cell r="W54" t="str">
            <v>2</v>
          </cell>
          <cell r="X54" t="str">
            <v>3</v>
          </cell>
          <cell r="Y54" t="str">
            <v>S</v>
          </cell>
          <cell r="Z54" t="str">
            <v>2086593</v>
          </cell>
          <cell r="AA54" t="str">
            <v>박승욱　　</v>
          </cell>
          <cell r="AB54" t="str">
            <v>24</v>
          </cell>
          <cell r="AC54" t="str">
            <v>43</v>
          </cell>
          <cell r="AD54">
            <v>90</v>
          </cell>
          <cell r="AE54">
            <v>65.709999999999994</v>
          </cell>
          <cell r="AF54">
            <v>30</v>
          </cell>
          <cell r="AG54" t="str">
            <v>7034958</v>
          </cell>
          <cell r="AH54" t="str">
            <v>정성은　　</v>
          </cell>
          <cell r="AI54" t="str">
            <v>05</v>
          </cell>
          <cell r="AJ54" t="str">
            <v>32</v>
          </cell>
          <cell r="AK54">
            <v>75</v>
          </cell>
          <cell r="AL54">
            <v>62.35</v>
          </cell>
          <cell r="AM54">
            <v>20</v>
          </cell>
          <cell r="AN54" t="str">
            <v>2002001</v>
          </cell>
          <cell r="AO54" t="str">
            <v>신도철　　</v>
          </cell>
          <cell r="AP54" t="str">
            <v>03</v>
          </cell>
          <cell r="AQ54" t="str">
            <v>30</v>
          </cell>
          <cell r="AR54">
            <v>80</v>
          </cell>
          <cell r="AS54">
            <v>64.7</v>
          </cell>
          <cell r="AT54">
            <v>20</v>
          </cell>
          <cell r="AU54" t="str">
            <v>2728462</v>
          </cell>
          <cell r="AV54" t="str">
            <v>임승근　　</v>
          </cell>
          <cell r="AW54" t="str">
            <v>02</v>
          </cell>
          <cell r="AX54" t="str">
            <v>20</v>
          </cell>
          <cell r="AY54">
            <v>70</v>
          </cell>
          <cell r="AZ54">
            <v>59.97</v>
          </cell>
          <cell r="BA54">
            <v>10</v>
          </cell>
          <cell r="BF54">
            <v>0</v>
          </cell>
          <cell r="BG54">
            <v>0</v>
          </cell>
          <cell r="BH54">
            <v>0</v>
          </cell>
          <cell r="BM54">
            <v>0</v>
          </cell>
          <cell r="BN54">
            <v>0</v>
          </cell>
          <cell r="BO54">
            <v>0</v>
          </cell>
          <cell r="BP54" t="b">
            <v>0</v>
          </cell>
          <cell r="BQ54">
            <v>0</v>
          </cell>
          <cell r="BR54">
            <v>63.9</v>
          </cell>
          <cell r="BS54">
            <v>307</v>
          </cell>
          <cell r="BT54">
            <v>27</v>
          </cell>
          <cell r="BU54" t="str">
            <v>B</v>
          </cell>
          <cell r="BV54" t="str">
            <v>04</v>
          </cell>
          <cell r="BW54">
            <v>68</v>
          </cell>
          <cell r="BX54" t="str">
            <v>19950101</v>
          </cell>
        </row>
        <row r="55">
          <cell r="A55" t="str">
            <v>2725326</v>
          </cell>
          <cell r="B55" t="str">
            <v>24</v>
          </cell>
          <cell r="C55" t="str">
            <v>차장</v>
          </cell>
          <cell r="D55" t="str">
            <v>이일섭　　</v>
          </cell>
          <cell r="E55" t="str">
            <v>C</v>
          </cell>
          <cell r="G55">
            <v>1</v>
          </cell>
          <cell r="H55" t="str">
            <v>KK**</v>
          </cell>
          <cell r="K55" t="str">
            <v>ZA53</v>
          </cell>
          <cell r="L55" t="str">
            <v>기아독일　　　　　　</v>
          </cell>
          <cell r="O55" t="str">
            <v>ZA53</v>
          </cell>
          <cell r="R55" t="str">
            <v>3</v>
          </cell>
          <cell r="V55" t="str">
            <v>2</v>
          </cell>
          <cell r="W55" t="str">
            <v>5</v>
          </cell>
          <cell r="X55" t="str">
            <v>2</v>
          </cell>
          <cell r="Y55" t="str">
            <v>S</v>
          </cell>
          <cell r="Z55" t="str">
            <v>2728455</v>
          </cell>
          <cell r="AA55" t="str">
            <v>김용환　　</v>
          </cell>
          <cell r="AB55" t="str">
            <v>20</v>
          </cell>
          <cell r="AC55" t="str">
            <v>43</v>
          </cell>
          <cell r="AD55">
            <v>91</v>
          </cell>
          <cell r="AE55">
            <v>68.040000000000006</v>
          </cell>
          <cell r="AF55">
            <v>20</v>
          </cell>
          <cell r="AG55" t="str">
            <v>2043045</v>
          </cell>
          <cell r="AH55" t="str">
            <v>염영길　　</v>
          </cell>
          <cell r="AI55" t="str">
            <v>04</v>
          </cell>
          <cell r="AJ55" t="str">
            <v>32</v>
          </cell>
          <cell r="AK55">
            <v>75</v>
          </cell>
          <cell r="AL55">
            <v>60.77</v>
          </cell>
          <cell r="AM55">
            <v>20</v>
          </cell>
          <cell r="AN55" t="str">
            <v>2005295</v>
          </cell>
          <cell r="AO55" t="str">
            <v>박성도　　</v>
          </cell>
          <cell r="AP55" t="str">
            <v>02</v>
          </cell>
          <cell r="AQ55" t="str">
            <v>20</v>
          </cell>
          <cell r="AR55">
            <v>77</v>
          </cell>
          <cell r="AS55">
            <v>61.55</v>
          </cell>
          <cell r="AT55">
            <v>40</v>
          </cell>
          <cell r="AY55">
            <v>0</v>
          </cell>
          <cell r="AZ55">
            <v>0</v>
          </cell>
          <cell r="BA55">
            <v>0</v>
          </cell>
          <cell r="BF55">
            <v>0</v>
          </cell>
          <cell r="BG55">
            <v>0</v>
          </cell>
          <cell r="BH55">
            <v>0</v>
          </cell>
          <cell r="BM55">
            <v>0</v>
          </cell>
          <cell r="BN55">
            <v>0</v>
          </cell>
          <cell r="BO55">
            <v>0</v>
          </cell>
          <cell r="BP55" t="b">
            <v>0</v>
          </cell>
          <cell r="BQ55">
            <v>0</v>
          </cell>
          <cell r="BR55">
            <v>62.98</v>
          </cell>
          <cell r="BS55">
            <v>70</v>
          </cell>
          <cell r="BT55">
            <v>26.9</v>
          </cell>
          <cell r="BU55" t="str">
            <v>B</v>
          </cell>
          <cell r="BV55" t="str">
            <v>04</v>
          </cell>
          <cell r="BW55">
            <v>68</v>
          </cell>
          <cell r="BX55" t="str">
            <v>19950101</v>
          </cell>
        </row>
        <row r="56">
          <cell r="A56" t="str">
            <v>2394571</v>
          </cell>
          <cell r="B56" t="str">
            <v>28</v>
          </cell>
          <cell r="C56" t="str">
            <v>대리</v>
          </cell>
          <cell r="D56" t="str">
            <v>조상욱　　</v>
          </cell>
          <cell r="E56" t="str">
            <v>C</v>
          </cell>
          <cell r="G56">
            <v>1</v>
          </cell>
          <cell r="H56" t="str">
            <v>KO**</v>
          </cell>
          <cell r="I56" t="str">
            <v>KPBD</v>
          </cell>
          <cell r="J56" t="str">
            <v>상용의장부품개발팀　</v>
          </cell>
          <cell r="K56" t="str">
            <v>KPAC</v>
          </cell>
          <cell r="L56" t="str">
            <v>승용차체부품개발팀　</v>
          </cell>
          <cell r="O56" t="str">
            <v>KPAC</v>
          </cell>
          <cell r="R56" t="str">
            <v>4</v>
          </cell>
          <cell r="V56" t="str">
            <v>4</v>
          </cell>
          <cell r="W56" t="str">
            <v>1</v>
          </cell>
          <cell r="X56" t="str">
            <v>3</v>
          </cell>
          <cell r="Y56" t="str">
            <v>S</v>
          </cell>
          <cell r="Z56" t="str">
            <v>7266774</v>
          </cell>
          <cell r="AA56" t="str">
            <v>라현근　　</v>
          </cell>
          <cell r="AB56" t="str">
            <v>24</v>
          </cell>
          <cell r="AC56" t="str">
            <v>43</v>
          </cell>
          <cell r="AD56">
            <v>53</v>
          </cell>
          <cell r="AE56">
            <v>52.55</v>
          </cell>
          <cell r="AF56">
            <v>30</v>
          </cell>
          <cell r="AG56" t="str">
            <v>7151374</v>
          </cell>
          <cell r="AH56" t="str">
            <v>고승환　　</v>
          </cell>
          <cell r="AI56" t="str">
            <v>20</v>
          </cell>
          <cell r="AJ56" t="str">
            <v>32</v>
          </cell>
          <cell r="AK56">
            <v>45</v>
          </cell>
          <cell r="AL56">
            <v>49.22</v>
          </cell>
          <cell r="AM56">
            <v>20</v>
          </cell>
          <cell r="AN56" t="str">
            <v>7043317</v>
          </cell>
          <cell r="AO56" t="str">
            <v>박승하　　</v>
          </cell>
          <cell r="AP56" t="str">
            <v>04</v>
          </cell>
          <cell r="AQ56" t="str">
            <v>30</v>
          </cell>
          <cell r="AR56">
            <v>53</v>
          </cell>
          <cell r="AS56">
            <v>51.91</v>
          </cell>
          <cell r="AT56">
            <v>20</v>
          </cell>
          <cell r="AU56" t="str">
            <v>2008268</v>
          </cell>
          <cell r="AV56" t="str">
            <v>이용도　　</v>
          </cell>
          <cell r="AW56" t="str">
            <v>02</v>
          </cell>
          <cell r="AX56" t="str">
            <v>20</v>
          </cell>
          <cell r="AY56">
            <v>47</v>
          </cell>
          <cell r="AZ56">
            <v>48.9</v>
          </cell>
          <cell r="BA56">
            <v>10</v>
          </cell>
          <cell r="BF56">
            <v>0</v>
          </cell>
          <cell r="BG56">
            <v>0</v>
          </cell>
          <cell r="BH56">
            <v>0</v>
          </cell>
          <cell r="BM56">
            <v>0</v>
          </cell>
          <cell r="BN56">
            <v>0</v>
          </cell>
          <cell r="BO56">
            <v>0</v>
          </cell>
          <cell r="BP56" t="b">
            <v>0</v>
          </cell>
          <cell r="BQ56">
            <v>0</v>
          </cell>
          <cell r="BR56">
            <v>51.1</v>
          </cell>
          <cell r="BS56">
            <v>1612</v>
          </cell>
          <cell r="BT56">
            <v>96.3</v>
          </cell>
          <cell r="BU56" t="str">
            <v>E</v>
          </cell>
          <cell r="BV56" t="str">
            <v>11</v>
          </cell>
          <cell r="BW56">
            <v>40</v>
          </cell>
          <cell r="BX56" t="str">
            <v>19960101</v>
          </cell>
          <cell r="BZ56" t="str">
            <v>C</v>
          </cell>
          <cell r="CA56" t="str">
            <v>08</v>
          </cell>
          <cell r="CB56" t="str">
            <v>D</v>
          </cell>
          <cell r="CC56" t="str">
            <v>08</v>
          </cell>
          <cell r="CD56" t="str">
            <v>C</v>
          </cell>
          <cell r="CE56" t="str">
            <v>06</v>
          </cell>
        </row>
        <row r="57">
          <cell r="A57" t="str">
            <v>2076546</v>
          </cell>
          <cell r="B57" t="str">
            <v>26</v>
          </cell>
          <cell r="C57" t="str">
            <v>과장</v>
          </cell>
          <cell r="D57" t="str">
            <v>최철호　　</v>
          </cell>
          <cell r="E57" t="str">
            <v>C</v>
          </cell>
          <cell r="G57">
            <v>1</v>
          </cell>
          <cell r="H57" t="str">
            <v>KO**</v>
          </cell>
          <cell r="I57" t="str">
            <v>KPBA</v>
          </cell>
          <cell r="J57" t="str">
            <v>상용부품지원팀　　　</v>
          </cell>
          <cell r="K57" t="str">
            <v>KPBD</v>
          </cell>
          <cell r="L57" t="str">
            <v>상용의장부품개발팀　</v>
          </cell>
          <cell r="O57" t="str">
            <v>KPBD</v>
          </cell>
          <cell r="R57" t="str">
            <v>6</v>
          </cell>
          <cell r="V57" t="str">
            <v>3</v>
          </cell>
          <cell r="W57" t="str">
            <v>1</v>
          </cell>
          <cell r="X57" t="str">
            <v>3</v>
          </cell>
          <cell r="Y57" t="str">
            <v>O</v>
          </cell>
          <cell r="Z57" t="str">
            <v>2068014</v>
          </cell>
          <cell r="AA57" t="str">
            <v>곽정용　　</v>
          </cell>
          <cell r="AB57" t="str">
            <v>24</v>
          </cell>
          <cell r="AC57" t="str">
            <v>43</v>
          </cell>
          <cell r="AD57">
            <v>64</v>
          </cell>
          <cell r="AE57">
            <v>53.13</v>
          </cell>
          <cell r="AF57">
            <v>30</v>
          </cell>
          <cell r="AG57" t="str">
            <v>7158925</v>
          </cell>
          <cell r="AH57" t="str">
            <v>조병진　　</v>
          </cell>
          <cell r="AI57" t="str">
            <v>20</v>
          </cell>
          <cell r="AJ57" t="str">
            <v>32</v>
          </cell>
          <cell r="AK57">
            <v>51</v>
          </cell>
          <cell r="AL57">
            <v>53.28</v>
          </cell>
          <cell r="AM57">
            <v>20</v>
          </cell>
          <cell r="AN57" t="str">
            <v>7043317</v>
          </cell>
          <cell r="AO57" t="str">
            <v>박승하　　</v>
          </cell>
          <cell r="AP57" t="str">
            <v>04</v>
          </cell>
          <cell r="AQ57" t="str">
            <v>30</v>
          </cell>
          <cell r="AR57">
            <v>51</v>
          </cell>
          <cell r="AS57">
            <v>50.7</v>
          </cell>
          <cell r="AT57">
            <v>20</v>
          </cell>
          <cell r="AU57" t="str">
            <v>2008268</v>
          </cell>
          <cell r="AV57" t="str">
            <v>이용도　　</v>
          </cell>
          <cell r="AW57" t="str">
            <v>02</v>
          </cell>
          <cell r="AX57" t="str">
            <v>20</v>
          </cell>
          <cell r="AY57">
            <v>52</v>
          </cell>
          <cell r="AZ57">
            <v>50.06</v>
          </cell>
          <cell r="BA57">
            <v>10</v>
          </cell>
          <cell r="BF57">
            <v>0</v>
          </cell>
          <cell r="BG57">
            <v>0</v>
          </cell>
          <cell r="BH57">
            <v>0</v>
          </cell>
          <cell r="BM57">
            <v>0</v>
          </cell>
          <cell r="BN57">
            <v>0</v>
          </cell>
          <cell r="BO57">
            <v>0</v>
          </cell>
          <cell r="BP57" t="b">
            <v>0</v>
          </cell>
          <cell r="BQ57">
            <v>0</v>
          </cell>
          <cell r="BR57">
            <v>52.18</v>
          </cell>
          <cell r="BS57">
            <v>1050</v>
          </cell>
          <cell r="BT57">
            <v>92.4</v>
          </cell>
          <cell r="BU57" t="str">
            <v>E</v>
          </cell>
          <cell r="BV57" t="str">
            <v>10</v>
          </cell>
          <cell r="BW57">
            <v>44</v>
          </cell>
          <cell r="BX57" t="str">
            <v>19970101</v>
          </cell>
          <cell r="BZ57" t="str">
            <v>C</v>
          </cell>
          <cell r="CA57" t="str">
            <v>06</v>
          </cell>
          <cell r="CB57" t="str">
            <v>D</v>
          </cell>
          <cell r="CC57" t="str">
            <v>09</v>
          </cell>
          <cell r="CD57" t="str">
            <v>B</v>
          </cell>
          <cell r="CE57" t="str">
            <v>04</v>
          </cell>
        </row>
        <row r="58">
          <cell r="A58" t="str">
            <v>2392512</v>
          </cell>
          <cell r="B58" t="str">
            <v>28</v>
          </cell>
          <cell r="C58" t="str">
            <v>대리</v>
          </cell>
          <cell r="D58" t="str">
            <v>김준연　　</v>
          </cell>
          <cell r="E58" t="str">
            <v>C</v>
          </cell>
          <cell r="G58">
            <v>1</v>
          </cell>
          <cell r="H58" t="str">
            <v>KO**</v>
          </cell>
          <cell r="I58" t="str">
            <v>KOAA</v>
          </cell>
          <cell r="J58" t="str">
            <v>구매계획팀　　　　　</v>
          </cell>
          <cell r="K58" t="str">
            <v>KPBA</v>
          </cell>
          <cell r="L58" t="str">
            <v>상용부품지원팀　　　</v>
          </cell>
          <cell r="O58" t="str">
            <v>KPBA</v>
          </cell>
          <cell r="R58" t="str">
            <v>6</v>
          </cell>
          <cell r="V58" t="str">
            <v>4</v>
          </cell>
          <cell r="W58" t="str">
            <v>1</v>
          </cell>
          <cell r="X58" t="str">
            <v>3</v>
          </cell>
          <cell r="Y58" t="str">
            <v>S</v>
          </cell>
          <cell r="Z58" t="str">
            <v>2027389</v>
          </cell>
          <cell r="AA58" t="str">
            <v>오창진　　</v>
          </cell>
          <cell r="AB58" t="str">
            <v>24</v>
          </cell>
          <cell r="AC58" t="str">
            <v>43</v>
          </cell>
          <cell r="AD58">
            <v>62</v>
          </cell>
          <cell r="AE58">
            <v>57.15</v>
          </cell>
          <cell r="AF58">
            <v>30</v>
          </cell>
          <cell r="AG58" t="str">
            <v>7158925</v>
          </cell>
          <cell r="AH58" t="str">
            <v>조병진　　</v>
          </cell>
          <cell r="AI58" t="str">
            <v>20</v>
          </cell>
          <cell r="AJ58" t="str">
            <v>32</v>
          </cell>
          <cell r="AK58">
            <v>62</v>
          </cell>
          <cell r="AL58">
            <v>56.15</v>
          </cell>
          <cell r="AM58">
            <v>20</v>
          </cell>
          <cell r="AN58" t="str">
            <v>7043317</v>
          </cell>
          <cell r="AO58" t="str">
            <v>박승하　　</v>
          </cell>
          <cell r="AP58" t="str">
            <v>04</v>
          </cell>
          <cell r="AQ58" t="str">
            <v>30</v>
          </cell>
          <cell r="AR58">
            <v>51</v>
          </cell>
          <cell r="AS58">
            <v>51.15</v>
          </cell>
          <cell r="AT58">
            <v>20</v>
          </cell>
          <cell r="AU58" t="str">
            <v>2008268</v>
          </cell>
          <cell r="AV58" t="str">
            <v>이용도　　</v>
          </cell>
          <cell r="AW58" t="str">
            <v>02</v>
          </cell>
          <cell r="AX58" t="str">
            <v>20</v>
          </cell>
          <cell r="AY58">
            <v>62</v>
          </cell>
          <cell r="AZ58">
            <v>55.34</v>
          </cell>
          <cell r="BA58">
            <v>10</v>
          </cell>
          <cell r="BF58">
            <v>0</v>
          </cell>
          <cell r="BG58">
            <v>0</v>
          </cell>
          <cell r="BH58">
            <v>0</v>
          </cell>
          <cell r="BM58">
            <v>0</v>
          </cell>
          <cell r="BN58">
            <v>0</v>
          </cell>
          <cell r="BO58">
            <v>0</v>
          </cell>
          <cell r="BP58" t="b">
            <v>0</v>
          </cell>
          <cell r="BQ58">
            <v>0</v>
          </cell>
          <cell r="BR58">
            <v>55.17</v>
          </cell>
          <cell r="BS58">
            <v>1330</v>
          </cell>
          <cell r="BT58">
            <v>79.5</v>
          </cell>
          <cell r="BU58" t="str">
            <v>D</v>
          </cell>
          <cell r="BV58" t="str">
            <v>09</v>
          </cell>
          <cell r="BW58">
            <v>48</v>
          </cell>
          <cell r="BX58" t="str">
            <v>19960101</v>
          </cell>
          <cell r="BZ58" t="str">
            <v>D</v>
          </cell>
          <cell r="CA58" t="str">
            <v>09</v>
          </cell>
          <cell r="CB58" t="str">
            <v>C</v>
          </cell>
          <cell r="CC58" t="str">
            <v>05</v>
          </cell>
          <cell r="CD58" t="str">
            <v>B</v>
          </cell>
          <cell r="CE58" t="str">
            <v>02</v>
          </cell>
        </row>
        <row r="59">
          <cell r="A59" t="str">
            <v>2507793</v>
          </cell>
          <cell r="B59" t="str">
            <v>28</v>
          </cell>
          <cell r="C59" t="str">
            <v>대리</v>
          </cell>
          <cell r="D59" t="str">
            <v>김광찬　　</v>
          </cell>
          <cell r="E59" t="str">
            <v>C</v>
          </cell>
          <cell r="G59">
            <v>1</v>
          </cell>
          <cell r="H59" t="str">
            <v>KM**</v>
          </cell>
          <cell r="I59" t="str">
            <v>KMJI</v>
          </cell>
          <cell r="J59" t="str">
            <v>원주사업소　　　　　</v>
          </cell>
          <cell r="K59" t="str">
            <v>KMIH</v>
          </cell>
          <cell r="L59" t="str">
            <v>원주부품사업소　　　</v>
          </cell>
          <cell r="O59" t="str">
            <v>KMIHB</v>
          </cell>
          <cell r="R59" t="str">
            <v>2</v>
          </cell>
          <cell r="V59" t="str">
            <v>4</v>
          </cell>
          <cell r="W59" t="str">
            <v>4</v>
          </cell>
          <cell r="X59" t="str">
            <v>3</v>
          </cell>
          <cell r="Y59" t="str">
            <v>O</v>
          </cell>
          <cell r="Z59" t="str">
            <v>2050127</v>
          </cell>
          <cell r="AA59" t="str">
            <v>김두형　　</v>
          </cell>
          <cell r="AB59" t="str">
            <v>26</v>
          </cell>
          <cell r="AC59" t="str">
            <v>50</v>
          </cell>
          <cell r="AD59">
            <v>71</v>
          </cell>
          <cell r="AE59">
            <v>56.6</v>
          </cell>
          <cell r="AF59">
            <v>40</v>
          </cell>
          <cell r="AG59" t="str">
            <v>2129888</v>
          </cell>
          <cell r="AH59" t="str">
            <v>최현생　　</v>
          </cell>
          <cell r="AI59" t="str">
            <v>26</v>
          </cell>
          <cell r="AJ59" t="str">
            <v>43</v>
          </cell>
          <cell r="AK59">
            <v>71</v>
          </cell>
          <cell r="AL59">
            <v>59.4</v>
          </cell>
          <cell r="AM59">
            <v>40</v>
          </cell>
          <cell r="AN59" t="str">
            <v>2001319</v>
          </cell>
          <cell r="AO59" t="str">
            <v>차정식　　</v>
          </cell>
          <cell r="AP59" t="str">
            <v>02</v>
          </cell>
          <cell r="AQ59" t="str">
            <v>20</v>
          </cell>
          <cell r="AR59">
            <v>53</v>
          </cell>
          <cell r="AS59">
            <v>53.81</v>
          </cell>
          <cell r="AT59">
            <v>10</v>
          </cell>
          <cell r="AY59">
            <v>0</v>
          </cell>
          <cell r="AZ59">
            <v>0</v>
          </cell>
          <cell r="BA59">
            <v>0</v>
          </cell>
          <cell r="BF59">
            <v>0</v>
          </cell>
          <cell r="BG59">
            <v>0</v>
          </cell>
          <cell r="BH59">
            <v>0</v>
          </cell>
          <cell r="BM59">
            <v>0</v>
          </cell>
          <cell r="BN59">
            <v>0</v>
          </cell>
          <cell r="BO59">
            <v>0</v>
          </cell>
          <cell r="BP59" t="b">
            <v>0</v>
          </cell>
          <cell r="BQ59">
            <v>0</v>
          </cell>
          <cell r="BR59">
            <v>57.53</v>
          </cell>
          <cell r="BS59">
            <v>1114</v>
          </cell>
          <cell r="BT59">
            <v>66.5</v>
          </cell>
          <cell r="BU59" t="str">
            <v>C</v>
          </cell>
          <cell r="BV59" t="str">
            <v>08</v>
          </cell>
          <cell r="BW59">
            <v>52</v>
          </cell>
          <cell r="BX59" t="str">
            <v>19980101</v>
          </cell>
          <cell r="BZ59" t="str">
            <v>C</v>
          </cell>
          <cell r="CA59" t="str">
            <v>07</v>
          </cell>
          <cell r="CB59" t="str">
            <v>A</v>
          </cell>
          <cell r="CC59" t="str">
            <v>02</v>
          </cell>
          <cell r="CD59" t="str">
            <v>B</v>
          </cell>
          <cell r="CE59" t="str">
            <v>04</v>
          </cell>
        </row>
        <row r="60">
          <cell r="A60" t="str">
            <v>2041752</v>
          </cell>
          <cell r="B60" t="str">
            <v>28</v>
          </cell>
          <cell r="C60" t="str">
            <v>대리</v>
          </cell>
          <cell r="D60" t="str">
            <v>김점출　　</v>
          </cell>
          <cell r="E60" t="str">
            <v>C</v>
          </cell>
          <cell r="G60">
            <v>1</v>
          </cell>
          <cell r="H60" t="str">
            <v>KM**</v>
          </cell>
          <cell r="I60" t="str">
            <v>KMD*</v>
          </cell>
          <cell r="J60" t="str">
            <v>대구직매점</v>
          </cell>
          <cell r="K60" t="str">
            <v>KMID</v>
          </cell>
          <cell r="L60" t="str">
            <v>대구부품사업소　　　</v>
          </cell>
          <cell r="O60" t="str">
            <v>KMIDB</v>
          </cell>
          <cell r="R60" t="str">
            <v>2</v>
          </cell>
          <cell r="V60" t="str">
            <v>4</v>
          </cell>
          <cell r="W60" t="str">
            <v>4</v>
          </cell>
          <cell r="X60" t="str">
            <v>3</v>
          </cell>
          <cell r="Y60" t="str">
            <v>S</v>
          </cell>
          <cell r="Z60" t="str">
            <v>2127055</v>
          </cell>
          <cell r="AA60" t="str">
            <v>박병화　　</v>
          </cell>
          <cell r="AB60" t="str">
            <v>28</v>
          </cell>
          <cell r="AC60" t="str">
            <v>50</v>
          </cell>
          <cell r="AD60">
            <v>76</v>
          </cell>
          <cell r="AE60">
            <v>57.31</v>
          </cell>
          <cell r="AF60">
            <v>40</v>
          </cell>
          <cell r="AG60" t="str">
            <v>2011112</v>
          </cell>
          <cell r="AH60" t="str">
            <v>백원량　　</v>
          </cell>
          <cell r="AI60" t="str">
            <v>22</v>
          </cell>
          <cell r="AJ60" t="str">
            <v>43</v>
          </cell>
          <cell r="AK60">
            <v>77</v>
          </cell>
          <cell r="AL60">
            <v>58.7</v>
          </cell>
          <cell r="AM60">
            <v>40</v>
          </cell>
          <cell r="AN60" t="str">
            <v>2001319</v>
          </cell>
          <cell r="AO60" t="str">
            <v>차정식　　</v>
          </cell>
          <cell r="AP60" t="str">
            <v>02</v>
          </cell>
          <cell r="AQ60" t="str">
            <v>20</v>
          </cell>
          <cell r="AR60">
            <v>70</v>
          </cell>
          <cell r="AS60">
            <v>59.76</v>
          </cell>
          <cell r="AT60">
            <v>10</v>
          </cell>
          <cell r="AY60">
            <v>0</v>
          </cell>
          <cell r="AZ60">
            <v>0</v>
          </cell>
          <cell r="BA60">
            <v>0</v>
          </cell>
          <cell r="BF60">
            <v>0</v>
          </cell>
          <cell r="BG60">
            <v>0</v>
          </cell>
          <cell r="BH60">
            <v>0</v>
          </cell>
          <cell r="BM60">
            <v>0</v>
          </cell>
          <cell r="BN60">
            <v>0</v>
          </cell>
          <cell r="BO60">
            <v>0</v>
          </cell>
          <cell r="BP60" t="b">
            <v>0</v>
          </cell>
          <cell r="BQ60">
            <v>0</v>
          </cell>
          <cell r="BR60">
            <v>58.2</v>
          </cell>
          <cell r="BS60">
            <v>1048</v>
          </cell>
          <cell r="BT60">
            <v>62.6</v>
          </cell>
          <cell r="BU60" t="str">
            <v>C</v>
          </cell>
          <cell r="BV60" t="str">
            <v>07</v>
          </cell>
          <cell r="BW60">
            <v>56</v>
          </cell>
          <cell r="BX60" t="str">
            <v>19960101</v>
          </cell>
          <cell r="BZ60" t="str">
            <v>A</v>
          </cell>
          <cell r="CA60" t="str">
            <v>02</v>
          </cell>
          <cell r="CB60" t="str">
            <v>A</v>
          </cell>
          <cell r="CC60" t="str">
            <v>01</v>
          </cell>
          <cell r="CD60" t="str">
            <v>D</v>
          </cell>
          <cell r="CE60" t="str">
            <v>08</v>
          </cell>
        </row>
        <row r="61">
          <cell r="A61" t="str">
            <v>2075684</v>
          </cell>
          <cell r="B61" t="str">
            <v>28</v>
          </cell>
          <cell r="C61" t="str">
            <v>대리</v>
          </cell>
          <cell r="D61" t="str">
            <v>이병우　　</v>
          </cell>
          <cell r="E61" t="str">
            <v>C</v>
          </cell>
          <cell r="G61">
            <v>1</v>
          </cell>
          <cell r="H61" t="str">
            <v>KH**</v>
          </cell>
          <cell r="I61" t="str">
            <v>KHHJ</v>
          </cell>
          <cell r="J61" t="str">
            <v>북부）충정로지점　　</v>
          </cell>
          <cell r="K61" t="str">
            <v>KHH*</v>
          </cell>
          <cell r="L61" t="str">
            <v>북부지역본부　　　　</v>
          </cell>
          <cell r="O61" t="str">
            <v>KHH*1</v>
          </cell>
          <cell r="R61" t="str">
            <v>2</v>
          </cell>
          <cell r="V61" t="str">
            <v>4</v>
          </cell>
          <cell r="W61" t="str">
            <v>3</v>
          </cell>
          <cell r="X61" t="str">
            <v>3</v>
          </cell>
          <cell r="Y61" t="str">
            <v>O</v>
          </cell>
          <cell r="Z61" t="str">
            <v>2083516</v>
          </cell>
          <cell r="AA61" t="str">
            <v>조욱행　　</v>
          </cell>
          <cell r="AB61" t="str">
            <v>26</v>
          </cell>
          <cell r="AC61" t="str">
            <v>50</v>
          </cell>
          <cell r="AD61">
            <v>77</v>
          </cell>
          <cell r="AE61">
            <v>55.29</v>
          </cell>
          <cell r="AF61">
            <v>40</v>
          </cell>
          <cell r="AG61" t="str">
            <v>2006008</v>
          </cell>
          <cell r="AH61" t="str">
            <v>이덕준　　</v>
          </cell>
          <cell r="AI61" t="str">
            <v>03</v>
          </cell>
          <cell r="AJ61" t="str">
            <v>32</v>
          </cell>
          <cell r="AK61">
            <v>68</v>
          </cell>
          <cell r="AL61">
            <v>57</v>
          </cell>
          <cell r="AM61">
            <v>40</v>
          </cell>
          <cell r="AN61" t="str">
            <v>2059744</v>
          </cell>
          <cell r="AO61" t="str">
            <v>김도영　　</v>
          </cell>
          <cell r="AP61" t="str">
            <v>02</v>
          </cell>
          <cell r="AQ61" t="str">
            <v>20</v>
          </cell>
          <cell r="AR61">
            <v>47</v>
          </cell>
          <cell r="AS61">
            <v>51.64</v>
          </cell>
          <cell r="AT61">
            <v>10</v>
          </cell>
          <cell r="AY61">
            <v>0</v>
          </cell>
          <cell r="AZ61">
            <v>0</v>
          </cell>
          <cell r="BA61">
            <v>0</v>
          </cell>
          <cell r="BF61">
            <v>0</v>
          </cell>
          <cell r="BG61">
            <v>0</v>
          </cell>
          <cell r="BH61">
            <v>0</v>
          </cell>
          <cell r="BM61">
            <v>0</v>
          </cell>
          <cell r="BN61">
            <v>0</v>
          </cell>
          <cell r="BO61">
            <v>0</v>
          </cell>
          <cell r="BP61" t="b">
            <v>0</v>
          </cell>
          <cell r="BQ61">
            <v>0</v>
          </cell>
          <cell r="BR61">
            <v>55.64</v>
          </cell>
          <cell r="BS61">
            <v>1299</v>
          </cell>
          <cell r="BT61">
            <v>77.599999999999994</v>
          </cell>
          <cell r="BU61" t="str">
            <v>D</v>
          </cell>
          <cell r="BV61" t="str">
            <v>09</v>
          </cell>
          <cell r="BW61">
            <v>48</v>
          </cell>
          <cell r="BX61" t="str">
            <v>19980101</v>
          </cell>
          <cell r="BZ61" t="str">
            <v>D</v>
          </cell>
          <cell r="CA61" t="str">
            <v>09</v>
          </cell>
          <cell r="CB61" t="str">
            <v>A</v>
          </cell>
          <cell r="CC61" t="str">
            <v>02</v>
          </cell>
          <cell r="CD61" t="str">
            <v>C</v>
          </cell>
          <cell r="CE61" t="str">
            <v>06</v>
          </cell>
        </row>
        <row r="62">
          <cell r="A62" t="str">
            <v>2639764</v>
          </cell>
          <cell r="B62" t="str">
            <v>32</v>
          </cell>
          <cell r="C62" t="str">
            <v>4을</v>
          </cell>
          <cell r="D62" t="str">
            <v>이재홍　　</v>
          </cell>
          <cell r="E62" t="str">
            <v>C</v>
          </cell>
          <cell r="G62">
            <v>1</v>
          </cell>
          <cell r="H62" t="str">
            <v>KH**</v>
          </cell>
          <cell r="I62" t="str">
            <v>KHMK</v>
          </cell>
          <cell r="J62" t="str">
            <v>충남）예산지점　　　</v>
          </cell>
          <cell r="K62" t="str">
            <v>KHMA</v>
          </cell>
          <cell r="L62" t="str">
            <v>충남）천안서부지점　</v>
          </cell>
          <cell r="O62" t="str">
            <v>KHMAA</v>
          </cell>
          <cell r="R62" t="str">
            <v>2</v>
          </cell>
          <cell r="V62" t="str">
            <v>6</v>
          </cell>
          <cell r="W62" t="str">
            <v>3</v>
          </cell>
          <cell r="X62" t="str">
            <v>4</v>
          </cell>
          <cell r="Y62" t="str">
            <v>O</v>
          </cell>
          <cell r="Z62" t="str">
            <v>2020164</v>
          </cell>
          <cell r="AA62" t="str">
            <v>김진송　　</v>
          </cell>
          <cell r="AB62" t="str">
            <v>24</v>
          </cell>
          <cell r="AC62" t="str">
            <v>44</v>
          </cell>
          <cell r="AD62">
            <v>75</v>
          </cell>
          <cell r="AE62">
            <v>55.29</v>
          </cell>
          <cell r="AF62">
            <v>60</v>
          </cell>
          <cell r="AG62" t="str">
            <v>2021814</v>
          </cell>
          <cell r="AH62" t="str">
            <v>강신우　　</v>
          </cell>
          <cell r="AI62" t="str">
            <v>20</v>
          </cell>
          <cell r="AJ62" t="str">
            <v>32</v>
          </cell>
          <cell r="AK62">
            <v>70</v>
          </cell>
          <cell r="AL62">
            <v>59.4</v>
          </cell>
          <cell r="AM62">
            <v>30</v>
          </cell>
          <cell r="AR62">
            <v>0</v>
          </cell>
          <cell r="AS62">
            <v>0</v>
          </cell>
          <cell r="AT62">
            <v>0</v>
          </cell>
          <cell r="AY62">
            <v>0</v>
          </cell>
          <cell r="AZ62">
            <v>0</v>
          </cell>
          <cell r="BA62">
            <v>0</v>
          </cell>
          <cell r="BF62">
            <v>0</v>
          </cell>
          <cell r="BG62">
            <v>0</v>
          </cell>
          <cell r="BH62">
            <v>0</v>
          </cell>
          <cell r="BM62">
            <v>0</v>
          </cell>
          <cell r="BN62">
            <v>0</v>
          </cell>
          <cell r="BO62">
            <v>0</v>
          </cell>
          <cell r="BP62" t="b">
            <v>0</v>
          </cell>
          <cell r="BQ62">
            <v>0</v>
          </cell>
          <cell r="BR62">
            <v>56.66</v>
          </cell>
          <cell r="BS62">
            <v>535</v>
          </cell>
          <cell r="BT62">
            <v>76.8</v>
          </cell>
          <cell r="BU62" t="str">
            <v>D</v>
          </cell>
          <cell r="BV62" t="str">
            <v>09</v>
          </cell>
          <cell r="BW62">
            <v>48</v>
          </cell>
          <cell r="BX62" t="str">
            <v>19980101</v>
          </cell>
          <cell r="BZ62" t="str">
            <v>D</v>
          </cell>
          <cell r="CA62" t="str">
            <v>10</v>
          </cell>
          <cell r="CB62" t="str">
            <v>B</v>
          </cell>
          <cell r="CC62" t="str">
            <v>03</v>
          </cell>
          <cell r="CD62" t="str">
            <v>C</v>
          </cell>
          <cell r="CE62" t="str">
            <v>04</v>
          </cell>
        </row>
        <row r="63">
          <cell r="A63" t="str">
            <v>2511479</v>
          </cell>
          <cell r="B63" t="str">
            <v>28</v>
          </cell>
          <cell r="C63" t="str">
            <v>대리</v>
          </cell>
          <cell r="D63" t="str">
            <v>이준영　　</v>
          </cell>
          <cell r="E63" t="str">
            <v>C</v>
          </cell>
          <cell r="G63">
            <v>1</v>
          </cell>
          <cell r="H63" t="str">
            <v>KK**</v>
          </cell>
          <cell r="I63" t="str">
            <v>KTCE</v>
          </cell>
          <cell r="J63" t="str">
            <v>화）품질관리１부　　</v>
          </cell>
          <cell r="K63" t="str">
            <v>KLDC</v>
          </cell>
          <cell r="L63" t="str">
            <v>해외써비스팀　　　　</v>
          </cell>
          <cell r="O63" t="str">
            <v>KLDC</v>
          </cell>
          <cell r="R63" t="str">
            <v>1</v>
          </cell>
          <cell r="V63" t="str">
            <v>4</v>
          </cell>
          <cell r="W63" t="str">
            <v>1</v>
          </cell>
          <cell r="X63" t="str">
            <v>3</v>
          </cell>
          <cell r="Y63" t="str">
            <v>O</v>
          </cell>
          <cell r="Z63" t="str">
            <v>7253025</v>
          </cell>
          <cell r="AA63" t="str">
            <v>김종민　　</v>
          </cell>
          <cell r="AB63" t="str">
            <v>24</v>
          </cell>
          <cell r="AC63" t="str">
            <v>43</v>
          </cell>
          <cell r="AD63">
            <v>71</v>
          </cell>
          <cell r="AE63">
            <v>57.81</v>
          </cell>
          <cell r="AF63">
            <v>30</v>
          </cell>
          <cell r="AG63" t="str">
            <v>7043258</v>
          </cell>
          <cell r="AH63" t="str">
            <v>박상근　　</v>
          </cell>
          <cell r="AI63" t="str">
            <v>05</v>
          </cell>
          <cell r="AJ63" t="str">
            <v>32</v>
          </cell>
          <cell r="AK63">
            <v>71</v>
          </cell>
          <cell r="AL63">
            <v>58.1</v>
          </cell>
          <cell r="AM63">
            <v>20</v>
          </cell>
          <cell r="AN63" t="str">
            <v>2002024</v>
          </cell>
          <cell r="AO63" t="str">
            <v>이덕규　　</v>
          </cell>
          <cell r="AP63" t="str">
            <v>04</v>
          </cell>
          <cell r="AQ63" t="str">
            <v>30</v>
          </cell>
          <cell r="AR63">
            <v>51</v>
          </cell>
          <cell r="AS63">
            <v>51.99</v>
          </cell>
          <cell r="AT63">
            <v>20</v>
          </cell>
          <cell r="AU63" t="str">
            <v>2005295</v>
          </cell>
          <cell r="AV63" t="str">
            <v>박성도　　</v>
          </cell>
          <cell r="AW63" t="str">
            <v>02</v>
          </cell>
          <cell r="AX63" t="str">
            <v>20</v>
          </cell>
          <cell r="AY63">
            <v>47</v>
          </cell>
          <cell r="AZ63">
            <v>50.02</v>
          </cell>
          <cell r="BA63">
            <v>10</v>
          </cell>
          <cell r="BF63">
            <v>0</v>
          </cell>
          <cell r="BG63">
            <v>0</v>
          </cell>
          <cell r="BH63">
            <v>0</v>
          </cell>
          <cell r="BM63">
            <v>0</v>
          </cell>
          <cell r="BN63">
            <v>0</v>
          </cell>
          <cell r="BO63">
            <v>0</v>
          </cell>
          <cell r="BP63" t="b">
            <v>0</v>
          </cell>
          <cell r="BQ63">
            <v>0</v>
          </cell>
          <cell r="BR63">
            <v>55.45</v>
          </cell>
          <cell r="BS63">
            <v>1318</v>
          </cell>
          <cell r="BT63">
            <v>78.7</v>
          </cell>
          <cell r="BU63" t="str">
            <v>D</v>
          </cell>
          <cell r="BV63" t="str">
            <v>09</v>
          </cell>
          <cell r="BW63">
            <v>48</v>
          </cell>
          <cell r="BX63" t="str">
            <v>19980101</v>
          </cell>
          <cell r="BZ63" t="str">
            <v>D</v>
          </cell>
          <cell r="CA63" t="str">
            <v>09</v>
          </cell>
          <cell r="CB63" t="str">
            <v>B</v>
          </cell>
          <cell r="CC63" t="str">
            <v>04</v>
          </cell>
          <cell r="CD63" t="str">
            <v>B</v>
          </cell>
          <cell r="CE63" t="str">
            <v>04</v>
          </cell>
        </row>
        <row r="64">
          <cell r="A64" t="str">
            <v>2449852</v>
          </cell>
          <cell r="B64" t="str">
            <v>28</v>
          </cell>
          <cell r="C64" t="str">
            <v>대리</v>
          </cell>
          <cell r="D64" t="str">
            <v>김도형　　</v>
          </cell>
          <cell r="E64" t="str">
            <v>C</v>
          </cell>
          <cell r="G64">
            <v>1</v>
          </cell>
          <cell r="H64" t="str">
            <v>KH**</v>
          </cell>
          <cell r="I64" t="str">
            <v>KHTH</v>
          </cell>
          <cell r="J64" t="str">
            <v>경북）포항대형상용지</v>
          </cell>
          <cell r="K64" t="str">
            <v>KHTP</v>
          </cell>
          <cell r="L64" t="str">
            <v>경북）포항서부지점　</v>
          </cell>
          <cell r="O64" t="str">
            <v>KHTPA</v>
          </cell>
          <cell r="R64" t="str">
            <v>2</v>
          </cell>
          <cell r="T64" t="str">
            <v>50</v>
          </cell>
          <cell r="U64" t="str">
            <v>과장</v>
          </cell>
          <cell r="V64" t="str">
            <v>4</v>
          </cell>
          <cell r="W64" t="str">
            <v>3</v>
          </cell>
          <cell r="X64" t="str">
            <v>2</v>
          </cell>
          <cell r="Y64" t="str">
            <v>O</v>
          </cell>
          <cell r="Z64" t="str">
            <v>2065034</v>
          </cell>
          <cell r="AA64" t="str">
            <v>이철희　　</v>
          </cell>
          <cell r="AB64" t="str">
            <v>24</v>
          </cell>
          <cell r="AC64" t="str">
            <v>44</v>
          </cell>
          <cell r="AD64">
            <v>82</v>
          </cell>
          <cell r="AE64">
            <v>57.65</v>
          </cell>
          <cell r="AF64">
            <v>50</v>
          </cell>
          <cell r="AG64" t="str">
            <v>2061393</v>
          </cell>
          <cell r="AH64" t="str">
            <v>이광우　　</v>
          </cell>
          <cell r="AI64" t="str">
            <v>22</v>
          </cell>
          <cell r="AJ64" t="str">
            <v>32</v>
          </cell>
          <cell r="AK64">
            <v>73</v>
          </cell>
          <cell r="AL64">
            <v>52.97</v>
          </cell>
          <cell r="AM64">
            <v>30</v>
          </cell>
          <cell r="AN64" t="str">
            <v>2059744</v>
          </cell>
          <cell r="AO64" t="str">
            <v>김도영　　</v>
          </cell>
          <cell r="AP64" t="str">
            <v>02</v>
          </cell>
          <cell r="AQ64" t="str">
            <v>20</v>
          </cell>
          <cell r="AR64">
            <v>86</v>
          </cell>
          <cell r="AS64">
            <v>65.63</v>
          </cell>
          <cell r="AT64">
            <v>10</v>
          </cell>
          <cell r="AY64">
            <v>0</v>
          </cell>
          <cell r="AZ64">
            <v>0</v>
          </cell>
          <cell r="BA64">
            <v>0</v>
          </cell>
          <cell r="BF64">
            <v>0</v>
          </cell>
          <cell r="BG64">
            <v>0</v>
          </cell>
          <cell r="BH64">
            <v>0</v>
          </cell>
          <cell r="BM64">
            <v>0</v>
          </cell>
          <cell r="BN64">
            <v>0</v>
          </cell>
          <cell r="BO64">
            <v>0</v>
          </cell>
          <cell r="BP64" t="b">
            <v>0</v>
          </cell>
          <cell r="BQ64">
            <v>0</v>
          </cell>
          <cell r="BR64">
            <v>56.98</v>
          </cell>
          <cell r="BS64">
            <v>1178</v>
          </cell>
          <cell r="BT64">
            <v>70.400000000000006</v>
          </cell>
          <cell r="BU64" t="str">
            <v>D</v>
          </cell>
          <cell r="BV64" t="str">
            <v>08</v>
          </cell>
          <cell r="BW64">
            <v>52</v>
          </cell>
          <cell r="BX64" t="str">
            <v>19970101</v>
          </cell>
          <cell r="BZ64" t="str">
            <v>B</v>
          </cell>
          <cell r="CA64" t="str">
            <v>04</v>
          </cell>
          <cell r="CB64" t="str">
            <v>C</v>
          </cell>
          <cell r="CC64" t="str">
            <v>06</v>
          </cell>
          <cell r="CD64" t="str">
            <v>C</v>
          </cell>
          <cell r="CE64" t="str">
            <v>04</v>
          </cell>
        </row>
        <row r="65">
          <cell r="A65" t="str">
            <v>2139347</v>
          </cell>
          <cell r="B65" t="str">
            <v>28</v>
          </cell>
          <cell r="C65" t="str">
            <v>대리</v>
          </cell>
          <cell r="D65" t="str">
            <v>김영완　　</v>
          </cell>
          <cell r="E65" t="str">
            <v>C</v>
          </cell>
          <cell r="G65">
            <v>1</v>
          </cell>
          <cell r="H65" t="str">
            <v>KM**</v>
          </cell>
          <cell r="I65" t="str">
            <v>KMJS</v>
          </cell>
          <cell r="J65" t="str">
            <v>부산북부사업소　　　</v>
          </cell>
          <cell r="K65" t="str">
            <v>KMJR</v>
          </cell>
          <cell r="L65" t="str">
            <v>부산사업소　　　　　</v>
          </cell>
          <cell r="O65" t="str">
            <v>KMJRC</v>
          </cell>
          <cell r="R65" t="str">
            <v>2</v>
          </cell>
          <cell r="V65" t="str">
            <v>4</v>
          </cell>
          <cell r="W65" t="str">
            <v>4</v>
          </cell>
          <cell r="X65" t="str">
            <v>3</v>
          </cell>
          <cell r="Y65" t="str">
            <v>O</v>
          </cell>
          <cell r="Z65" t="str">
            <v>2264027</v>
          </cell>
          <cell r="AA65" t="str">
            <v>김한규　　</v>
          </cell>
          <cell r="AB65" t="str">
            <v>26</v>
          </cell>
          <cell r="AC65" t="str">
            <v>50</v>
          </cell>
          <cell r="AD65">
            <v>85</v>
          </cell>
          <cell r="AE65">
            <v>55.29</v>
          </cell>
          <cell r="AF65">
            <v>40</v>
          </cell>
          <cell r="AG65" t="str">
            <v>2026355</v>
          </cell>
          <cell r="AH65" t="str">
            <v>유원홍　　</v>
          </cell>
          <cell r="AI65" t="str">
            <v>24</v>
          </cell>
          <cell r="AJ65" t="str">
            <v>43</v>
          </cell>
          <cell r="AK65">
            <v>85</v>
          </cell>
          <cell r="AL65">
            <v>59.87</v>
          </cell>
          <cell r="AM65">
            <v>40</v>
          </cell>
          <cell r="AN65" t="str">
            <v>2001319</v>
          </cell>
          <cell r="AO65" t="str">
            <v>차정식　　</v>
          </cell>
          <cell r="AP65" t="str">
            <v>02</v>
          </cell>
          <cell r="AQ65" t="str">
            <v>20</v>
          </cell>
          <cell r="AR65">
            <v>63</v>
          </cell>
          <cell r="AS65">
            <v>57.31</v>
          </cell>
          <cell r="AT65">
            <v>10</v>
          </cell>
          <cell r="AY65">
            <v>0</v>
          </cell>
          <cell r="AZ65">
            <v>0</v>
          </cell>
          <cell r="BA65">
            <v>0</v>
          </cell>
          <cell r="BF65">
            <v>0</v>
          </cell>
          <cell r="BG65">
            <v>0</v>
          </cell>
          <cell r="BH65">
            <v>0</v>
          </cell>
          <cell r="BM65">
            <v>0</v>
          </cell>
          <cell r="BN65">
            <v>0</v>
          </cell>
          <cell r="BO65">
            <v>0</v>
          </cell>
          <cell r="BP65" t="b">
            <v>0</v>
          </cell>
          <cell r="BQ65">
            <v>0</v>
          </cell>
          <cell r="BR65">
            <v>57.55</v>
          </cell>
          <cell r="BS65">
            <v>1112</v>
          </cell>
          <cell r="BT65">
            <v>66.400000000000006</v>
          </cell>
          <cell r="BU65" t="str">
            <v>C</v>
          </cell>
          <cell r="BV65" t="str">
            <v>08</v>
          </cell>
          <cell r="BW65">
            <v>52</v>
          </cell>
          <cell r="BX65" t="str">
            <v>19980101</v>
          </cell>
          <cell r="BZ65" t="str">
            <v>C</v>
          </cell>
          <cell r="CA65" t="str">
            <v>05</v>
          </cell>
          <cell r="CB65" t="str">
            <v>A</v>
          </cell>
          <cell r="CC65" t="str">
            <v>02</v>
          </cell>
          <cell r="CD65" t="str">
            <v>C</v>
          </cell>
          <cell r="CE65" t="str">
            <v>07</v>
          </cell>
        </row>
        <row r="66">
          <cell r="A66" t="str">
            <v>2121912</v>
          </cell>
          <cell r="B66" t="str">
            <v>28</v>
          </cell>
          <cell r="C66" t="str">
            <v>대리</v>
          </cell>
          <cell r="D66" t="str">
            <v>박승표　　</v>
          </cell>
          <cell r="E66" t="str">
            <v>C</v>
          </cell>
          <cell r="G66">
            <v>1</v>
          </cell>
          <cell r="H66" t="str">
            <v>KQ**</v>
          </cell>
          <cell r="I66" t="str">
            <v>KSBD</v>
          </cell>
          <cell r="J66" t="str">
            <v>생산교육팀　　　　　</v>
          </cell>
          <cell r="K66" t="str">
            <v>KTBB</v>
          </cell>
          <cell r="L66" t="str">
            <v>화）인력관리팀　　　</v>
          </cell>
          <cell r="O66" t="str">
            <v>KTBB</v>
          </cell>
          <cell r="R66" t="str">
            <v>5</v>
          </cell>
          <cell r="V66" t="str">
            <v>4</v>
          </cell>
          <cell r="W66" t="str">
            <v>2</v>
          </cell>
          <cell r="X66" t="str">
            <v>3</v>
          </cell>
          <cell r="Y66" t="str">
            <v>O</v>
          </cell>
          <cell r="Z66" t="str">
            <v>2029596</v>
          </cell>
          <cell r="AA66" t="str">
            <v>김효진　　</v>
          </cell>
          <cell r="AB66" t="str">
            <v>22</v>
          </cell>
          <cell r="AC66" t="str">
            <v>43</v>
          </cell>
          <cell r="AD66">
            <v>54</v>
          </cell>
          <cell r="AE66">
            <v>51.86</v>
          </cell>
          <cell r="AF66">
            <v>30</v>
          </cell>
          <cell r="AG66" t="str">
            <v>2043797</v>
          </cell>
          <cell r="AH66" t="str">
            <v>김영호　　</v>
          </cell>
          <cell r="AI66" t="str">
            <v>20</v>
          </cell>
          <cell r="AJ66" t="str">
            <v>32</v>
          </cell>
          <cell r="AK66">
            <v>75</v>
          </cell>
          <cell r="AL66">
            <v>55.01</v>
          </cell>
          <cell r="AM66">
            <v>20</v>
          </cell>
          <cell r="AN66" t="str">
            <v>2100100</v>
          </cell>
          <cell r="AO66" t="str">
            <v>김무일　　</v>
          </cell>
          <cell r="AP66" t="str">
            <v>02</v>
          </cell>
          <cell r="AQ66" t="str">
            <v>30</v>
          </cell>
          <cell r="AR66">
            <v>47</v>
          </cell>
          <cell r="AS66">
            <v>50.45</v>
          </cell>
          <cell r="AT66">
            <v>20</v>
          </cell>
          <cell r="AU66" t="str">
            <v>2728462</v>
          </cell>
          <cell r="AV66" t="str">
            <v>임승근　　</v>
          </cell>
          <cell r="AW66" t="str">
            <v>02</v>
          </cell>
          <cell r="AX66" t="str">
            <v>20</v>
          </cell>
          <cell r="AY66">
            <v>70</v>
          </cell>
          <cell r="AZ66">
            <v>60.01</v>
          </cell>
          <cell r="BA66">
            <v>10</v>
          </cell>
          <cell r="BF66">
            <v>0</v>
          </cell>
          <cell r="BG66">
            <v>0</v>
          </cell>
          <cell r="BH66">
            <v>0</v>
          </cell>
          <cell r="BM66">
            <v>0</v>
          </cell>
          <cell r="BN66">
            <v>0</v>
          </cell>
          <cell r="BO66">
            <v>0</v>
          </cell>
          <cell r="BP66" t="b">
            <v>0</v>
          </cell>
          <cell r="BQ66">
            <v>0</v>
          </cell>
          <cell r="BR66">
            <v>53.31</v>
          </cell>
          <cell r="BS66">
            <v>1469</v>
          </cell>
          <cell r="BT66">
            <v>87.8</v>
          </cell>
          <cell r="BU66" t="str">
            <v>D</v>
          </cell>
          <cell r="BV66" t="str">
            <v>10</v>
          </cell>
          <cell r="BW66">
            <v>44</v>
          </cell>
          <cell r="BX66" t="str">
            <v>19970101</v>
          </cell>
          <cell r="BZ66" t="str">
            <v>E</v>
          </cell>
          <cell r="CA66" t="str">
            <v>10</v>
          </cell>
          <cell r="CB66" t="str">
            <v>D</v>
          </cell>
          <cell r="CC66" t="str">
            <v>09</v>
          </cell>
          <cell r="CD66" t="str">
            <v>A</v>
          </cell>
          <cell r="CE66" t="str">
            <v>02</v>
          </cell>
        </row>
        <row r="67">
          <cell r="A67" t="str">
            <v>2691686</v>
          </cell>
          <cell r="B67" t="str">
            <v>30</v>
          </cell>
          <cell r="C67" t="str">
            <v>4갑</v>
          </cell>
          <cell r="D67" t="str">
            <v>김기병　　</v>
          </cell>
          <cell r="E67" t="str">
            <v>C</v>
          </cell>
          <cell r="G67">
            <v>1</v>
          </cell>
          <cell r="H67" t="str">
            <v>KQ**</v>
          </cell>
          <cell r="I67" t="str">
            <v>KUBA</v>
          </cell>
          <cell r="J67" t="str">
            <v>광）총무팀　　　　　</v>
          </cell>
          <cell r="K67" t="str">
            <v>KTFA</v>
          </cell>
          <cell r="L67" t="str">
            <v>화）엔진변속기제조관</v>
          </cell>
          <cell r="O67" t="str">
            <v>KTFA</v>
          </cell>
          <cell r="R67" t="str">
            <v>5</v>
          </cell>
          <cell r="V67" t="str">
            <v>5</v>
          </cell>
          <cell r="W67" t="str">
            <v>2</v>
          </cell>
          <cell r="X67" t="str">
            <v>3</v>
          </cell>
          <cell r="Y67" t="str">
            <v>O</v>
          </cell>
          <cell r="Z67" t="str">
            <v>2065868</v>
          </cell>
          <cell r="AA67" t="str">
            <v>김종웅　　</v>
          </cell>
          <cell r="AB67" t="str">
            <v>24</v>
          </cell>
          <cell r="AC67" t="str">
            <v>40</v>
          </cell>
          <cell r="AD67">
            <v>52</v>
          </cell>
          <cell r="AE67">
            <v>53.35</v>
          </cell>
          <cell r="AF67">
            <v>30</v>
          </cell>
          <cell r="AG67" t="str">
            <v>7019858</v>
          </cell>
          <cell r="AH67" t="str">
            <v>홍석종　　</v>
          </cell>
          <cell r="AI67" t="str">
            <v>04</v>
          </cell>
          <cell r="AJ67" t="str">
            <v>31</v>
          </cell>
          <cell r="AK67">
            <v>47</v>
          </cell>
          <cell r="AL67">
            <v>51.52</v>
          </cell>
          <cell r="AM67">
            <v>20</v>
          </cell>
          <cell r="AN67" t="str">
            <v>2100100</v>
          </cell>
          <cell r="AO67" t="str">
            <v>김무일　　</v>
          </cell>
          <cell r="AP67" t="str">
            <v>02</v>
          </cell>
          <cell r="AQ67" t="str">
            <v>30</v>
          </cell>
          <cell r="AR67">
            <v>47</v>
          </cell>
          <cell r="AS67">
            <v>52.03</v>
          </cell>
          <cell r="AT67">
            <v>20</v>
          </cell>
          <cell r="AU67" t="str">
            <v>2728462</v>
          </cell>
          <cell r="AV67" t="str">
            <v>임승근　　</v>
          </cell>
          <cell r="AW67" t="str">
            <v>02</v>
          </cell>
          <cell r="AX67" t="str">
            <v>20</v>
          </cell>
          <cell r="AY67">
            <v>47</v>
          </cell>
          <cell r="AZ67">
            <v>51.22</v>
          </cell>
          <cell r="BA67">
            <v>10</v>
          </cell>
          <cell r="BF67">
            <v>0</v>
          </cell>
          <cell r="BG67">
            <v>0</v>
          </cell>
          <cell r="BH67">
            <v>0</v>
          </cell>
          <cell r="BM67">
            <v>0</v>
          </cell>
          <cell r="BN67">
            <v>0</v>
          </cell>
          <cell r="BO67">
            <v>0</v>
          </cell>
          <cell r="BP67" t="b">
            <v>0</v>
          </cell>
          <cell r="BQ67">
            <v>0</v>
          </cell>
          <cell r="BR67">
            <v>52.3</v>
          </cell>
          <cell r="BS67">
            <v>1317</v>
          </cell>
          <cell r="BT67">
            <v>90.8</v>
          </cell>
          <cell r="BU67" t="str">
            <v>E</v>
          </cell>
          <cell r="BV67" t="str">
            <v>10</v>
          </cell>
          <cell r="BW67">
            <v>44</v>
          </cell>
          <cell r="BX67" t="str">
            <v>19961216</v>
          </cell>
          <cell r="BZ67" t="str">
            <v>D</v>
          </cell>
          <cell r="CA67" t="str">
            <v>08</v>
          </cell>
          <cell r="CB67" t="str">
            <v>C</v>
          </cell>
          <cell r="CC67" t="str">
            <v>06</v>
          </cell>
        </row>
        <row r="68">
          <cell r="A68" t="str">
            <v>2442383</v>
          </cell>
          <cell r="B68" t="str">
            <v>33</v>
          </cell>
          <cell r="C68" t="str">
            <v>5급</v>
          </cell>
          <cell r="D68" t="str">
            <v>김민자　　</v>
          </cell>
          <cell r="E68" t="str">
            <v>C</v>
          </cell>
          <cell r="G68">
            <v>1</v>
          </cell>
          <cell r="H68" t="str">
            <v>KQ**</v>
          </cell>
          <cell r="I68" t="str">
            <v>KUBA</v>
          </cell>
          <cell r="J68" t="str">
            <v>광）총무팀　　　　　</v>
          </cell>
          <cell r="K68" t="str">
            <v>KRBF</v>
          </cell>
          <cell r="L68" t="str">
            <v>광주생기팀　　　　　</v>
          </cell>
          <cell r="O68" t="str">
            <v>KRBF</v>
          </cell>
          <cell r="R68" t="str">
            <v>6</v>
          </cell>
          <cell r="V68" t="str">
            <v>7</v>
          </cell>
          <cell r="W68" t="str">
            <v>2</v>
          </cell>
          <cell r="X68" t="str">
            <v>4</v>
          </cell>
          <cell r="Y68" t="str">
            <v>S</v>
          </cell>
          <cell r="Z68" t="str">
            <v>2034619</v>
          </cell>
          <cell r="AA68" t="str">
            <v>권완중　　</v>
          </cell>
          <cell r="AB68" t="str">
            <v>22</v>
          </cell>
          <cell r="AC68" t="str">
            <v>43</v>
          </cell>
          <cell r="AD68">
            <v>69</v>
          </cell>
          <cell r="AE68">
            <v>55.29</v>
          </cell>
          <cell r="AF68">
            <v>60</v>
          </cell>
          <cell r="AG68" t="str">
            <v>2002001</v>
          </cell>
          <cell r="AH68" t="str">
            <v>신도철　　</v>
          </cell>
          <cell r="AI68" t="str">
            <v>03</v>
          </cell>
          <cell r="AJ68" t="str">
            <v>30</v>
          </cell>
          <cell r="AK68">
            <v>56</v>
          </cell>
          <cell r="AL68">
            <v>57.91</v>
          </cell>
          <cell r="AM68">
            <v>20</v>
          </cell>
          <cell r="AR68">
            <v>0</v>
          </cell>
          <cell r="AS68">
            <v>0</v>
          </cell>
          <cell r="AT68">
            <v>0</v>
          </cell>
          <cell r="AY68">
            <v>0</v>
          </cell>
          <cell r="AZ68">
            <v>0</v>
          </cell>
          <cell r="BA68">
            <v>0</v>
          </cell>
          <cell r="BF68">
            <v>0</v>
          </cell>
          <cell r="BG68">
            <v>0</v>
          </cell>
          <cell r="BH68">
            <v>0</v>
          </cell>
          <cell r="BM68">
            <v>0</v>
          </cell>
          <cell r="BN68">
            <v>0</v>
          </cell>
          <cell r="BO68">
            <v>0</v>
          </cell>
          <cell r="BP68" t="b">
            <v>0</v>
          </cell>
          <cell r="BQ68">
            <v>0</v>
          </cell>
          <cell r="BR68">
            <v>55.95</v>
          </cell>
          <cell r="BS68">
            <v>523</v>
          </cell>
          <cell r="BT68">
            <v>76.400000000000006</v>
          </cell>
          <cell r="BU68" t="str">
            <v>D</v>
          </cell>
          <cell r="BV68" t="str">
            <v>09</v>
          </cell>
          <cell r="BW68">
            <v>48</v>
          </cell>
          <cell r="BX68" t="str">
            <v>19960208</v>
          </cell>
          <cell r="BZ68" t="str">
            <v>C</v>
          </cell>
          <cell r="CA68" t="str">
            <v>08</v>
          </cell>
          <cell r="CB68" t="str">
            <v>B</v>
          </cell>
          <cell r="CC68" t="str">
            <v>03</v>
          </cell>
          <cell r="CD68" t="str">
            <v>C</v>
          </cell>
          <cell r="CE68" t="str">
            <v>07</v>
          </cell>
        </row>
        <row r="69">
          <cell r="A69" t="str">
            <v>2211822</v>
          </cell>
          <cell r="B69" t="str">
            <v>26</v>
          </cell>
          <cell r="C69" t="str">
            <v>과장</v>
          </cell>
          <cell r="D69" t="str">
            <v>이봉춘　　</v>
          </cell>
          <cell r="E69" t="str">
            <v>C</v>
          </cell>
          <cell r="G69">
            <v>1</v>
          </cell>
          <cell r="H69" t="str">
            <v>KM**</v>
          </cell>
          <cell r="I69" t="str">
            <v>KMD*</v>
          </cell>
          <cell r="J69" t="str">
            <v>순천직매점</v>
          </cell>
          <cell r="K69" t="str">
            <v>KME*</v>
          </cell>
          <cell r="L69" t="str">
            <v>광주수출물류센타</v>
          </cell>
          <cell r="O69" t="str">
            <v>KMEN</v>
          </cell>
          <cell r="R69" t="str">
            <v>6</v>
          </cell>
          <cell r="T69" t="str">
            <v>50</v>
          </cell>
          <cell r="U69" t="str">
            <v>과장</v>
          </cell>
          <cell r="V69" t="str">
            <v>3</v>
          </cell>
          <cell r="W69" t="str">
            <v>4</v>
          </cell>
          <cell r="X69" t="str">
            <v>2</v>
          </cell>
          <cell r="Y69" t="str">
            <v>O</v>
          </cell>
          <cell r="Z69" t="str">
            <v>0043652</v>
          </cell>
          <cell r="AA69" t="str">
            <v>정남기　　</v>
          </cell>
          <cell r="AB69" t="str">
            <v>05</v>
          </cell>
          <cell r="AC69" t="str">
            <v>32</v>
          </cell>
          <cell r="AD69">
            <v>69</v>
          </cell>
          <cell r="AE69">
            <v>57.63</v>
          </cell>
          <cell r="AF69">
            <v>60</v>
          </cell>
          <cell r="AG69" t="str">
            <v>2001319</v>
          </cell>
          <cell r="AH69" t="str">
            <v>차정식　　</v>
          </cell>
          <cell r="AI69" t="str">
            <v>02</v>
          </cell>
          <cell r="AJ69" t="str">
            <v>20</v>
          </cell>
          <cell r="AK69">
            <v>77</v>
          </cell>
          <cell r="AL69">
            <v>61.75</v>
          </cell>
          <cell r="AM69">
            <v>20</v>
          </cell>
          <cell r="AR69">
            <v>0</v>
          </cell>
          <cell r="AS69">
            <v>0</v>
          </cell>
          <cell r="AT69">
            <v>0</v>
          </cell>
          <cell r="AY69">
            <v>0</v>
          </cell>
          <cell r="AZ69">
            <v>0</v>
          </cell>
          <cell r="BA69">
            <v>0</v>
          </cell>
          <cell r="BF69">
            <v>0</v>
          </cell>
          <cell r="BG69">
            <v>0</v>
          </cell>
          <cell r="BH69">
            <v>0</v>
          </cell>
          <cell r="BM69">
            <v>0</v>
          </cell>
          <cell r="BN69">
            <v>0</v>
          </cell>
          <cell r="BO69">
            <v>0</v>
          </cell>
          <cell r="BP69" t="b">
            <v>1</v>
          </cell>
          <cell r="BQ69">
            <v>6</v>
          </cell>
          <cell r="BR69">
            <v>57.33</v>
          </cell>
          <cell r="BS69">
            <v>754</v>
          </cell>
          <cell r="BT69">
            <v>66.400000000000006</v>
          </cell>
          <cell r="BU69" t="str">
            <v>C</v>
          </cell>
          <cell r="BV69" t="str">
            <v>08</v>
          </cell>
          <cell r="BW69">
            <v>52</v>
          </cell>
          <cell r="BX69" t="str">
            <v>19970101</v>
          </cell>
          <cell r="BZ69" t="str">
            <v>C</v>
          </cell>
          <cell r="CA69" t="str">
            <v>07</v>
          </cell>
          <cell r="CB69" t="str">
            <v>C</v>
          </cell>
          <cell r="CC69" t="str">
            <v>06</v>
          </cell>
          <cell r="CD69" t="str">
            <v>B</v>
          </cell>
          <cell r="CE69" t="str">
            <v>02</v>
          </cell>
        </row>
        <row r="70">
          <cell r="A70" t="str">
            <v>2070437</v>
          </cell>
          <cell r="B70" t="str">
            <v>28</v>
          </cell>
          <cell r="C70" t="str">
            <v>대리</v>
          </cell>
          <cell r="D70" t="str">
            <v>온봉현　　</v>
          </cell>
          <cell r="E70" t="str">
            <v>C</v>
          </cell>
          <cell r="G70">
            <v>1</v>
          </cell>
          <cell r="H70" t="str">
            <v>KM**</v>
          </cell>
          <cell r="I70" t="str">
            <v>KMIG</v>
          </cell>
          <cell r="J70" t="str">
            <v>대형부품사업소　　　</v>
          </cell>
          <cell r="K70" t="str">
            <v>KMEC</v>
          </cell>
          <cell r="L70" t="str">
            <v>부품운영팀　　　　　</v>
          </cell>
          <cell r="O70" t="str">
            <v>KMEC</v>
          </cell>
          <cell r="R70" t="str">
            <v>4</v>
          </cell>
          <cell r="V70" t="str">
            <v>4</v>
          </cell>
          <cell r="W70" t="str">
            <v>1</v>
          </cell>
          <cell r="X70" t="str">
            <v>3</v>
          </cell>
          <cell r="Y70" t="str">
            <v>O</v>
          </cell>
          <cell r="Z70" t="str">
            <v>2076137</v>
          </cell>
          <cell r="AA70" t="str">
            <v>신현성　　</v>
          </cell>
          <cell r="AB70" t="str">
            <v>24</v>
          </cell>
          <cell r="AC70" t="str">
            <v>43</v>
          </cell>
          <cell r="AD70">
            <v>81</v>
          </cell>
          <cell r="AE70">
            <v>56.71</v>
          </cell>
          <cell r="AF70">
            <v>40</v>
          </cell>
          <cell r="AG70" t="str">
            <v>0043652</v>
          </cell>
          <cell r="AH70" t="str">
            <v>정남기　　</v>
          </cell>
          <cell r="AI70" t="str">
            <v>05</v>
          </cell>
          <cell r="AJ70" t="str">
            <v>32</v>
          </cell>
          <cell r="AK70">
            <v>70</v>
          </cell>
          <cell r="AL70">
            <v>58.12</v>
          </cell>
          <cell r="AM70">
            <v>30</v>
          </cell>
          <cell r="AN70" t="str">
            <v>2001319</v>
          </cell>
          <cell r="AO70" t="str">
            <v>차정식　　</v>
          </cell>
          <cell r="AP70" t="str">
            <v>02</v>
          </cell>
          <cell r="AQ70" t="str">
            <v>20</v>
          </cell>
          <cell r="AR70">
            <v>63</v>
          </cell>
          <cell r="AS70">
            <v>57.31</v>
          </cell>
          <cell r="AT70">
            <v>10</v>
          </cell>
          <cell r="AY70">
            <v>0</v>
          </cell>
          <cell r="AZ70">
            <v>0</v>
          </cell>
          <cell r="BA70">
            <v>0</v>
          </cell>
          <cell r="BF70">
            <v>0</v>
          </cell>
          <cell r="BG70">
            <v>0</v>
          </cell>
          <cell r="BH70">
            <v>0</v>
          </cell>
          <cell r="BM70">
            <v>0</v>
          </cell>
          <cell r="BN70">
            <v>0</v>
          </cell>
          <cell r="BO70">
            <v>0</v>
          </cell>
          <cell r="BP70" t="b">
            <v>0</v>
          </cell>
          <cell r="BQ70">
            <v>0</v>
          </cell>
          <cell r="BR70">
            <v>57.31</v>
          </cell>
          <cell r="BS70">
            <v>1144</v>
          </cell>
          <cell r="BT70">
            <v>68.3</v>
          </cell>
          <cell r="BU70" t="str">
            <v>C</v>
          </cell>
          <cell r="BV70" t="str">
            <v>08</v>
          </cell>
          <cell r="BW70">
            <v>52</v>
          </cell>
          <cell r="BX70" t="str">
            <v>19970101</v>
          </cell>
          <cell r="BZ70" t="str">
            <v>C</v>
          </cell>
          <cell r="CA70" t="str">
            <v>06</v>
          </cell>
          <cell r="CB70" t="str">
            <v>C</v>
          </cell>
          <cell r="CC70" t="str">
            <v>07</v>
          </cell>
          <cell r="CD70" t="str">
            <v>A</v>
          </cell>
          <cell r="CE70" t="str">
            <v>02</v>
          </cell>
        </row>
        <row r="71">
          <cell r="A71" t="str">
            <v>2279864</v>
          </cell>
          <cell r="B71" t="str">
            <v>30</v>
          </cell>
          <cell r="C71" t="str">
            <v>4갑</v>
          </cell>
          <cell r="D71" t="str">
            <v>이재국　　</v>
          </cell>
          <cell r="E71" t="str">
            <v>C</v>
          </cell>
          <cell r="G71">
            <v>1</v>
          </cell>
          <cell r="H71" t="str">
            <v>KH**</v>
          </cell>
          <cell r="I71" t="str">
            <v>KHLJ</v>
          </cell>
          <cell r="J71" t="str">
            <v>대전）동대전지점　　</v>
          </cell>
          <cell r="K71" t="str">
            <v>KHLG</v>
          </cell>
          <cell r="L71" t="str">
            <v>대전）신탄진지점　　</v>
          </cell>
          <cell r="O71" t="str">
            <v>KHLGA</v>
          </cell>
          <cell r="R71" t="str">
            <v>2</v>
          </cell>
          <cell r="V71" t="str">
            <v>5</v>
          </cell>
          <cell r="W71" t="str">
            <v>3</v>
          </cell>
          <cell r="X71" t="str">
            <v>3</v>
          </cell>
          <cell r="Y71" t="str">
            <v>S</v>
          </cell>
          <cell r="Z71" t="str">
            <v>2046859</v>
          </cell>
          <cell r="AA71" t="str">
            <v>소치영　　</v>
          </cell>
          <cell r="AB71" t="str">
            <v>26</v>
          </cell>
          <cell r="AC71" t="str">
            <v>44</v>
          </cell>
          <cell r="AD71">
            <v>89</v>
          </cell>
          <cell r="AE71">
            <v>64.709999999999994</v>
          </cell>
          <cell r="AF71">
            <v>50</v>
          </cell>
          <cell r="AG71" t="str">
            <v>2006365</v>
          </cell>
          <cell r="AH71" t="str">
            <v>김선기　　</v>
          </cell>
          <cell r="AI71" t="str">
            <v>04</v>
          </cell>
          <cell r="AJ71" t="str">
            <v>32</v>
          </cell>
          <cell r="AK71">
            <v>91</v>
          </cell>
          <cell r="AL71">
            <v>66.47</v>
          </cell>
          <cell r="AM71">
            <v>30</v>
          </cell>
          <cell r="AN71" t="str">
            <v>2059744</v>
          </cell>
          <cell r="AO71" t="str">
            <v>김도영　　</v>
          </cell>
          <cell r="AP71" t="str">
            <v>02</v>
          </cell>
          <cell r="AQ71" t="str">
            <v>20</v>
          </cell>
          <cell r="AR71">
            <v>77</v>
          </cell>
          <cell r="AS71">
            <v>62.39</v>
          </cell>
          <cell r="AT71">
            <v>10</v>
          </cell>
          <cell r="AY71">
            <v>0</v>
          </cell>
          <cell r="AZ71">
            <v>0</v>
          </cell>
          <cell r="BA71">
            <v>0</v>
          </cell>
          <cell r="BF71">
            <v>0</v>
          </cell>
          <cell r="BG71">
            <v>0</v>
          </cell>
          <cell r="BH71">
            <v>0</v>
          </cell>
          <cell r="BM71">
            <v>0</v>
          </cell>
          <cell r="BN71">
            <v>0</v>
          </cell>
          <cell r="BO71">
            <v>0</v>
          </cell>
          <cell r="BP71" t="b">
            <v>0</v>
          </cell>
          <cell r="BQ71">
            <v>0</v>
          </cell>
          <cell r="BR71">
            <v>65.040000000000006</v>
          </cell>
          <cell r="BS71">
            <v>295</v>
          </cell>
          <cell r="BT71">
            <v>20.3</v>
          </cell>
          <cell r="BU71" t="str">
            <v>B</v>
          </cell>
          <cell r="BV71" t="str">
            <v>03</v>
          </cell>
          <cell r="BW71">
            <v>72</v>
          </cell>
          <cell r="BX71" t="str">
            <v>19930101</v>
          </cell>
        </row>
        <row r="72">
          <cell r="A72" t="str">
            <v>2612051</v>
          </cell>
          <cell r="B72" t="str">
            <v>33</v>
          </cell>
          <cell r="C72" t="str">
            <v>5급</v>
          </cell>
          <cell r="D72" t="str">
            <v>정대석　　</v>
          </cell>
          <cell r="E72" t="str">
            <v>C</v>
          </cell>
          <cell r="G72">
            <v>1</v>
          </cell>
          <cell r="H72" t="str">
            <v>KH**</v>
          </cell>
          <cell r="I72" t="str">
            <v>KHU*</v>
          </cell>
          <cell r="J72" t="str">
            <v>대구지역본부　　　　</v>
          </cell>
          <cell r="K72" t="str">
            <v>KHUC</v>
          </cell>
          <cell r="L72" t="str">
            <v>대구）서대구지점　　</v>
          </cell>
          <cell r="O72" t="str">
            <v>KHUCA</v>
          </cell>
          <cell r="R72" t="str">
            <v>2</v>
          </cell>
          <cell r="V72" t="str">
            <v>7</v>
          </cell>
          <cell r="W72" t="str">
            <v>3</v>
          </cell>
          <cell r="X72" t="str">
            <v>4</v>
          </cell>
          <cell r="Y72" t="str">
            <v>S</v>
          </cell>
          <cell r="Z72" t="str">
            <v>2392067</v>
          </cell>
          <cell r="AA72" t="str">
            <v>구학원　　</v>
          </cell>
          <cell r="AB72" t="str">
            <v>28</v>
          </cell>
          <cell r="AC72" t="str">
            <v>50</v>
          </cell>
          <cell r="AD72">
            <v>84</v>
          </cell>
          <cell r="AE72">
            <v>64.709999999999994</v>
          </cell>
          <cell r="AF72">
            <v>10</v>
          </cell>
          <cell r="AG72" t="str">
            <v>2083375</v>
          </cell>
          <cell r="AH72" t="str">
            <v>은장권　　</v>
          </cell>
          <cell r="AI72" t="str">
            <v>22</v>
          </cell>
          <cell r="AJ72" t="str">
            <v>44</v>
          </cell>
          <cell r="AK72">
            <v>98</v>
          </cell>
          <cell r="AL72">
            <v>64.73</v>
          </cell>
          <cell r="AM72">
            <v>50</v>
          </cell>
          <cell r="AN72" t="str">
            <v>2018769</v>
          </cell>
          <cell r="AO72" t="str">
            <v>이문식　　</v>
          </cell>
          <cell r="AP72" t="str">
            <v>20</v>
          </cell>
          <cell r="AQ72" t="str">
            <v>32</v>
          </cell>
          <cell r="AR72">
            <v>81</v>
          </cell>
          <cell r="AS72">
            <v>62.03</v>
          </cell>
          <cell r="AT72">
            <v>30</v>
          </cell>
          <cell r="AY72">
            <v>0</v>
          </cell>
          <cell r="AZ72">
            <v>0</v>
          </cell>
          <cell r="BA72">
            <v>0</v>
          </cell>
          <cell r="BF72">
            <v>0</v>
          </cell>
          <cell r="BG72">
            <v>0</v>
          </cell>
          <cell r="BH72">
            <v>0</v>
          </cell>
          <cell r="BM72">
            <v>0</v>
          </cell>
          <cell r="BN72">
            <v>0</v>
          </cell>
          <cell r="BO72">
            <v>0</v>
          </cell>
          <cell r="BP72" t="b">
            <v>0</v>
          </cell>
          <cell r="BQ72">
            <v>0</v>
          </cell>
          <cell r="BR72">
            <v>63.83</v>
          </cell>
          <cell r="BS72">
            <v>128</v>
          </cell>
          <cell r="BT72">
            <v>18.7</v>
          </cell>
          <cell r="BU72" t="str">
            <v>B</v>
          </cell>
          <cell r="BV72" t="str">
            <v>03</v>
          </cell>
          <cell r="BW72">
            <v>72</v>
          </cell>
          <cell r="BX72" t="str">
            <v>19950213</v>
          </cell>
        </row>
        <row r="73">
          <cell r="A73" t="str">
            <v>2728432</v>
          </cell>
          <cell r="B73" t="str">
            <v>26</v>
          </cell>
          <cell r="C73" t="str">
            <v>과장</v>
          </cell>
          <cell r="D73" t="str">
            <v>하재상　　</v>
          </cell>
          <cell r="E73" t="str">
            <v>C</v>
          </cell>
          <cell r="G73">
            <v>1</v>
          </cell>
          <cell r="H73" t="str">
            <v>KQ**</v>
          </cell>
          <cell r="K73" t="str">
            <v>KRBA</v>
          </cell>
          <cell r="L73" t="str">
            <v>차체생기팀　　　　　</v>
          </cell>
          <cell r="O73" t="str">
            <v>KRBA</v>
          </cell>
          <cell r="R73" t="str">
            <v>4</v>
          </cell>
          <cell r="V73" t="str">
            <v>3</v>
          </cell>
          <cell r="W73" t="str">
            <v>2</v>
          </cell>
          <cell r="X73" t="str">
            <v>3</v>
          </cell>
          <cell r="Y73" t="str">
            <v>S</v>
          </cell>
          <cell r="Z73" t="str">
            <v>2064306</v>
          </cell>
          <cell r="AA73" t="str">
            <v>배태모　　</v>
          </cell>
          <cell r="AB73" t="str">
            <v>24</v>
          </cell>
          <cell r="AC73" t="str">
            <v>43</v>
          </cell>
          <cell r="AD73">
            <v>92</v>
          </cell>
          <cell r="AE73">
            <v>67.930000000000007</v>
          </cell>
          <cell r="AF73">
            <v>30</v>
          </cell>
          <cell r="AG73" t="str">
            <v>7034958</v>
          </cell>
          <cell r="AH73" t="str">
            <v>정성은　　</v>
          </cell>
          <cell r="AI73" t="str">
            <v>05</v>
          </cell>
          <cell r="AJ73" t="str">
            <v>32</v>
          </cell>
          <cell r="AK73">
            <v>74</v>
          </cell>
          <cell r="AL73">
            <v>61.96</v>
          </cell>
          <cell r="AM73">
            <v>20</v>
          </cell>
          <cell r="AN73" t="str">
            <v>2002001</v>
          </cell>
          <cell r="AO73" t="str">
            <v>신도철　　</v>
          </cell>
          <cell r="AP73" t="str">
            <v>03</v>
          </cell>
          <cell r="AQ73" t="str">
            <v>30</v>
          </cell>
          <cell r="AR73">
            <v>86</v>
          </cell>
          <cell r="AS73">
            <v>67.52</v>
          </cell>
          <cell r="AT73">
            <v>20</v>
          </cell>
          <cell r="AU73" t="str">
            <v>2728462</v>
          </cell>
          <cell r="AV73" t="str">
            <v>임승근　　</v>
          </cell>
          <cell r="AW73" t="str">
            <v>02</v>
          </cell>
          <cell r="AX73" t="str">
            <v>20</v>
          </cell>
          <cell r="AY73">
            <v>93</v>
          </cell>
          <cell r="AZ73">
            <v>68.58</v>
          </cell>
          <cell r="BA73">
            <v>10</v>
          </cell>
          <cell r="BF73">
            <v>0</v>
          </cell>
          <cell r="BG73">
            <v>0</v>
          </cell>
          <cell r="BH73">
            <v>0</v>
          </cell>
          <cell r="BM73">
            <v>0</v>
          </cell>
          <cell r="BN73">
            <v>0</v>
          </cell>
          <cell r="BO73">
            <v>0</v>
          </cell>
          <cell r="BP73" t="b">
            <v>0</v>
          </cell>
          <cell r="BQ73">
            <v>0</v>
          </cell>
          <cell r="BR73">
            <v>66.42</v>
          </cell>
          <cell r="BS73">
            <v>174</v>
          </cell>
          <cell r="BT73">
            <v>15.3</v>
          </cell>
          <cell r="BU73" t="str">
            <v>B</v>
          </cell>
          <cell r="BV73" t="str">
            <v>03</v>
          </cell>
          <cell r="BW73">
            <v>72</v>
          </cell>
          <cell r="BX73" t="str">
            <v>19940101</v>
          </cell>
        </row>
        <row r="74">
          <cell r="A74" t="str">
            <v>2728418</v>
          </cell>
          <cell r="B74" t="str">
            <v>26</v>
          </cell>
          <cell r="C74" t="str">
            <v>과장</v>
          </cell>
          <cell r="D74" t="str">
            <v>이용대　　</v>
          </cell>
          <cell r="E74" t="str">
            <v>C</v>
          </cell>
          <cell r="G74">
            <v>1</v>
          </cell>
          <cell r="H74" t="str">
            <v>KQ**</v>
          </cell>
          <cell r="K74" t="str">
            <v>KRCA</v>
          </cell>
          <cell r="L74" t="str">
            <v>프레스기술팀　　　　</v>
          </cell>
          <cell r="O74" t="str">
            <v>KRCA</v>
          </cell>
          <cell r="R74" t="str">
            <v>4</v>
          </cell>
          <cell r="V74" t="str">
            <v>3</v>
          </cell>
          <cell r="W74" t="str">
            <v>2</v>
          </cell>
          <cell r="X74" t="str">
            <v>3</v>
          </cell>
          <cell r="Y74" t="str">
            <v>S</v>
          </cell>
          <cell r="Z74" t="str">
            <v>2064581</v>
          </cell>
          <cell r="AA74" t="str">
            <v>오승재　　</v>
          </cell>
          <cell r="AB74" t="str">
            <v>24</v>
          </cell>
          <cell r="AC74" t="str">
            <v>43</v>
          </cell>
          <cell r="AD74">
            <v>69</v>
          </cell>
          <cell r="AE74">
            <v>59.54</v>
          </cell>
          <cell r="AF74">
            <v>30</v>
          </cell>
          <cell r="AG74" t="str">
            <v>7034958</v>
          </cell>
          <cell r="AH74" t="str">
            <v>정성은　　</v>
          </cell>
          <cell r="AI74" t="str">
            <v>05</v>
          </cell>
          <cell r="AJ74" t="str">
            <v>32</v>
          </cell>
          <cell r="AK74">
            <v>93</v>
          </cell>
          <cell r="AL74">
            <v>69.3</v>
          </cell>
          <cell r="AM74">
            <v>20</v>
          </cell>
          <cell r="AN74" t="str">
            <v>2002001</v>
          </cell>
          <cell r="AO74" t="str">
            <v>신도철　　</v>
          </cell>
          <cell r="AP74" t="str">
            <v>03</v>
          </cell>
          <cell r="AQ74" t="str">
            <v>30</v>
          </cell>
          <cell r="AR74">
            <v>86</v>
          </cell>
          <cell r="AS74">
            <v>67.52</v>
          </cell>
          <cell r="AT74">
            <v>20</v>
          </cell>
          <cell r="AU74" t="str">
            <v>2728462</v>
          </cell>
          <cell r="AV74" t="str">
            <v>임승근　　</v>
          </cell>
          <cell r="AW74" t="str">
            <v>02</v>
          </cell>
          <cell r="AX74" t="str">
            <v>20</v>
          </cell>
          <cell r="AY74">
            <v>93</v>
          </cell>
          <cell r="AZ74">
            <v>68.58</v>
          </cell>
          <cell r="BA74">
            <v>10</v>
          </cell>
          <cell r="BF74">
            <v>0</v>
          </cell>
          <cell r="BG74">
            <v>0</v>
          </cell>
          <cell r="BH74">
            <v>0</v>
          </cell>
          <cell r="BM74">
            <v>0</v>
          </cell>
          <cell r="BN74">
            <v>0</v>
          </cell>
          <cell r="BO74">
            <v>0</v>
          </cell>
          <cell r="BP74" t="b">
            <v>0</v>
          </cell>
          <cell r="BQ74">
            <v>0</v>
          </cell>
          <cell r="BR74">
            <v>65.11</v>
          </cell>
          <cell r="BS74">
            <v>232</v>
          </cell>
          <cell r="BT74">
            <v>20.399999999999999</v>
          </cell>
          <cell r="BU74" t="str">
            <v>B</v>
          </cell>
          <cell r="BV74" t="str">
            <v>03</v>
          </cell>
          <cell r="BW74">
            <v>72</v>
          </cell>
          <cell r="BX74" t="str">
            <v>19940101</v>
          </cell>
        </row>
        <row r="75">
          <cell r="A75" t="str">
            <v>2510452</v>
          </cell>
          <cell r="B75" t="str">
            <v>28</v>
          </cell>
          <cell r="C75" t="str">
            <v>대리</v>
          </cell>
          <cell r="D75" t="str">
            <v>엄수성　　</v>
          </cell>
          <cell r="E75" t="str">
            <v>C</v>
          </cell>
          <cell r="G75">
            <v>1</v>
          </cell>
          <cell r="H75" t="str">
            <v>KM**</v>
          </cell>
          <cell r="I75" t="str">
            <v>KMEC</v>
          </cell>
          <cell r="J75" t="str">
            <v>부품운영팀　　　　　</v>
          </cell>
          <cell r="K75" t="str">
            <v>KMD*</v>
          </cell>
          <cell r="L75" t="str">
            <v>안동직매점</v>
          </cell>
          <cell r="O75" t="str">
            <v>KMDW</v>
          </cell>
          <cell r="R75" t="str">
            <v>2</v>
          </cell>
          <cell r="V75" t="str">
            <v>4</v>
          </cell>
          <cell r="W75" t="str">
            <v>4</v>
          </cell>
          <cell r="X75" t="str">
            <v>3</v>
          </cell>
          <cell r="Y75" t="str">
            <v>O</v>
          </cell>
          <cell r="Z75" t="str">
            <v>2296257</v>
          </cell>
          <cell r="AA75" t="str">
            <v>도영탁　　</v>
          </cell>
          <cell r="AB75" t="str">
            <v>26</v>
          </cell>
          <cell r="AC75" t="str">
            <v>50</v>
          </cell>
          <cell r="AD75">
            <v>75</v>
          </cell>
          <cell r="AE75">
            <v>60</v>
          </cell>
          <cell r="AF75">
            <v>40</v>
          </cell>
          <cell r="AG75" t="str">
            <v>0043652</v>
          </cell>
          <cell r="AH75" t="str">
            <v>정남기　　</v>
          </cell>
          <cell r="AI75" t="str">
            <v>05</v>
          </cell>
          <cell r="AJ75" t="str">
            <v>32</v>
          </cell>
          <cell r="AK75">
            <v>59</v>
          </cell>
          <cell r="AL75">
            <v>52.78</v>
          </cell>
          <cell r="AM75">
            <v>40</v>
          </cell>
          <cell r="AN75" t="str">
            <v>2001319</v>
          </cell>
          <cell r="AO75" t="str">
            <v>차정식　　</v>
          </cell>
          <cell r="AP75" t="str">
            <v>02</v>
          </cell>
          <cell r="AQ75" t="str">
            <v>20</v>
          </cell>
          <cell r="AR75">
            <v>53</v>
          </cell>
          <cell r="AS75">
            <v>53.81</v>
          </cell>
          <cell r="AT75">
            <v>10</v>
          </cell>
          <cell r="AY75">
            <v>0</v>
          </cell>
          <cell r="AZ75">
            <v>0</v>
          </cell>
          <cell r="BA75">
            <v>0</v>
          </cell>
          <cell r="BF75">
            <v>0</v>
          </cell>
          <cell r="BG75">
            <v>0</v>
          </cell>
          <cell r="BH75">
            <v>0</v>
          </cell>
          <cell r="BM75">
            <v>0</v>
          </cell>
          <cell r="BN75">
            <v>0</v>
          </cell>
          <cell r="BO75">
            <v>0</v>
          </cell>
          <cell r="BP75" t="b">
            <v>0</v>
          </cell>
          <cell r="BQ75">
            <v>0</v>
          </cell>
          <cell r="BR75">
            <v>56.1</v>
          </cell>
          <cell r="BS75">
            <v>1260</v>
          </cell>
          <cell r="BT75">
            <v>75.3</v>
          </cell>
          <cell r="BU75" t="str">
            <v>D</v>
          </cell>
          <cell r="BV75" t="str">
            <v>09</v>
          </cell>
          <cell r="BW75">
            <v>48</v>
          </cell>
          <cell r="BX75" t="str">
            <v>19980101</v>
          </cell>
          <cell r="BZ75" t="str">
            <v>E</v>
          </cell>
          <cell r="CA75" t="str">
            <v>10</v>
          </cell>
          <cell r="CB75" t="str">
            <v>B</v>
          </cell>
          <cell r="CC75" t="str">
            <v>02</v>
          </cell>
          <cell r="CD75" t="str">
            <v>C</v>
          </cell>
          <cell r="CE75" t="str">
            <v>07</v>
          </cell>
        </row>
        <row r="76">
          <cell r="A76" t="str">
            <v>2070302</v>
          </cell>
          <cell r="B76" t="str">
            <v>28</v>
          </cell>
          <cell r="C76" t="str">
            <v>대리</v>
          </cell>
          <cell r="D76" t="str">
            <v>노오복　　</v>
          </cell>
          <cell r="E76" t="str">
            <v>C</v>
          </cell>
          <cell r="G76">
            <v>1</v>
          </cell>
          <cell r="H76" t="str">
            <v>KM**</v>
          </cell>
          <cell r="I76" t="str">
            <v>KMJN</v>
          </cell>
          <cell r="J76" t="str">
            <v>광주사업소　　　　　</v>
          </cell>
          <cell r="K76" t="str">
            <v>KMD*</v>
          </cell>
          <cell r="L76" t="str">
            <v>목포직매점</v>
          </cell>
          <cell r="O76" t="str">
            <v>KMDN</v>
          </cell>
          <cell r="R76" t="str">
            <v>2</v>
          </cell>
          <cell r="V76" t="str">
            <v>4</v>
          </cell>
          <cell r="W76" t="str">
            <v>4</v>
          </cell>
          <cell r="X76" t="str">
            <v>3</v>
          </cell>
          <cell r="Y76" t="str">
            <v>O</v>
          </cell>
          <cell r="Z76" t="str">
            <v>2083203</v>
          </cell>
          <cell r="AA76" t="str">
            <v>김동진　　</v>
          </cell>
          <cell r="AB76" t="str">
            <v>26</v>
          </cell>
          <cell r="AC76" t="str">
            <v>50</v>
          </cell>
          <cell r="AD76">
            <v>65</v>
          </cell>
          <cell r="AE76">
            <v>55.29</v>
          </cell>
          <cell r="AF76">
            <v>40</v>
          </cell>
          <cell r="AG76" t="str">
            <v>0043652</v>
          </cell>
          <cell r="AH76" t="str">
            <v>정남기　　</v>
          </cell>
          <cell r="AI76" t="str">
            <v>05</v>
          </cell>
          <cell r="AJ76" t="str">
            <v>32</v>
          </cell>
          <cell r="AK76">
            <v>40</v>
          </cell>
          <cell r="AL76">
            <v>45.4</v>
          </cell>
          <cell r="AM76">
            <v>40</v>
          </cell>
          <cell r="AN76" t="str">
            <v>2001319</v>
          </cell>
          <cell r="AO76" t="str">
            <v>차정식　　</v>
          </cell>
          <cell r="AP76" t="str">
            <v>02</v>
          </cell>
          <cell r="AQ76" t="str">
            <v>20</v>
          </cell>
          <cell r="AR76">
            <v>40</v>
          </cell>
          <cell r="AS76">
            <v>49.26</v>
          </cell>
          <cell r="AT76">
            <v>10</v>
          </cell>
          <cell r="AY76">
            <v>0</v>
          </cell>
          <cell r="AZ76">
            <v>0</v>
          </cell>
          <cell r="BA76">
            <v>0</v>
          </cell>
          <cell r="BF76">
            <v>0</v>
          </cell>
          <cell r="BG76">
            <v>0</v>
          </cell>
          <cell r="BH76">
            <v>0</v>
          </cell>
          <cell r="BM76">
            <v>0</v>
          </cell>
          <cell r="BN76">
            <v>0</v>
          </cell>
          <cell r="BO76">
            <v>0</v>
          </cell>
          <cell r="BP76" t="b">
            <v>0</v>
          </cell>
          <cell r="BQ76">
            <v>0</v>
          </cell>
          <cell r="BR76">
            <v>50.22</v>
          </cell>
          <cell r="BS76">
            <v>1648</v>
          </cell>
          <cell r="BT76">
            <v>98.4</v>
          </cell>
          <cell r="BU76" t="str">
            <v>E</v>
          </cell>
          <cell r="BV76" t="str">
            <v>11</v>
          </cell>
          <cell r="BW76">
            <v>40</v>
          </cell>
          <cell r="BX76" t="str">
            <v>19970101</v>
          </cell>
          <cell r="BZ76" t="str">
            <v>E</v>
          </cell>
          <cell r="CA76" t="str">
            <v>11</v>
          </cell>
          <cell r="CB76" t="str">
            <v>E</v>
          </cell>
          <cell r="CC76" t="str">
            <v>11</v>
          </cell>
          <cell r="CD76" t="str">
            <v>B</v>
          </cell>
          <cell r="CE76" t="str">
            <v>03</v>
          </cell>
        </row>
        <row r="77">
          <cell r="A77" t="str">
            <v>2691581</v>
          </cell>
          <cell r="B77" t="str">
            <v>30</v>
          </cell>
          <cell r="C77" t="str">
            <v>4갑</v>
          </cell>
          <cell r="D77" t="str">
            <v>권기성　　</v>
          </cell>
          <cell r="E77" t="str">
            <v>C</v>
          </cell>
          <cell r="G77">
            <v>1</v>
          </cell>
          <cell r="H77" t="str">
            <v>KO**</v>
          </cell>
          <cell r="I77" t="str">
            <v>KPCB</v>
          </cell>
          <cell r="J77" t="str">
            <v>승용구동부품개발팀　</v>
          </cell>
          <cell r="K77" t="str">
            <v>KPAE</v>
          </cell>
          <cell r="L77" t="str">
            <v>승용전장부품개발팀　</v>
          </cell>
          <cell r="O77" t="str">
            <v>KPAE</v>
          </cell>
          <cell r="R77" t="str">
            <v>4</v>
          </cell>
          <cell r="V77" t="str">
            <v>5</v>
          </cell>
          <cell r="W77" t="str">
            <v>1</v>
          </cell>
          <cell r="X77" t="str">
            <v>3</v>
          </cell>
          <cell r="Y77" t="str">
            <v>O</v>
          </cell>
          <cell r="Z77" t="str">
            <v>2064686</v>
          </cell>
          <cell r="AA77" t="str">
            <v>윤강한　　</v>
          </cell>
          <cell r="AB77" t="str">
            <v>24</v>
          </cell>
          <cell r="AC77" t="str">
            <v>43</v>
          </cell>
          <cell r="AD77">
            <v>51</v>
          </cell>
          <cell r="AE77">
            <v>52.87</v>
          </cell>
          <cell r="AF77">
            <v>30</v>
          </cell>
          <cell r="AG77" t="str">
            <v>7151374</v>
          </cell>
          <cell r="AH77" t="str">
            <v>고승환　　</v>
          </cell>
          <cell r="AI77" t="str">
            <v>20</v>
          </cell>
          <cell r="AJ77" t="str">
            <v>32</v>
          </cell>
          <cell r="AK77">
            <v>51</v>
          </cell>
          <cell r="AL77">
            <v>47.85</v>
          </cell>
          <cell r="AM77">
            <v>20</v>
          </cell>
          <cell r="AN77" t="str">
            <v>7043317</v>
          </cell>
          <cell r="AO77" t="str">
            <v>박승하　　</v>
          </cell>
          <cell r="AP77" t="str">
            <v>04</v>
          </cell>
          <cell r="AQ77" t="str">
            <v>30</v>
          </cell>
          <cell r="AR77">
            <v>53</v>
          </cell>
          <cell r="AS77">
            <v>51.58</v>
          </cell>
          <cell r="AT77">
            <v>20</v>
          </cell>
          <cell r="AU77" t="str">
            <v>2008268</v>
          </cell>
          <cell r="AV77" t="str">
            <v>이용도　　</v>
          </cell>
          <cell r="AW77" t="str">
            <v>02</v>
          </cell>
          <cell r="AX77" t="str">
            <v>20</v>
          </cell>
          <cell r="AY77">
            <v>51</v>
          </cell>
          <cell r="AZ77">
            <v>49.81</v>
          </cell>
          <cell r="BA77">
            <v>10</v>
          </cell>
          <cell r="BF77">
            <v>0</v>
          </cell>
          <cell r="BG77">
            <v>0</v>
          </cell>
          <cell r="BH77">
            <v>0</v>
          </cell>
          <cell r="BM77">
            <v>0</v>
          </cell>
          <cell r="BN77">
            <v>0</v>
          </cell>
          <cell r="BO77">
            <v>0</v>
          </cell>
          <cell r="BP77" t="b">
            <v>0</v>
          </cell>
          <cell r="BQ77">
            <v>0</v>
          </cell>
          <cell r="BR77">
            <v>50.91</v>
          </cell>
          <cell r="BS77">
            <v>1386</v>
          </cell>
          <cell r="BT77">
            <v>95.5</v>
          </cell>
          <cell r="BU77" t="str">
            <v>E</v>
          </cell>
          <cell r="BV77" t="str">
            <v>11</v>
          </cell>
          <cell r="BW77">
            <v>40</v>
          </cell>
          <cell r="BX77" t="str">
            <v>19961216</v>
          </cell>
          <cell r="BZ77" t="str">
            <v>C</v>
          </cell>
          <cell r="CA77" t="str">
            <v>07</v>
          </cell>
          <cell r="CB77" t="str">
            <v>D</v>
          </cell>
          <cell r="CC77" t="str">
            <v>10</v>
          </cell>
        </row>
        <row r="78">
          <cell r="A78" t="str">
            <v>2412093</v>
          </cell>
          <cell r="B78" t="str">
            <v>30</v>
          </cell>
          <cell r="C78" t="str">
            <v>4갑</v>
          </cell>
          <cell r="D78" t="str">
            <v>이규호　　</v>
          </cell>
          <cell r="E78" t="str">
            <v>C</v>
          </cell>
          <cell r="G78">
            <v>1</v>
          </cell>
          <cell r="H78" t="str">
            <v>KM**</v>
          </cell>
          <cell r="I78" t="str">
            <v>KMD*</v>
          </cell>
          <cell r="J78" t="str">
            <v>동대문직매점</v>
          </cell>
          <cell r="K78" t="str">
            <v>KMEC</v>
          </cell>
          <cell r="L78" t="str">
            <v>부품운영팀　　　　　</v>
          </cell>
          <cell r="O78" t="str">
            <v>KMEC</v>
          </cell>
          <cell r="R78" t="str">
            <v>4</v>
          </cell>
          <cell r="V78" t="str">
            <v>5</v>
          </cell>
          <cell r="W78" t="str">
            <v>1</v>
          </cell>
          <cell r="X78" t="str">
            <v>3</v>
          </cell>
          <cell r="Y78" t="str">
            <v>O</v>
          </cell>
          <cell r="Z78" t="str">
            <v>2076137</v>
          </cell>
          <cell r="AA78" t="str">
            <v>신현성　　</v>
          </cell>
          <cell r="AB78" t="str">
            <v>24</v>
          </cell>
          <cell r="AC78" t="str">
            <v>43</v>
          </cell>
          <cell r="AD78">
            <v>72</v>
          </cell>
          <cell r="AE78">
            <v>49.03</v>
          </cell>
          <cell r="AF78">
            <v>40</v>
          </cell>
          <cell r="AG78" t="str">
            <v>0043652</v>
          </cell>
          <cell r="AH78" t="str">
            <v>정남기　　</v>
          </cell>
          <cell r="AI78" t="str">
            <v>05</v>
          </cell>
          <cell r="AJ78" t="str">
            <v>32</v>
          </cell>
          <cell r="AK78">
            <v>47</v>
          </cell>
          <cell r="AL78">
            <v>52</v>
          </cell>
          <cell r="AM78">
            <v>30</v>
          </cell>
          <cell r="AN78" t="str">
            <v>2001319</v>
          </cell>
          <cell r="AO78" t="str">
            <v>차정식　　</v>
          </cell>
          <cell r="AP78" t="str">
            <v>02</v>
          </cell>
          <cell r="AQ78" t="str">
            <v>20</v>
          </cell>
          <cell r="AR78">
            <v>47</v>
          </cell>
          <cell r="AS78">
            <v>51.6</v>
          </cell>
          <cell r="AT78">
            <v>10</v>
          </cell>
          <cell r="AY78">
            <v>0</v>
          </cell>
          <cell r="AZ78">
            <v>0</v>
          </cell>
          <cell r="BA78">
            <v>0</v>
          </cell>
          <cell r="BF78">
            <v>0</v>
          </cell>
          <cell r="BG78">
            <v>0</v>
          </cell>
          <cell r="BH78">
            <v>0</v>
          </cell>
          <cell r="BM78">
            <v>0</v>
          </cell>
          <cell r="BN78">
            <v>0</v>
          </cell>
          <cell r="BO78">
            <v>0</v>
          </cell>
          <cell r="BP78" t="b">
            <v>0</v>
          </cell>
          <cell r="BQ78">
            <v>0</v>
          </cell>
          <cell r="BR78">
            <v>50.47</v>
          </cell>
          <cell r="BS78">
            <v>1402</v>
          </cell>
          <cell r="BT78">
            <v>96.6</v>
          </cell>
          <cell r="BU78" t="str">
            <v>E</v>
          </cell>
          <cell r="BV78" t="str">
            <v>11</v>
          </cell>
          <cell r="BW78">
            <v>40</v>
          </cell>
          <cell r="BX78" t="str">
            <v>19960101</v>
          </cell>
          <cell r="BZ78" t="str">
            <v>D</v>
          </cell>
          <cell r="CA78" t="str">
            <v>09</v>
          </cell>
          <cell r="CB78" t="str">
            <v>C</v>
          </cell>
          <cell r="CC78" t="str">
            <v>08</v>
          </cell>
          <cell r="CD78" t="str">
            <v>D</v>
          </cell>
          <cell r="CE78" t="str">
            <v>09</v>
          </cell>
        </row>
        <row r="79">
          <cell r="A79" t="str">
            <v>2210752</v>
          </cell>
          <cell r="B79" t="str">
            <v>30</v>
          </cell>
          <cell r="C79" t="str">
            <v>4갑</v>
          </cell>
          <cell r="D79" t="str">
            <v>정난희　　</v>
          </cell>
          <cell r="E79" t="str">
            <v>C</v>
          </cell>
          <cell r="G79">
            <v>1</v>
          </cell>
          <cell r="H79" t="str">
            <v>KH**</v>
          </cell>
          <cell r="I79" t="str">
            <v>KHGK</v>
          </cell>
          <cell r="J79" t="str">
            <v>남부）길동지점　　　</v>
          </cell>
          <cell r="K79" t="str">
            <v>KHG2</v>
          </cell>
          <cell r="L79" t="str">
            <v>남부）야탑지점　　　</v>
          </cell>
          <cell r="O79" t="str">
            <v>KHG2A</v>
          </cell>
          <cell r="R79" t="str">
            <v>2</v>
          </cell>
          <cell r="V79" t="str">
            <v>5</v>
          </cell>
          <cell r="W79" t="str">
            <v>3</v>
          </cell>
          <cell r="X79" t="str">
            <v>3</v>
          </cell>
          <cell r="Y79" t="str">
            <v>O</v>
          </cell>
          <cell r="Z79" t="str">
            <v>2028473</v>
          </cell>
          <cell r="AA79" t="str">
            <v>김종진　　</v>
          </cell>
          <cell r="AB79" t="str">
            <v>26</v>
          </cell>
          <cell r="AC79" t="str">
            <v>44</v>
          </cell>
          <cell r="AD79">
            <v>91</v>
          </cell>
          <cell r="AE79">
            <v>55.31</v>
          </cell>
          <cell r="AF79">
            <v>50</v>
          </cell>
          <cell r="AG79" t="str">
            <v>2013194</v>
          </cell>
          <cell r="AH79" t="str">
            <v>박종호　　</v>
          </cell>
          <cell r="AI79" t="str">
            <v>05</v>
          </cell>
          <cell r="AJ79" t="str">
            <v>32</v>
          </cell>
          <cell r="AK79">
            <v>49</v>
          </cell>
          <cell r="AL79">
            <v>47.82</v>
          </cell>
          <cell r="AM79">
            <v>30</v>
          </cell>
          <cell r="AN79" t="str">
            <v>2059744</v>
          </cell>
          <cell r="AO79" t="str">
            <v>김도영　　</v>
          </cell>
          <cell r="AP79" t="str">
            <v>02</v>
          </cell>
          <cell r="AQ79" t="str">
            <v>20</v>
          </cell>
          <cell r="AR79">
            <v>40</v>
          </cell>
          <cell r="AS79">
            <v>49.21</v>
          </cell>
          <cell r="AT79">
            <v>10</v>
          </cell>
          <cell r="AY79">
            <v>0</v>
          </cell>
          <cell r="AZ79">
            <v>0</v>
          </cell>
          <cell r="BA79">
            <v>0</v>
          </cell>
          <cell r="BF79">
            <v>0</v>
          </cell>
          <cell r="BG79">
            <v>0</v>
          </cell>
          <cell r="BH79">
            <v>0</v>
          </cell>
          <cell r="BM79">
            <v>0</v>
          </cell>
          <cell r="BN79">
            <v>0</v>
          </cell>
          <cell r="BO79">
            <v>0</v>
          </cell>
          <cell r="BP79" t="b">
            <v>0</v>
          </cell>
          <cell r="BQ79">
            <v>0</v>
          </cell>
          <cell r="BR79">
            <v>52.14</v>
          </cell>
          <cell r="BS79">
            <v>1324</v>
          </cell>
          <cell r="BT79">
            <v>91.2</v>
          </cell>
          <cell r="BU79" t="str">
            <v>E</v>
          </cell>
          <cell r="BV79" t="str">
            <v>10</v>
          </cell>
          <cell r="BW79">
            <v>44</v>
          </cell>
          <cell r="BX79" t="str">
            <v>19980101</v>
          </cell>
          <cell r="BZ79" t="str">
            <v>D</v>
          </cell>
          <cell r="CA79" t="str">
            <v>08</v>
          </cell>
          <cell r="CB79" t="str">
            <v>C</v>
          </cell>
          <cell r="CC79" t="str">
            <v>06</v>
          </cell>
          <cell r="CD79" t="str">
            <v>D</v>
          </cell>
          <cell r="CE79" t="str">
            <v>09</v>
          </cell>
        </row>
        <row r="80">
          <cell r="A80" t="str">
            <v>2555583</v>
          </cell>
          <cell r="B80" t="str">
            <v>32</v>
          </cell>
          <cell r="C80" t="str">
            <v>4을</v>
          </cell>
          <cell r="D80" t="str">
            <v>김낙형　　</v>
          </cell>
          <cell r="E80" t="str">
            <v>C</v>
          </cell>
          <cell r="G80">
            <v>1</v>
          </cell>
          <cell r="H80" t="str">
            <v>KM**</v>
          </cell>
          <cell r="I80" t="str">
            <v>KMD*</v>
          </cell>
          <cell r="J80" t="str">
            <v>순천직매점</v>
          </cell>
          <cell r="K80" t="str">
            <v>KMJN</v>
          </cell>
          <cell r="L80" t="str">
            <v>광주사업소　　　　　</v>
          </cell>
          <cell r="O80" t="str">
            <v>KMJND</v>
          </cell>
          <cell r="R80" t="str">
            <v>2</v>
          </cell>
          <cell r="V80" t="str">
            <v>6</v>
          </cell>
          <cell r="W80" t="str">
            <v>4</v>
          </cell>
          <cell r="X80" t="str">
            <v>4</v>
          </cell>
          <cell r="Y80" t="str">
            <v>O</v>
          </cell>
          <cell r="Z80" t="str">
            <v>2373348</v>
          </cell>
          <cell r="AA80" t="str">
            <v>고명수　　</v>
          </cell>
          <cell r="AB80" t="str">
            <v>26</v>
          </cell>
          <cell r="AC80" t="str">
            <v>50</v>
          </cell>
          <cell r="AD80">
            <v>66</v>
          </cell>
          <cell r="AE80">
            <v>55.27</v>
          </cell>
          <cell r="AF80">
            <v>40</v>
          </cell>
          <cell r="AG80" t="str">
            <v>2718244</v>
          </cell>
          <cell r="AH80" t="str">
            <v>성요한　　</v>
          </cell>
          <cell r="AI80" t="str">
            <v>05</v>
          </cell>
          <cell r="AJ80" t="str">
            <v>43</v>
          </cell>
          <cell r="AK80">
            <v>50</v>
          </cell>
          <cell r="AL80">
            <v>54.07</v>
          </cell>
          <cell r="AM80">
            <v>50</v>
          </cell>
          <cell r="AR80">
            <v>0</v>
          </cell>
          <cell r="AS80">
            <v>0</v>
          </cell>
          <cell r="AT80">
            <v>0</v>
          </cell>
          <cell r="AY80">
            <v>0</v>
          </cell>
          <cell r="AZ80">
            <v>0</v>
          </cell>
          <cell r="BA80">
            <v>0</v>
          </cell>
          <cell r="BF80">
            <v>0</v>
          </cell>
          <cell r="BG80">
            <v>0</v>
          </cell>
          <cell r="BH80">
            <v>0</v>
          </cell>
          <cell r="BM80">
            <v>0</v>
          </cell>
          <cell r="BN80">
            <v>0</v>
          </cell>
          <cell r="BO80">
            <v>0</v>
          </cell>
          <cell r="BP80" t="b">
            <v>0</v>
          </cell>
          <cell r="BQ80">
            <v>0</v>
          </cell>
          <cell r="BR80">
            <v>54.6</v>
          </cell>
          <cell r="BS80">
            <v>615</v>
          </cell>
          <cell r="BT80">
            <v>88.2</v>
          </cell>
          <cell r="BU80" t="str">
            <v>D</v>
          </cell>
          <cell r="BV80" t="str">
            <v>10</v>
          </cell>
          <cell r="BW80">
            <v>44</v>
          </cell>
          <cell r="BX80" t="str">
            <v>19980101</v>
          </cell>
          <cell r="BZ80" t="str">
            <v>D</v>
          </cell>
          <cell r="CA80" t="str">
            <v>08</v>
          </cell>
          <cell r="CB80" t="str">
            <v>C</v>
          </cell>
          <cell r="CC80" t="str">
            <v>06</v>
          </cell>
          <cell r="CD80" t="str">
            <v>D</v>
          </cell>
          <cell r="CE80" t="str">
            <v>09</v>
          </cell>
        </row>
        <row r="81">
          <cell r="A81" t="str">
            <v>2551637</v>
          </cell>
          <cell r="B81" t="str">
            <v>32</v>
          </cell>
          <cell r="C81" t="str">
            <v>4을</v>
          </cell>
          <cell r="D81" t="str">
            <v>오영곤　　</v>
          </cell>
          <cell r="E81" t="str">
            <v>C</v>
          </cell>
          <cell r="G81">
            <v>1</v>
          </cell>
          <cell r="H81" t="str">
            <v>KH**</v>
          </cell>
          <cell r="I81" t="str">
            <v>KHTB</v>
          </cell>
          <cell r="J81" t="str">
            <v>경북）포항남부지점　</v>
          </cell>
          <cell r="K81" t="str">
            <v>KHTJ</v>
          </cell>
          <cell r="L81" t="str">
            <v>경북）경주지점　　　</v>
          </cell>
          <cell r="O81" t="str">
            <v>KHTJA</v>
          </cell>
          <cell r="R81" t="str">
            <v>2</v>
          </cell>
          <cell r="V81" t="str">
            <v>6</v>
          </cell>
          <cell r="W81" t="str">
            <v>3</v>
          </cell>
          <cell r="X81" t="str">
            <v>4</v>
          </cell>
          <cell r="Y81" t="str">
            <v>O</v>
          </cell>
          <cell r="Z81" t="str">
            <v>2084468</v>
          </cell>
          <cell r="AA81" t="str">
            <v>이재형　　</v>
          </cell>
          <cell r="AB81" t="str">
            <v>28</v>
          </cell>
          <cell r="AC81" t="str">
            <v>50</v>
          </cell>
          <cell r="AD81">
            <v>83</v>
          </cell>
          <cell r="AE81">
            <v>64.709999999999994</v>
          </cell>
          <cell r="AF81">
            <v>10</v>
          </cell>
          <cell r="AG81" t="str">
            <v>2103304</v>
          </cell>
          <cell r="AH81" t="str">
            <v>유쌍재　　</v>
          </cell>
          <cell r="AI81" t="str">
            <v>26</v>
          </cell>
          <cell r="AJ81" t="str">
            <v>44</v>
          </cell>
          <cell r="AK81">
            <v>78</v>
          </cell>
          <cell r="AL81">
            <v>55.29</v>
          </cell>
          <cell r="AM81">
            <v>50</v>
          </cell>
          <cell r="AN81" t="str">
            <v>2061393</v>
          </cell>
          <cell r="AO81" t="str">
            <v>이광우　　</v>
          </cell>
          <cell r="AP81" t="str">
            <v>22</v>
          </cell>
          <cell r="AQ81" t="str">
            <v>32</v>
          </cell>
          <cell r="AR81">
            <v>75</v>
          </cell>
          <cell r="AS81">
            <v>58.14</v>
          </cell>
          <cell r="AT81">
            <v>30</v>
          </cell>
          <cell r="AY81">
            <v>0</v>
          </cell>
          <cell r="AZ81">
            <v>0</v>
          </cell>
          <cell r="BA81">
            <v>0</v>
          </cell>
          <cell r="BF81">
            <v>0</v>
          </cell>
          <cell r="BG81">
            <v>0</v>
          </cell>
          <cell r="BH81">
            <v>0</v>
          </cell>
          <cell r="BM81">
            <v>0</v>
          </cell>
          <cell r="BN81">
            <v>0</v>
          </cell>
          <cell r="BO81">
            <v>0</v>
          </cell>
          <cell r="BP81" t="b">
            <v>0</v>
          </cell>
          <cell r="BQ81">
            <v>0</v>
          </cell>
          <cell r="BR81">
            <v>57.29</v>
          </cell>
          <cell r="BS81">
            <v>494</v>
          </cell>
          <cell r="BT81">
            <v>70.900000000000006</v>
          </cell>
          <cell r="BU81" t="str">
            <v>D</v>
          </cell>
          <cell r="BV81" t="str">
            <v>08</v>
          </cell>
          <cell r="BW81">
            <v>52</v>
          </cell>
          <cell r="BX81" t="str">
            <v>19980101</v>
          </cell>
          <cell r="BZ81" t="str">
            <v>C</v>
          </cell>
          <cell r="CA81" t="str">
            <v>07</v>
          </cell>
          <cell r="CB81" t="str">
            <v>B</v>
          </cell>
          <cell r="CC81" t="str">
            <v>03</v>
          </cell>
          <cell r="CD81" t="str">
            <v>C</v>
          </cell>
          <cell r="CE81" t="str">
            <v>07</v>
          </cell>
        </row>
        <row r="82">
          <cell r="A82" t="str">
            <v>2356411</v>
          </cell>
          <cell r="B82" t="str">
            <v>28</v>
          </cell>
          <cell r="C82" t="str">
            <v>대리</v>
          </cell>
          <cell r="D82" t="str">
            <v>송석준　　</v>
          </cell>
          <cell r="E82" t="str">
            <v>C</v>
          </cell>
          <cell r="G82">
            <v>1</v>
          </cell>
          <cell r="H82" t="str">
            <v>KO**</v>
          </cell>
          <cell r="I82" t="str">
            <v>KOCA</v>
          </cell>
          <cell r="J82" t="str">
            <v>업체협력１팀　　　　</v>
          </cell>
          <cell r="K82" t="str">
            <v>KPAB</v>
          </cell>
          <cell r="L82" t="str">
            <v>승용샤시부품개발팀　</v>
          </cell>
          <cell r="O82" t="str">
            <v>KPAB</v>
          </cell>
          <cell r="R82" t="str">
            <v>4</v>
          </cell>
          <cell r="V82" t="str">
            <v>4</v>
          </cell>
          <cell r="W82" t="str">
            <v>1</v>
          </cell>
          <cell r="X82" t="str">
            <v>3</v>
          </cell>
          <cell r="Y82" t="str">
            <v>S</v>
          </cell>
          <cell r="Z82" t="str">
            <v>7428982</v>
          </cell>
          <cell r="AA82" t="str">
            <v>최재현　　</v>
          </cell>
          <cell r="AB82" t="str">
            <v>24</v>
          </cell>
          <cell r="AC82" t="str">
            <v>43</v>
          </cell>
          <cell r="AD82">
            <v>64</v>
          </cell>
          <cell r="AE82">
            <v>54.07</v>
          </cell>
          <cell r="AF82">
            <v>30</v>
          </cell>
          <cell r="AG82" t="str">
            <v>7151374</v>
          </cell>
          <cell r="AH82" t="str">
            <v>고승환　　</v>
          </cell>
          <cell r="AI82" t="str">
            <v>20</v>
          </cell>
          <cell r="AJ82" t="str">
            <v>32</v>
          </cell>
          <cell r="AK82">
            <v>57</v>
          </cell>
          <cell r="AL82">
            <v>54.86</v>
          </cell>
          <cell r="AM82">
            <v>20</v>
          </cell>
          <cell r="AN82" t="str">
            <v>7043317</v>
          </cell>
          <cell r="AO82" t="str">
            <v>박승하　　</v>
          </cell>
          <cell r="AP82" t="str">
            <v>04</v>
          </cell>
          <cell r="AQ82" t="str">
            <v>30</v>
          </cell>
          <cell r="AR82">
            <v>77</v>
          </cell>
          <cell r="AS82">
            <v>61.05</v>
          </cell>
          <cell r="AT82">
            <v>20</v>
          </cell>
          <cell r="AU82" t="str">
            <v>2008268</v>
          </cell>
          <cell r="AV82" t="str">
            <v>이용도　　</v>
          </cell>
          <cell r="AW82" t="str">
            <v>02</v>
          </cell>
          <cell r="AX82" t="str">
            <v>20</v>
          </cell>
          <cell r="AY82">
            <v>63</v>
          </cell>
          <cell r="AZ82">
            <v>55.77</v>
          </cell>
          <cell r="BA82">
            <v>10</v>
          </cell>
          <cell r="BF82">
            <v>0</v>
          </cell>
          <cell r="BG82">
            <v>0</v>
          </cell>
          <cell r="BH82">
            <v>0</v>
          </cell>
          <cell r="BM82">
            <v>0</v>
          </cell>
          <cell r="BN82">
            <v>0</v>
          </cell>
          <cell r="BO82">
            <v>0</v>
          </cell>
          <cell r="BP82" t="b">
            <v>0</v>
          </cell>
          <cell r="BQ82">
            <v>0</v>
          </cell>
          <cell r="BR82">
            <v>56.23</v>
          </cell>
          <cell r="BS82">
            <v>1253</v>
          </cell>
          <cell r="BT82">
            <v>74.900000000000006</v>
          </cell>
          <cell r="BU82" t="str">
            <v>D</v>
          </cell>
          <cell r="BV82" t="str">
            <v>08</v>
          </cell>
          <cell r="BW82">
            <v>52</v>
          </cell>
          <cell r="BX82" t="str">
            <v>19960101</v>
          </cell>
          <cell r="BZ82" t="str">
            <v>C</v>
          </cell>
          <cell r="CA82" t="str">
            <v>07</v>
          </cell>
          <cell r="CB82" t="str">
            <v>C</v>
          </cell>
          <cell r="CC82" t="str">
            <v>05</v>
          </cell>
          <cell r="CD82" t="str">
            <v>C</v>
          </cell>
          <cell r="CE82" t="str">
            <v>05</v>
          </cell>
        </row>
        <row r="83">
          <cell r="A83" t="str">
            <v>2127688</v>
          </cell>
          <cell r="B83" t="str">
            <v>28</v>
          </cell>
          <cell r="C83" t="str">
            <v>대리</v>
          </cell>
          <cell r="D83" t="str">
            <v>이용규　　</v>
          </cell>
          <cell r="E83" t="str">
            <v>C</v>
          </cell>
          <cell r="G83">
            <v>1</v>
          </cell>
          <cell r="H83" t="str">
            <v>KH**</v>
          </cell>
          <cell r="I83" t="str">
            <v>KHFJ</v>
          </cell>
          <cell r="J83" t="str">
            <v>서부）구로공단지점　</v>
          </cell>
          <cell r="K83" t="str">
            <v>KHFG</v>
          </cell>
          <cell r="L83" t="str">
            <v>서부）개봉지점　　　</v>
          </cell>
          <cell r="O83" t="str">
            <v>KHFGA</v>
          </cell>
          <cell r="R83" t="str">
            <v>2</v>
          </cell>
          <cell r="T83" t="str">
            <v>50</v>
          </cell>
          <cell r="U83" t="str">
            <v>과장</v>
          </cell>
          <cell r="V83" t="str">
            <v>4</v>
          </cell>
          <cell r="W83" t="str">
            <v>3</v>
          </cell>
          <cell r="X83" t="str">
            <v>2</v>
          </cell>
          <cell r="Y83" t="str">
            <v>O</v>
          </cell>
          <cell r="Z83" t="str">
            <v>2093273</v>
          </cell>
          <cell r="AA83" t="str">
            <v>김창호　　</v>
          </cell>
          <cell r="AB83" t="str">
            <v>24</v>
          </cell>
          <cell r="AC83" t="str">
            <v>44</v>
          </cell>
          <cell r="AD83">
            <v>62</v>
          </cell>
          <cell r="AE83">
            <v>60</v>
          </cell>
          <cell r="AF83">
            <v>50</v>
          </cell>
          <cell r="AG83" t="str">
            <v>7120125</v>
          </cell>
          <cell r="AH83" t="str">
            <v>송만섭　　</v>
          </cell>
          <cell r="AI83" t="str">
            <v>22</v>
          </cell>
          <cell r="AJ83" t="str">
            <v>32</v>
          </cell>
          <cell r="AK83">
            <v>72</v>
          </cell>
          <cell r="AL83">
            <v>53.84</v>
          </cell>
          <cell r="AM83">
            <v>30</v>
          </cell>
          <cell r="AN83" t="str">
            <v>2059744</v>
          </cell>
          <cell r="AO83" t="str">
            <v>김도영　　</v>
          </cell>
          <cell r="AP83" t="str">
            <v>02</v>
          </cell>
          <cell r="AQ83" t="str">
            <v>20</v>
          </cell>
          <cell r="AR83">
            <v>70</v>
          </cell>
          <cell r="AS83">
            <v>59.89</v>
          </cell>
          <cell r="AT83">
            <v>10</v>
          </cell>
          <cell r="AY83">
            <v>0</v>
          </cell>
          <cell r="AZ83">
            <v>0</v>
          </cell>
          <cell r="BA83">
            <v>0</v>
          </cell>
          <cell r="BF83">
            <v>0</v>
          </cell>
          <cell r="BG83">
            <v>0</v>
          </cell>
          <cell r="BH83">
            <v>0</v>
          </cell>
          <cell r="BM83">
            <v>0</v>
          </cell>
          <cell r="BN83">
            <v>0</v>
          </cell>
          <cell r="BO83">
            <v>0</v>
          </cell>
          <cell r="BP83" t="b">
            <v>0</v>
          </cell>
          <cell r="BQ83">
            <v>0</v>
          </cell>
          <cell r="BR83">
            <v>57.93</v>
          </cell>
          <cell r="BS83">
            <v>1074</v>
          </cell>
          <cell r="BT83">
            <v>64.2</v>
          </cell>
          <cell r="BU83" t="str">
            <v>C</v>
          </cell>
          <cell r="BV83" t="str">
            <v>07</v>
          </cell>
          <cell r="BW83">
            <v>56</v>
          </cell>
          <cell r="BX83" t="str">
            <v>19980101</v>
          </cell>
          <cell r="BZ83" t="str">
            <v>D</v>
          </cell>
          <cell r="CA83" t="str">
            <v>08</v>
          </cell>
          <cell r="CB83" t="str">
            <v>B</v>
          </cell>
          <cell r="CC83" t="str">
            <v>03</v>
          </cell>
          <cell r="CD83" t="str">
            <v>B</v>
          </cell>
          <cell r="CE83" t="str">
            <v>03</v>
          </cell>
        </row>
        <row r="84">
          <cell r="A84" t="str">
            <v>2073187</v>
          </cell>
          <cell r="B84" t="str">
            <v>26</v>
          </cell>
          <cell r="C84" t="str">
            <v>과장</v>
          </cell>
          <cell r="D84" t="str">
            <v>김성구　　</v>
          </cell>
          <cell r="E84" t="str">
            <v>C</v>
          </cell>
          <cell r="G84">
            <v>1</v>
          </cell>
          <cell r="H84" t="str">
            <v>KH**</v>
          </cell>
          <cell r="I84" t="str">
            <v>KLAA</v>
          </cell>
          <cell r="J84" t="str">
            <v>수출기획팀　　　　　</v>
          </cell>
          <cell r="K84" t="str">
            <v>KHXC</v>
          </cell>
          <cell r="L84" t="str">
            <v>택시판매）강동택시지</v>
          </cell>
          <cell r="O84" t="str">
            <v>KHXC</v>
          </cell>
          <cell r="R84" t="str">
            <v>2</v>
          </cell>
          <cell r="V84" t="str">
            <v>3</v>
          </cell>
          <cell r="W84" t="str">
            <v>3</v>
          </cell>
          <cell r="X84" t="str">
            <v>3</v>
          </cell>
          <cell r="Y84" t="str">
            <v>S</v>
          </cell>
          <cell r="Z84" t="str">
            <v>2010451</v>
          </cell>
          <cell r="AA84" t="str">
            <v>김석곤　　</v>
          </cell>
          <cell r="AB84" t="str">
            <v>24</v>
          </cell>
          <cell r="AC84" t="str">
            <v>44</v>
          </cell>
          <cell r="AD84">
            <v>75</v>
          </cell>
          <cell r="AE84">
            <v>58.83</v>
          </cell>
          <cell r="AF84">
            <v>50</v>
          </cell>
          <cell r="AG84" t="str">
            <v>7117941</v>
          </cell>
          <cell r="AH84" t="str">
            <v>박명용　　</v>
          </cell>
          <cell r="AI84" t="str">
            <v>20</v>
          </cell>
          <cell r="AJ84" t="str">
            <v>32</v>
          </cell>
          <cell r="AK84">
            <v>70</v>
          </cell>
          <cell r="AL84">
            <v>59.39</v>
          </cell>
          <cell r="AM84">
            <v>30</v>
          </cell>
          <cell r="AN84" t="str">
            <v>2059744</v>
          </cell>
          <cell r="AO84" t="str">
            <v>김도영　　</v>
          </cell>
          <cell r="AP84" t="str">
            <v>02</v>
          </cell>
          <cell r="AQ84" t="str">
            <v>20</v>
          </cell>
          <cell r="AR84">
            <v>47</v>
          </cell>
          <cell r="AS84">
            <v>51.44</v>
          </cell>
          <cell r="AT84">
            <v>10</v>
          </cell>
          <cell r="AY84">
            <v>0</v>
          </cell>
          <cell r="AZ84">
            <v>0</v>
          </cell>
          <cell r="BA84">
            <v>0</v>
          </cell>
          <cell r="BF84">
            <v>0</v>
          </cell>
          <cell r="BG84">
            <v>0</v>
          </cell>
          <cell r="BH84">
            <v>0</v>
          </cell>
          <cell r="BM84">
            <v>0</v>
          </cell>
          <cell r="BN84">
            <v>0</v>
          </cell>
          <cell r="BO84">
            <v>0</v>
          </cell>
          <cell r="BP84" t="b">
            <v>0</v>
          </cell>
          <cell r="BQ84">
            <v>0</v>
          </cell>
          <cell r="BR84">
            <v>58.2</v>
          </cell>
          <cell r="BS84">
            <v>688</v>
          </cell>
          <cell r="BT84">
            <v>60.6</v>
          </cell>
          <cell r="BU84" t="str">
            <v>C</v>
          </cell>
          <cell r="BV84" t="str">
            <v>07</v>
          </cell>
          <cell r="BW84">
            <v>56</v>
          </cell>
          <cell r="BX84" t="str">
            <v>19940101</v>
          </cell>
          <cell r="BZ84" t="str">
            <v>C</v>
          </cell>
          <cell r="CA84" t="str">
            <v>06</v>
          </cell>
          <cell r="CB84" t="str">
            <v>B</v>
          </cell>
          <cell r="CC84" t="str">
            <v>04</v>
          </cell>
          <cell r="CD84" t="str">
            <v>B</v>
          </cell>
          <cell r="CE84" t="str">
            <v>04</v>
          </cell>
        </row>
        <row r="85">
          <cell r="A85" t="str">
            <v>2392802</v>
          </cell>
          <cell r="B85" t="str">
            <v>28</v>
          </cell>
          <cell r="C85" t="str">
            <v>대리</v>
          </cell>
          <cell r="D85" t="str">
            <v>노형균　　</v>
          </cell>
          <cell r="E85" t="str">
            <v>C</v>
          </cell>
          <cell r="G85">
            <v>1</v>
          </cell>
          <cell r="H85" t="str">
            <v>KO**</v>
          </cell>
          <cell r="I85" t="str">
            <v>KQBB</v>
          </cell>
          <cell r="J85" t="str">
            <v>품질감사팀　　　　　</v>
          </cell>
          <cell r="K85" t="str">
            <v>KPCC</v>
          </cell>
          <cell r="L85" t="str">
            <v>상용구동부품개발팀　</v>
          </cell>
          <cell r="O85" t="str">
            <v>KPCC</v>
          </cell>
          <cell r="R85" t="str">
            <v>6</v>
          </cell>
          <cell r="V85" t="str">
            <v>4</v>
          </cell>
          <cell r="W85" t="str">
            <v>1</v>
          </cell>
          <cell r="X85" t="str">
            <v>3</v>
          </cell>
          <cell r="Y85" t="str">
            <v>O</v>
          </cell>
          <cell r="Z85" t="str">
            <v>2095011</v>
          </cell>
          <cell r="AA85" t="str">
            <v>최돈우　　</v>
          </cell>
          <cell r="AB85" t="str">
            <v>24</v>
          </cell>
          <cell r="AC85" t="str">
            <v>43</v>
          </cell>
          <cell r="AD85">
            <v>64</v>
          </cell>
          <cell r="AE85">
            <v>57.21</v>
          </cell>
          <cell r="AF85">
            <v>30</v>
          </cell>
          <cell r="AG85" t="str">
            <v>7158925</v>
          </cell>
          <cell r="AH85" t="str">
            <v>조병진　　</v>
          </cell>
          <cell r="AI85" t="str">
            <v>20</v>
          </cell>
          <cell r="AJ85" t="str">
            <v>32</v>
          </cell>
          <cell r="AK85">
            <v>68</v>
          </cell>
          <cell r="AL85">
            <v>58.86</v>
          </cell>
          <cell r="AM85">
            <v>20</v>
          </cell>
          <cell r="AN85" t="str">
            <v>7043317</v>
          </cell>
          <cell r="AO85" t="str">
            <v>박승하　　</v>
          </cell>
          <cell r="AP85" t="str">
            <v>04</v>
          </cell>
          <cell r="AQ85" t="str">
            <v>30</v>
          </cell>
          <cell r="AR85">
            <v>73</v>
          </cell>
          <cell r="AS85">
            <v>59.53</v>
          </cell>
          <cell r="AT85">
            <v>20</v>
          </cell>
          <cell r="AU85" t="str">
            <v>2008268</v>
          </cell>
          <cell r="AV85" t="str">
            <v>이용도　　</v>
          </cell>
          <cell r="AW85" t="str">
            <v>02</v>
          </cell>
          <cell r="AX85" t="str">
            <v>20</v>
          </cell>
          <cell r="AY85">
            <v>70</v>
          </cell>
          <cell r="AZ85">
            <v>58.77</v>
          </cell>
          <cell r="BA85">
            <v>10</v>
          </cell>
          <cell r="BF85">
            <v>0</v>
          </cell>
          <cell r="BG85">
            <v>0</v>
          </cell>
          <cell r="BH85">
            <v>0</v>
          </cell>
          <cell r="BM85">
            <v>0</v>
          </cell>
          <cell r="BN85">
            <v>0</v>
          </cell>
          <cell r="BO85">
            <v>0</v>
          </cell>
          <cell r="BP85" t="b">
            <v>0</v>
          </cell>
          <cell r="BQ85">
            <v>0</v>
          </cell>
          <cell r="BR85">
            <v>58.4</v>
          </cell>
          <cell r="BS85">
            <v>1021</v>
          </cell>
          <cell r="BT85">
            <v>61</v>
          </cell>
          <cell r="BU85" t="str">
            <v>C</v>
          </cell>
          <cell r="BV85" t="str">
            <v>07</v>
          </cell>
          <cell r="BW85">
            <v>56</v>
          </cell>
          <cell r="BX85" t="str">
            <v>19970101</v>
          </cell>
          <cell r="BZ85" t="str">
            <v>C</v>
          </cell>
          <cell r="CA85" t="str">
            <v>04</v>
          </cell>
          <cell r="CB85" t="str">
            <v>C</v>
          </cell>
          <cell r="CC85" t="str">
            <v>07</v>
          </cell>
          <cell r="CD85" t="str">
            <v>B</v>
          </cell>
          <cell r="CE85" t="str">
            <v>03</v>
          </cell>
        </row>
        <row r="86">
          <cell r="A86" t="str">
            <v>2573514</v>
          </cell>
          <cell r="B86" t="str">
            <v>33</v>
          </cell>
          <cell r="C86" t="str">
            <v>5급</v>
          </cell>
          <cell r="D86" t="str">
            <v>오경선　　</v>
          </cell>
          <cell r="E86" t="str">
            <v>C</v>
          </cell>
          <cell r="G86">
            <v>1</v>
          </cell>
          <cell r="H86" t="str">
            <v>KH**</v>
          </cell>
          <cell r="I86" t="str">
            <v>KHEY</v>
          </cell>
          <cell r="J86" t="str">
            <v>동부）청평지점　　　</v>
          </cell>
          <cell r="K86" t="str">
            <v>KHEX</v>
          </cell>
          <cell r="L86" t="str">
            <v>동부）남양주지점　　</v>
          </cell>
          <cell r="O86" t="str">
            <v>KHEXA</v>
          </cell>
          <cell r="R86" t="str">
            <v>2</v>
          </cell>
          <cell r="V86" t="str">
            <v>7</v>
          </cell>
          <cell r="W86" t="str">
            <v>3</v>
          </cell>
          <cell r="X86" t="str">
            <v>4</v>
          </cell>
          <cell r="Y86" t="str">
            <v>S</v>
          </cell>
          <cell r="Z86" t="str">
            <v>2148108</v>
          </cell>
          <cell r="AA86" t="str">
            <v>류봉선　　</v>
          </cell>
          <cell r="AB86" t="str">
            <v>26</v>
          </cell>
          <cell r="AC86" t="str">
            <v>44</v>
          </cell>
          <cell r="AD86">
            <v>77</v>
          </cell>
          <cell r="AE86">
            <v>55.29</v>
          </cell>
          <cell r="AF86">
            <v>60</v>
          </cell>
          <cell r="AG86" t="str">
            <v>2718162</v>
          </cell>
          <cell r="AH86" t="str">
            <v>박광인　　</v>
          </cell>
          <cell r="AI86" t="str">
            <v>03</v>
          </cell>
          <cell r="AJ86" t="str">
            <v>32</v>
          </cell>
          <cell r="AK86">
            <v>50</v>
          </cell>
          <cell r="AL86">
            <v>50.91</v>
          </cell>
          <cell r="AM86">
            <v>30</v>
          </cell>
          <cell r="AR86">
            <v>0</v>
          </cell>
          <cell r="AS86">
            <v>0</v>
          </cell>
          <cell r="AT86">
            <v>0</v>
          </cell>
          <cell r="AY86">
            <v>0</v>
          </cell>
          <cell r="AZ86">
            <v>0</v>
          </cell>
          <cell r="BA86">
            <v>0</v>
          </cell>
          <cell r="BF86">
            <v>0</v>
          </cell>
          <cell r="BG86">
            <v>0</v>
          </cell>
          <cell r="BH86">
            <v>0</v>
          </cell>
          <cell r="BM86">
            <v>0</v>
          </cell>
          <cell r="BN86">
            <v>0</v>
          </cell>
          <cell r="BO86">
            <v>0</v>
          </cell>
          <cell r="BP86" t="b">
            <v>0</v>
          </cell>
          <cell r="BQ86">
            <v>0</v>
          </cell>
          <cell r="BR86">
            <v>53.83</v>
          </cell>
          <cell r="BS86">
            <v>606</v>
          </cell>
          <cell r="BT86">
            <v>88.5</v>
          </cell>
          <cell r="BU86" t="str">
            <v>D</v>
          </cell>
          <cell r="BV86" t="str">
            <v>10</v>
          </cell>
          <cell r="BW86">
            <v>44</v>
          </cell>
          <cell r="BX86" t="str">
            <v>19940801</v>
          </cell>
          <cell r="BZ86" t="str">
            <v>C</v>
          </cell>
          <cell r="CA86" t="str">
            <v>06</v>
          </cell>
          <cell r="CB86" t="str">
            <v>C</v>
          </cell>
          <cell r="CC86" t="str">
            <v>08</v>
          </cell>
          <cell r="CD86" t="str">
            <v>D</v>
          </cell>
          <cell r="CE86" t="str">
            <v>10</v>
          </cell>
        </row>
        <row r="87">
          <cell r="A87" t="str">
            <v>2684738</v>
          </cell>
          <cell r="B87" t="str">
            <v>33</v>
          </cell>
          <cell r="C87" t="str">
            <v>5급</v>
          </cell>
          <cell r="D87" t="str">
            <v>신규녀　　</v>
          </cell>
          <cell r="E87" t="str">
            <v>C</v>
          </cell>
          <cell r="G87">
            <v>1</v>
          </cell>
          <cell r="H87" t="str">
            <v>KM**</v>
          </cell>
          <cell r="I87" t="str">
            <v>KMD*</v>
          </cell>
          <cell r="J87" t="str">
            <v>전주직매점</v>
          </cell>
          <cell r="K87" t="str">
            <v>KMJO</v>
          </cell>
          <cell r="L87" t="str">
            <v>전주사업소　　　　　</v>
          </cell>
          <cell r="O87" t="str">
            <v>KMJOD</v>
          </cell>
          <cell r="R87" t="str">
            <v>2</v>
          </cell>
          <cell r="V87" t="str">
            <v>7</v>
          </cell>
          <cell r="W87" t="str">
            <v>4</v>
          </cell>
          <cell r="X87" t="str">
            <v>4</v>
          </cell>
          <cell r="Y87" t="str">
            <v>O</v>
          </cell>
          <cell r="Z87" t="str">
            <v>2183607</v>
          </cell>
          <cell r="AA87" t="str">
            <v>황인규　　</v>
          </cell>
          <cell r="AB87" t="str">
            <v>26</v>
          </cell>
          <cell r="AC87" t="str">
            <v>50</v>
          </cell>
          <cell r="AD87">
            <v>50</v>
          </cell>
          <cell r="AE87">
            <v>51.19</v>
          </cell>
          <cell r="AF87">
            <v>40</v>
          </cell>
          <cell r="AG87" t="str">
            <v>2065703</v>
          </cell>
          <cell r="AH87" t="str">
            <v>허영봉　　</v>
          </cell>
          <cell r="AI87" t="str">
            <v>24</v>
          </cell>
          <cell r="AJ87" t="str">
            <v>43</v>
          </cell>
          <cell r="AK87">
            <v>50</v>
          </cell>
          <cell r="AL87">
            <v>52.96</v>
          </cell>
          <cell r="AM87">
            <v>50</v>
          </cell>
          <cell r="AR87">
            <v>0</v>
          </cell>
          <cell r="AS87">
            <v>0</v>
          </cell>
          <cell r="AT87">
            <v>0</v>
          </cell>
          <cell r="AY87">
            <v>0</v>
          </cell>
          <cell r="AZ87">
            <v>0</v>
          </cell>
          <cell r="BA87">
            <v>0</v>
          </cell>
          <cell r="BF87">
            <v>0</v>
          </cell>
          <cell r="BG87">
            <v>0</v>
          </cell>
          <cell r="BH87">
            <v>0</v>
          </cell>
          <cell r="BM87">
            <v>0</v>
          </cell>
          <cell r="BN87">
            <v>0</v>
          </cell>
          <cell r="BO87">
            <v>0</v>
          </cell>
          <cell r="BP87" t="b">
            <v>0</v>
          </cell>
          <cell r="BQ87">
            <v>0</v>
          </cell>
          <cell r="BR87">
            <v>52.17</v>
          </cell>
          <cell r="BS87">
            <v>650</v>
          </cell>
          <cell r="BT87">
            <v>94.9</v>
          </cell>
          <cell r="BU87" t="str">
            <v>E</v>
          </cell>
          <cell r="BV87" t="str">
            <v>10</v>
          </cell>
          <cell r="BW87">
            <v>44</v>
          </cell>
          <cell r="BX87" t="str">
            <v>19961022</v>
          </cell>
          <cell r="BZ87" t="str">
            <v>C</v>
          </cell>
          <cell r="CA87" t="str">
            <v>07</v>
          </cell>
          <cell r="CB87" t="str">
            <v>D</v>
          </cell>
          <cell r="CC87" t="str">
            <v>09</v>
          </cell>
        </row>
        <row r="88">
          <cell r="A88" t="str">
            <v>2092351</v>
          </cell>
          <cell r="B88" t="str">
            <v>28</v>
          </cell>
          <cell r="C88" t="str">
            <v>대리</v>
          </cell>
          <cell r="D88" t="str">
            <v>이재형　　</v>
          </cell>
          <cell r="E88" t="str">
            <v>C</v>
          </cell>
          <cell r="G88">
            <v>1</v>
          </cell>
          <cell r="H88" t="str">
            <v>KH**</v>
          </cell>
          <cell r="I88" t="str">
            <v>KHPH</v>
          </cell>
          <cell r="J88" t="str">
            <v>전남）목포대형상용지</v>
          </cell>
          <cell r="K88" t="str">
            <v>KHQF</v>
          </cell>
          <cell r="L88" t="str">
            <v>버스판매）광주버스지</v>
          </cell>
          <cell r="O88" t="str">
            <v>KHQF</v>
          </cell>
          <cell r="R88" t="str">
            <v>2</v>
          </cell>
          <cell r="V88" t="str">
            <v>4</v>
          </cell>
          <cell r="W88" t="str">
            <v>3</v>
          </cell>
          <cell r="X88" t="str">
            <v>3</v>
          </cell>
          <cell r="Y88" t="str">
            <v>O</v>
          </cell>
          <cell r="Z88" t="str">
            <v>2027231</v>
          </cell>
          <cell r="AA88" t="str">
            <v>국윤재　　</v>
          </cell>
          <cell r="AB88" t="str">
            <v>24</v>
          </cell>
          <cell r="AC88" t="str">
            <v>44</v>
          </cell>
          <cell r="AD88">
            <v>72</v>
          </cell>
          <cell r="AE88">
            <v>54.47</v>
          </cell>
          <cell r="AF88">
            <v>50</v>
          </cell>
          <cell r="AG88" t="str">
            <v>2020506</v>
          </cell>
          <cell r="AH88" t="str">
            <v>한용근　　</v>
          </cell>
          <cell r="AI88" t="str">
            <v>22</v>
          </cell>
          <cell r="AJ88" t="str">
            <v>32</v>
          </cell>
          <cell r="AK88">
            <v>73</v>
          </cell>
          <cell r="AL88">
            <v>55.47</v>
          </cell>
          <cell r="AM88">
            <v>30</v>
          </cell>
          <cell r="AN88" t="str">
            <v>2059744</v>
          </cell>
          <cell r="AO88" t="str">
            <v>김도영　　</v>
          </cell>
          <cell r="AP88" t="str">
            <v>02</v>
          </cell>
          <cell r="AQ88" t="str">
            <v>20</v>
          </cell>
          <cell r="AR88">
            <v>77</v>
          </cell>
          <cell r="AS88">
            <v>62.4</v>
          </cell>
          <cell r="AT88">
            <v>10</v>
          </cell>
          <cell r="AY88">
            <v>0</v>
          </cell>
          <cell r="AZ88">
            <v>0</v>
          </cell>
          <cell r="BA88">
            <v>0</v>
          </cell>
          <cell r="BF88">
            <v>0</v>
          </cell>
          <cell r="BG88">
            <v>0</v>
          </cell>
          <cell r="BH88">
            <v>0</v>
          </cell>
          <cell r="BM88">
            <v>0</v>
          </cell>
          <cell r="BN88">
            <v>0</v>
          </cell>
          <cell r="BO88">
            <v>0</v>
          </cell>
          <cell r="BP88" t="b">
            <v>0</v>
          </cell>
          <cell r="BQ88">
            <v>0</v>
          </cell>
          <cell r="BR88">
            <v>55.68</v>
          </cell>
          <cell r="BS88">
            <v>1294</v>
          </cell>
          <cell r="BT88">
            <v>77.3</v>
          </cell>
          <cell r="BU88" t="str">
            <v>D</v>
          </cell>
          <cell r="BV88" t="str">
            <v>09</v>
          </cell>
          <cell r="BW88">
            <v>48</v>
          </cell>
          <cell r="BX88" t="str">
            <v>19970101</v>
          </cell>
          <cell r="BZ88" t="str">
            <v>C</v>
          </cell>
          <cell r="CA88" t="str">
            <v>08</v>
          </cell>
          <cell r="CB88" t="str">
            <v>D</v>
          </cell>
          <cell r="CC88" t="str">
            <v>10</v>
          </cell>
          <cell r="CD88" t="str">
            <v>B</v>
          </cell>
          <cell r="CE88" t="str">
            <v>03</v>
          </cell>
        </row>
        <row r="89">
          <cell r="A89" t="str">
            <v>2341475</v>
          </cell>
          <cell r="B89" t="str">
            <v>28</v>
          </cell>
          <cell r="C89" t="str">
            <v>대리</v>
          </cell>
          <cell r="D89" t="str">
            <v>백인석　　</v>
          </cell>
          <cell r="E89" t="str">
            <v>C</v>
          </cell>
          <cell r="G89">
            <v>1</v>
          </cell>
          <cell r="H89" t="str">
            <v>KO**</v>
          </cell>
          <cell r="I89" t="str">
            <v>KOCA</v>
          </cell>
          <cell r="J89" t="str">
            <v>업체협력１팀　　　　</v>
          </cell>
          <cell r="K89" t="str">
            <v>KPAB</v>
          </cell>
          <cell r="L89" t="str">
            <v>승용샤시부품개발팀　</v>
          </cell>
          <cell r="O89" t="str">
            <v>KPAB</v>
          </cell>
          <cell r="R89" t="str">
            <v>4</v>
          </cell>
          <cell r="V89" t="str">
            <v>4</v>
          </cell>
          <cell r="W89" t="str">
            <v>1</v>
          </cell>
          <cell r="X89" t="str">
            <v>3</v>
          </cell>
          <cell r="Y89" t="str">
            <v>S</v>
          </cell>
          <cell r="Z89" t="str">
            <v>7428982</v>
          </cell>
          <cell r="AA89" t="str">
            <v>최재현　　</v>
          </cell>
          <cell r="AB89" t="str">
            <v>24</v>
          </cell>
          <cell r="AC89" t="str">
            <v>43</v>
          </cell>
          <cell r="AD89">
            <v>64</v>
          </cell>
          <cell r="AE89">
            <v>54.07</v>
          </cell>
          <cell r="AF89">
            <v>30</v>
          </cell>
          <cell r="AG89" t="str">
            <v>7151374</v>
          </cell>
          <cell r="AH89" t="str">
            <v>고승환　　</v>
          </cell>
          <cell r="AI89" t="str">
            <v>20</v>
          </cell>
          <cell r="AJ89" t="str">
            <v>32</v>
          </cell>
          <cell r="AK89">
            <v>68</v>
          </cell>
          <cell r="AL89">
            <v>60.03</v>
          </cell>
          <cell r="AM89">
            <v>20</v>
          </cell>
          <cell r="AN89" t="str">
            <v>7043317</v>
          </cell>
          <cell r="AO89" t="str">
            <v>박승하　　</v>
          </cell>
          <cell r="AP89" t="str">
            <v>04</v>
          </cell>
          <cell r="AQ89" t="str">
            <v>30</v>
          </cell>
          <cell r="AR89">
            <v>74</v>
          </cell>
          <cell r="AS89">
            <v>59.91</v>
          </cell>
          <cell r="AT89">
            <v>20</v>
          </cell>
          <cell r="AU89" t="str">
            <v>2008268</v>
          </cell>
          <cell r="AV89" t="str">
            <v>이용도　　</v>
          </cell>
          <cell r="AW89" t="str">
            <v>02</v>
          </cell>
          <cell r="AX89" t="str">
            <v>20</v>
          </cell>
          <cell r="AY89">
            <v>64</v>
          </cell>
          <cell r="AZ89">
            <v>56.2</v>
          </cell>
          <cell r="BA89">
            <v>10</v>
          </cell>
          <cell r="BF89">
            <v>0</v>
          </cell>
          <cell r="BG89">
            <v>0</v>
          </cell>
          <cell r="BH89">
            <v>0</v>
          </cell>
          <cell r="BM89">
            <v>0</v>
          </cell>
          <cell r="BN89">
            <v>0</v>
          </cell>
          <cell r="BO89">
            <v>0</v>
          </cell>
          <cell r="BP89" t="b">
            <v>0</v>
          </cell>
          <cell r="BQ89">
            <v>0</v>
          </cell>
          <cell r="BR89">
            <v>57.29</v>
          </cell>
          <cell r="BS89">
            <v>1145</v>
          </cell>
          <cell r="BT89">
            <v>68.400000000000006</v>
          </cell>
          <cell r="BU89" t="str">
            <v>C</v>
          </cell>
          <cell r="BV89" t="str">
            <v>08</v>
          </cell>
          <cell r="BW89">
            <v>52</v>
          </cell>
          <cell r="BX89" t="str">
            <v>19950101</v>
          </cell>
          <cell r="BZ89" t="str">
            <v>B</v>
          </cell>
          <cell r="CA89" t="str">
            <v>04</v>
          </cell>
          <cell r="CB89" t="str">
            <v>C</v>
          </cell>
          <cell r="CC89" t="str">
            <v>07</v>
          </cell>
          <cell r="CD89" t="str">
            <v>C</v>
          </cell>
          <cell r="CE89" t="str">
            <v>07</v>
          </cell>
        </row>
        <row r="90">
          <cell r="A90" t="str">
            <v>2313289</v>
          </cell>
          <cell r="B90" t="str">
            <v>28</v>
          </cell>
          <cell r="C90" t="str">
            <v>대리</v>
          </cell>
          <cell r="D90" t="str">
            <v>김형렬　　</v>
          </cell>
          <cell r="E90" t="str">
            <v>C</v>
          </cell>
          <cell r="G90">
            <v>1</v>
          </cell>
          <cell r="H90" t="str">
            <v>KO**</v>
          </cell>
          <cell r="I90" t="str">
            <v>KPBC</v>
          </cell>
          <cell r="J90" t="str">
            <v>상용차체부품개발팀　</v>
          </cell>
          <cell r="K90" t="str">
            <v>KPAB</v>
          </cell>
          <cell r="L90" t="str">
            <v>승용샤시부품개발팀　</v>
          </cell>
          <cell r="O90" t="str">
            <v>KPAB</v>
          </cell>
          <cell r="R90" t="str">
            <v>4</v>
          </cell>
          <cell r="V90" t="str">
            <v>4</v>
          </cell>
          <cell r="W90" t="str">
            <v>1</v>
          </cell>
          <cell r="X90" t="str">
            <v>3</v>
          </cell>
          <cell r="Y90" t="str">
            <v>S</v>
          </cell>
          <cell r="Z90" t="str">
            <v>7428982</v>
          </cell>
          <cell r="AA90" t="str">
            <v>최재현　　</v>
          </cell>
          <cell r="AB90" t="str">
            <v>24</v>
          </cell>
          <cell r="AC90" t="str">
            <v>43</v>
          </cell>
          <cell r="AD90">
            <v>66</v>
          </cell>
          <cell r="AE90">
            <v>56.04</v>
          </cell>
          <cell r="AF90">
            <v>30</v>
          </cell>
          <cell r="AG90" t="str">
            <v>7151374</v>
          </cell>
          <cell r="AH90" t="str">
            <v>고승환　　</v>
          </cell>
          <cell r="AI90" t="str">
            <v>20</v>
          </cell>
          <cell r="AJ90" t="str">
            <v>32</v>
          </cell>
          <cell r="AK90">
            <v>65</v>
          </cell>
          <cell r="AL90">
            <v>58.62</v>
          </cell>
          <cell r="AM90">
            <v>20</v>
          </cell>
          <cell r="AN90" t="str">
            <v>7043317</v>
          </cell>
          <cell r="AO90" t="str">
            <v>박승하　　</v>
          </cell>
          <cell r="AP90" t="str">
            <v>04</v>
          </cell>
          <cell r="AQ90" t="str">
            <v>30</v>
          </cell>
          <cell r="AR90">
            <v>75</v>
          </cell>
          <cell r="AS90">
            <v>60.29</v>
          </cell>
          <cell r="AT90">
            <v>20</v>
          </cell>
          <cell r="AU90" t="str">
            <v>2008268</v>
          </cell>
          <cell r="AV90" t="str">
            <v>이용도　　</v>
          </cell>
          <cell r="AW90" t="str">
            <v>02</v>
          </cell>
          <cell r="AX90" t="str">
            <v>20</v>
          </cell>
          <cell r="AY90">
            <v>64</v>
          </cell>
          <cell r="AZ90">
            <v>56.2</v>
          </cell>
          <cell r="BA90">
            <v>10</v>
          </cell>
          <cell r="BF90">
            <v>0</v>
          </cell>
          <cell r="BG90">
            <v>0</v>
          </cell>
          <cell r="BH90">
            <v>0</v>
          </cell>
          <cell r="BM90">
            <v>0</v>
          </cell>
          <cell r="BN90">
            <v>0</v>
          </cell>
          <cell r="BO90">
            <v>0</v>
          </cell>
          <cell r="BP90" t="b">
            <v>0</v>
          </cell>
          <cell r="BQ90">
            <v>0</v>
          </cell>
          <cell r="BR90">
            <v>57.77</v>
          </cell>
          <cell r="BS90">
            <v>1090</v>
          </cell>
          <cell r="BT90">
            <v>65.099999999999994</v>
          </cell>
          <cell r="BU90" t="str">
            <v>C</v>
          </cell>
          <cell r="BV90" t="str">
            <v>08</v>
          </cell>
          <cell r="BW90">
            <v>52</v>
          </cell>
          <cell r="BX90" t="str">
            <v>19960101</v>
          </cell>
          <cell r="BZ90" t="str">
            <v>C</v>
          </cell>
          <cell r="CA90" t="str">
            <v>06</v>
          </cell>
          <cell r="CB90" t="str">
            <v>C</v>
          </cell>
          <cell r="CC90" t="str">
            <v>06</v>
          </cell>
          <cell r="CD90" t="str">
            <v>C</v>
          </cell>
          <cell r="CE90" t="str">
            <v>06</v>
          </cell>
        </row>
        <row r="91">
          <cell r="A91" t="str">
            <v>2187404</v>
          </cell>
          <cell r="B91" t="str">
            <v>26</v>
          </cell>
          <cell r="C91" t="str">
            <v>과장</v>
          </cell>
          <cell r="D91" t="str">
            <v>이시택　　</v>
          </cell>
          <cell r="E91" t="str">
            <v>C</v>
          </cell>
          <cell r="G91">
            <v>1</v>
          </cell>
          <cell r="H91" t="str">
            <v>KH**</v>
          </cell>
          <cell r="I91" t="str">
            <v>KHJD</v>
          </cell>
          <cell r="J91" t="str">
            <v>경기）오산지점　　　</v>
          </cell>
          <cell r="K91" t="str">
            <v>KHJJ</v>
          </cell>
          <cell r="L91" t="str">
            <v>경기）남수원지점　　</v>
          </cell>
          <cell r="O91" t="str">
            <v>KHJJA</v>
          </cell>
          <cell r="R91" t="str">
            <v>2</v>
          </cell>
          <cell r="T91" t="str">
            <v>50</v>
          </cell>
          <cell r="U91" t="str">
            <v>과장</v>
          </cell>
          <cell r="V91" t="str">
            <v>3</v>
          </cell>
          <cell r="W91" t="str">
            <v>3</v>
          </cell>
          <cell r="X91" t="str">
            <v>2</v>
          </cell>
          <cell r="Y91" t="str">
            <v>O</v>
          </cell>
          <cell r="Z91" t="str">
            <v>2065651</v>
          </cell>
          <cell r="AA91" t="str">
            <v>한구철　　</v>
          </cell>
          <cell r="AB91" t="str">
            <v>26</v>
          </cell>
          <cell r="AC91" t="str">
            <v>44</v>
          </cell>
          <cell r="AD91">
            <v>91</v>
          </cell>
          <cell r="AE91">
            <v>60</v>
          </cell>
          <cell r="AF91">
            <v>50</v>
          </cell>
          <cell r="AG91" t="str">
            <v>2209609</v>
          </cell>
          <cell r="AH91" t="str">
            <v>김익래　　</v>
          </cell>
          <cell r="AI91" t="str">
            <v>20</v>
          </cell>
          <cell r="AJ91" t="str">
            <v>32</v>
          </cell>
          <cell r="AK91">
            <v>80</v>
          </cell>
          <cell r="AL91">
            <v>54.72</v>
          </cell>
          <cell r="AM91">
            <v>30</v>
          </cell>
          <cell r="AN91" t="str">
            <v>2059744</v>
          </cell>
          <cell r="AO91" t="str">
            <v>김도영　　</v>
          </cell>
          <cell r="AP91" t="str">
            <v>02</v>
          </cell>
          <cell r="AQ91" t="str">
            <v>20</v>
          </cell>
          <cell r="AR91">
            <v>63</v>
          </cell>
          <cell r="AS91">
            <v>57.3</v>
          </cell>
          <cell r="AT91">
            <v>10</v>
          </cell>
          <cell r="AY91">
            <v>0</v>
          </cell>
          <cell r="AZ91">
            <v>0</v>
          </cell>
          <cell r="BA91">
            <v>0</v>
          </cell>
          <cell r="BF91">
            <v>0</v>
          </cell>
          <cell r="BG91">
            <v>0</v>
          </cell>
          <cell r="BH91">
            <v>0</v>
          </cell>
          <cell r="BM91">
            <v>0</v>
          </cell>
          <cell r="BN91">
            <v>0</v>
          </cell>
          <cell r="BO91">
            <v>0</v>
          </cell>
          <cell r="BP91" t="b">
            <v>0</v>
          </cell>
          <cell r="BQ91">
            <v>0</v>
          </cell>
          <cell r="BR91">
            <v>57.94</v>
          </cell>
          <cell r="BS91">
            <v>709</v>
          </cell>
          <cell r="BT91">
            <v>62.4</v>
          </cell>
          <cell r="BU91" t="str">
            <v>C</v>
          </cell>
          <cell r="BV91" t="str">
            <v>07</v>
          </cell>
          <cell r="BW91">
            <v>56</v>
          </cell>
          <cell r="BX91" t="str">
            <v>19970101</v>
          </cell>
          <cell r="BZ91" t="str">
            <v>A</v>
          </cell>
          <cell r="CA91" t="str">
            <v>01</v>
          </cell>
          <cell r="CB91" t="str">
            <v>E</v>
          </cell>
          <cell r="CC91" t="str">
            <v>11</v>
          </cell>
          <cell r="CD91" t="str">
            <v>B</v>
          </cell>
          <cell r="CE91" t="str">
            <v>03</v>
          </cell>
        </row>
        <row r="92">
          <cell r="A92" t="str">
            <v>2508692</v>
          </cell>
          <cell r="B92" t="str">
            <v>28</v>
          </cell>
          <cell r="C92" t="str">
            <v>대리</v>
          </cell>
          <cell r="D92" t="str">
            <v>김태균　　</v>
          </cell>
          <cell r="E92" t="str">
            <v>C</v>
          </cell>
          <cell r="G92">
            <v>1</v>
          </cell>
          <cell r="H92" t="str">
            <v>KH**</v>
          </cell>
          <cell r="I92" t="str">
            <v>KHBA</v>
          </cell>
          <cell r="J92" t="str">
            <v>채권관리팀　　　　　</v>
          </cell>
          <cell r="K92" t="str">
            <v>KHUM</v>
          </cell>
          <cell r="L92" t="str">
            <v>대구）반야월지점　　</v>
          </cell>
          <cell r="O92" t="str">
            <v>KHUMA</v>
          </cell>
          <cell r="R92" t="str">
            <v>2</v>
          </cell>
          <cell r="V92" t="str">
            <v>4</v>
          </cell>
          <cell r="W92" t="str">
            <v>3</v>
          </cell>
          <cell r="X92" t="str">
            <v>3</v>
          </cell>
          <cell r="Y92" t="str">
            <v>O</v>
          </cell>
          <cell r="Z92" t="str">
            <v>2318624</v>
          </cell>
          <cell r="AA92" t="str">
            <v>박종갑　　</v>
          </cell>
          <cell r="AB92" t="str">
            <v>26</v>
          </cell>
          <cell r="AC92" t="str">
            <v>44</v>
          </cell>
          <cell r="AD92">
            <v>90</v>
          </cell>
          <cell r="AE92">
            <v>60</v>
          </cell>
          <cell r="AF92">
            <v>50</v>
          </cell>
          <cell r="AG92" t="str">
            <v>2018769</v>
          </cell>
          <cell r="AH92" t="str">
            <v>이문식　　</v>
          </cell>
          <cell r="AI92" t="str">
            <v>20</v>
          </cell>
          <cell r="AJ92" t="str">
            <v>32</v>
          </cell>
          <cell r="AK92">
            <v>80</v>
          </cell>
          <cell r="AL92">
            <v>60.04</v>
          </cell>
          <cell r="AM92">
            <v>30</v>
          </cell>
          <cell r="AN92" t="str">
            <v>2059744</v>
          </cell>
          <cell r="AO92" t="str">
            <v>김도영　　</v>
          </cell>
          <cell r="AP92" t="str">
            <v>02</v>
          </cell>
          <cell r="AQ92" t="str">
            <v>20</v>
          </cell>
          <cell r="AR92">
            <v>63</v>
          </cell>
          <cell r="AS92">
            <v>57.38</v>
          </cell>
          <cell r="AT92">
            <v>10</v>
          </cell>
          <cell r="AY92">
            <v>0</v>
          </cell>
          <cell r="AZ92">
            <v>0</v>
          </cell>
          <cell r="BA92">
            <v>0</v>
          </cell>
          <cell r="BF92">
            <v>0</v>
          </cell>
          <cell r="BG92">
            <v>0</v>
          </cell>
          <cell r="BH92">
            <v>0</v>
          </cell>
          <cell r="BM92">
            <v>0</v>
          </cell>
          <cell r="BN92">
            <v>0</v>
          </cell>
          <cell r="BO92">
            <v>0</v>
          </cell>
          <cell r="BP92" t="b">
            <v>0</v>
          </cell>
          <cell r="BQ92">
            <v>0</v>
          </cell>
          <cell r="BR92">
            <v>59.72</v>
          </cell>
          <cell r="BS92">
            <v>848</v>
          </cell>
          <cell r="BT92">
            <v>50.7</v>
          </cell>
          <cell r="BU92" t="str">
            <v>C</v>
          </cell>
          <cell r="BV92" t="str">
            <v>06</v>
          </cell>
          <cell r="BW92">
            <v>60</v>
          </cell>
          <cell r="BX92" t="str">
            <v>19980101</v>
          </cell>
          <cell r="BZ92" t="str">
            <v>C</v>
          </cell>
          <cell r="CA92" t="str">
            <v>06</v>
          </cell>
          <cell r="CB92" t="str">
            <v>A</v>
          </cell>
          <cell r="CC92" t="str">
            <v>02</v>
          </cell>
          <cell r="CD92" t="str">
            <v>C</v>
          </cell>
          <cell r="CE92" t="str">
            <v>04</v>
          </cell>
        </row>
        <row r="93">
          <cell r="A93" t="str">
            <v>2476872</v>
          </cell>
          <cell r="B93" t="str">
            <v>32</v>
          </cell>
          <cell r="C93" t="str">
            <v>4을</v>
          </cell>
          <cell r="D93" t="str">
            <v>강현기　　</v>
          </cell>
          <cell r="E93" t="str">
            <v>C</v>
          </cell>
          <cell r="G93">
            <v>1</v>
          </cell>
          <cell r="H93" t="str">
            <v>KH**</v>
          </cell>
          <cell r="I93" t="str">
            <v>KHLC</v>
          </cell>
          <cell r="J93" t="str">
            <v>대전）대전중구지점　</v>
          </cell>
          <cell r="K93" t="str">
            <v>KHLL</v>
          </cell>
          <cell r="L93" t="str">
            <v>대전）대전택시지점　</v>
          </cell>
          <cell r="O93" t="str">
            <v>KHLLA</v>
          </cell>
          <cell r="R93" t="str">
            <v>2</v>
          </cell>
          <cell r="V93" t="str">
            <v>6</v>
          </cell>
          <cell r="W93" t="str">
            <v>3</v>
          </cell>
          <cell r="X93" t="str">
            <v>4</v>
          </cell>
          <cell r="Y93" t="str">
            <v>S</v>
          </cell>
          <cell r="Z93" t="str">
            <v>2127137</v>
          </cell>
          <cell r="AA93" t="str">
            <v>박지철　　</v>
          </cell>
          <cell r="AB93" t="str">
            <v>26</v>
          </cell>
          <cell r="AC93" t="str">
            <v>44</v>
          </cell>
          <cell r="AD93">
            <v>81</v>
          </cell>
          <cell r="AE93">
            <v>64.709999999999994</v>
          </cell>
          <cell r="AF93">
            <v>60</v>
          </cell>
          <cell r="AG93" t="str">
            <v>2006365</v>
          </cell>
          <cell r="AH93" t="str">
            <v>김선기　　</v>
          </cell>
          <cell r="AI93" t="str">
            <v>04</v>
          </cell>
          <cell r="AJ93" t="str">
            <v>32</v>
          </cell>
          <cell r="AK93">
            <v>62</v>
          </cell>
          <cell r="AL93">
            <v>54.53</v>
          </cell>
          <cell r="AM93">
            <v>30</v>
          </cell>
          <cell r="AR93">
            <v>0</v>
          </cell>
          <cell r="AS93">
            <v>0</v>
          </cell>
          <cell r="AT93">
            <v>0</v>
          </cell>
          <cell r="AY93">
            <v>0</v>
          </cell>
          <cell r="AZ93">
            <v>0</v>
          </cell>
          <cell r="BA93">
            <v>0</v>
          </cell>
          <cell r="BF93">
            <v>0</v>
          </cell>
          <cell r="BG93">
            <v>0</v>
          </cell>
          <cell r="BH93">
            <v>0</v>
          </cell>
          <cell r="BM93">
            <v>0</v>
          </cell>
          <cell r="BN93">
            <v>0</v>
          </cell>
          <cell r="BO93">
            <v>0</v>
          </cell>
          <cell r="BP93" t="b">
            <v>0</v>
          </cell>
          <cell r="BQ93">
            <v>0</v>
          </cell>
          <cell r="BR93">
            <v>61.32</v>
          </cell>
          <cell r="BS93">
            <v>300</v>
          </cell>
          <cell r="BT93">
            <v>43</v>
          </cell>
          <cell r="BU93" t="str">
            <v>C</v>
          </cell>
          <cell r="BV93" t="str">
            <v>05</v>
          </cell>
          <cell r="BW93">
            <v>64</v>
          </cell>
          <cell r="BX93" t="str">
            <v>19930619</v>
          </cell>
          <cell r="CD93" t="str">
            <v>D</v>
          </cell>
          <cell r="CE93" t="str">
            <v>09</v>
          </cell>
        </row>
        <row r="94">
          <cell r="A94" t="str">
            <v>2234532</v>
          </cell>
          <cell r="B94" t="str">
            <v>30</v>
          </cell>
          <cell r="C94" t="str">
            <v>4갑</v>
          </cell>
          <cell r="D94" t="str">
            <v>이진억　　</v>
          </cell>
          <cell r="E94" t="str">
            <v>C</v>
          </cell>
          <cell r="G94">
            <v>1</v>
          </cell>
          <cell r="H94" t="str">
            <v>KH**</v>
          </cell>
          <cell r="I94" t="str">
            <v>KHLG</v>
          </cell>
          <cell r="J94" t="str">
            <v>대전）신탄진지점　　</v>
          </cell>
          <cell r="K94" t="str">
            <v>KHLJ</v>
          </cell>
          <cell r="L94" t="str">
            <v>대전）동대전지점　　</v>
          </cell>
          <cell r="O94" t="str">
            <v>KHLJA</v>
          </cell>
          <cell r="R94" t="str">
            <v>2</v>
          </cell>
          <cell r="V94" t="str">
            <v>5</v>
          </cell>
          <cell r="W94" t="str">
            <v>3</v>
          </cell>
          <cell r="X94" t="str">
            <v>3</v>
          </cell>
          <cell r="Y94" t="str">
            <v>S</v>
          </cell>
          <cell r="Z94" t="str">
            <v>2131477</v>
          </cell>
          <cell r="AA94" t="str">
            <v>이호완　　</v>
          </cell>
          <cell r="AB94" t="str">
            <v>26</v>
          </cell>
          <cell r="AC94" t="str">
            <v>44</v>
          </cell>
          <cell r="AD94">
            <v>96</v>
          </cell>
          <cell r="AE94">
            <v>64.709999999999994</v>
          </cell>
          <cell r="AF94">
            <v>50</v>
          </cell>
          <cell r="AG94" t="str">
            <v>2006365</v>
          </cell>
          <cell r="AH94" t="str">
            <v>김선기　　</v>
          </cell>
          <cell r="AI94" t="str">
            <v>04</v>
          </cell>
          <cell r="AJ94" t="str">
            <v>32</v>
          </cell>
          <cell r="AK94">
            <v>96</v>
          </cell>
          <cell r="AL94">
            <v>68.23</v>
          </cell>
          <cell r="AM94">
            <v>30</v>
          </cell>
          <cell r="AN94" t="str">
            <v>2059744</v>
          </cell>
          <cell r="AO94" t="str">
            <v>김도영　　</v>
          </cell>
          <cell r="AP94" t="str">
            <v>02</v>
          </cell>
          <cell r="AQ94" t="str">
            <v>20</v>
          </cell>
          <cell r="AR94">
            <v>70</v>
          </cell>
          <cell r="AS94">
            <v>59.89</v>
          </cell>
          <cell r="AT94">
            <v>10</v>
          </cell>
          <cell r="AY94">
            <v>0</v>
          </cell>
          <cell r="AZ94">
            <v>0</v>
          </cell>
          <cell r="BA94">
            <v>0</v>
          </cell>
          <cell r="BF94">
            <v>0</v>
          </cell>
          <cell r="BG94">
            <v>0</v>
          </cell>
          <cell r="BH94">
            <v>0</v>
          </cell>
          <cell r="BM94">
            <v>0</v>
          </cell>
          <cell r="BN94">
            <v>0</v>
          </cell>
          <cell r="BO94">
            <v>0</v>
          </cell>
          <cell r="BP94" t="b">
            <v>0</v>
          </cell>
          <cell r="BQ94">
            <v>0</v>
          </cell>
          <cell r="BR94">
            <v>65.349999999999994</v>
          </cell>
          <cell r="BS94">
            <v>278</v>
          </cell>
          <cell r="BT94">
            <v>19.2</v>
          </cell>
          <cell r="BU94" t="str">
            <v>B</v>
          </cell>
          <cell r="BV94" t="str">
            <v>03</v>
          </cell>
          <cell r="BW94">
            <v>72</v>
          </cell>
          <cell r="BX94" t="str">
            <v>19930101</v>
          </cell>
          <cell r="CD94" t="str">
            <v>B</v>
          </cell>
          <cell r="CE94" t="str">
            <v>03</v>
          </cell>
        </row>
        <row r="95">
          <cell r="A95" t="str">
            <v>2725303</v>
          </cell>
          <cell r="B95" t="str">
            <v>28</v>
          </cell>
          <cell r="C95" t="str">
            <v>대리</v>
          </cell>
          <cell r="D95" t="str">
            <v>정원정　　</v>
          </cell>
          <cell r="E95" t="str">
            <v>C</v>
          </cell>
          <cell r="G95">
            <v>1</v>
          </cell>
          <cell r="H95" t="str">
            <v>KK**</v>
          </cell>
          <cell r="K95" t="str">
            <v>KLAA</v>
          </cell>
          <cell r="L95" t="str">
            <v>수출기획팀　　　　　</v>
          </cell>
          <cell r="O95" t="str">
            <v>KLAA</v>
          </cell>
          <cell r="R95" t="str">
            <v>1</v>
          </cell>
          <cell r="V95" t="str">
            <v>4</v>
          </cell>
          <cell r="W95" t="str">
            <v>1</v>
          </cell>
          <cell r="X95" t="str">
            <v>3</v>
          </cell>
          <cell r="Y95" t="str">
            <v>S</v>
          </cell>
          <cell r="Z95" t="str">
            <v>2074755</v>
          </cell>
          <cell r="AA95" t="str">
            <v>정필경　　</v>
          </cell>
          <cell r="AB95" t="str">
            <v>22</v>
          </cell>
          <cell r="AC95" t="str">
            <v>43</v>
          </cell>
          <cell r="AD95">
            <v>92</v>
          </cell>
          <cell r="AE95">
            <v>67.459999999999994</v>
          </cell>
          <cell r="AF95">
            <v>30</v>
          </cell>
          <cell r="AG95" t="str">
            <v>2725267</v>
          </cell>
          <cell r="AH95" t="str">
            <v>김진성　　</v>
          </cell>
          <cell r="AI95" t="str">
            <v>05</v>
          </cell>
          <cell r="AJ95" t="str">
            <v>32</v>
          </cell>
          <cell r="AK95">
            <v>96</v>
          </cell>
          <cell r="AL95">
            <v>68.599999999999994</v>
          </cell>
          <cell r="AM95">
            <v>20</v>
          </cell>
          <cell r="AN95" t="str">
            <v>2002024</v>
          </cell>
          <cell r="AO95" t="str">
            <v>이덕규　　</v>
          </cell>
          <cell r="AP95" t="str">
            <v>04</v>
          </cell>
          <cell r="AQ95" t="str">
            <v>30</v>
          </cell>
          <cell r="AR95">
            <v>96</v>
          </cell>
          <cell r="AS95">
            <v>69.95</v>
          </cell>
          <cell r="AT95">
            <v>20</v>
          </cell>
          <cell r="AU95" t="str">
            <v>2005295</v>
          </cell>
          <cell r="AV95" t="str">
            <v>박성도　　</v>
          </cell>
          <cell r="AW95" t="str">
            <v>02</v>
          </cell>
          <cell r="AX95" t="str">
            <v>20</v>
          </cell>
          <cell r="AY95">
            <v>100</v>
          </cell>
          <cell r="AZ95">
            <v>71.959999999999994</v>
          </cell>
          <cell r="BA95">
            <v>10</v>
          </cell>
          <cell r="BF95">
            <v>0</v>
          </cell>
          <cell r="BG95">
            <v>0</v>
          </cell>
          <cell r="BH95">
            <v>0</v>
          </cell>
          <cell r="BM95">
            <v>0</v>
          </cell>
          <cell r="BN95">
            <v>0</v>
          </cell>
          <cell r="BO95">
            <v>0</v>
          </cell>
          <cell r="BP95" t="b">
            <v>0</v>
          </cell>
          <cell r="BQ95">
            <v>0</v>
          </cell>
          <cell r="BR95">
            <v>68.930000000000007</v>
          </cell>
          <cell r="BS95">
            <v>86</v>
          </cell>
          <cell r="BT95">
            <v>5.0999999999999996</v>
          </cell>
          <cell r="BU95" t="str">
            <v>A</v>
          </cell>
          <cell r="BV95" t="str">
            <v>02</v>
          </cell>
          <cell r="BW95">
            <v>76</v>
          </cell>
          <cell r="BX95" t="str">
            <v>19960101</v>
          </cell>
        </row>
        <row r="96">
          <cell r="A96" t="str">
            <v>7271782</v>
          </cell>
          <cell r="B96" t="str">
            <v>24</v>
          </cell>
          <cell r="C96" t="str">
            <v>차장</v>
          </cell>
          <cell r="D96" t="str">
            <v>예병태　　</v>
          </cell>
          <cell r="E96" t="str">
            <v>C</v>
          </cell>
          <cell r="G96">
            <v>1</v>
          </cell>
          <cell r="H96" t="str">
            <v>KK**</v>
          </cell>
          <cell r="K96" t="str">
            <v>KLBB</v>
          </cell>
          <cell r="L96" t="str">
            <v>해외시장조사팀　　　</v>
          </cell>
          <cell r="O96" t="str">
            <v>KLBB</v>
          </cell>
          <cell r="R96" t="str">
            <v>1</v>
          </cell>
          <cell r="T96" t="str">
            <v>43</v>
          </cell>
          <cell r="U96" t="str">
            <v>팀장</v>
          </cell>
          <cell r="V96" t="str">
            <v>2</v>
          </cell>
          <cell r="W96" t="str">
            <v>1</v>
          </cell>
          <cell r="X96" t="str">
            <v>1</v>
          </cell>
          <cell r="Y96" t="str">
            <v>S</v>
          </cell>
          <cell r="Z96" t="str">
            <v>2712521</v>
          </cell>
          <cell r="AA96" t="str">
            <v>서동식　　</v>
          </cell>
          <cell r="AB96" t="str">
            <v>05</v>
          </cell>
          <cell r="AC96" t="str">
            <v>32</v>
          </cell>
          <cell r="AD96">
            <v>98</v>
          </cell>
          <cell r="AE96">
            <v>68.8</v>
          </cell>
          <cell r="AF96">
            <v>10</v>
          </cell>
          <cell r="AG96" t="str">
            <v>2002024</v>
          </cell>
          <cell r="AH96" t="str">
            <v>이덕규　　</v>
          </cell>
          <cell r="AI96" t="str">
            <v>04</v>
          </cell>
          <cell r="AJ96" t="str">
            <v>30</v>
          </cell>
          <cell r="AK96">
            <v>94</v>
          </cell>
          <cell r="AL96">
            <v>68.72</v>
          </cell>
          <cell r="AM96">
            <v>20</v>
          </cell>
          <cell r="AN96" t="str">
            <v>2005295</v>
          </cell>
          <cell r="AO96" t="str">
            <v>박성도　　</v>
          </cell>
          <cell r="AP96" t="str">
            <v>02</v>
          </cell>
          <cell r="AQ96" t="str">
            <v>20</v>
          </cell>
          <cell r="AR96">
            <v>100</v>
          </cell>
          <cell r="AS96">
            <v>71.14</v>
          </cell>
          <cell r="AT96">
            <v>40</v>
          </cell>
          <cell r="AY96">
            <v>0</v>
          </cell>
          <cell r="AZ96">
            <v>0</v>
          </cell>
          <cell r="BA96">
            <v>0</v>
          </cell>
          <cell r="BF96">
            <v>0</v>
          </cell>
          <cell r="BG96">
            <v>0</v>
          </cell>
          <cell r="BH96">
            <v>0</v>
          </cell>
          <cell r="BM96">
            <v>0</v>
          </cell>
          <cell r="BN96">
            <v>0</v>
          </cell>
          <cell r="BO96">
            <v>0</v>
          </cell>
          <cell r="BP96" t="b">
            <v>1</v>
          </cell>
          <cell r="BQ96">
            <v>5.5</v>
          </cell>
          <cell r="BR96">
            <v>66.849999999999994</v>
          </cell>
          <cell r="BS96">
            <v>23</v>
          </cell>
          <cell r="BT96">
            <v>8.8000000000000007</v>
          </cell>
          <cell r="BU96" t="str">
            <v>A</v>
          </cell>
          <cell r="BV96" t="str">
            <v>02</v>
          </cell>
          <cell r="BW96">
            <v>76</v>
          </cell>
          <cell r="BX96" t="str">
            <v>19950101</v>
          </cell>
        </row>
        <row r="97">
          <cell r="A97" t="str">
            <v>0032631</v>
          </cell>
          <cell r="B97" t="str">
            <v>22</v>
          </cell>
          <cell r="C97" t="str">
            <v>부장</v>
          </cell>
          <cell r="D97" t="str">
            <v>조병덕　　</v>
          </cell>
          <cell r="E97" t="str">
            <v>C</v>
          </cell>
          <cell r="G97">
            <v>1</v>
          </cell>
          <cell r="H97" t="str">
            <v>KM**</v>
          </cell>
          <cell r="K97" t="str">
            <v>KMEA</v>
          </cell>
          <cell r="L97" t="str">
            <v>부품조달팀　　　　　</v>
          </cell>
          <cell r="O97" t="str">
            <v>KMEA</v>
          </cell>
          <cell r="R97" t="str">
            <v>4</v>
          </cell>
          <cell r="T97" t="str">
            <v>43</v>
          </cell>
          <cell r="U97" t="str">
            <v>팀장</v>
          </cell>
          <cell r="V97" t="str">
            <v>1</v>
          </cell>
          <cell r="W97" t="str">
            <v>1</v>
          </cell>
          <cell r="X97" t="str">
            <v>1</v>
          </cell>
          <cell r="Y97" t="str">
            <v>O</v>
          </cell>
          <cell r="Z97" t="str">
            <v>0043652</v>
          </cell>
          <cell r="AA97" t="str">
            <v>정남기　　</v>
          </cell>
          <cell r="AB97" t="str">
            <v>05</v>
          </cell>
          <cell r="AC97" t="str">
            <v>32</v>
          </cell>
          <cell r="AD97">
            <v>90</v>
          </cell>
          <cell r="AE97">
            <v>60</v>
          </cell>
          <cell r="AF97">
            <v>20</v>
          </cell>
          <cell r="AG97" t="str">
            <v>2001319</v>
          </cell>
          <cell r="AH97" t="str">
            <v>차정식　　</v>
          </cell>
          <cell r="AI97" t="str">
            <v>02</v>
          </cell>
          <cell r="AJ97" t="str">
            <v>20</v>
          </cell>
          <cell r="AK97">
            <v>100</v>
          </cell>
          <cell r="AL97">
            <v>70.69</v>
          </cell>
          <cell r="AM97">
            <v>50</v>
          </cell>
          <cell r="AR97">
            <v>0</v>
          </cell>
          <cell r="AS97">
            <v>0</v>
          </cell>
          <cell r="AT97">
            <v>0</v>
          </cell>
          <cell r="AY97">
            <v>0</v>
          </cell>
          <cell r="AZ97">
            <v>0</v>
          </cell>
          <cell r="BA97">
            <v>0</v>
          </cell>
          <cell r="BF97">
            <v>0</v>
          </cell>
          <cell r="BG97">
            <v>0</v>
          </cell>
          <cell r="BH97">
            <v>0</v>
          </cell>
          <cell r="BM97">
            <v>0</v>
          </cell>
          <cell r="BN97">
            <v>0</v>
          </cell>
          <cell r="BO97">
            <v>0</v>
          </cell>
          <cell r="BP97" t="b">
            <v>1</v>
          </cell>
          <cell r="BQ97">
            <v>6</v>
          </cell>
          <cell r="BR97">
            <v>65.180000000000007</v>
          </cell>
          <cell r="BS97">
            <v>14</v>
          </cell>
          <cell r="BT97">
            <v>14.3</v>
          </cell>
          <cell r="BU97" t="str">
            <v>B</v>
          </cell>
          <cell r="BV97" t="str">
            <v>02</v>
          </cell>
          <cell r="BW97">
            <v>76</v>
          </cell>
          <cell r="BX97" t="str">
            <v>19980101</v>
          </cell>
        </row>
        <row r="98">
          <cell r="A98" t="str">
            <v>2493406</v>
          </cell>
          <cell r="B98" t="str">
            <v>32</v>
          </cell>
          <cell r="C98" t="str">
            <v>4을</v>
          </cell>
          <cell r="D98" t="str">
            <v>김겸주　　</v>
          </cell>
          <cell r="E98" t="str">
            <v>C</v>
          </cell>
          <cell r="G98">
            <v>1</v>
          </cell>
          <cell r="H98" t="str">
            <v>KM**</v>
          </cell>
          <cell r="I98" t="str">
            <v>KHL*</v>
          </cell>
          <cell r="J98" t="str">
            <v>대전지역본부　　　　</v>
          </cell>
          <cell r="K98" t="str">
            <v>KMJK</v>
          </cell>
          <cell r="L98" t="str">
            <v>대전사업소　　　　　</v>
          </cell>
          <cell r="O98" t="str">
            <v>KMJKA</v>
          </cell>
          <cell r="R98" t="str">
            <v>2</v>
          </cell>
          <cell r="V98" t="str">
            <v>6</v>
          </cell>
          <cell r="W98" t="str">
            <v>4</v>
          </cell>
          <cell r="X98" t="str">
            <v>4</v>
          </cell>
          <cell r="Y98" t="str">
            <v>S</v>
          </cell>
          <cell r="Z98" t="str">
            <v>2317867</v>
          </cell>
          <cell r="AA98" t="str">
            <v>김진영　　</v>
          </cell>
          <cell r="AB98" t="str">
            <v>26</v>
          </cell>
          <cell r="AC98" t="str">
            <v>50</v>
          </cell>
          <cell r="AD98">
            <v>95</v>
          </cell>
          <cell r="AE98">
            <v>67.14</v>
          </cell>
          <cell r="AF98">
            <v>40</v>
          </cell>
          <cell r="AG98" t="str">
            <v>2054207</v>
          </cell>
          <cell r="AH98" t="str">
            <v>안경순　　</v>
          </cell>
          <cell r="AI98" t="str">
            <v>22</v>
          </cell>
          <cell r="AJ98" t="str">
            <v>43</v>
          </cell>
          <cell r="AK98">
            <v>90</v>
          </cell>
          <cell r="AL98">
            <v>66.45</v>
          </cell>
          <cell r="AM98">
            <v>50</v>
          </cell>
          <cell r="AR98">
            <v>0</v>
          </cell>
          <cell r="AS98">
            <v>0</v>
          </cell>
          <cell r="AT98">
            <v>0</v>
          </cell>
          <cell r="AY98">
            <v>0</v>
          </cell>
          <cell r="AZ98">
            <v>0</v>
          </cell>
          <cell r="BA98">
            <v>0</v>
          </cell>
          <cell r="BF98">
            <v>0</v>
          </cell>
          <cell r="BG98">
            <v>0</v>
          </cell>
          <cell r="BH98">
            <v>0</v>
          </cell>
          <cell r="BM98">
            <v>0</v>
          </cell>
          <cell r="BN98">
            <v>0</v>
          </cell>
          <cell r="BO98">
            <v>0</v>
          </cell>
          <cell r="BP98" t="b">
            <v>0</v>
          </cell>
          <cell r="BQ98">
            <v>0</v>
          </cell>
          <cell r="BR98">
            <v>66.760000000000005</v>
          </cell>
          <cell r="BS98">
            <v>80</v>
          </cell>
          <cell r="BT98">
            <v>11.5</v>
          </cell>
          <cell r="BU98" t="str">
            <v>B</v>
          </cell>
          <cell r="BV98" t="str">
            <v>02</v>
          </cell>
          <cell r="BW98">
            <v>76</v>
          </cell>
          <cell r="BX98" t="str">
            <v>19960101</v>
          </cell>
        </row>
        <row r="99">
          <cell r="A99" t="str">
            <v>7142382</v>
          </cell>
          <cell r="B99" t="str">
            <v>22</v>
          </cell>
          <cell r="C99" t="str">
            <v>부장</v>
          </cell>
          <cell r="D99" t="str">
            <v>오승국　　</v>
          </cell>
          <cell r="E99" t="str">
            <v>C</v>
          </cell>
          <cell r="G99">
            <v>1</v>
          </cell>
          <cell r="H99" t="str">
            <v>KO**</v>
          </cell>
          <cell r="K99" t="str">
            <v>KOC*</v>
          </cell>
          <cell r="L99" t="str">
            <v>업체협력실　　　　　</v>
          </cell>
          <cell r="O99" t="str">
            <v>KOC*</v>
          </cell>
          <cell r="R99" t="str">
            <v>4</v>
          </cell>
          <cell r="T99" t="str">
            <v>32</v>
          </cell>
          <cell r="U99" t="str">
            <v>실장</v>
          </cell>
          <cell r="V99" t="str">
            <v>1</v>
          </cell>
          <cell r="W99" t="str">
            <v>1</v>
          </cell>
          <cell r="X99" t="str">
            <v>1</v>
          </cell>
          <cell r="Y99" t="str">
            <v>O</v>
          </cell>
          <cell r="Z99" t="str">
            <v>7043317</v>
          </cell>
          <cell r="AA99" t="str">
            <v>박승하　　</v>
          </cell>
          <cell r="AB99" t="str">
            <v>04</v>
          </cell>
          <cell r="AC99" t="str">
            <v>30</v>
          </cell>
          <cell r="AD99">
            <v>90</v>
          </cell>
          <cell r="AE99">
            <v>66.290000000000006</v>
          </cell>
          <cell r="AF99">
            <v>30</v>
          </cell>
          <cell r="AG99" t="str">
            <v>2008268</v>
          </cell>
          <cell r="AH99" t="str">
            <v>이용도　　</v>
          </cell>
          <cell r="AI99" t="str">
            <v>02</v>
          </cell>
          <cell r="AJ99" t="str">
            <v>20</v>
          </cell>
          <cell r="AK99">
            <v>94</v>
          </cell>
          <cell r="AL99">
            <v>65.12</v>
          </cell>
          <cell r="AM99">
            <v>40</v>
          </cell>
          <cell r="AR99">
            <v>0</v>
          </cell>
          <cell r="AS99">
            <v>0</v>
          </cell>
          <cell r="AT99">
            <v>0</v>
          </cell>
          <cell r="AY99">
            <v>0</v>
          </cell>
          <cell r="AZ99">
            <v>0</v>
          </cell>
          <cell r="BA99">
            <v>0</v>
          </cell>
          <cell r="BF99">
            <v>0</v>
          </cell>
          <cell r="BG99">
            <v>0</v>
          </cell>
          <cell r="BH99">
            <v>0</v>
          </cell>
          <cell r="BM99">
            <v>0</v>
          </cell>
          <cell r="BN99">
            <v>0</v>
          </cell>
          <cell r="BO99">
            <v>0</v>
          </cell>
          <cell r="BP99" t="b">
            <v>1</v>
          </cell>
          <cell r="BQ99">
            <v>8</v>
          </cell>
          <cell r="BR99">
            <v>65.42</v>
          </cell>
          <cell r="BS99">
            <v>10</v>
          </cell>
          <cell r="BT99">
            <v>10.199999999999999</v>
          </cell>
          <cell r="BU99" t="str">
            <v>B</v>
          </cell>
          <cell r="BV99" t="str">
            <v>02</v>
          </cell>
          <cell r="BW99">
            <v>76</v>
          </cell>
          <cell r="BX99" t="str">
            <v>19950101</v>
          </cell>
        </row>
        <row r="100">
          <cell r="A100" t="str">
            <v>2051309</v>
          </cell>
          <cell r="B100" t="str">
            <v>24</v>
          </cell>
          <cell r="C100" t="str">
            <v>차장</v>
          </cell>
          <cell r="D100" t="str">
            <v>김종환　　</v>
          </cell>
          <cell r="E100" t="str">
            <v>C</v>
          </cell>
          <cell r="G100">
            <v>1</v>
          </cell>
          <cell r="H100" t="str">
            <v>KQ**</v>
          </cell>
          <cell r="I100" t="str">
            <v>KUAA</v>
          </cell>
          <cell r="J100" t="str">
            <v>광）생산관리팀　　　</v>
          </cell>
          <cell r="K100" t="str">
            <v>KUCA</v>
          </cell>
          <cell r="L100" t="str">
            <v>광）제조관리１부　　</v>
          </cell>
          <cell r="O100" t="str">
            <v>KUCA</v>
          </cell>
          <cell r="R100" t="str">
            <v>6</v>
          </cell>
          <cell r="T100" t="str">
            <v>40</v>
          </cell>
          <cell r="U100" t="str">
            <v>부서장</v>
          </cell>
          <cell r="V100" t="str">
            <v>2</v>
          </cell>
          <cell r="W100" t="str">
            <v>2</v>
          </cell>
          <cell r="X100" t="str">
            <v>1</v>
          </cell>
          <cell r="Y100" t="str">
            <v>O</v>
          </cell>
          <cell r="Z100" t="str">
            <v>2034693</v>
          </cell>
          <cell r="AA100" t="str">
            <v>김홍수　　</v>
          </cell>
          <cell r="AB100" t="str">
            <v>20</v>
          </cell>
          <cell r="AC100" t="str">
            <v>32</v>
          </cell>
          <cell r="AD100">
            <v>97</v>
          </cell>
          <cell r="AE100">
            <v>66.72</v>
          </cell>
          <cell r="AF100">
            <v>10</v>
          </cell>
          <cell r="AG100" t="str">
            <v>2024118</v>
          </cell>
          <cell r="AH100" t="str">
            <v>정정규　　</v>
          </cell>
          <cell r="AI100" t="str">
            <v>20</v>
          </cell>
          <cell r="AJ100" t="str">
            <v>31</v>
          </cell>
          <cell r="AK100">
            <v>94</v>
          </cell>
          <cell r="AL100">
            <v>66.14</v>
          </cell>
          <cell r="AM100">
            <v>20</v>
          </cell>
          <cell r="AN100" t="str">
            <v>2026563</v>
          </cell>
          <cell r="AO100" t="str">
            <v>전천수　　</v>
          </cell>
          <cell r="AP100" t="str">
            <v>03</v>
          </cell>
          <cell r="AQ100" t="str">
            <v>30</v>
          </cell>
          <cell r="AR100">
            <v>97</v>
          </cell>
          <cell r="AS100">
            <v>70.959999999999994</v>
          </cell>
          <cell r="AT100">
            <v>30</v>
          </cell>
          <cell r="AU100" t="str">
            <v>2728462</v>
          </cell>
          <cell r="AV100" t="str">
            <v>임승근　　</v>
          </cell>
          <cell r="AW100" t="str">
            <v>02</v>
          </cell>
          <cell r="AX100" t="str">
            <v>20</v>
          </cell>
          <cell r="AY100">
            <v>93</v>
          </cell>
          <cell r="AZ100">
            <v>68.459999999999994</v>
          </cell>
          <cell r="BA100">
            <v>10</v>
          </cell>
          <cell r="BF100">
            <v>0</v>
          </cell>
          <cell r="BG100">
            <v>0</v>
          </cell>
          <cell r="BH100">
            <v>0</v>
          </cell>
          <cell r="BM100">
            <v>0</v>
          </cell>
          <cell r="BN100">
            <v>0</v>
          </cell>
          <cell r="BO100">
            <v>0</v>
          </cell>
          <cell r="BP100" t="b">
            <v>1</v>
          </cell>
          <cell r="BQ100">
            <v>6.5</v>
          </cell>
          <cell r="BR100">
            <v>66.540000000000006</v>
          </cell>
          <cell r="BS100">
            <v>25</v>
          </cell>
          <cell r="BT100">
            <v>9.6</v>
          </cell>
          <cell r="BU100" t="str">
            <v>A</v>
          </cell>
          <cell r="BV100" t="str">
            <v>02</v>
          </cell>
          <cell r="BW100">
            <v>76</v>
          </cell>
          <cell r="BX100" t="str">
            <v>19960101</v>
          </cell>
        </row>
        <row r="101">
          <cell r="A101" t="str">
            <v>2502688</v>
          </cell>
          <cell r="B101" t="str">
            <v>33</v>
          </cell>
          <cell r="C101" t="str">
            <v>5급</v>
          </cell>
          <cell r="D101" t="str">
            <v>이미란　　</v>
          </cell>
          <cell r="E101" t="str">
            <v>C</v>
          </cell>
          <cell r="G101">
            <v>1</v>
          </cell>
          <cell r="H101" t="str">
            <v>KH**</v>
          </cell>
          <cell r="I101" t="str">
            <v>KHGP</v>
          </cell>
          <cell r="J101" t="str">
            <v>남부）논현지점　　　</v>
          </cell>
          <cell r="K101" t="str">
            <v>KHJR</v>
          </cell>
          <cell r="L101" t="str">
            <v>경기）신갈지점　　　</v>
          </cell>
          <cell r="O101" t="str">
            <v>KHJRA</v>
          </cell>
          <cell r="R101" t="str">
            <v>2</v>
          </cell>
          <cell r="V101" t="str">
            <v>7</v>
          </cell>
          <cell r="W101" t="str">
            <v>3</v>
          </cell>
          <cell r="X101" t="str">
            <v>4</v>
          </cell>
          <cell r="Y101" t="str">
            <v>S</v>
          </cell>
          <cell r="Z101" t="str">
            <v>2066342</v>
          </cell>
          <cell r="AA101" t="str">
            <v>최의규　　</v>
          </cell>
          <cell r="AB101" t="str">
            <v>26</v>
          </cell>
          <cell r="AC101" t="str">
            <v>44</v>
          </cell>
          <cell r="AD101">
            <v>90</v>
          </cell>
          <cell r="AE101">
            <v>57.48</v>
          </cell>
          <cell r="AF101">
            <v>60</v>
          </cell>
          <cell r="AG101" t="str">
            <v>2209609</v>
          </cell>
          <cell r="AH101" t="str">
            <v>김익래　　</v>
          </cell>
          <cell r="AI101" t="str">
            <v>20</v>
          </cell>
          <cell r="AJ101" t="str">
            <v>32</v>
          </cell>
          <cell r="AK101">
            <v>76</v>
          </cell>
          <cell r="AL101">
            <v>50.94</v>
          </cell>
          <cell r="AM101">
            <v>30</v>
          </cell>
          <cell r="AR101">
            <v>0</v>
          </cell>
          <cell r="AS101">
            <v>0</v>
          </cell>
          <cell r="AT101">
            <v>0</v>
          </cell>
          <cell r="AY101">
            <v>0</v>
          </cell>
          <cell r="AZ101">
            <v>0</v>
          </cell>
          <cell r="BA101">
            <v>0</v>
          </cell>
          <cell r="BF101">
            <v>0</v>
          </cell>
          <cell r="BG101">
            <v>0</v>
          </cell>
          <cell r="BH101">
            <v>0</v>
          </cell>
          <cell r="BM101">
            <v>0</v>
          </cell>
          <cell r="BN101">
            <v>0</v>
          </cell>
          <cell r="BO101">
            <v>0</v>
          </cell>
          <cell r="BP101" t="b">
            <v>0</v>
          </cell>
          <cell r="BQ101">
            <v>0</v>
          </cell>
          <cell r="BR101">
            <v>55.3</v>
          </cell>
          <cell r="BS101">
            <v>548</v>
          </cell>
          <cell r="BT101">
            <v>80</v>
          </cell>
          <cell r="BU101" t="str">
            <v>D</v>
          </cell>
          <cell r="BV101" t="str">
            <v>09</v>
          </cell>
          <cell r="BW101">
            <v>48</v>
          </cell>
          <cell r="BX101" t="str">
            <v>19931104</v>
          </cell>
          <cell r="BZ101" t="str">
            <v>C</v>
          </cell>
          <cell r="CA101" t="str">
            <v>04</v>
          </cell>
          <cell r="CB101" t="str">
            <v>D</v>
          </cell>
          <cell r="CC101" t="str">
            <v>09</v>
          </cell>
          <cell r="CD101" t="str">
            <v>D</v>
          </cell>
          <cell r="CE101" t="str">
            <v>09</v>
          </cell>
        </row>
        <row r="102">
          <cell r="A102" t="str">
            <v>2341564</v>
          </cell>
          <cell r="B102" t="str">
            <v>28</v>
          </cell>
          <cell r="C102" t="str">
            <v>대리</v>
          </cell>
          <cell r="D102" t="str">
            <v>손광언　　</v>
          </cell>
          <cell r="E102" t="str">
            <v>C</v>
          </cell>
          <cell r="G102">
            <v>1</v>
          </cell>
          <cell r="H102" t="str">
            <v>KM**</v>
          </cell>
          <cell r="I102" t="str">
            <v>KMD*</v>
          </cell>
          <cell r="J102" t="str">
            <v>광주직매점</v>
          </cell>
          <cell r="K102" t="str">
            <v>KMJN</v>
          </cell>
          <cell r="L102" t="str">
            <v>광주사업소　　　　　</v>
          </cell>
          <cell r="O102" t="str">
            <v>KMJND</v>
          </cell>
          <cell r="R102" t="str">
            <v>2</v>
          </cell>
          <cell r="V102" t="str">
            <v>4</v>
          </cell>
          <cell r="W102" t="str">
            <v>4</v>
          </cell>
          <cell r="X102" t="str">
            <v>3</v>
          </cell>
          <cell r="Y102" t="str">
            <v>O</v>
          </cell>
          <cell r="Z102" t="str">
            <v>2373348</v>
          </cell>
          <cell r="AA102" t="str">
            <v>고명수　　</v>
          </cell>
          <cell r="AB102" t="str">
            <v>26</v>
          </cell>
          <cell r="AC102" t="str">
            <v>50</v>
          </cell>
          <cell r="AD102">
            <v>76</v>
          </cell>
          <cell r="AE102">
            <v>55.49</v>
          </cell>
          <cell r="AF102">
            <v>40</v>
          </cell>
          <cell r="AG102" t="str">
            <v>2718244</v>
          </cell>
          <cell r="AH102" t="str">
            <v>성요한　　</v>
          </cell>
          <cell r="AI102" t="str">
            <v>05</v>
          </cell>
          <cell r="AJ102" t="str">
            <v>43</v>
          </cell>
          <cell r="AK102">
            <v>62</v>
          </cell>
          <cell r="AL102">
            <v>54.37</v>
          </cell>
          <cell r="AM102">
            <v>40</v>
          </cell>
          <cell r="AN102" t="str">
            <v>2001319</v>
          </cell>
          <cell r="AO102" t="str">
            <v>차정식　　</v>
          </cell>
          <cell r="AP102" t="str">
            <v>02</v>
          </cell>
          <cell r="AQ102" t="str">
            <v>20</v>
          </cell>
          <cell r="AR102">
            <v>47</v>
          </cell>
          <cell r="AS102">
            <v>51.71</v>
          </cell>
          <cell r="AT102">
            <v>10</v>
          </cell>
          <cell r="AY102">
            <v>0</v>
          </cell>
          <cell r="AZ102">
            <v>0</v>
          </cell>
          <cell r="BA102">
            <v>0</v>
          </cell>
          <cell r="BF102">
            <v>0</v>
          </cell>
          <cell r="BG102">
            <v>0</v>
          </cell>
          <cell r="BH102">
            <v>0</v>
          </cell>
          <cell r="BM102">
            <v>0</v>
          </cell>
          <cell r="BN102">
            <v>0</v>
          </cell>
          <cell r="BO102">
            <v>0</v>
          </cell>
          <cell r="BP102" t="b">
            <v>0</v>
          </cell>
          <cell r="BQ102">
            <v>0</v>
          </cell>
          <cell r="BR102">
            <v>54.57</v>
          </cell>
          <cell r="BS102">
            <v>1370</v>
          </cell>
          <cell r="BT102">
            <v>81.8</v>
          </cell>
          <cell r="BU102" t="str">
            <v>D</v>
          </cell>
          <cell r="BV102" t="str">
            <v>09</v>
          </cell>
          <cell r="BW102">
            <v>48</v>
          </cell>
          <cell r="BX102" t="str">
            <v>19960101</v>
          </cell>
          <cell r="BZ102" t="str">
            <v>C</v>
          </cell>
          <cell r="CA102" t="str">
            <v>04</v>
          </cell>
          <cell r="CB102" t="str">
            <v>D</v>
          </cell>
          <cell r="CC102" t="str">
            <v>10</v>
          </cell>
          <cell r="CD102" t="str">
            <v>C</v>
          </cell>
          <cell r="CE102" t="str">
            <v>08</v>
          </cell>
        </row>
        <row r="103">
          <cell r="A103" t="str">
            <v>2553346</v>
          </cell>
          <cell r="B103" t="str">
            <v>32</v>
          </cell>
          <cell r="C103" t="str">
            <v>4을</v>
          </cell>
          <cell r="D103" t="str">
            <v>조길형　　</v>
          </cell>
          <cell r="E103" t="str">
            <v>C</v>
          </cell>
          <cell r="G103">
            <v>1</v>
          </cell>
          <cell r="H103" t="str">
            <v>KH**</v>
          </cell>
          <cell r="I103" t="str">
            <v>KHKO</v>
          </cell>
          <cell r="J103" t="str">
            <v>강원）신원주지점　　</v>
          </cell>
          <cell r="K103" t="str">
            <v>KHKT</v>
          </cell>
          <cell r="L103" t="str">
            <v>강원）인제지점　　　</v>
          </cell>
          <cell r="O103" t="str">
            <v>KHKTA</v>
          </cell>
          <cell r="R103" t="str">
            <v>2</v>
          </cell>
          <cell r="V103" t="str">
            <v>6</v>
          </cell>
          <cell r="W103" t="str">
            <v>3</v>
          </cell>
          <cell r="X103" t="str">
            <v>4</v>
          </cell>
          <cell r="Y103" t="str">
            <v>O</v>
          </cell>
          <cell r="Z103" t="str">
            <v>2261872</v>
          </cell>
          <cell r="AA103" t="str">
            <v>민병권　　</v>
          </cell>
          <cell r="AB103" t="str">
            <v>26</v>
          </cell>
          <cell r="AC103" t="str">
            <v>44</v>
          </cell>
          <cell r="AD103">
            <v>85</v>
          </cell>
          <cell r="AE103">
            <v>60</v>
          </cell>
          <cell r="AF103">
            <v>60</v>
          </cell>
          <cell r="AG103" t="str">
            <v>2032367</v>
          </cell>
          <cell r="AH103" t="str">
            <v>최진　　　</v>
          </cell>
          <cell r="AI103" t="str">
            <v>22</v>
          </cell>
          <cell r="AJ103" t="str">
            <v>32</v>
          </cell>
          <cell r="AK103">
            <v>69</v>
          </cell>
          <cell r="AL103">
            <v>52.24</v>
          </cell>
          <cell r="AM103">
            <v>30</v>
          </cell>
          <cell r="AR103">
            <v>0</v>
          </cell>
          <cell r="AS103">
            <v>0</v>
          </cell>
          <cell r="AT103">
            <v>0</v>
          </cell>
          <cell r="AY103">
            <v>0</v>
          </cell>
          <cell r="AZ103">
            <v>0</v>
          </cell>
          <cell r="BA103">
            <v>0</v>
          </cell>
          <cell r="BF103">
            <v>0</v>
          </cell>
          <cell r="BG103">
            <v>0</v>
          </cell>
          <cell r="BH103">
            <v>0</v>
          </cell>
          <cell r="BM103">
            <v>0</v>
          </cell>
          <cell r="BN103">
            <v>0</v>
          </cell>
          <cell r="BO103">
            <v>0</v>
          </cell>
          <cell r="BP103" t="b">
            <v>0</v>
          </cell>
          <cell r="BQ103">
            <v>0</v>
          </cell>
          <cell r="BR103">
            <v>57.41</v>
          </cell>
          <cell r="BS103">
            <v>487</v>
          </cell>
          <cell r="BT103">
            <v>69.900000000000006</v>
          </cell>
          <cell r="BU103" t="str">
            <v>C</v>
          </cell>
          <cell r="BV103" t="str">
            <v>08</v>
          </cell>
          <cell r="BW103">
            <v>52</v>
          </cell>
          <cell r="BX103" t="str">
            <v>19970101</v>
          </cell>
          <cell r="BZ103" t="str">
            <v>C</v>
          </cell>
          <cell r="CA103" t="str">
            <v>05</v>
          </cell>
          <cell r="CB103" t="str">
            <v>D</v>
          </cell>
          <cell r="CC103" t="str">
            <v>09</v>
          </cell>
          <cell r="CD103" t="str">
            <v>C</v>
          </cell>
          <cell r="CE103" t="str">
            <v>05</v>
          </cell>
        </row>
        <row r="104">
          <cell r="A104" t="str">
            <v>2550551</v>
          </cell>
          <cell r="B104" t="str">
            <v>32</v>
          </cell>
          <cell r="C104" t="str">
            <v>4을</v>
          </cell>
          <cell r="D104" t="str">
            <v>박광식　　</v>
          </cell>
          <cell r="E104" t="str">
            <v>C</v>
          </cell>
          <cell r="G104">
            <v>1</v>
          </cell>
          <cell r="H104" t="str">
            <v>KH**</v>
          </cell>
          <cell r="I104" t="str">
            <v>KHQA</v>
          </cell>
          <cell r="J104" t="str">
            <v>광주）광주지점　　　</v>
          </cell>
          <cell r="K104" t="str">
            <v>KHQJ</v>
          </cell>
          <cell r="L104" t="str">
            <v>광주）신안지점　　　</v>
          </cell>
          <cell r="O104" t="str">
            <v>KHQJA</v>
          </cell>
          <cell r="R104" t="str">
            <v>2</v>
          </cell>
          <cell r="V104" t="str">
            <v>6</v>
          </cell>
          <cell r="W104" t="str">
            <v>3</v>
          </cell>
          <cell r="X104" t="str">
            <v>4</v>
          </cell>
          <cell r="Y104" t="str">
            <v>O</v>
          </cell>
          <cell r="Z104" t="str">
            <v>2058347</v>
          </cell>
          <cell r="AA104" t="str">
            <v>조승래　　</v>
          </cell>
          <cell r="AB104" t="str">
            <v>26</v>
          </cell>
          <cell r="AC104" t="str">
            <v>44</v>
          </cell>
          <cell r="AD104">
            <v>88</v>
          </cell>
          <cell r="AE104">
            <v>55.27</v>
          </cell>
          <cell r="AF104">
            <v>60</v>
          </cell>
          <cell r="AG104" t="str">
            <v>2020506</v>
          </cell>
          <cell r="AH104" t="str">
            <v>한용근　　</v>
          </cell>
          <cell r="AI104" t="str">
            <v>22</v>
          </cell>
          <cell r="AJ104" t="str">
            <v>32</v>
          </cell>
          <cell r="AK104">
            <v>84</v>
          </cell>
          <cell r="AL104">
            <v>62.99</v>
          </cell>
          <cell r="AM104">
            <v>30</v>
          </cell>
          <cell r="AR104">
            <v>0</v>
          </cell>
          <cell r="AS104">
            <v>0</v>
          </cell>
          <cell r="AT104">
            <v>0</v>
          </cell>
          <cell r="AY104">
            <v>0</v>
          </cell>
          <cell r="AZ104">
            <v>0</v>
          </cell>
          <cell r="BA104">
            <v>0</v>
          </cell>
          <cell r="BF104">
            <v>0</v>
          </cell>
          <cell r="BG104">
            <v>0</v>
          </cell>
          <cell r="BH104">
            <v>0</v>
          </cell>
          <cell r="BM104">
            <v>0</v>
          </cell>
          <cell r="BN104">
            <v>0</v>
          </cell>
          <cell r="BO104">
            <v>0</v>
          </cell>
          <cell r="BP104" t="b">
            <v>0</v>
          </cell>
          <cell r="BQ104">
            <v>0</v>
          </cell>
          <cell r="BR104">
            <v>57.84</v>
          </cell>
          <cell r="BS104">
            <v>471</v>
          </cell>
          <cell r="BT104">
            <v>67.599999999999994</v>
          </cell>
          <cell r="BU104" t="str">
            <v>C</v>
          </cell>
          <cell r="BV104" t="str">
            <v>08</v>
          </cell>
          <cell r="BW104">
            <v>52</v>
          </cell>
          <cell r="BX104" t="str">
            <v>19980101</v>
          </cell>
          <cell r="BZ104" t="str">
            <v>C</v>
          </cell>
          <cell r="CA104" t="str">
            <v>06</v>
          </cell>
          <cell r="CB104" t="str">
            <v>B</v>
          </cell>
          <cell r="CC104" t="str">
            <v>03</v>
          </cell>
          <cell r="CD104" t="str">
            <v>D</v>
          </cell>
          <cell r="CE104" t="str">
            <v>10</v>
          </cell>
        </row>
        <row r="105">
          <cell r="A105" t="str">
            <v>2185264</v>
          </cell>
          <cell r="B105" t="str">
            <v>26</v>
          </cell>
          <cell r="C105" t="str">
            <v>과장</v>
          </cell>
          <cell r="D105" t="str">
            <v>강동원　　</v>
          </cell>
          <cell r="E105" t="str">
            <v>C</v>
          </cell>
          <cell r="G105">
            <v>1</v>
          </cell>
          <cell r="H105" t="str">
            <v>KK**</v>
          </cell>
          <cell r="I105" t="str">
            <v>KFAB</v>
          </cell>
          <cell r="J105" t="str">
            <v>원가관리팀　　　　　</v>
          </cell>
          <cell r="K105" t="str">
            <v>ZA53</v>
          </cell>
          <cell r="L105" t="str">
            <v>기아독일　　　　　　</v>
          </cell>
          <cell r="O105" t="str">
            <v>ZA53</v>
          </cell>
          <cell r="R105" t="str">
            <v>3</v>
          </cell>
          <cell r="V105" t="str">
            <v>3</v>
          </cell>
          <cell r="W105" t="str">
            <v>5</v>
          </cell>
          <cell r="X105" t="str">
            <v>3</v>
          </cell>
          <cell r="Y105" t="str">
            <v>O</v>
          </cell>
          <cell r="Z105" t="str">
            <v>2728455</v>
          </cell>
          <cell r="AA105" t="str">
            <v>김용환　　</v>
          </cell>
          <cell r="AB105" t="str">
            <v>20</v>
          </cell>
          <cell r="AC105" t="str">
            <v>43</v>
          </cell>
          <cell r="AD105">
            <v>68</v>
          </cell>
          <cell r="AE105">
            <v>53.97</v>
          </cell>
          <cell r="AF105">
            <v>40</v>
          </cell>
          <cell r="AG105" t="str">
            <v>2043045</v>
          </cell>
          <cell r="AH105" t="str">
            <v>염영길　　</v>
          </cell>
          <cell r="AI105" t="str">
            <v>04</v>
          </cell>
          <cell r="AJ105" t="str">
            <v>32</v>
          </cell>
          <cell r="AK105">
            <v>70</v>
          </cell>
          <cell r="AL105">
            <v>59.38</v>
          </cell>
          <cell r="AM105">
            <v>30</v>
          </cell>
          <cell r="AN105" t="str">
            <v>2005295</v>
          </cell>
          <cell r="AO105" t="str">
            <v>박성도　　</v>
          </cell>
          <cell r="AP105" t="str">
            <v>02</v>
          </cell>
          <cell r="AQ105" t="str">
            <v>20</v>
          </cell>
          <cell r="AR105">
            <v>86</v>
          </cell>
          <cell r="AS105">
            <v>66.099999999999994</v>
          </cell>
          <cell r="AT105">
            <v>10</v>
          </cell>
          <cell r="AY105">
            <v>0</v>
          </cell>
          <cell r="AZ105">
            <v>0</v>
          </cell>
          <cell r="BA105">
            <v>0</v>
          </cell>
          <cell r="BF105">
            <v>0</v>
          </cell>
          <cell r="BG105">
            <v>0</v>
          </cell>
          <cell r="BH105">
            <v>0</v>
          </cell>
          <cell r="BM105">
            <v>0</v>
          </cell>
          <cell r="BN105">
            <v>0</v>
          </cell>
          <cell r="BO105">
            <v>0</v>
          </cell>
          <cell r="BP105" t="b">
            <v>0</v>
          </cell>
          <cell r="BQ105">
            <v>0</v>
          </cell>
          <cell r="BR105">
            <v>57.52</v>
          </cell>
          <cell r="BS105">
            <v>740</v>
          </cell>
          <cell r="BT105">
            <v>65.099999999999994</v>
          </cell>
          <cell r="BU105" t="str">
            <v>C</v>
          </cell>
          <cell r="BV105" t="str">
            <v>08</v>
          </cell>
          <cell r="BW105">
            <v>52</v>
          </cell>
          <cell r="BX105" t="str">
            <v>19960101</v>
          </cell>
          <cell r="BZ105" t="str">
            <v>D</v>
          </cell>
          <cell r="CA105" t="str">
            <v>08</v>
          </cell>
          <cell r="CB105" t="str">
            <v>D</v>
          </cell>
          <cell r="CC105" t="str">
            <v>09</v>
          </cell>
          <cell r="CD105" t="str">
            <v>A</v>
          </cell>
          <cell r="CE105" t="str">
            <v>02</v>
          </cell>
        </row>
        <row r="106">
          <cell r="A106" t="str">
            <v>2179773</v>
          </cell>
          <cell r="B106" t="str">
            <v>28</v>
          </cell>
          <cell r="C106" t="str">
            <v>대리</v>
          </cell>
          <cell r="D106" t="str">
            <v>최용복　　</v>
          </cell>
          <cell r="E106" t="str">
            <v>C</v>
          </cell>
          <cell r="G106">
            <v>1</v>
          </cell>
          <cell r="H106" t="str">
            <v>KH**</v>
          </cell>
          <cell r="I106" t="str">
            <v>KSBB</v>
          </cell>
          <cell r="J106" t="str">
            <v>소）인력관리팀　　　</v>
          </cell>
          <cell r="K106" t="str">
            <v>KHF*</v>
          </cell>
          <cell r="L106" t="str">
            <v>서부지역본부　　　　</v>
          </cell>
          <cell r="O106" t="str">
            <v>KHF*1</v>
          </cell>
          <cell r="R106" t="str">
            <v>2</v>
          </cell>
          <cell r="V106" t="str">
            <v>4</v>
          </cell>
          <cell r="W106" t="str">
            <v>3</v>
          </cell>
          <cell r="X106" t="str">
            <v>3</v>
          </cell>
          <cell r="Y106" t="str">
            <v>O</v>
          </cell>
          <cell r="Z106" t="str">
            <v>7120125</v>
          </cell>
          <cell r="AA106" t="str">
            <v>송만섭　　</v>
          </cell>
          <cell r="AB106" t="str">
            <v>22</v>
          </cell>
          <cell r="AC106" t="str">
            <v>32</v>
          </cell>
          <cell r="AD106">
            <v>75</v>
          </cell>
          <cell r="AE106">
            <v>57.37</v>
          </cell>
          <cell r="AF106">
            <v>70</v>
          </cell>
          <cell r="AG106" t="str">
            <v>2059744</v>
          </cell>
          <cell r="AH106" t="str">
            <v>김도영　　</v>
          </cell>
          <cell r="AI106" t="str">
            <v>02</v>
          </cell>
          <cell r="AJ106" t="str">
            <v>20</v>
          </cell>
          <cell r="AK106">
            <v>77</v>
          </cell>
          <cell r="AL106">
            <v>62.4</v>
          </cell>
          <cell r="AM106">
            <v>20</v>
          </cell>
          <cell r="AR106">
            <v>0</v>
          </cell>
          <cell r="AS106">
            <v>0</v>
          </cell>
          <cell r="AT106">
            <v>0</v>
          </cell>
          <cell r="AY106">
            <v>0</v>
          </cell>
          <cell r="AZ106">
            <v>0</v>
          </cell>
          <cell r="BA106">
            <v>0</v>
          </cell>
          <cell r="BF106">
            <v>0</v>
          </cell>
          <cell r="BG106">
            <v>0</v>
          </cell>
          <cell r="BH106">
            <v>0</v>
          </cell>
          <cell r="BM106">
            <v>0</v>
          </cell>
          <cell r="BN106">
            <v>0</v>
          </cell>
          <cell r="BO106">
            <v>0</v>
          </cell>
          <cell r="BP106" t="b">
            <v>0</v>
          </cell>
          <cell r="BQ106">
            <v>0</v>
          </cell>
          <cell r="BR106">
            <v>58.49</v>
          </cell>
          <cell r="BS106">
            <v>1009</v>
          </cell>
          <cell r="BT106">
            <v>60.3</v>
          </cell>
          <cell r="BU106" t="str">
            <v>C</v>
          </cell>
          <cell r="BV106" t="str">
            <v>07</v>
          </cell>
          <cell r="BW106">
            <v>56</v>
          </cell>
          <cell r="BX106" t="str">
            <v>19980101</v>
          </cell>
          <cell r="BZ106" t="str">
            <v>C</v>
          </cell>
          <cell r="CA106" t="str">
            <v>08</v>
          </cell>
          <cell r="CB106" t="str">
            <v>A</v>
          </cell>
          <cell r="CC106" t="str">
            <v>02</v>
          </cell>
          <cell r="CD106" t="str">
            <v>C</v>
          </cell>
          <cell r="CE106" t="str">
            <v>06</v>
          </cell>
        </row>
        <row r="107">
          <cell r="A107" t="str">
            <v>2611547</v>
          </cell>
          <cell r="B107" t="str">
            <v>32</v>
          </cell>
          <cell r="C107" t="str">
            <v>4을</v>
          </cell>
          <cell r="D107" t="str">
            <v>김종수　　</v>
          </cell>
          <cell r="E107" t="str">
            <v>C</v>
          </cell>
          <cell r="G107">
            <v>1</v>
          </cell>
          <cell r="H107" t="str">
            <v>KH**</v>
          </cell>
          <cell r="I107" t="str">
            <v>KHPN</v>
          </cell>
          <cell r="J107" t="str">
            <v>전남）고흥지점　　　</v>
          </cell>
          <cell r="K107" t="str">
            <v>KHPK</v>
          </cell>
          <cell r="L107" t="str">
            <v>전남）벌교지점　　　</v>
          </cell>
          <cell r="O107" t="str">
            <v>KHPKA</v>
          </cell>
          <cell r="R107" t="str">
            <v>2</v>
          </cell>
          <cell r="V107" t="str">
            <v>6</v>
          </cell>
          <cell r="W107" t="str">
            <v>3</v>
          </cell>
          <cell r="X107" t="str">
            <v>4</v>
          </cell>
          <cell r="Y107" t="str">
            <v>O</v>
          </cell>
          <cell r="Z107" t="str">
            <v>2163371</v>
          </cell>
          <cell r="AA107" t="str">
            <v>정춘선　　</v>
          </cell>
          <cell r="AB107" t="str">
            <v>26</v>
          </cell>
          <cell r="AC107" t="str">
            <v>44</v>
          </cell>
          <cell r="AD107">
            <v>90</v>
          </cell>
          <cell r="AE107">
            <v>63.85</v>
          </cell>
          <cell r="AF107">
            <v>60</v>
          </cell>
          <cell r="AG107" t="str">
            <v>2018828</v>
          </cell>
          <cell r="AH107" t="str">
            <v>이종성　　</v>
          </cell>
          <cell r="AI107" t="str">
            <v>20</v>
          </cell>
          <cell r="AJ107" t="str">
            <v>32</v>
          </cell>
          <cell r="AK107">
            <v>50</v>
          </cell>
          <cell r="AL107">
            <v>50.35</v>
          </cell>
          <cell r="AM107">
            <v>30</v>
          </cell>
          <cell r="AR107">
            <v>0</v>
          </cell>
          <cell r="AS107">
            <v>0</v>
          </cell>
          <cell r="AT107">
            <v>0</v>
          </cell>
          <cell r="AY107">
            <v>0</v>
          </cell>
          <cell r="AZ107">
            <v>0</v>
          </cell>
          <cell r="BA107">
            <v>0</v>
          </cell>
          <cell r="BF107">
            <v>0</v>
          </cell>
          <cell r="BG107">
            <v>0</v>
          </cell>
          <cell r="BH107">
            <v>0</v>
          </cell>
          <cell r="BM107">
            <v>0</v>
          </cell>
          <cell r="BN107">
            <v>0</v>
          </cell>
          <cell r="BO107">
            <v>0</v>
          </cell>
          <cell r="BP107" t="b">
            <v>0</v>
          </cell>
          <cell r="BQ107">
            <v>0</v>
          </cell>
          <cell r="BR107">
            <v>59.35</v>
          </cell>
          <cell r="BS107">
            <v>402</v>
          </cell>
          <cell r="BT107">
            <v>57.7</v>
          </cell>
          <cell r="BU107" t="str">
            <v>C</v>
          </cell>
          <cell r="BV107" t="str">
            <v>07</v>
          </cell>
          <cell r="BW107">
            <v>56</v>
          </cell>
          <cell r="BX107" t="str">
            <v>19980101</v>
          </cell>
          <cell r="BZ107" t="str">
            <v>C</v>
          </cell>
          <cell r="CA107" t="str">
            <v>05</v>
          </cell>
          <cell r="CB107" t="str">
            <v>B</v>
          </cell>
          <cell r="CC107" t="str">
            <v>04</v>
          </cell>
          <cell r="CD107" t="str">
            <v>C</v>
          </cell>
          <cell r="CE107" t="str">
            <v>07</v>
          </cell>
        </row>
        <row r="108">
          <cell r="A108" t="str">
            <v>2404751</v>
          </cell>
          <cell r="B108" t="str">
            <v>28</v>
          </cell>
          <cell r="C108" t="str">
            <v>대리</v>
          </cell>
          <cell r="D108" t="str">
            <v>노창환　　</v>
          </cell>
          <cell r="E108" t="str">
            <v>C</v>
          </cell>
          <cell r="G108">
            <v>1</v>
          </cell>
          <cell r="H108" t="str">
            <v>KH**</v>
          </cell>
          <cell r="I108" t="str">
            <v>KHRG</v>
          </cell>
          <cell r="J108" t="str">
            <v>제주）제주대형상용지</v>
          </cell>
          <cell r="K108" t="str">
            <v>KHRC</v>
          </cell>
          <cell r="L108" t="str">
            <v>제주）서귀포지점　　</v>
          </cell>
          <cell r="O108" t="str">
            <v>KHRCA</v>
          </cell>
          <cell r="R108" t="str">
            <v>2</v>
          </cell>
          <cell r="T108" t="str">
            <v>50</v>
          </cell>
          <cell r="U108" t="str">
            <v>과장</v>
          </cell>
          <cell r="V108" t="str">
            <v>4</v>
          </cell>
          <cell r="W108" t="str">
            <v>3</v>
          </cell>
          <cell r="X108" t="str">
            <v>2</v>
          </cell>
          <cell r="Y108" t="str">
            <v>O</v>
          </cell>
          <cell r="Z108" t="str">
            <v>2042027</v>
          </cell>
          <cell r="AA108" t="str">
            <v>오성조　　</v>
          </cell>
          <cell r="AB108" t="str">
            <v>26</v>
          </cell>
          <cell r="AC108" t="str">
            <v>44</v>
          </cell>
          <cell r="AD108">
            <v>88</v>
          </cell>
          <cell r="AE108">
            <v>55.29</v>
          </cell>
          <cell r="AF108">
            <v>50</v>
          </cell>
          <cell r="AG108" t="str">
            <v>0288117</v>
          </cell>
          <cell r="AH108" t="str">
            <v>김창희　　</v>
          </cell>
          <cell r="AI108" t="str">
            <v>04</v>
          </cell>
          <cell r="AJ108" t="str">
            <v>32</v>
          </cell>
          <cell r="AK108">
            <v>91</v>
          </cell>
          <cell r="AL108">
            <v>64.709999999999994</v>
          </cell>
          <cell r="AM108">
            <v>30</v>
          </cell>
          <cell r="AN108" t="str">
            <v>2059744</v>
          </cell>
          <cell r="AO108" t="str">
            <v>김도영　　</v>
          </cell>
          <cell r="AP108" t="str">
            <v>02</v>
          </cell>
          <cell r="AQ108" t="str">
            <v>20</v>
          </cell>
          <cell r="AR108">
            <v>47</v>
          </cell>
          <cell r="AS108">
            <v>51.64</v>
          </cell>
          <cell r="AT108">
            <v>10</v>
          </cell>
          <cell r="AY108">
            <v>0</v>
          </cell>
          <cell r="AZ108">
            <v>0</v>
          </cell>
          <cell r="BA108">
            <v>0</v>
          </cell>
          <cell r="BF108">
            <v>0</v>
          </cell>
          <cell r="BG108">
            <v>0</v>
          </cell>
          <cell r="BH108">
            <v>0</v>
          </cell>
          <cell r="BM108">
            <v>0</v>
          </cell>
          <cell r="BN108">
            <v>0</v>
          </cell>
          <cell r="BO108">
            <v>0</v>
          </cell>
          <cell r="BP108" t="b">
            <v>0</v>
          </cell>
          <cell r="BQ108">
            <v>0</v>
          </cell>
          <cell r="BR108">
            <v>58.02</v>
          </cell>
          <cell r="BS108">
            <v>1064</v>
          </cell>
          <cell r="BT108">
            <v>63.6</v>
          </cell>
          <cell r="BU108" t="str">
            <v>C</v>
          </cell>
          <cell r="BV108" t="str">
            <v>07</v>
          </cell>
          <cell r="BW108">
            <v>56</v>
          </cell>
          <cell r="BX108" t="str">
            <v>19980101</v>
          </cell>
          <cell r="BZ108" t="str">
            <v>C</v>
          </cell>
          <cell r="CA108" t="str">
            <v>07</v>
          </cell>
          <cell r="CB108" t="str">
            <v>B</v>
          </cell>
          <cell r="CC108" t="str">
            <v>03</v>
          </cell>
          <cell r="CD108" t="str">
            <v>C</v>
          </cell>
          <cell r="CE108" t="str">
            <v>06</v>
          </cell>
        </row>
        <row r="109">
          <cell r="A109" t="str">
            <v>2415422</v>
          </cell>
          <cell r="B109" t="str">
            <v>30</v>
          </cell>
          <cell r="C109" t="str">
            <v>4갑</v>
          </cell>
          <cell r="D109" t="str">
            <v>이황용　　</v>
          </cell>
          <cell r="E109" t="str">
            <v>C</v>
          </cell>
          <cell r="G109">
            <v>1</v>
          </cell>
          <cell r="H109" t="str">
            <v>KQ**</v>
          </cell>
          <cell r="I109" t="str">
            <v>KTFHB</v>
          </cell>
          <cell r="J109" t="str">
            <v>소재보전과　　　　　</v>
          </cell>
          <cell r="K109" t="str">
            <v>KTFA</v>
          </cell>
          <cell r="L109" t="str">
            <v>화）엔진변속기제조관</v>
          </cell>
          <cell r="O109" t="str">
            <v>KTFAF</v>
          </cell>
          <cell r="R109" t="str">
            <v>5</v>
          </cell>
          <cell r="V109" t="str">
            <v>5</v>
          </cell>
          <cell r="W109" t="str">
            <v>2</v>
          </cell>
          <cell r="X109" t="str">
            <v>3</v>
          </cell>
          <cell r="Y109" t="str">
            <v>S</v>
          </cell>
          <cell r="Z109" t="str">
            <v>2088361</v>
          </cell>
          <cell r="AA109" t="str">
            <v>이재화　　</v>
          </cell>
          <cell r="AB109" t="str">
            <v>26</v>
          </cell>
          <cell r="AC109" t="str">
            <v>50</v>
          </cell>
          <cell r="AD109">
            <v>97</v>
          </cell>
          <cell r="AE109">
            <v>69.31</v>
          </cell>
          <cell r="AF109">
            <v>20</v>
          </cell>
          <cell r="AG109" t="str">
            <v>2065868</v>
          </cell>
          <cell r="AH109" t="str">
            <v>김종웅　　</v>
          </cell>
          <cell r="AI109" t="str">
            <v>24</v>
          </cell>
          <cell r="AJ109" t="str">
            <v>40</v>
          </cell>
          <cell r="AK109">
            <v>52</v>
          </cell>
          <cell r="AL109">
            <v>53.35</v>
          </cell>
          <cell r="AM109">
            <v>30</v>
          </cell>
          <cell r="AN109" t="str">
            <v>7019858</v>
          </cell>
          <cell r="AO109" t="str">
            <v>홍석종　　</v>
          </cell>
          <cell r="AP109" t="str">
            <v>04</v>
          </cell>
          <cell r="AQ109" t="str">
            <v>31</v>
          </cell>
          <cell r="AR109">
            <v>53</v>
          </cell>
          <cell r="AS109">
            <v>53.7</v>
          </cell>
          <cell r="AT109">
            <v>10</v>
          </cell>
          <cell r="AU109" t="str">
            <v>2100100</v>
          </cell>
          <cell r="AV109" t="str">
            <v>김무일　　</v>
          </cell>
          <cell r="AW109" t="str">
            <v>02</v>
          </cell>
          <cell r="AX109" t="str">
            <v>30</v>
          </cell>
          <cell r="AY109">
            <v>93</v>
          </cell>
          <cell r="AZ109">
            <v>68.41</v>
          </cell>
          <cell r="BA109">
            <v>10</v>
          </cell>
          <cell r="BB109" t="str">
            <v>2728462</v>
          </cell>
          <cell r="BC109" t="str">
            <v>임승근　　</v>
          </cell>
          <cell r="BD109" t="str">
            <v>02</v>
          </cell>
          <cell r="BE109" t="str">
            <v>20</v>
          </cell>
          <cell r="BF109">
            <v>93</v>
          </cell>
          <cell r="BG109">
            <v>68.42</v>
          </cell>
          <cell r="BH109">
            <v>10</v>
          </cell>
          <cell r="BM109">
            <v>0</v>
          </cell>
          <cell r="BN109">
            <v>0</v>
          </cell>
          <cell r="BO109">
            <v>0</v>
          </cell>
          <cell r="BP109" t="b">
            <v>0</v>
          </cell>
          <cell r="BQ109">
            <v>0</v>
          </cell>
          <cell r="BR109">
            <v>61.15</v>
          </cell>
          <cell r="BS109">
            <v>584</v>
          </cell>
          <cell r="BT109">
            <v>40.200000000000003</v>
          </cell>
          <cell r="BU109" t="str">
            <v>C</v>
          </cell>
          <cell r="BV109" t="str">
            <v>05</v>
          </cell>
          <cell r="BW109">
            <v>64</v>
          </cell>
          <cell r="BX109" t="str">
            <v>19920501</v>
          </cell>
          <cell r="BZ109" t="str">
            <v>C</v>
          </cell>
          <cell r="CA109" t="str">
            <v>04</v>
          </cell>
          <cell r="CB109" t="str">
            <v>C</v>
          </cell>
          <cell r="CC109" t="str">
            <v>04</v>
          </cell>
          <cell r="CD109" t="str">
            <v>B</v>
          </cell>
          <cell r="CE109" t="str">
            <v>02</v>
          </cell>
        </row>
        <row r="110">
          <cell r="A110" t="str">
            <v>2448626</v>
          </cell>
          <cell r="B110" t="str">
            <v>32</v>
          </cell>
          <cell r="C110" t="str">
            <v>4을</v>
          </cell>
          <cell r="D110" t="str">
            <v>정은주　　</v>
          </cell>
          <cell r="E110" t="str">
            <v>C</v>
          </cell>
          <cell r="G110">
            <v>1</v>
          </cell>
          <cell r="H110" t="str">
            <v>KH**</v>
          </cell>
          <cell r="I110" t="str">
            <v>KHL*</v>
          </cell>
          <cell r="J110" t="str">
            <v>대전지역본부　　　　</v>
          </cell>
          <cell r="K110" t="str">
            <v>KHLE</v>
          </cell>
          <cell r="L110" t="str">
            <v>대전）대덕지점　　　</v>
          </cell>
          <cell r="O110" t="str">
            <v>KHLEA</v>
          </cell>
          <cell r="R110" t="str">
            <v>2</v>
          </cell>
          <cell r="V110" t="str">
            <v>6</v>
          </cell>
          <cell r="W110" t="str">
            <v>3</v>
          </cell>
          <cell r="X110" t="str">
            <v>4</v>
          </cell>
          <cell r="Y110" t="str">
            <v>O</v>
          </cell>
          <cell r="Z110" t="str">
            <v>2179624</v>
          </cell>
          <cell r="AA110" t="str">
            <v>정관영　　</v>
          </cell>
          <cell r="AB110" t="str">
            <v>28</v>
          </cell>
          <cell r="AC110" t="str">
            <v>50</v>
          </cell>
          <cell r="AD110">
            <v>76</v>
          </cell>
          <cell r="AE110">
            <v>64.72</v>
          </cell>
          <cell r="AF110">
            <v>10</v>
          </cell>
          <cell r="AG110" t="str">
            <v>2062634</v>
          </cell>
          <cell r="AH110" t="str">
            <v>이성호　　</v>
          </cell>
          <cell r="AI110" t="str">
            <v>26</v>
          </cell>
          <cell r="AJ110" t="str">
            <v>44</v>
          </cell>
          <cell r="AK110">
            <v>77</v>
          </cell>
          <cell r="AL110">
            <v>64.709999999999994</v>
          </cell>
          <cell r="AM110">
            <v>50</v>
          </cell>
          <cell r="AN110" t="str">
            <v>2006365</v>
          </cell>
          <cell r="AO110" t="str">
            <v>김선기　　</v>
          </cell>
          <cell r="AP110" t="str">
            <v>04</v>
          </cell>
          <cell r="AQ110" t="str">
            <v>32</v>
          </cell>
          <cell r="AR110">
            <v>75</v>
          </cell>
          <cell r="AS110">
            <v>60.58</v>
          </cell>
          <cell r="AT110">
            <v>30</v>
          </cell>
          <cell r="AY110">
            <v>0</v>
          </cell>
          <cell r="AZ110">
            <v>0</v>
          </cell>
          <cell r="BA110">
            <v>0</v>
          </cell>
          <cell r="BF110">
            <v>0</v>
          </cell>
          <cell r="BG110">
            <v>0</v>
          </cell>
          <cell r="BH110">
            <v>0</v>
          </cell>
          <cell r="BM110">
            <v>0</v>
          </cell>
          <cell r="BN110">
            <v>0</v>
          </cell>
          <cell r="BO110">
            <v>0</v>
          </cell>
          <cell r="BP110" t="b">
            <v>0</v>
          </cell>
          <cell r="BQ110">
            <v>0</v>
          </cell>
          <cell r="BR110">
            <v>63.33</v>
          </cell>
          <cell r="BS110">
            <v>206</v>
          </cell>
          <cell r="BT110">
            <v>29.6</v>
          </cell>
          <cell r="BU110" t="str">
            <v>B</v>
          </cell>
          <cell r="BV110" t="str">
            <v>04</v>
          </cell>
          <cell r="BW110">
            <v>68</v>
          </cell>
          <cell r="BX110" t="str">
            <v>19980101</v>
          </cell>
          <cell r="CD110" t="str">
            <v>C</v>
          </cell>
          <cell r="CE110" t="str">
            <v>07</v>
          </cell>
        </row>
        <row r="111">
          <cell r="A111" t="str">
            <v>2522104</v>
          </cell>
          <cell r="B111" t="str">
            <v>30</v>
          </cell>
          <cell r="C111" t="str">
            <v>4갑</v>
          </cell>
          <cell r="D111" t="str">
            <v>신기웅　　</v>
          </cell>
          <cell r="E111" t="str">
            <v>C</v>
          </cell>
          <cell r="G111">
            <v>1</v>
          </cell>
          <cell r="H111" t="str">
            <v>KO**</v>
          </cell>
          <cell r="I111" t="str">
            <v>KPCC</v>
          </cell>
          <cell r="J111" t="str">
            <v>상용구동부품개발팀　</v>
          </cell>
          <cell r="K111" t="str">
            <v>KPBB</v>
          </cell>
          <cell r="L111" t="str">
            <v>상용샤시부품개발팀　</v>
          </cell>
          <cell r="O111" t="str">
            <v>KPBB</v>
          </cell>
          <cell r="R111" t="str">
            <v>6</v>
          </cell>
          <cell r="V111" t="str">
            <v>5</v>
          </cell>
          <cell r="W111" t="str">
            <v>1</v>
          </cell>
          <cell r="X111" t="str">
            <v>3</v>
          </cell>
          <cell r="Y111" t="str">
            <v>O</v>
          </cell>
          <cell r="Z111" t="str">
            <v>7231699</v>
          </cell>
          <cell r="AA111" t="str">
            <v>오태근　　</v>
          </cell>
          <cell r="AB111" t="str">
            <v>22</v>
          </cell>
          <cell r="AC111" t="str">
            <v>43</v>
          </cell>
          <cell r="AD111">
            <v>84</v>
          </cell>
          <cell r="AE111">
            <v>65.84</v>
          </cell>
          <cell r="AF111">
            <v>30</v>
          </cell>
          <cell r="AG111" t="str">
            <v>7158925</v>
          </cell>
          <cell r="AH111" t="str">
            <v>조병진　　</v>
          </cell>
          <cell r="AI111" t="str">
            <v>20</v>
          </cell>
          <cell r="AJ111" t="str">
            <v>32</v>
          </cell>
          <cell r="AK111">
            <v>73</v>
          </cell>
          <cell r="AL111">
            <v>62.47</v>
          </cell>
          <cell r="AM111">
            <v>20</v>
          </cell>
          <cell r="AN111" t="str">
            <v>7043317</v>
          </cell>
          <cell r="AO111" t="str">
            <v>박승하　　</v>
          </cell>
          <cell r="AP111" t="str">
            <v>04</v>
          </cell>
          <cell r="AQ111" t="str">
            <v>30</v>
          </cell>
          <cell r="AR111">
            <v>77</v>
          </cell>
          <cell r="AS111">
            <v>60.92</v>
          </cell>
          <cell r="AT111">
            <v>20</v>
          </cell>
          <cell r="AU111" t="str">
            <v>2008268</v>
          </cell>
          <cell r="AV111" t="str">
            <v>이용도　　</v>
          </cell>
          <cell r="AW111" t="str">
            <v>02</v>
          </cell>
          <cell r="AX111" t="str">
            <v>20</v>
          </cell>
          <cell r="AY111">
            <v>74</v>
          </cell>
          <cell r="AZ111">
            <v>60.4</v>
          </cell>
          <cell r="BA111">
            <v>10</v>
          </cell>
          <cell r="BF111">
            <v>0</v>
          </cell>
          <cell r="BG111">
            <v>0</v>
          </cell>
          <cell r="BH111">
            <v>0</v>
          </cell>
          <cell r="BM111">
            <v>0</v>
          </cell>
          <cell r="BN111">
            <v>0</v>
          </cell>
          <cell r="BO111">
            <v>0</v>
          </cell>
          <cell r="BP111" t="b">
            <v>0</v>
          </cell>
          <cell r="BQ111">
            <v>0</v>
          </cell>
          <cell r="BR111">
            <v>63.09</v>
          </cell>
          <cell r="BS111">
            <v>430</v>
          </cell>
          <cell r="BT111">
            <v>29.6</v>
          </cell>
          <cell r="BU111" t="str">
            <v>B</v>
          </cell>
          <cell r="BV111" t="str">
            <v>04</v>
          </cell>
          <cell r="BW111">
            <v>68</v>
          </cell>
          <cell r="BX111" t="str">
            <v>19940101</v>
          </cell>
          <cell r="BZ111" t="str">
            <v>B</v>
          </cell>
          <cell r="CA111" t="str">
            <v>03</v>
          </cell>
          <cell r="CB111" t="str">
            <v>A</v>
          </cell>
          <cell r="CC111" t="str">
            <v>02</v>
          </cell>
          <cell r="CD111" t="str">
            <v>A</v>
          </cell>
          <cell r="CE111" t="str">
            <v>02</v>
          </cell>
        </row>
        <row r="112">
          <cell r="A112" t="str">
            <v>2344551</v>
          </cell>
          <cell r="B112" t="str">
            <v>30</v>
          </cell>
          <cell r="C112" t="str">
            <v>4갑</v>
          </cell>
          <cell r="D112" t="str">
            <v>김종보　　</v>
          </cell>
          <cell r="E112" t="str">
            <v>C</v>
          </cell>
          <cell r="G112">
            <v>1</v>
          </cell>
          <cell r="H112" t="str">
            <v>KH**</v>
          </cell>
          <cell r="I112" t="str">
            <v>KHAE</v>
          </cell>
          <cell r="J112" t="str">
            <v>출하지원팀　　　　　</v>
          </cell>
          <cell r="K112" t="str">
            <v>KHW*</v>
          </cell>
          <cell r="L112" t="str">
            <v>경남서부지역본부　　</v>
          </cell>
          <cell r="O112" t="str">
            <v>KHW*1</v>
          </cell>
          <cell r="R112" t="str">
            <v>2</v>
          </cell>
          <cell r="V112" t="str">
            <v>5</v>
          </cell>
          <cell r="W112" t="str">
            <v>3</v>
          </cell>
          <cell r="X112" t="str">
            <v>3</v>
          </cell>
          <cell r="Y112" t="str">
            <v>O</v>
          </cell>
          <cell r="Z112" t="str">
            <v>7116633</v>
          </cell>
          <cell r="AA112" t="str">
            <v>이병기　　</v>
          </cell>
          <cell r="AB112" t="str">
            <v>22</v>
          </cell>
          <cell r="AC112" t="str">
            <v>32</v>
          </cell>
          <cell r="AD112">
            <v>53</v>
          </cell>
          <cell r="AE112">
            <v>48.36</v>
          </cell>
          <cell r="AF112">
            <v>70</v>
          </cell>
          <cell r="AG112" t="str">
            <v>2059744</v>
          </cell>
          <cell r="AH112" t="str">
            <v>김도영　　</v>
          </cell>
          <cell r="AI112" t="str">
            <v>02</v>
          </cell>
          <cell r="AJ112" t="str">
            <v>20</v>
          </cell>
          <cell r="AK112">
            <v>86</v>
          </cell>
          <cell r="AL112">
            <v>65.59</v>
          </cell>
          <cell r="AM112">
            <v>20</v>
          </cell>
          <cell r="AR112">
            <v>0</v>
          </cell>
          <cell r="AS112">
            <v>0</v>
          </cell>
          <cell r="AT112">
            <v>0</v>
          </cell>
          <cell r="AY112">
            <v>0</v>
          </cell>
          <cell r="AZ112">
            <v>0</v>
          </cell>
          <cell r="BA112">
            <v>0</v>
          </cell>
          <cell r="BF112">
            <v>0</v>
          </cell>
          <cell r="BG112">
            <v>0</v>
          </cell>
          <cell r="BH112">
            <v>0</v>
          </cell>
          <cell r="BM112">
            <v>0</v>
          </cell>
          <cell r="BN112">
            <v>0</v>
          </cell>
          <cell r="BO112">
            <v>0</v>
          </cell>
          <cell r="BP112" t="b">
            <v>0</v>
          </cell>
          <cell r="BQ112">
            <v>0</v>
          </cell>
          <cell r="BR112">
            <v>52.19</v>
          </cell>
          <cell r="BS112">
            <v>1320</v>
          </cell>
          <cell r="BT112">
            <v>91</v>
          </cell>
          <cell r="BU112" t="str">
            <v>E</v>
          </cell>
          <cell r="BV112" t="str">
            <v>10</v>
          </cell>
          <cell r="BW112">
            <v>44</v>
          </cell>
          <cell r="BX112" t="str">
            <v>19970701</v>
          </cell>
          <cell r="BZ112" t="str">
            <v>C</v>
          </cell>
          <cell r="CA112" t="str">
            <v>08</v>
          </cell>
          <cell r="CB112" t="str">
            <v>C</v>
          </cell>
          <cell r="CC112" t="str">
            <v>08</v>
          </cell>
          <cell r="CD112" t="str">
            <v>D</v>
          </cell>
          <cell r="CE112" t="str">
            <v>09</v>
          </cell>
        </row>
        <row r="113">
          <cell r="A113" t="str">
            <v>2342189</v>
          </cell>
          <cell r="B113" t="str">
            <v>26</v>
          </cell>
          <cell r="C113" t="str">
            <v>과장</v>
          </cell>
          <cell r="D113" t="str">
            <v>정인상　　</v>
          </cell>
          <cell r="E113" t="str">
            <v>C</v>
          </cell>
          <cell r="G113">
            <v>1</v>
          </cell>
          <cell r="H113" t="str">
            <v>KM**</v>
          </cell>
          <cell r="I113" t="str">
            <v>KMEA</v>
          </cell>
          <cell r="J113" t="str">
            <v>부품조달팀　　　　　</v>
          </cell>
          <cell r="K113" t="str">
            <v>KMD*</v>
          </cell>
          <cell r="L113" t="str">
            <v>순천직매점</v>
          </cell>
          <cell r="O113" t="str">
            <v>KMDM</v>
          </cell>
          <cell r="R113" t="str">
            <v>2</v>
          </cell>
          <cell r="T113" t="str">
            <v>50</v>
          </cell>
          <cell r="U113" t="str">
            <v>과장</v>
          </cell>
          <cell r="V113" t="str">
            <v>3</v>
          </cell>
          <cell r="W113" t="str">
            <v>4</v>
          </cell>
          <cell r="X113" t="str">
            <v>2</v>
          </cell>
          <cell r="Y113" t="str">
            <v>S</v>
          </cell>
          <cell r="Z113" t="str">
            <v>0043652</v>
          </cell>
          <cell r="AA113" t="str">
            <v>정남기　　</v>
          </cell>
          <cell r="AB113" t="str">
            <v>05</v>
          </cell>
          <cell r="AC113" t="str">
            <v>32</v>
          </cell>
          <cell r="AD113">
            <v>40</v>
          </cell>
          <cell r="AE113">
            <v>46.57</v>
          </cell>
          <cell r="AF113">
            <v>60</v>
          </cell>
          <cell r="AG113" t="str">
            <v>2001319</v>
          </cell>
          <cell r="AH113" t="str">
            <v>차정식　　</v>
          </cell>
          <cell r="AI113" t="str">
            <v>02</v>
          </cell>
          <cell r="AJ113" t="str">
            <v>20</v>
          </cell>
          <cell r="AK113">
            <v>40</v>
          </cell>
          <cell r="AL113">
            <v>48.7</v>
          </cell>
          <cell r="AM113">
            <v>20</v>
          </cell>
          <cell r="AR113">
            <v>0</v>
          </cell>
          <cell r="AS113">
            <v>0</v>
          </cell>
          <cell r="AT113">
            <v>0</v>
          </cell>
          <cell r="AY113">
            <v>0</v>
          </cell>
          <cell r="AZ113">
            <v>0</v>
          </cell>
          <cell r="BA113">
            <v>0</v>
          </cell>
          <cell r="BF113">
            <v>0</v>
          </cell>
          <cell r="BG113">
            <v>0</v>
          </cell>
          <cell r="BH113">
            <v>0</v>
          </cell>
          <cell r="BM113">
            <v>0</v>
          </cell>
          <cell r="BN113">
            <v>0</v>
          </cell>
          <cell r="BO113">
            <v>0</v>
          </cell>
          <cell r="BP113" t="b">
            <v>1</v>
          </cell>
          <cell r="BQ113">
            <v>6</v>
          </cell>
          <cell r="BR113">
            <v>47.21</v>
          </cell>
          <cell r="BS113">
            <v>1136</v>
          </cell>
          <cell r="BT113">
            <v>100</v>
          </cell>
          <cell r="BU113" t="str">
            <v>E</v>
          </cell>
          <cell r="BV113" t="str">
            <v>11</v>
          </cell>
          <cell r="BW113">
            <v>40</v>
          </cell>
          <cell r="BX113" t="str">
            <v>19940101</v>
          </cell>
          <cell r="BZ113" t="str">
            <v>D</v>
          </cell>
          <cell r="CA113" t="str">
            <v>09</v>
          </cell>
          <cell r="CB113" t="str">
            <v>D</v>
          </cell>
          <cell r="CC113" t="str">
            <v>10</v>
          </cell>
          <cell r="CD113" t="str">
            <v>E</v>
          </cell>
          <cell r="CE113" t="str">
            <v>10</v>
          </cell>
        </row>
        <row r="114">
          <cell r="A114" t="str">
            <v>2071432</v>
          </cell>
          <cell r="B114" t="str">
            <v>28</v>
          </cell>
          <cell r="C114" t="str">
            <v>대리</v>
          </cell>
          <cell r="D114" t="str">
            <v>정규붕　　</v>
          </cell>
          <cell r="E114" t="str">
            <v>C</v>
          </cell>
          <cell r="G114">
            <v>1</v>
          </cell>
          <cell r="H114" t="str">
            <v>KH**</v>
          </cell>
          <cell r="I114" t="str">
            <v>KHEO</v>
          </cell>
          <cell r="J114" t="str">
            <v>동부）광진지점　　　</v>
          </cell>
          <cell r="K114" t="str">
            <v>KHE*</v>
          </cell>
          <cell r="L114" t="str">
            <v>동부지역본부　　　　</v>
          </cell>
          <cell r="O114" t="str">
            <v>KHE*</v>
          </cell>
          <cell r="R114" t="str">
            <v>2</v>
          </cell>
          <cell r="V114" t="str">
            <v>4</v>
          </cell>
          <cell r="W114" t="str">
            <v>3</v>
          </cell>
          <cell r="X114" t="str">
            <v>3</v>
          </cell>
          <cell r="Y114" t="str">
            <v>S</v>
          </cell>
          <cell r="Z114" t="str">
            <v>2718162</v>
          </cell>
          <cell r="AA114" t="str">
            <v>박광인　　</v>
          </cell>
          <cell r="AB114" t="str">
            <v>03</v>
          </cell>
          <cell r="AC114" t="str">
            <v>32</v>
          </cell>
          <cell r="AD114">
            <v>48</v>
          </cell>
          <cell r="AE114">
            <v>50.63</v>
          </cell>
          <cell r="AF114">
            <v>70</v>
          </cell>
          <cell r="AG114" t="str">
            <v>2059744</v>
          </cell>
          <cell r="AH114" t="str">
            <v>김도영　　</v>
          </cell>
          <cell r="AI114" t="str">
            <v>02</v>
          </cell>
          <cell r="AJ114" t="str">
            <v>20</v>
          </cell>
          <cell r="AK114">
            <v>63</v>
          </cell>
          <cell r="AL114">
            <v>57.38</v>
          </cell>
          <cell r="AM114">
            <v>20</v>
          </cell>
          <cell r="AR114">
            <v>0</v>
          </cell>
          <cell r="AS114">
            <v>0</v>
          </cell>
          <cell r="AT114">
            <v>0</v>
          </cell>
          <cell r="AY114">
            <v>0</v>
          </cell>
          <cell r="AZ114">
            <v>0</v>
          </cell>
          <cell r="BA114">
            <v>0</v>
          </cell>
          <cell r="BF114">
            <v>0</v>
          </cell>
          <cell r="BG114">
            <v>0</v>
          </cell>
          <cell r="BH114">
            <v>0</v>
          </cell>
          <cell r="BM114">
            <v>0</v>
          </cell>
          <cell r="BN114">
            <v>0</v>
          </cell>
          <cell r="BO114">
            <v>0</v>
          </cell>
          <cell r="BP114" t="b">
            <v>0</v>
          </cell>
          <cell r="BQ114">
            <v>0</v>
          </cell>
          <cell r="BR114">
            <v>52.13</v>
          </cell>
          <cell r="BS114">
            <v>1550</v>
          </cell>
          <cell r="BT114">
            <v>92.6</v>
          </cell>
          <cell r="BU114" t="str">
            <v>E</v>
          </cell>
          <cell r="BV114" t="str">
            <v>10</v>
          </cell>
          <cell r="BW114">
            <v>44</v>
          </cell>
          <cell r="BX114" t="str">
            <v>19940101</v>
          </cell>
          <cell r="BZ114" t="str">
            <v>C</v>
          </cell>
          <cell r="CA114" t="str">
            <v>07</v>
          </cell>
          <cell r="CB114" t="str">
            <v>D</v>
          </cell>
          <cell r="CC114" t="str">
            <v>08</v>
          </cell>
          <cell r="CD114" t="str">
            <v>E</v>
          </cell>
          <cell r="CE114" t="str">
            <v>11</v>
          </cell>
        </row>
        <row r="115">
          <cell r="A115" t="str">
            <v>2234815</v>
          </cell>
          <cell r="B115" t="str">
            <v>28</v>
          </cell>
          <cell r="C115" t="str">
            <v>대리</v>
          </cell>
          <cell r="D115" t="str">
            <v>한상만　　</v>
          </cell>
          <cell r="E115" t="str">
            <v>C</v>
          </cell>
          <cell r="G115">
            <v>1</v>
          </cell>
          <cell r="H115" t="str">
            <v>KH**</v>
          </cell>
          <cell r="I115" t="str">
            <v>KHHK</v>
          </cell>
          <cell r="J115" t="str">
            <v>북부）종로５가지점　</v>
          </cell>
          <cell r="K115" t="str">
            <v>KHHC</v>
          </cell>
          <cell r="L115" t="str">
            <v>북부）퇴계로지점　　</v>
          </cell>
          <cell r="O115" t="str">
            <v>KHHCA</v>
          </cell>
          <cell r="R115" t="str">
            <v>2</v>
          </cell>
          <cell r="T115" t="str">
            <v>50</v>
          </cell>
          <cell r="U115" t="str">
            <v>과장</v>
          </cell>
          <cell r="V115" t="str">
            <v>4</v>
          </cell>
          <cell r="W115" t="str">
            <v>3</v>
          </cell>
          <cell r="X115" t="str">
            <v>2</v>
          </cell>
          <cell r="Y115" t="str">
            <v>O</v>
          </cell>
          <cell r="Z115" t="str">
            <v>2034069</v>
          </cell>
          <cell r="AA115" t="str">
            <v>김연중　　</v>
          </cell>
          <cell r="AB115" t="str">
            <v>24</v>
          </cell>
          <cell r="AC115" t="str">
            <v>44</v>
          </cell>
          <cell r="AD115">
            <v>97</v>
          </cell>
          <cell r="AE115">
            <v>64.709999999999994</v>
          </cell>
          <cell r="AF115">
            <v>50</v>
          </cell>
          <cell r="AG115" t="str">
            <v>2006008</v>
          </cell>
          <cell r="AH115" t="str">
            <v>이덕준　　</v>
          </cell>
          <cell r="AI115" t="str">
            <v>03</v>
          </cell>
          <cell r="AJ115" t="str">
            <v>32</v>
          </cell>
          <cell r="AK115">
            <v>77</v>
          </cell>
          <cell r="AL115">
            <v>60.56</v>
          </cell>
          <cell r="AM115">
            <v>30</v>
          </cell>
          <cell r="AN115" t="str">
            <v>2059744</v>
          </cell>
          <cell r="AO115" t="str">
            <v>김도영　　</v>
          </cell>
          <cell r="AP115" t="str">
            <v>02</v>
          </cell>
          <cell r="AQ115" t="str">
            <v>20</v>
          </cell>
          <cell r="AR115">
            <v>53</v>
          </cell>
          <cell r="AS115">
            <v>53.79</v>
          </cell>
          <cell r="AT115">
            <v>10</v>
          </cell>
          <cell r="AY115">
            <v>0</v>
          </cell>
          <cell r="AZ115">
            <v>0</v>
          </cell>
          <cell r="BA115">
            <v>0</v>
          </cell>
          <cell r="BF115">
            <v>0</v>
          </cell>
          <cell r="BG115">
            <v>0</v>
          </cell>
          <cell r="BH115">
            <v>0</v>
          </cell>
          <cell r="BM115">
            <v>0</v>
          </cell>
          <cell r="BN115">
            <v>0</v>
          </cell>
          <cell r="BO115">
            <v>0</v>
          </cell>
          <cell r="BP115" t="b">
            <v>0</v>
          </cell>
          <cell r="BQ115">
            <v>0</v>
          </cell>
          <cell r="BR115">
            <v>62.11</v>
          </cell>
          <cell r="BS115">
            <v>621</v>
          </cell>
          <cell r="BT115">
            <v>37.1</v>
          </cell>
          <cell r="BU115" t="str">
            <v>C</v>
          </cell>
          <cell r="BV115" t="str">
            <v>05</v>
          </cell>
          <cell r="BW115">
            <v>64</v>
          </cell>
          <cell r="BX115" t="str">
            <v>19980101</v>
          </cell>
          <cell r="BZ115" t="str">
            <v>C</v>
          </cell>
          <cell r="CA115" t="str">
            <v>05</v>
          </cell>
          <cell r="CB115" t="str">
            <v>B</v>
          </cell>
          <cell r="CC115" t="str">
            <v>02</v>
          </cell>
          <cell r="CD115" t="str">
            <v>C</v>
          </cell>
          <cell r="CE115" t="str">
            <v>04</v>
          </cell>
        </row>
        <row r="116">
          <cell r="A116" t="str">
            <v>2165772</v>
          </cell>
          <cell r="B116" t="str">
            <v>30</v>
          </cell>
          <cell r="C116" t="str">
            <v>4갑</v>
          </cell>
          <cell r="D116" t="str">
            <v>송정석　　</v>
          </cell>
          <cell r="E116" t="str">
            <v>C</v>
          </cell>
          <cell r="G116">
            <v>1</v>
          </cell>
          <cell r="H116" t="str">
            <v>KH**</v>
          </cell>
          <cell r="I116" t="str">
            <v>KHOJ</v>
          </cell>
          <cell r="J116" t="str">
            <v>전북）전주대형상용지</v>
          </cell>
          <cell r="K116" t="str">
            <v>KHOF</v>
          </cell>
          <cell r="L116" t="str">
            <v>전북）정읍지점　　　</v>
          </cell>
          <cell r="O116" t="str">
            <v>KHOFA</v>
          </cell>
          <cell r="R116" t="str">
            <v>2</v>
          </cell>
          <cell r="V116" t="str">
            <v>5</v>
          </cell>
          <cell r="W116" t="str">
            <v>3</v>
          </cell>
          <cell r="X116" t="str">
            <v>3</v>
          </cell>
          <cell r="Y116" t="str">
            <v>S</v>
          </cell>
          <cell r="Z116" t="str">
            <v>2042719</v>
          </cell>
          <cell r="AA116" t="str">
            <v>임창래　　</v>
          </cell>
          <cell r="AB116" t="str">
            <v>26</v>
          </cell>
          <cell r="AC116" t="str">
            <v>44</v>
          </cell>
          <cell r="AD116">
            <v>93</v>
          </cell>
          <cell r="AE116">
            <v>60</v>
          </cell>
          <cell r="AF116">
            <v>50</v>
          </cell>
          <cell r="AG116" t="str">
            <v>2718148</v>
          </cell>
          <cell r="AH116" t="str">
            <v>김춘원　　</v>
          </cell>
          <cell r="AI116" t="str">
            <v>05</v>
          </cell>
          <cell r="AJ116" t="str">
            <v>32</v>
          </cell>
          <cell r="AK116">
            <v>74</v>
          </cell>
          <cell r="AL116">
            <v>60.07</v>
          </cell>
          <cell r="AM116">
            <v>30</v>
          </cell>
          <cell r="AN116" t="str">
            <v>2059744</v>
          </cell>
          <cell r="AO116" t="str">
            <v>김도영　　</v>
          </cell>
          <cell r="AP116" t="str">
            <v>02</v>
          </cell>
          <cell r="AQ116" t="str">
            <v>20</v>
          </cell>
          <cell r="AR116">
            <v>93</v>
          </cell>
          <cell r="AS116">
            <v>68.08</v>
          </cell>
          <cell r="AT116">
            <v>10</v>
          </cell>
          <cell r="AY116">
            <v>0</v>
          </cell>
          <cell r="AZ116">
            <v>0</v>
          </cell>
          <cell r="BA116">
            <v>0</v>
          </cell>
          <cell r="BF116">
            <v>0</v>
          </cell>
          <cell r="BG116">
            <v>0</v>
          </cell>
          <cell r="BH116">
            <v>0</v>
          </cell>
          <cell r="BM116">
            <v>0</v>
          </cell>
          <cell r="BN116">
            <v>0</v>
          </cell>
          <cell r="BO116">
            <v>0</v>
          </cell>
          <cell r="BP116" t="b">
            <v>0</v>
          </cell>
          <cell r="BQ116">
            <v>0</v>
          </cell>
          <cell r="BR116">
            <v>60.92</v>
          </cell>
          <cell r="BS116">
            <v>602</v>
          </cell>
          <cell r="BT116">
            <v>41.5</v>
          </cell>
          <cell r="BU116" t="str">
            <v>C</v>
          </cell>
          <cell r="BV116" t="str">
            <v>05</v>
          </cell>
          <cell r="BW116">
            <v>64</v>
          </cell>
          <cell r="BX116" t="str">
            <v>19910101</v>
          </cell>
          <cell r="BZ116" t="str">
            <v>B</v>
          </cell>
          <cell r="CA116" t="str">
            <v>03</v>
          </cell>
          <cell r="CB116" t="str">
            <v>B</v>
          </cell>
          <cell r="CC116" t="str">
            <v>02</v>
          </cell>
          <cell r="CD116" t="str">
            <v>C</v>
          </cell>
          <cell r="CE116" t="str">
            <v>06</v>
          </cell>
        </row>
        <row r="117">
          <cell r="A117" t="str">
            <v>2077281</v>
          </cell>
          <cell r="B117" t="str">
            <v>30</v>
          </cell>
          <cell r="C117" t="str">
            <v>4갑</v>
          </cell>
          <cell r="D117" t="str">
            <v>김남오　　</v>
          </cell>
          <cell r="E117" t="str">
            <v>C</v>
          </cell>
          <cell r="G117">
            <v>1</v>
          </cell>
          <cell r="H117" t="str">
            <v>KQ**</v>
          </cell>
          <cell r="I117" t="str">
            <v>KQAB</v>
          </cell>
          <cell r="J117" t="str">
            <v>통합물류팀　　　　　</v>
          </cell>
          <cell r="K117" t="str">
            <v>KTAA</v>
          </cell>
          <cell r="L117" t="str">
            <v>화）생산관리팀　　　</v>
          </cell>
          <cell r="O117" t="str">
            <v>KTAA</v>
          </cell>
          <cell r="R117" t="str">
            <v>5</v>
          </cell>
          <cell r="V117" t="str">
            <v>5</v>
          </cell>
          <cell r="W117" t="str">
            <v>2</v>
          </cell>
          <cell r="X117" t="str">
            <v>3</v>
          </cell>
          <cell r="Y117" t="str">
            <v>S</v>
          </cell>
          <cell r="Z117" t="str">
            <v>2060151</v>
          </cell>
          <cell r="AA117" t="str">
            <v>양승현　　</v>
          </cell>
          <cell r="AB117" t="str">
            <v>22</v>
          </cell>
          <cell r="AC117" t="str">
            <v>43</v>
          </cell>
          <cell r="AD117">
            <v>73</v>
          </cell>
          <cell r="AE117">
            <v>57.41</v>
          </cell>
          <cell r="AF117">
            <v>30</v>
          </cell>
          <cell r="AG117" t="str">
            <v>7019858</v>
          </cell>
          <cell r="AH117" t="str">
            <v>홍석종　　</v>
          </cell>
          <cell r="AI117" t="str">
            <v>04</v>
          </cell>
          <cell r="AJ117" t="str">
            <v>31</v>
          </cell>
          <cell r="AK117">
            <v>77</v>
          </cell>
          <cell r="AL117">
            <v>62.44</v>
          </cell>
          <cell r="AM117">
            <v>20</v>
          </cell>
          <cell r="AN117" t="str">
            <v>2100100</v>
          </cell>
          <cell r="AO117" t="str">
            <v>김무일　　</v>
          </cell>
          <cell r="AP117" t="str">
            <v>02</v>
          </cell>
          <cell r="AQ117" t="str">
            <v>30</v>
          </cell>
          <cell r="AR117">
            <v>70</v>
          </cell>
          <cell r="AS117">
            <v>60.22</v>
          </cell>
          <cell r="AT117">
            <v>20</v>
          </cell>
          <cell r="AU117" t="str">
            <v>2728462</v>
          </cell>
          <cell r="AV117" t="str">
            <v>임승근　　</v>
          </cell>
          <cell r="AW117" t="str">
            <v>02</v>
          </cell>
          <cell r="AX117" t="str">
            <v>20</v>
          </cell>
          <cell r="AY117">
            <v>93</v>
          </cell>
          <cell r="AZ117">
            <v>68.42</v>
          </cell>
          <cell r="BA117">
            <v>10</v>
          </cell>
          <cell r="BF117">
            <v>0</v>
          </cell>
          <cell r="BG117">
            <v>0</v>
          </cell>
          <cell r="BH117">
            <v>0</v>
          </cell>
          <cell r="BM117">
            <v>0</v>
          </cell>
          <cell r="BN117">
            <v>0</v>
          </cell>
          <cell r="BO117">
            <v>0</v>
          </cell>
          <cell r="BP117" t="b">
            <v>0</v>
          </cell>
          <cell r="BQ117">
            <v>0</v>
          </cell>
          <cell r="BR117">
            <v>60.75</v>
          </cell>
          <cell r="BS117">
            <v>611</v>
          </cell>
          <cell r="BT117">
            <v>42.1</v>
          </cell>
          <cell r="BU117" t="str">
            <v>C</v>
          </cell>
          <cell r="BV117" t="str">
            <v>05</v>
          </cell>
          <cell r="BW117">
            <v>64</v>
          </cell>
          <cell r="BX117" t="str">
            <v>19920101</v>
          </cell>
          <cell r="BZ117" t="str">
            <v>A</v>
          </cell>
          <cell r="CA117" t="str">
            <v>02</v>
          </cell>
          <cell r="CB117" t="str">
            <v>C</v>
          </cell>
          <cell r="CC117" t="str">
            <v>05</v>
          </cell>
          <cell r="CD117" t="str">
            <v>B</v>
          </cell>
          <cell r="CE117" t="str">
            <v>04</v>
          </cell>
        </row>
        <row r="118">
          <cell r="A118" t="str">
            <v>2279336</v>
          </cell>
          <cell r="B118" t="str">
            <v>30</v>
          </cell>
          <cell r="C118" t="str">
            <v>4갑</v>
          </cell>
          <cell r="D118" t="str">
            <v>강대실　　</v>
          </cell>
          <cell r="E118" t="str">
            <v>C</v>
          </cell>
          <cell r="G118">
            <v>1</v>
          </cell>
          <cell r="H118" t="str">
            <v>KH**</v>
          </cell>
          <cell r="I118" t="str">
            <v>KHEA</v>
          </cell>
          <cell r="J118" t="str">
            <v>동부）동대문지점　　</v>
          </cell>
          <cell r="K118" t="str">
            <v>KHHS</v>
          </cell>
          <cell r="L118" t="str">
            <v>북부）가좌지점　　　</v>
          </cell>
          <cell r="O118" t="str">
            <v>KHHSA</v>
          </cell>
          <cell r="R118" t="str">
            <v>2</v>
          </cell>
          <cell r="V118" t="str">
            <v>5</v>
          </cell>
          <cell r="W118" t="str">
            <v>3</v>
          </cell>
          <cell r="X118" t="str">
            <v>3</v>
          </cell>
          <cell r="Y118" t="str">
            <v>S</v>
          </cell>
          <cell r="Z118" t="str">
            <v>2159746</v>
          </cell>
          <cell r="AA118" t="str">
            <v>김동한　　</v>
          </cell>
          <cell r="AB118" t="str">
            <v>26</v>
          </cell>
          <cell r="AC118" t="str">
            <v>44</v>
          </cell>
          <cell r="AD118">
            <v>94</v>
          </cell>
          <cell r="AE118">
            <v>60</v>
          </cell>
          <cell r="AF118">
            <v>50</v>
          </cell>
          <cell r="AG118" t="str">
            <v>2006008</v>
          </cell>
          <cell r="AH118" t="str">
            <v>이덕준　　</v>
          </cell>
          <cell r="AI118" t="str">
            <v>03</v>
          </cell>
          <cell r="AJ118" t="str">
            <v>32</v>
          </cell>
          <cell r="AK118">
            <v>95</v>
          </cell>
          <cell r="AL118">
            <v>68.42</v>
          </cell>
          <cell r="AM118">
            <v>30</v>
          </cell>
          <cell r="AN118" t="str">
            <v>2059744</v>
          </cell>
          <cell r="AO118" t="str">
            <v>김도영　　</v>
          </cell>
          <cell r="AP118" t="str">
            <v>02</v>
          </cell>
          <cell r="AQ118" t="str">
            <v>20</v>
          </cell>
          <cell r="AR118">
            <v>63</v>
          </cell>
          <cell r="AS118">
            <v>57.4</v>
          </cell>
          <cell r="AT118">
            <v>10</v>
          </cell>
          <cell r="AY118">
            <v>0</v>
          </cell>
          <cell r="AZ118">
            <v>0</v>
          </cell>
          <cell r="BA118">
            <v>0</v>
          </cell>
          <cell r="BF118">
            <v>0</v>
          </cell>
          <cell r="BG118">
            <v>0</v>
          </cell>
          <cell r="BH118">
            <v>0</v>
          </cell>
          <cell r="BM118">
            <v>0</v>
          </cell>
          <cell r="BN118">
            <v>0</v>
          </cell>
          <cell r="BO118">
            <v>0</v>
          </cell>
          <cell r="BP118" t="b">
            <v>0</v>
          </cell>
          <cell r="BQ118">
            <v>0</v>
          </cell>
          <cell r="BR118">
            <v>62.52</v>
          </cell>
          <cell r="BS118">
            <v>465</v>
          </cell>
          <cell r="BT118">
            <v>32</v>
          </cell>
          <cell r="BU118" t="str">
            <v>C</v>
          </cell>
          <cell r="BV118" t="str">
            <v>04</v>
          </cell>
          <cell r="BW118">
            <v>68</v>
          </cell>
          <cell r="BX118" t="str">
            <v>19930101</v>
          </cell>
          <cell r="BZ118" t="str">
            <v>C</v>
          </cell>
          <cell r="CA118" t="str">
            <v>04</v>
          </cell>
          <cell r="CB118" t="str">
            <v>A</v>
          </cell>
          <cell r="CC118" t="str">
            <v>02</v>
          </cell>
          <cell r="CD118" t="str">
            <v>A</v>
          </cell>
          <cell r="CE118" t="str">
            <v>02</v>
          </cell>
        </row>
        <row r="119">
          <cell r="A119" t="str">
            <v>2107727</v>
          </cell>
          <cell r="B119" t="str">
            <v>30</v>
          </cell>
          <cell r="C119" t="str">
            <v>4갑</v>
          </cell>
          <cell r="D119" t="str">
            <v>오진희　　</v>
          </cell>
          <cell r="E119" t="str">
            <v>C</v>
          </cell>
          <cell r="G119">
            <v>1</v>
          </cell>
          <cell r="H119" t="str">
            <v>KM**</v>
          </cell>
          <cell r="I119" t="str">
            <v>KMEC</v>
          </cell>
          <cell r="J119" t="str">
            <v>부품운영팀　　　　　</v>
          </cell>
          <cell r="K119" t="str">
            <v>KMIA</v>
          </cell>
          <cell r="L119" t="str">
            <v>강북부품사업소　　　</v>
          </cell>
          <cell r="O119" t="str">
            <v>KMIAA</v>
          </cell>
          <cell r="R119" t="str">
            <v>2</v>
          </cell>
          <cell r="V119" t="str">
            <v>5</v>
          </cell>
          <cell r="W119" t="str">
            <v>4</v>
          </cell>
          <cell r="X119" t="str">
            <v>3</v>
          </cell>
          <cell r="Y119" t="str">
            <v>S</v>
          </cell>
          <cell r="Z119" t="str">
            <v>2212104</v>
          </cell>
          <cell r="AA119" t="str">
            <v>조중관　　</v>
          </cell>
          <cell r="AB119" t="str">
            <v>26</v>
          </cell>
          <cell r="AC119" t="str">
            <v>50</v>
          </cell>
          <cell r="AD119">
            <v>84</v>
          </cell>
          <cell r="AE119">
            <v>63.85</v>
          </cell>
          <cell r="AF119">
            <v>40</v>
          </cell>
          <cell r="AG119" t="str">
            <v>2023226</v>
          </cell>
          <cell r="AH119" t="str">
            <v>김성수　　</v>
          </cell>
          <cell r="AI119" t="str">
            <v>22</v>
          </cell>
          <cell r="AJ119" t="str">
            <v>43</v>
          </cell>
          <cell r="AK119">
            <v>84</v>
          </cell>
          <cell r="AL119">
            <v>61.11</v>
          </cell>
          <cell r="AM119">
            <v>40</v>
          </cell>
          <cell r="AN119" t="str">
            <v>2001319</v>
          </cell>
          <cell r="AO119" t="str">
            <v>차정식　　</v>
          </cell>
          <cell r="AP119" t="str">
            <v>02</v>
          </cell>
          <cell r="AQ119" t="str">
            <v>20</v>
          </cell>
          <cell r="AR119">
            <v>70</v>
          </cell>
          <cell r="AS119">
            <v>59.77</v>
          </cell>
          <cell r="AT119">
            <v>10</v>
          </cell>
          <cell r="AY119">
            <v>0</v>
          </cell>
          <cell r="AZ119">
            <v>0</v>
          </cell>
          <cell r="BA119">
            <v>0</v>
          </cell>
          <cell r="BF119">
            <v>0</v>
          </cell>
          <cell r="BG119">
            <v>0</v>
          </cell>
          <cell r="BH119">
            <v>0</v>
          </cell>
          <cell r="BM119">
            <v>0</v>
          </cell>
          <cell r="BN119">
            <v>0</v>
          </cell>
          <cell r="BO119">
            <v>0</v>
          </cell>
          <cell r="BP119" t="b">
            <v>0</v>
          </cell>
          <cell r="BQ119">
            <v>0</v>
          </cell>
          <cell r="BR119">
            <v>62.18</v>
          </cell>
          <cell r="BS119">
            <v>490</v>
          </cell>
          <cell r="BT119">
            <v>33.799999999999997</v>
          </cell>
          <cell r="BU119" t="str">
            <v>C</v>
          </cell>
          <cell r="BV119" t="str">
            <v>04</v>
          </cell>
          <cell r="BW119">
            <v>68</v>
          </cell>
          <cell r="BX119" t="str">
            <v>19871001</v>
          </cell>
          <cell r="BZ119" t="str">
            <v>B</v>
          </cell>
          <cell r="CA119" t="str">
            <v>03</v>
          </cell>
          <cell r="CB119" t="str">
            <v>B</v>
          </cell>
          <cell r="CC119" t="str">
            <v>03</v>
          </cell>
          <cell r="CD119" t="str">
            <v>B</v>
          </cell>
          <cell r="CE119" t="str">
            <v>02</v>
          </cell>
        </row>
        <row r="120">
          <cell r="A120" t="str">
            <v>2080187</v>
          </cell>
          <cell r="B120" t="str">
            <v>28</v>
          </cell>
          <cell r="C120" t="str">
            <v>대리</v>
          </cell>
          <cell r="D120" t="str">
            <v>김해성　　</v>
          </cell>
          <cell r="E120" t="str">
            <v>C</v>
          </cell>
          <cell r="G120">
            <v>1</v>
          </cell>
          <cell r="H120" t="str">
            <v>KM**</v>
          </cell>
          <cell r="I120" t="str">
            <v>KMJS</v>
          </cell>
          <cell r="J120" t="str">
            <v>부산북부사업소　　　</v>
          </cell>
          <cell r="K120" t="str">
            <v>KMJR</v>
          </cell>
          <cell r="L120" t="str">
            <v>부산사업소　　　　　</v>
          </cell>
          <cell r="O120" t="str">
            <v>KMJRA</v>
          </cell>
          <cell r="R120" t="str">
            <v>2</v>
          </cell>
          <cell r="V120" t="str">
            <v>4</v>
          </cell>
          <cell r="W120" t="str">
            <v>4</v>
          </cell>
          <cell r="X120" t="str">
            <v>3</v>
          </cell>
          <cell r="Y120" t="str">
            <v>O</v>
          </cell>
          <cell r="Z120" t="str">
            <v>2288922</v>
          </cell>
          <cell r="AA120" t="str">
            <v>구민식　　</v>
          </cell>
          <cell r="AB120" t="str">
            <v>26</v>
          </cell>
          <cell r="AC120" t="str">
            <v>50</v>
          </cell>
          <cell r="AD120">
            <v>90</v>
          </cell>
          <cell r="AE120">
            <v>65.58</v>
          </cell>
          <cell r="AF120">
            <v>40</v>
          </cell>
          <cell r="AG120" t="str">
            <v>2026355</v>
          </cell>
          <cell r="AH120" t="str">
            <v>유원홍　　</v>
          </cell>
          <cell r="AI120" t="str">
            <v>24</v>
          </cell>
          <cell r="AJ120" t="str">
            <v>43</v>
          </cell>
          <cell r="AK120">
            <v>95</v>
          </cell>
          <cell r="AL120">
            <v>65.97</v>
          </cell>
          <cell r="AM120">
            <v>40</v>
          </cell>
          <cell r="AN120" t="str">
            <v>2001319</v>
          </cell>
          <cell r="AO120" t="str">
            <v>차정식　　</v>
          </cell>
          <cell r="AP120" t="str">
            <v>02</v>
          </cell>
          <cell r="AQ120" t="str">
            <v>20</v>
          </cell>
          <cell r="AR120">
            <v>77</v>
          </cell>
          <cell r="AS120">
            <v>62.21</v>
          </cell>
          <cell r="AT120">
            <v>10</v>
          </cell>
          <cell r="AY120">
            <v>0</v>
          </cell>
          <cell r="AZ120">
            <v>0</v>
          </cell>
          <cell r="BA120">
            <v>0</v>
          </cell>
          <cell r="BF120">
            <v>0</v>
          </cell>
          <cell r="BG120">
            <v>0</v>
          </cell>
          <cell r="BH120">
            <v>0</v>
          </cell>
          <cell r="BM120">
            <v>0</v>
          </cell>
          <cell r="BN120">
            <v>0</v>
          </cell>
          <cell r="BO120">
            <v>0</v>
          </cell>
          <cell r="BP120" t="b">
            <v>0</v>
          </cell>
          <cell r="BQ120">
            <v>0</v>
          </cell>
          <cell r="BR120">
            <v>65.38</v>
          </cell>
          <cell r="BS120">
            <v>374</v>
          </cell>
          <cell r="BT120">
            <v>22.3</v>
          </cell>
          <cell r="BU120" t="str">
            <v>B</v>
          </cell>
          <cell r="BV120" t="str">
            <v>03</v>
          </cell>
          <cell r="BW120">
            <v>72</v>
          </cell>
          <cell r="BX120" t="str">
            <v>19960101</v>
          </cell>
          <cell r="BZ120" t="str">
            <v>A</v>
          </cell>
          <cell r="CA120" t="str">
            <v>01</v>
          </cell>
          <cell r="CB120" t="str">
            <v>A</v>
          </cell>
          <cell r="CC120" t="str">
            <v>01</v>
          </cell>
          <cell r="CD120" t="str">
            <v>B</v>
          </cell>
          <cell r="CE120" t="str">
            <v>03</v>
          </cell>
        </row>
        <row r="121">
          <cell r="A121" t="str">
            <v>2350809</v>
          </cell>
          <cell r="B121" t="str">
            <v>32</v>
          </cell>
          <cell r="C121" t="str">
            <v>4을</v>
          </cell>
          <cell r="D121" t="str">
            <v>최수경　　</v>
          </cell>
          <cell r="E121" t="str">
            <v>C</v>
          </cell>
          <cell r="G121">
            <v>1</v>
          </cell>
          <cell r="H121" t="str">
            <v>KH**</v>
          </cell>
          <cell r="I121" t="str">
            <v>KHHT</v>
          </cell>
          <cell r="J121" t="str">
            <v>북부）금촌지점　　　</v>
          </cell>
          <cell r="K121" t="str">
            <v>KHHU</v>
          </cell>
          <cell r="L121" t="str">
            <v>북부）문산지점　　　</v>
          </cell>
          <cell r="O121" t="str">
            <v>KHHUA</v>
          </cell>
          <cell r="R121" t="str">
            <v>2</v>
          </cell>
          <cell r="V121" t="str">
            <v>6</v>
          </cell>
          <cell r="W121" t="str">
            <v>3</v>
          </cell>
          <cell r="X121" t="str">
            <v>4</v>
          </cell>
          <cell r="Y121" t="str">
            <v>O</v>
          </cell>
          <cell r="Z121" t="str">
            <v>2053181</v>
          </cell>
          <cell r="AA121" t="str">
            <v>유광희　　</v>
          </cell>
          <cell r="AB121" t="str">
            <v>28</v>
          </cell>
          <cell r="AC121" t="str">
            <v>50</v>
          </cell>
          <cell r="AD121">
            <v>77</v>
          </cell>
          <cell r="AE121">
            <v>55.29</v>
          </cell>
          <cell r="AF121">
            <v>10</v>
          </cell>
          <cell r="AG121" t="str">
            <v>2132257</v>
          </cell>
          <cell r="AH121" t="str">
            <v>강창희　　</v>
          </cell>
          <cell r="AI121" t="str">
            <v>26</v>
          </cell>
          <cell r="AJ121" t="str">
            <v>44</v>
          </cell>
          <cell r="AK121">
            <v>88</v>
          </cell>
          <cell r="AL121">
            <v>55.29</v>
          </cell>
          <cell r="AM121">
            <v>50</v>
          </cell>
          <cell r="AN121" t="str">
            <v>2006008</v>
          </cell>
          <cell r="AO121" t="str">
            <v>이덕준　　</v>
          </cell>
          <cell r="AP121" t="str">
            <v>03</v>
          </cell>
          <cell r="AQ121" t="str">
            <v>32</v>
          </cell>
          <cell r="AR121">
            <v>66</v>
          </cell>
          <cell r="AS121">
            <v>56.81</v>
          </cell>
          <cell r="AT121">
            <v>30</v>
          </cell>
          <cell r="AY121">
            <v>0</v>
          </cell>
          <cell r="AZ121">
            <v>0</v>
          </cell>
          <cell r="BA121">
            <v>0</v>
          </cell>
          <cell r="BF121">
            <v>0</v>
          </cell>
          <cell r="BG121">
            <v>0</v>
          </cell>
          <cell r="BH121">
            <v>0</v>
          </cell>
          <cell r="BM121">
            <v>0</v>
          </cell>
          <cell r="BN121">
            <v>0</v>
          </cell>
          <cell r="BO121">
            <v>0</v>
          </cell>
          <cell r="BP121" t="b">
            <v>0</v>
          </cell>
          <cell r="BQ121">
            <v>0</v>
          </cell>
          <cell r="BR121">
            <v>55.8</v>
          </cell>
          <cell r="BS121">
            <v>568</v>
          </cell>
          <cell r="BT121">
            <v>81.5</v>
          </cell>
          <cell r="BU121" t="str">
            <v>D</v>
          </cell>
          <cell r="BV121" t="str">
            <v>09</v>
          </cell>
          <cell r="BW121">
            <v>48</v>
          </cell>
          <cell r="BX121" t="str">
            <v>19960101</v>
          </cell>
          <cell r="BZ121" t="str">
            <v>D</v>
          </cell>
          <cell r="CA121" t="str">
            <v>09</v>
          </cell>
          <cell r="CB121" t="str">
            <v>C</v>
          </cell>
          <cell r="CC121" t="str">
            <v>04</v>
          </cell>
          <cell r="CD121" t="str">
            <v>D</v>
          </cell>
          <cell r="CE121" t="str">
            <v>10</v>
          </cell>
        </row>
        <row r="122">
          <cell r="A122" t="str">
            <v>2502843</v>
          </cell>
          <cell r="B122" t="str">
            <v>33</v>
          </cell>
          <cell r="C122" t="str">
            <v>5급</v>
          </cell>
          <cell r="D122" t="str">
            <v>최선화　　</v>
          </cell>
          <cell r="E122" t="str">
            <v>C</v>
          </cell>
          <cell r="G122">
            <v>1</v>
          </cell>
          <cell r="H122" t="str">
            <v>KH**</v>
          </cell>
          <cell r="I122" t="str">
            <v>KHER</v>
          </cell>
          <cell r="J122" t="str">
            <v>동부）창동지점　　　</v>
          </cell>
          <cell r="K122" t="str">
            <v>KHEG</v>
          </cell>
          <cell r="L122" t="str">
            <v>동부）상계지점　　　</v>
          </cell>
          <cell r="O122" t="str">
            <v>KHEGA</v>
          </cell>
          <cell r="R122" t="str">
            <v>2</v>
          </cell>
          <cell r="V122" t="str">
            <v>7</v>
          </cell>
          <cell r="W122" t="str">
            <v>3</v>
          </cell>
          <cell r="X122" t="str">
            <v>4</v>
          </cell>
          <cell r="Y122" t="str">
            <v>S</v>
          </cell>
          <cell r="Z122" t="str">
            <v>2263946</v>
          </cell>
          <cell r="AA122" t="str">
            <v>김남혁　　</v>
          </cell>
          <cell r="AB122" t="str">
            <v>28</v>
          </cell>
          <cell r="AC122" t="str">
            <v>50</v>
          </cell>
          <cell r="AD122">
            <v>70</v>
          </cell>
          <cell r="AE122">
            <v>55.28</v>
          </cell>
          <cell r="AF122">
            <v>10</v>
          </cell>
          <cell r="AG122" t="str">
            <v>2038981</v>
          </cell>
          <cell r="AH122" t="str">
            <v>반승호　　</v>
          </cell>
          <cell r="AI122" t="str">
            <v>24</v>
          </cell>
          <cell r="AJ122" t="str">
            <v>44</v>
          </cell>
          <cell r="AK122">
            <v>80</v>
          </cell>
          <cell r="AL122">
            <v>55.29</v>
          </cell>
          <cell r="AM122">
            <v>50</v>
          </cell>
          <cell r="AN122" t="str">
            <v>2718162</v>
          </cell>
          <cell r="AO122" t="str">
            <v>박광인　　</v>
          </cell>
          <cell r="AP122" t="str">
            <v>03</v>
          </cell>
          <cell r="AQ122" t="str">
            <v>32</v>
          </cell>
          <cell r="AR122">
            <v>75</v>
          </cell>
          <cell r="AS122">
            <v>60.51</v>
          </cell>
          <cell r="AT122">
            <v>30</v>
          </cell>
          <cell r="AY122">
            <v>0</v>
          </cell>
          <cell r="AZ122">
            <v>0</v>
          </cell>
          <cell r="BA122">
            <v>0</v>
          </cell>
          <cell r="BF122">
            <v>0</v>
          </cell>
          <cell r="BG122">
            <v>0</v>
          </cell>
          <cell r="BH122">
            <v>0</v>
          </cell>
          <cell r="BM122">
            <v>0</v>
          </cell>
          <cell r="BN122">
            <v>0</v>
          </cell>
          <cell r="BO122">
            <v>0</v>
          </cell>
          <cell r="BP122" t="b">
            <v>0</v>
          </cell>
          <cell r="BQ122">
            <v>0</v>
          </cell>
          <cell r="BR122">
            <v>57.03</v>
          </cell>
          <cell r="BS122">
            <v>465</v>
          </cell>
          <cell r="BT122">
            <v>67.900000000000006</v>
          </cell>
          <cell r="BU122" t="str">
            <v>C</v>
          </cell>
          <cell r="BV122" t="str">
            <v>08</v>
          </cell>
          <cell r="BW122">
            <v>52</v>
          </cell>
          <cell r="BX122" t="str">
            <v>19931104</v>
          </cell>
          <cell r="BZ122" t="str">
            <v>C</v>
          </cell>
          <cell r="CA122" t="str">
            <v>06</v>
          </cell>
          <cell r="CB122" t="str">
            <v>C</v>
          </cell>
          <cell r="CC122" t="str">
            <v>04</v>
          </cell>
          <cell r="CD122" t="str">
            <v>D</v>
          </cell>
          <cell r="CE122" t="str">
            <v>10</v>
          </cell>
        </row>
        <row r="123">
          <cell r="A123" t="str">
            <v>2447407</v>
          </cell>
          <cell r="B123" t="str">
            <v>32</v>
          </cell>
          <cell r="C123" t="str">
            <v>4을</v>
          </cell>
          <cell r="D123" t="str">
            <v>안문선　　</v>
          </cell>
          <cell r="E123" t="str">
            <v>C</v>
          </cell>
          <cell r="G123">
            <v>1</v>
          </cell>
          <cell r="H123" t="str">
            <v>KH**</v>
          </cell>
          <cell r="I123" t="str">
            <v>KHIR</v>
          </cell>
          <cell r="J123" t="str">
            <v>인천）공단지점　　　</v>
          </cell>
          <cell r="K123" t="str">
            <v>KHIS</v>
          </cell>
          <cell r="L123" t="str">
            <v>인천）안산선부지점　</v>
          </cell>
          <cell r="O123" t="str">
            <v>KHISA</v>
          </cell>
          <cell r="R123" t="str">
            <v>2</v>
          </cell>
          <cell r="V123" t="str">
            <v>6</v>
          </cell>
          <cell r="W123" t="str">
            <v>3</v>
          </cell>
          <cell r="X123" t="str">
            <v>4</v>
          </cell>
          <cell r="Y123" t="str">
            <v>O</v>
          </cell>
          <cell r="Z123" t="str">
            <v>2127896</v>
          </cell>
          <cell r="AA123" t="str">
            <v>조순제　　</v>
          </cell>
          <cell r="AB123" t="str">
            <v>28</v>
          </cell>
          <cell r="AC123" t="str">
            <v>50</v>
          </cell>
          <cell r="AD123">
            <v>77</v>
          </cell>
          <cell r="AE123">
            <v>55.29</v>
          </cell>
          <cell r="AF123">
            <v>10</v>
          </cell>
          <cell r="AG123" t="str">
            <v>8195316</v>
          </cell>
          <cell r="AH123" t="str">
            <v>김영도　　</v>
          </cell>
          <cell r="AI123" t="str">
            <v>26</v>
          </cell>
          <cell r="AJ123" t="str">
            <v>44</v>
          </cell>
          <cell r="AK123">
            <v>84</v>
          </cell>
          <cell r="AL123">
            <v>55.29</v>
          </cell>
          <cell r="AM123">
            <v>50</v>
          </cell>
          <cell r="AN123" t="str">
            <v>2718155</v>
          </cell>
          <cell r="AO123" t="str">
            <v>김한수　　</v>
          </cell>
          <cell r="AP123" t="str">
            <v>05</v>
          </cell>
          <cell r="AQ123" t="str">
            <v>32</v>
          </cell>
          <cell r="AR123">
            <v>74</v>
          </cell>
          <cell r="AS123">
            <v>61.07</v>
          </cell>
          <cell r="AT123">
            <v>30</v>
          </cell>
          <cell r="AY123">
            <v>0</v>
          </cell>
          <cell r="AZ123">
            <v>0</v>
          </cell>
          <cell r="BA123">
            <v>0</v>
          </cell>
          <cell r="BF123">
            <v>0</v>
          </cell>
          <cell r="BG123">
            <v>0</v>
          </cell>
          <cell r="BH123">
            <v>0</v>
          </cell>
          <cell r="BM123">
            <v>0</v>
          </cell>
          <cell r="BN123">
            <v>0</v>
          </cell>
          <cell r="BO123">
            <v>0</v>
          </cell>
          <cell r="BP123" t="b">
            <v>0</v>
          </cell>
          <cell r="BQ123">
            <v>0</v>
          </cell>
          <cell r="BR123">
            <v>57.22</v>
          </cell>
          <cell r="BS123">
            <v>501</v>
          </cell>
          <cell r="BT123">
            <v>71.900000000000006</v>
          </cell>
          <cell r="BU123" t="str">
            <v>D</v>
          </cell>
          <cell r="BV123" t="str">
            <v>08</v>
          </cell>
          <cell r="BW123">
            <v>52</v>
          </cell>
          <cell r="BX123" t="str">
            <v>19980101</v>
          </cell>
          <cell r="BZ123" t="str">
            <v>D</v>
          </cell>
          <cell r="CA123" t="str">
            <v>09</v>
          </cell>
          <cell r="CB123" t="str">
            <v>C</v>
          </cell>
          <cell r="CC123" t="str">
            <v>04</v>
          </cell>
          <cell r="CD123" t="str">
            <v>C</v>
          </cell>
          <cell r="CE123" t="str">
            <v>07</v>
          </cell>
        </row>
        <row r="124">
          <cell r="A124" t="str">
            <v>2211971</v>
          </cell>
          <cell r="B124" t="str">
            <v>26</v>
          </cell>
          <cell r="C124" t="str">
            <v>과장</v>
          </cell>
          <cell r="D124" t="str">
            <v>이태용　　</v>
          </cell>
          <cell r="E124" t="str">
            <v>C</v>
          </cell>
          <cell r="G124">
            <v>1</v>
          </cell>
          <cell r="H124" t="str">
            <v>KH**</v>
          </cell>
          <cell r="I124" t="str">
            <v>KHYC</v>
          </cell>
          <cell r="J124" t="str">
            <v>대형상용）남부대형상</v>
          </cell>
          <cell r="K124" t="str">
            <v>KHYD</v>
          </cell>
          <cell r="L124" t="str">
            <v>대형상용）북부대형상</v>
          </cell>
          <cell r="O124" t="str">
            <v>KHYDA</v>
          </cell>
          <cell r="R124" t="str">
            <v>2</v>
          </cell>
          <cell r="T124" t="str">
            <v>50</v>
          </cell>
          <cell r="U124" t="str">
            <v>과장</v>
          </cell>
          <cell r="V124" t="str">
            <v>3</v>
          </cell>
          <cell r="W124" t="str">
            <v>3</v>
          </cell>
          <cell r="X124" t="str">
            <v>2</v>
          </cell>
          <cell r="Y124" t="str">
            <v>O</v>
          </cell>
          <cell r="Z124" t="str">
            <v>2110601</v>
          </cell>
          <cell r="AA124" t="str">
            <v>박시옥　　</v>
          </cell>
          <cell r="AB124" t="str">
            <v>26</v>
          </cell>
          <cell r="AC124" t="str">
            <v>44</v>
          </cell>
          <cell r="AD124">
            <v>72</v>
          </cell>
          <cell r="AE124">
            <v>60</v>
          </cell>
          <cell r="AF124">
            <v>50</v>
          </cell>
          <cell r="AG124" t="str">
            <v>2006559</v>
          </cell>
          <cell r="AH124" t="str">
            <v>이종진　　</v>
          </cell>
          <cell r="AI124" t="str">
            <v>04</v>
          </cell>
          <cell r="AJ124" t="str">
            <v>32</v>
          </cell>
          <cell r="AK124">
            <v>52</v>
          </cell>
          <cell r="AL124">
            <v>51.17</v>
          </cell>
          <cell r="AM124">
            <v>30</v>
          </cell>
          <cell r="AN124" t="str">
            <v>2059744</v>
          </cell>
          <cell r="AO124" t="str">
            <v>김도영　　</v>
          </cell>
          <cell r="AP124" t="str">
            <v>02</v>
          </cell>
          <cell r="AQ124" t="str">
            <v>20</v>
          </cell>
          <cell r="AR124">
            <v>63</v>
          </cell>
          <cell r="AS124">
            <v>57.3</v>
          </cell>
          <cell r="AT124">
            <v>10</v>
          </cell>
          <cell r="AY124">
            <v>0</v>
          </cell>
          <cell r="AZ124">
            <v>0</v>
          </cell>
          <cell r="BA124">
            <v>0</v>
          </cell>
          <cell r="BF124">
            <v>0</v>
          </cell>
          <cell r="BG124">
            <v>0</v>
          </cell>
          <cell r="BH124">
            <v>0</v>
          </cell>
          <cell r="BM124">
            <v>0</v>
          </cell>
          <cell r="BN124">
            <v>0</v>
          </cell>
          <cell r="BO124">
            <v>0</v>
          </cell>
          <cell r="BP124" t="b">
            <v>0</v>
          </cell>
          <cell r="BQ124">
            <v>0</v>
          </cell>
          <cell r="BR124">
            <v>56.76</v>
          </cell>
          <cell r="BS124">
            <v>806</v>
          </cell>
          <cell r="BT124">
            <v>71</v>
          </cell>
          <cell r="BU124" t="str">
            <v>D</v>
          </cell>
          <cell r="BV124" t="str">
            <v>08</v>
          </cell>
          <cell r="BW124">
            <v>52</v>
          </cell>
          <cell r="BX124" t="str">
            <v>19970101</v>
          </cell>
          <cell r="BZ124" t="str">
            <v>C</v>
          </cell>
          <cell r="CA124" t="str">
            <v>07</v>
          </cell>
          <cell r="CB124" t="str">
            <v>E</v>
          </cell>
          <cell r="CC124" t="str">
            <v>11</v>
          </cell>
          <cell r="CD124" t="str">
            <v>A</v>
          </cell>
          <cell r="CE124" t="str">
            <v>02</v>
          </cell>
        </row>
        <row r="125">
          <cell r="A125" t="str">
            <v>2321009</v>
          </cell>
          <cell r="B125" t="str">
            <v>28</v>
          </cell>
          <cell r="C125" t="str">
            <v>대리</v>
          </cell>
          <cell r="D125" t="str">
            <v>최승우　　</v>
          </cell>
          <cell r="E125" t="str">
            <v>C</v>
          </cell>
          <cell r="G125">
            <v>1</v>
          </cell>
          <cell r="H125" t="str">
            <v>KO**</v>
          </cell>
          <cell r="I125" t="str">
            <v>KPBA</v>
          </cell>
          <cell r="J125" t="str">
            <v>상용부품지원팀　　　</v>
          </cell>
          <cell r="K125" t="str">
            <v>KPBC</v>
          </cell>
          <cell r="L125" t="str">
            <v>상용차체부품개발팀　</v>
          </cell>
          <cell r="O125" t="str">
            <v>KPBC</v>
          </cell>
          <cell r="R125" t="str">
            <v>6</v>
          </cell>
          <cell r="V125" t="str">
            <v>4</v>
          </cell>
          <cell r="W125" t="str">
            <v>1</v>
          </cell>
          <cell r="X125" t="str">
            <v>3</v>
          </cell>
          <cell r="Y125" t="str">
            <v>S</v>
          </cell>
          <cell r="Z125" t="str">
            <v>7299025</v>
          </cell>
          <cell r="AA125" t="str">
            <v>하인철　　</v>
          </cell>
          <cell r="AB125" t="str">
            <v>24</v>
          </cell>
          <cell r="AC125" t="str">
            <v>43</v>
          </cell>
          <cell r="AD125">
            <v>80</v>
          </cell>
          <cell r="AE125">
            <v>66.2</v>
          </cell>
          <cell r="AF125">
            <v>30</v>
          </cell>
          <cell r="AG125" t="str">
            <v>7158925</v>
          </cell>
          <cell r="AH125" t="str">
            <v>조병진　　</v>
          </cell>
          <cell r="AI125" t="str">
            <v>20</v>
          </cell>
          <cell r="AJ125" t="str">
            <v>32</v>
          </cell>
          <cell r="AK125">
            <v>53</v>
          </cell>
          <cell r="AL125">
            <v>52.08</v>
          </cell>
          <cell r="AM125">
            <v>20</v>
          </cell>
          <cell r="AN125" t="str">
            <v>7043317</v>
          </cell>
          <cell r="AO125" t="str">
            <v>박승하　　</v>
          </cell>
          <cell r="AP125" t="str">
            <v>04</v>
          </cell>
          <cell r="AQ125" t="str">
            <v>30</v>
          </cell>
          <cell r="AR125">
            <v>51</v>
          </cell>
          <cell r="AS125">
            <v>51.15</v>
          </cell>
          <cell r="AT125">
            <v>20</v>
          </cell>
          <cell r="AU125" t="str">
            <v>2008268</v>
          </cell>
          <cell r="AV125" t="str">
            <v>이용도　　</v>
          </cell>
          <cell r="AW125" t="str">
            <v>02</v>
          </cell>
          <cell r="AX125" t="str">
            <v>20</v>
          </cell>
          <cell r="AY125">
            <v>53</v>
          </cell>
          <cell r="AZ125">
            <v>51.47</v>
          </cell>
          <cell r="BA125">
            <v>10</v>
          </cell>
          <cell r="BF125">
            <v>0</v>
          </cell>
          <cell r="BG125">
            <v>0</v>
          </cell>
          <cell r="BH125">
            <v>0</v>
          </cell>
          <cell r="BM125">
            <v>0</v>
          </cell>
          <cell r="BN125">
            <v>0</v>
          </cell>
          <cell r="BO125">
            <v>0</v>
          </cell>
          <cell r="BP125" t="b">
            <v>0</v>
          </cell>
          <cell r="BQ125">
            <v>0</v>
          </cell>
          <cell r="BR125">
            <v>57.07</v>
          </cell>
          <cell r="BS125">
            <v>1171</v>
          </cell>
          <cell r="BT125">
            <v>70</v>
          </cell>
          <cell r="BU125" t="str">
            <v>C</v>
          </cell>
          <cell r="BV125" t="str">
            <v>08</v>
          </cell>
          <cell r="BW125">
            <v>52</v>
          </cell>
          <cell r="BX125" t="str">
            <v>19950101</v>
          </cell>
          <cell r="BZ125" t="str">
            <v>C</v>
          </cell>
          <cell r="CA125" t="str">
            <v>08</v>
          </cell>
          <cell r="CB125" t="str">
            <v>C</v>
          </cell>
          <cell r="CC125" t="str">
            <v>06</v>
          </cell>
          <cell r="CD125" t="str">
            <v>C</v>
          </cell>
          <cell r="CE125" t="str">
            <v>06</v>
          </cell>
        </row>
        <row r="126">
          <cell r="A126" t="str">
            <v>2115485</v>
          </cell>
          <cell r="B126" t="str">
            <v>28</v>
          </cell>
          <cell r="C126" t="str">
            <v>대리</v>
          </cell>
          <cell r="D126" t="str">
            <v>김재철　　</v>
          </cell>
          <cell r="E126" t="str">
            <v>C</v>
          </cell>
          <cell r="G126">
            <v>1</v>
          </cell>
          <cell r="H126" t="str">
            <v>KQ**</v>
          </cell>
          <cell r="I126" t="str">
            <v>KUGA</v>
          </cell>
          <cell r="J126" t="str">
            <v>광）품질관리부　　　</v>
          </cell>
          <cell r="K126" t="str">
            <v>KUCC</v>
          </cell>
          <cell r="L126" t="str">
            <v>광）특장제조부　　　</v>
          </cell>
          <cell r="O126" t="str">
            <v>KUCCA</v>
          </cell>
          <cell r="R126" t="str">
            <v>6</v>
          </cell>
          <cell r="V126" t="str">
            <v>4</v>
          </cell>
          <cell r="W126" t="str">
            <v>2</v>
          </cell>
          <cell r="X126" t="str">
            <v>3</v>
          </cell>
          <cell r="Y126" t="str">
            <v>S</v>
          </cell>
          <cell r="Z126" t="str">
            <v>2096372</v>
          </cell>
          <cell r="AA126" t="str">
            <v>김종성　　</v>
          </cell>
          <cell r="AB126" t="str">
            <v>26</v>
          </cell>
          <cell r="AC126" t="str">
            <v>50</v>
          </cell>
          <cell r="AD126">
            <v>96</v>
          </cell>
          <cell r="AE126">
            <v>66.099999999999994</v>
          </cell>
          <cell r="AF126">
            <v>30</v>
          </cell>
          <cell r="AG126" t="str">
            <v>2388627</v>
          </cell>
          <cell r="AH126" t="str">
            <v>장성환　　</v>
          </cell>
          <cell r="AI126" t="str">
            <v>22</v>
          </cell>
          <cell r="AJ126" t="str">
            <v>40</v>
          </cell>
          <cell r="AK126">
            <v>53</v>
          </cell>
          <cell r="AL126">
            <v>51.21</v>
          </cell>
          <cell r="AM126">
            <v>30</v>
          </cell>
          <cell r="AN126" t="str">
            <v>2026563</v>
          </cell>
          <cell r="AO126" t="str">
            <v>전천수　　</v>
          </cell>
          <cell r="AP126" t="str">
            <v>03</v>
          </cell>
          <cell r="AQ126" t="str">
            <v>30</v>
          </cell>
          <cell r="AR126">
            <v>48</v>
          </cell>
          <cell r="AS126">
            <v>52.43</v>
          </cell>
          <cell r="AT126">
            <v>10</v>
          </cell>
          <cell r="AU126" t="str">
            <v>2728462</v>
          </cell>
          <cell r="AV126" t="str">
            <v>임승근　　</v>
          </cell>
          <cell r="AW126" t="str">
            <v>02</v>
          </cell>
          <cell r="AX126" t="str">
            <v>20</v>
          </cell>
          <cell r="AY126">
            <v>47</v>
          </cell>
          <cell r="AZ126">
            <v>51.51</v>
          </cell>
          <cell r="BA126">
            <v>10</v>
          </cell>
          <cell r="BF126">
            <v>0</v>
          </cell>
          <cell r="BG126">
            <v>0</v>
          </cell>
          <cell r="BH126">
            <v>0</v>
          </cell>
          <cell r="BM126">
            <v>0</v>
          </cell>
          <cell r="BN126">
            <v>0</v>
          </cell>
          <cell r="BO126">
            <v>0</v>
          </cell>
          <cell r="BP126" t="b">
            <v>0</v>
          </cell>
          <cell r="BQ126">
            <v>0</v>
          </cell>
          <cell r="BR126">
            <v>56.98</v>
          </cell>
          <cell r="BS126">
            <v>1178</v>
          </cell>
          <cell r="BT126">
            <v>70.400000000000006</v>
          </cell>
          <cell r="BU126" t="str">
            <v>D</v>
          </cell>
          <cell r="BV126" t="str">
            <v>08</v>
          </cell>
          <cell r="BW126">
            <v>52</v>
          </cell>
          <cell r="BX126" t="str">
            <v>19930101</v>
          </cell>
          <cell r="BZ126" t="str">
            <v>C</v>
          </cell>
          <cell r="CA126" t="str">
            <v>08</v>
          </cell>
          <cell r="CB126" t="str">
            <v>C</v>
          </cell>
          <cell r="CC126" t="str">
            <v>07</v>
          </cell>
          <cell r="CD126" t="str">
            <v>C</v>
          </cell>
          <cell r="CE126" t="str">
            <v>05</v>
          </cell>
        </row>
        <row r="127">
          <cell r="A127" t="str">
            <v>2313711</v>
          </cell>
          <cell r="B127" t="str">
            <v>28</v>
          </cell>
          <cell r="C127" t="str">
            <v>대리</v>
          </cell>
          <cell r="D127" t="str">
            <v>이이균　　</v>
          </cell>
          <cell r="E127" t="str">
            <v>C</v>
          </cell>
          <cell r="G127">
            <v>1</v>
          </cell>
          <cell r="H127" t="str">
            <v>KH**</v>
          </cell>
          <cell r="I127" t="str">
            <v>KHBA</v>
          </cell>
          <cell r="J127" t="str">
            <v>채권관리팀　　　　　</v>
          </cell>
          <cell r="K127" t="str">
            <v>KHTF</v>
          </cell>
          <cell r="L127" t="str">
            <v>경북）문경지점　　　</v>
          </cell>
          <cell r="O127" t="str">
            <v>KHTFA</v>
          </cell>
          <cell r="R127" t="str">
            <v>2</v>
          </cell>
          <cell r="T127" t="str">
            <v>50</v>
          </cell>
          <cell r="U127" t="str">
            <v>과장</v>
          </cell>
          <cell r="V127" t="str">
            <v>4</v>
          </cell>
          <cell r="W127" t="str">
            <v>3</v>
          </cell>
          <cell r="X127" t="str">
            <v>2</v>
          </cell>
          <cell r="Y127" t="str">
            <v>O</v>
          </cell>
          <cell r="Z127" t="str">
            <v>2182939</v>
          </cell>
          <cell r="AA127" t="str">
            <v>윤문희　　</v>
          </cell>
          <cell r="AB127" t="str">
            <v>26</v>
          </cell>
          <cell r="AC127" t="str">
            <v>44</v>
          </cell>
          <cell r="AD127">
            <v>97</v>
          </cell>
          <cell r="AE127">
            <v>60</v>
          </cell>
          <cell r="AF127">
            <v>50</v>
          </cell>
          <cell r="AG127" t="str">
            <v>2061393</v>
          </cell>
          <cell r="AH127" t="str">
            <v>이광우　　</v>
          </cell>
          <cell r="AI127" t="str">
            <v>22</v>
          </cell>
          <cell r="AJ127" t="str">
            <v>32</v>
          </cell>
          <cell r="AK127">
            <v>75</v>
          </cell>
          <cell r="AL127">
            <v>54.6</v>
          </cell>
          <cell r="AM127">
            <v>30</v>
          </cell>
          <cell r="AN127" t="str">
            <v>2059744</v>
          </cell>
          <cell r="AO127" t="str">
            <v>김도영　　</v>
          </cell>
          <cell r="AP127" t="str">
            <v>02</v>
          </cell>
          <cell r="AQ127" t="str">
            <v>20</v>
          </cell>
          <cell r="AR127">
            <v>70</v>
          </cell>
          <cell r="AS127">
            <v>59.89</v>
          </cell>
          <cell r="AT127">
            <v>10</v>
          </cell>
          <cell r="AY127">
            <v>0</v>
          </cell>
          <cell r="AZ127">
            <v>0</v>
          </cell>
          <cell r="BA127">
            <v>0</v>
          </cell>
          <cell r="BF127">
            <v>0</v>
          </cell>
          <cell r="BG127">
            <v>0</v>
          </cell>
          <cell r="BH127">
            <v>0</v>
          </cell>
          <cell r="BM127">
            <v>0</v>
          </cell>
          <cell r="BN127">
            <v>0</v>
          </cell>
          <cell r="BO127">
            <v>0</v>
          </cell>
          <cell r="BP127" t="b">
            <v>0</v>
          </cell>
          <cell r="BQ127">
            <v>0</v>
          </cell>
          <cell r="BR127">
            <v>58.19</v>
          </cell>
          <cell r="BS127">
            <v>1049</v>
          </cell>
          <cell r="BT127">
            <v>62.7</v>
          </cell>
          <cell r="BU127" t="str">
            <v>C</v>
          </cell>
          <cell r="BV127" t="str">
            <v>07</v>
          </cell>
          <cell r="BW127">
            <v>56</v>
          </cell>
          <cell r="BX127" t="str">
            <v>19970101</v>
          </cell>
          <cell r="BZ127" t="str">
            <v>B</v>
          </cell>
          <cell r="CA127" t="str">
            <v>04</v>
          </cell>
          <cell r="CB127" t="str">
            <v>E</v>
          </cell>
          <cell r="CC127" t="str">
            <v>10</v>
          </cell>
          <cell r="CD127" t="str">
            <v>B</v>
          </cell>
          <cell r="CE127" t="str">
            <v>03</v>
          </cell>
        </row>
        <row r="128">
          <cell r="A128" t="str">
            <v>2018835</v>
          </cell>
          <cell r="B128" t="str">
            <v>22</v>
          </cell>
          <cell r="C128" t="str">
            <v>부장</v>
          </cell>
          <cell r="D128" t="str">
            <v>이종철　　</v>
          </cell>
          <cell r="E128" t="str">
            <v>C</v>
          </cell>
          <cell r="G128">
            <v>1</v>
          </cell>
          <cell r="H128" t="str">
            <v>KQ**</v>
          </cell>
          <cell r="I128" t="str">
            <v>KTCG</v>
          </cell>
          <cell r="J128" t="str">
            <v>원자재부　　　　　　</v>
          </cell>
          <cell r="K128" t="str">
            <v>KTED</v>
          </cell>
          <cell r="L128" t="str">
            <v>화）조립３부　　　　</v>
          </cell>
          <cell r="O128" t="str">
            <v>KTED</v>
          </cell>
          <cell r="R128" t="str">
            <v>5</v>
          </cell>
          <cell r="T128" t="str">
            <v>40</v>
          </cell>
          <cell r="U128" t="str">
            <v>부서장</v>
          </cell>
          <cell r="V128" t="str">
            <v>1</v>
          </cell>
          <cell r="W128" t="str">
            <v>2</v>
          </cell>
          <cell r="X128" t="str">
            <v>1</v>
          </cell>
          <cell r="Y128" t="str">
            <v>O</v>
          </cell>
          <cell r="Z128" t="str">
            <v>2013276</v>
          </cell>
          <cell r="AA128" t="str">
            <v>이상재　　</v>
          </cell>
          <cell r="AB128" t="str">
            <v>05</v>
          </cell>
          <cell r="AC128" t="str">
            <v>32</v>
          </cell>
          <cell r="AD128">
            <v>88</v>
          </cell>
          <cell r="AE128">
            <v>60</v>
          </cell>
          <cell r="AF128">
            <v>10</v>
          </cell>
          <cell r="AG128" t="str">
            <v>7019858</v>
          </cell>
          <cell r="AH128" t="str">
            <v>홍석종　　</v>
          </cell>
          <cell r="AI128" t="str">
            <v>04</v>
          </cell>
          <cell r="AJ128" t="str">
            <v>31</v>
          </cell>
          <cell r="AK128">
            <v>70</v>
          </cell>
          <cell r="AL128">
            <v>54.3</v>
          </cell>
          <cell r="AM128">
            <v>20</v>
          </cell>
          <cell r="AN128" t="str">
            <v>2100100</v>
          </cell>
          <cell r="AO128" t="str">
            <v>김무일　　</v>
          </cell>
          <cell r="AP128" t="str">
            <v>02</v>
          </cell>
          <cell r="AQ128" t="str">
            <v>30</v>
          </cell>
          <cell r="AR128">
            <v>94</v>
          </cell>
          <cell r="AS128">
            <v>63.74</v>
          </cell>
          <cell r="AT128">
            <v>30</v>
          </cell>
          <cell r="AU128" t="str">
            <v>2728462</v>
          </cell>
          <cell r="AV128" t="str">
            <v>임승근　　</v>
          </cell>
          <cell r="AW128" t="str">
            <v>02</v>
          </cell>
          <cell r="AX128" t="str">
            <v>20</v>
          </cell>
          <cell r="AY128">
            <v>70</v>
          </cell>
          <cell r="AZ128">
            <v>60</v>
          </cell>
          <cell r="BA128">
            <v>10</v>
          </cell>
          <cell r="BF128">
            <v>0</v>
          </cell>
          <cell r="BG128">
            <v>0</v>
          </cell>
          <cell r="BH128">
            <v>0</v>
          </cell>
          <cell r="BM128">
            <v>0</v>
          </cell>
          <cell r="BN128">
            <v>0</v>
          </cell>
          <cell r="BO128">
            <v>0</v>
          </cell>
          <cell r="BP128" t="b">
            <v>1</v>
          </cell>
          <cell r="BQ128">
            <v>5</v>
          </cell>
          <cell r="BR128">
            <v>57.48</v>
          </cell>
          <cell r="BS128">
            <v>58</v>
          </cell>
          <cell r="BT128">
            <v>59.2</v>
          </cell>
          <cell r="BU128" t="str">
            <v>C</v>
          </cell>
          <cell r="BV128" t="str">
            <v>07</v>
          </cell>
          <cell r="BW128">
            <v>56</v>
          </cell>
          <cell r="BX128" t="str">
            <v>19940101</v>
          </cell>
          <cell r="BZ128" t="str">
            <v>C</v>
          </cell>
          <cell r="CA128" t="str">
            <v>07</v>
          </cell>
          <cell r="CB128" t="str">
            <v>C</v>
          </cell>
          <cell r="CC128" t="str">
            <v>04</v>
          </cell>
          <cell r="CD128" t="str">
            <v>C</v>
          </cell>
          <cell r="CE128" t="str">
            <v>06</v>
          </cell>
        </row>
        <row r="129">
          <cell r="A129" t="str">
            <v>2255883</v>
          </cell>
          <cell r="B129" t="str">
            <v>26</v>
          </cell>
          <cell r="C129" t="str">
            <v>과장</v>
          </cell>
          <cell r="D129" t="str">
            <v>권정구　　</v>
          </cell>
          <cell r="E129" t="str">
            <v>C</v>
          </cell>
          <cell r="G129">
            <v>1</v>
          </cell>
          <cell r="H129" t="str">
            <v>KM**</v>
          </cell>
          <cell r="I129" t="str">
            <v>KMDA</v>
          </cell>
          <cell r="J129" t="str">
            <v>부품판매팀　　　　　</v>
          </cell>
          <cell r="K129" t="str">
            <v>KMEC</v>
          </cell>
          <cell r="L129" t="str">
            <v>부품운영팀　　　　　</v>
          </cell>
          <cell r="O129" t="str">
            <v>KMEC</v>
          </cell>
          <cell r="R129" t="str">
            <v>8</v>
          </cell>
          <cell r="V129" t="str">
            <v>3</v>
          </cell>
          <cell r="W129" t="str">
            <v>1</v>
          </cell>
          <cell r="X129" t="str">
            <v>3</v>
          </cell>
          <cell r="Y129" t="str">
            <v>O</v>
          </cell>
          <cell r="Z129" t="str">
            <v>2076137</v>
          </cell>
          <cell r="AA129" t="str">
            <v>신현성　　</v>
          </cell>
          <cell r="AB129" t="str">
            <v>24</v>
          </cell>
          <cell r="AC129" t="str">
            <v>43</v>
          </cell>
          <cell r="AD129">
            <v>72</v>
          </cell>
          <cell r="AE129">
            <v>56.24</v>
          </cell>
          <cell r="AF129">
            <v>40</v>
          </cell>
          <cell r="AG129" t="str">
            <v>0043652</v>
          </cell>
          <cell r="AH129" t="str">
            <v>정남기　　</v>
          </cell>
          <cell r="AI129" t="str">
            <v>05</v>
          </cell>
          <cell r="AJ129" t="str">
            <v>32</v>
          </cell>
          <cell r="AK129">
            <v>86</v>
          </cell>
          <cell r="AL129">
            <v>66.930000000000007</v>
          </cell>
          <cell r="AM129">
            <v>30</v>
          </cell>
          <cell r="AN129" t="str">
            <v>2001319</v>
          </cell>
          <cell r="AO129" t="str">
            <v>차정식　　</v>
          </cell>
          <cell r="AP129" t="str">
            <v>02</v>
          </cell>
          <cell r="AQ129" t="str">
            <v>20</v>
          </cell>
          <cell r="AR129">
            <v>47</v>
          </cell>
          <cell r="AS129">
            <v>51.17</v>
          </cell>
          <cell r="AT129">
            <v>10</v>
          </cell>
          <cell r="AY129">
            <v>0</v>
          </cell>
          <cell r="AZ129">
            <v>0</v>
          </cell>
          <cell r="BA129">
            <v>0</v>
          </cell>
          <cell r="BF129">
            <v>0</v>
          </cell>
          <cell r="BG129">
            <v>0</v>
          </cell>
          <cell r="BH129">
            <v>0</v>
          </cell>
          <cell r="BM129">
            <v>0</v>
          </cell>
          <cell r="BN129">
            <v>0</v>
          </cell>
          <cell r="BO129">
            <v>0</v>
          </cell>
          <cell r="BP129" t="b">
            <v>0</v>
          </cell>
          <cell r="BQ129">
            <v>0</v>
          </cell>
          <cell r="BR129">
            <v>59.62</v>
          </cell>
          <cell r="BS129">
            <v>586</v>
          </cell>
          <cell r="BT129">
            <v>51.6</v>
          </cell>
          <cell r="BU129" t="str">
            <v>C</v>
          </cell>
          <cell r="BV129" t="str">
            <v>06</v>
          </cell>
          <cell r="BW129">
            <v>60</v>
          </cell>
          <cell r="BX129" t="str">
            <v>19980101</v>
          </cell>
          <cell r="BZ129" t="str">
            <v>D</v>
          </cell>
          <cell r="CA129" t="str">
            <v>10</v>
          </cell>
          <cell r="CB129" t="str">
            <v>A</v>
          </cell>
          <cell r="CC129" t="str">
            <v>01</v>
          </cell>
          <cell r="CD129" t="str">
            <v>B</v>
          </cell>
          <cell r="CE129" t="str">
            <v>03</v>
          </cell>
        </row>
        <row r="130">
          <cell r="A130" t="str">
            <v>2108567</v>
          </cell>
          <cell r="B130" t="str">
            <v>28</v>
          </cell>
          <cell r="C130" t="str">
            <v>대리</v>
          </cell>
          <cell r="D130" t="str">
            <v>박광우　　</v>
          </cell>
          <cell r="E130" t="str">
            <v>C</v>
          </cell>
          <cell r="G130">
            <v>1</v>
          </cell>
          <cell r="H130" t="str">
            <v>KM**</v>
          </cell>
          <cell r="I130" t="str">
            <v>KTEA</v>
          </cell>
          <cell r="J130" t="str">
            <v>화）제조관리３부　　</v>
          </cell>
          <cell r="K130" t="str">
            <v>KMD*</v>
          </cell>
          <cell r="L130" t="str">
            <v>포항직매점</v>
          </cell>
          <cell r="O130" t="str">
            <v>KMDV</v>
          </cell>
          <cell r="R130" t="str">
            <v>2</v>
          </cell>
          <cell r="V130" t="str">
            <v>4</v>
          </cell>
          <cell r="W130" t="str">
            <v>4</v>
          </cell>
          <cell r="X130" t="str">
            <v>3</v>
          </cell>
          <cell r="Y130" t="str">
            <v>S</v>
          </cell>
          <cell r="Z130" t="str">
            <v>2182402</v>
          </cell>
          <cell r="AA130" t="str">
            <v>김용훈　　</v>
          </cell>
          <cell r="AB130" t="str">
            <v>26</v>
          </cell>
          <cell r="AC130" t="str">
            <v>50</v>
          </cell>
          <cell r="AD130">
            <v>76</v>
          </cell>
          <cell r="AE130">
            <v>55.29</v>
          </cell>
          <cell r="AF130">
            <v>40</v>
          </cell>
          <cell r="AG130" t="str">
            <v>0043652</v>
          </cell>
          <cell r="AH130" t="str">
            <v>정남기　　</v>
          </cell>
          <cell r="AI130" t="str">
            <v>05</v>
          </cell>
          <cell r="AJ130" t="str">
            <v>32</v>
          </cell>
          <cell r="AK130">
            <v>42</v>
          </cell>
          <cell r="AL130">
            <v>46.17</v>
          </cell>
          <cell r="AM130">
            <v>40</v>
          </cell>
          <cell r="AN130" t="str">
            <v>2001319</v>
          </cell>
          <cell r="AO130" t="str">
            <v>차정식　　</v>
          </cell>
          <cell r="AP130" t="str">
            <v>02</v>
          </cell>
          <cell r="AQ130" t="str">
            <v>20</v>
          </cell>
          <cell r="AR130">
            <v>47</v>
          </cell>
          <cell r="AS130">
            <v>51.71</v>
          </cell>
          <cell r="AT130">
            <v>10</v>
          </cell>
          <cell r="AY130">
            <v>0</v>
          </cell>
          <cell r="AZ130">
            <v>0</v>
          </cell>
          <cell r="BA130">
            <v>0</v>
          </cell>
          <cell r="BF130">
            <v>0</v>
          </cell>
          <cell r="BG130">
            <v>0</v>
          </cell>
          <cell r="BH130">
            <v>0</v>
          </cell>
          <cell r="BM130">
            <v>0</v>
          </cell>
          <cell r="BN130">
            <v>0</v>
          </cell>
          <cell r="BO130">
            <v>0</v>
          </cell>
          <cell r="BP130" t="b">
            <v>0</v>
          </cell>
          <cell r="BQ130">
            <v>0</v>
          </cell>
          <cell r="BR130">
            <v>50.84</v>
          </cell>
          <cell r="BS130">
            <v>1627</v>
          </cell>
          <cell r="BT130">
            <v>97.2</v>
          </cell>
          <cell r="BU130" t="str">
            <v>E</v>
          </cell>
          <cell r="BV130" t="str">
            <v>11</v>
          </cell>
          <cell r="BW130">
            <v>40</v>
          </cell>
          <cell r="BX130" t="str">
            <v>19960101</v>
          </cell>
          <cell r="BZ130" t="str">
            <v>D</v>
          </cell>
          <cell r="CA130" t="str">
            <v>09</v>
          </cell>
          <cell r="CB130" t="str">
            <v>E</v>
          </cell>
          <cell r="CC130" t="str">
            <v>11</v>
          </cell>
          <cell r="CD130" t="str">
            <v>D</v>
          </cell>
          <cell r="CE130" t="str">
            <v>10</v>
          </cell>
        </row>
        <row r="131">
          <cell r="A131" t="str">
            <v>2690296</v>
          </cell>
          <cell r="B131" t="str">
            <v>33</v>
          </cell>
          <cell r="C131" t="str">
            <v>5급</v>
          </cell>
          <cell r="D131" t="str">
            <v>강혜영　　</v>
          </cell>
          <cell r="E131" t="str">
            <v>C</v>
          </cell>
          <cell r="G131">
            <v>1</v>
          </cell>
          <cell r="H131" t="str">
            <v>KH**</v>
          </cell>
          <cell r="I131" t="str">
            <v>KHMI</v>
          </cell>
          <cell r="J131" t="str">
            <v>충남）성환지점　　　</v>
          </cell>
          <cell r="K131" t="str">
            <v>KHMR</v>
          </cell>
          <cell r="L131" t="str">
            <v>충남）천안남부지점　</v>
          </cell>
          <cell r="O131" t="str">
            <v>KHMRA</v>
          </cell>
          <cell r="R131" t="str">
            <v>2</v>
          </cell>
          <cell r="V131" t="str">
            <v>7</v>
          </cell>
          <cell r="W131" t="str">
            <v>3</v>
          </cell>
          <cell r="X131" t="str">
            <v>4</v>
          </cell>
          <cell r="Y131" t="str">
            <v>O</v>
          </cell>
          <cell r="Z131" t="str">
            <v>2718438</v>
          </cell>
          <cell r="AA131" t="str">
            <v>조영곤　　</v>
          </cell>
          <cell r="AB131" t="str">
            <v>26</v>
          </cell>
          <cell r="AC131" t="str">
            <v>44</v>
          </cell>
          <cell r="AD131">
            <v>77</v>
          </cell>
          <cell r="AE131">
            <v>55.29</v>
          </cell>
          <cell r="AF131">
            <v>60</v>
          </cell>
          <cell r="AG131" t="str">
            <v>2021814</v>
          </cell>
          <cell r="AH131" t="str">
            <v>강신우　　</v>
          </cell>
          <cell r="AI131" t="str">
            <v>20</v>
          </cell>
          <cell r="AJ131" t="str">
            <v>32</v>
          </cell>
          <cell r="AK131">
            <v>49</v>
          </cell>
          <cell r="AL131">
            <v>50.48</v>
          </cell>
          <cell r="AM131">
            <v>30</v>
          </cell>
          <cell r="AR131">
            <v>0</v>
          </cell>
          <cell r="AS131">
            <v>0</v>
          </cell>
          <cell r="AT131">
            <v>0</v>
          </cell>
          <cell r="AY131">
            <v>0</v>
          </cell>
          <cell r="AZ131">
            <v>0</v>
          </cell>
          <cell r="BA131">
            <v>0</v>
          </cell>
          <cell r="BF131">
            <v>0</v>
          </cell>
          <cell r="BG131">
            <v>0</v>
          </cell>
          <cell r="BH131">
            <v>0</v>
          </cell>
          <cell r="BM131">
            <v>0</v>
          </cell>
          <cell r="BN131">
            <v>0</v>
          </cell>
          <cell r="BO131">
            <v>0</v>
          </cell>
          <cell r="BP131" t="b">
            <v>0</v>
          </cell>
          <cell r="BQ131">
            <v>0</v>
          </cell>
          <cell r="BR131">
            <v>53.69</v>
          </cell>
          <cell r="BS131">
            <v>611</v>
          </cell>
          <cell r="BT131">
            <v>89.2</v>
          </cell>
          <cell r="BU131" t="str">
            <v>D</v>
          </cell>
          <cell r="BV131" t="str">
            <v>10</v>
          </cell>
          <cell r="BW131">
            <v>44</v>
          </cell>
          <cell r="BX131" t="str">
            <v>19961205</v>
          </cell>
          <cell r="BZ131" t="str">
            <v>D</v>
          </cell>
          <cell r="CA131" t="str">
            <v>09</v>
          </cell>
          <cell r="CB131" t="str">
            <v>D</v>
          </cell>
          <cell r="CC131" t="str">
            <v>09</v>
          </cell>
        </row>
        <row r="132">
          <cell r="A132" t="str">
            <v>2072347</v>
          </cell>
          <cell r="B132" t="str">
            <v>28</v>
          </cell>
          <cell r="C132" t="str">
            <v>대리</v>
          </cell>
          <cell r="D132" t="str">
            <v>국중모　　</v>
          </cell>
          <cell r="E132" t="str">
            <v>C</v>
          </cell>
          <cell r="G132">
            <v>1</v>
          </cell>
          <cell r="H132" t="str">
            <v>KM**</v>
          </cell>
          <cell r="I132" t="str">
            <v>KMIG</v>
          </cell>
          <cell r="J132" t="str">
            <v>대형부품사업소　　　</v>
          </cell>
          <cell r="K132" t="str">
            <v>KMIB</v>
          </cell>
          <cell r="L132" t="str">
            <v>강남부품사업소　　　</v>
          </cell>
          <cell r="O132" t="str">
            <v>KMIBB</v>
          </cell>
          <cell r="R132" t="str">
            <v>2</v>
          </cell>
          <cell r="V132" t="str">
            <v>4</v>
          </cell>
          <cell r="W132" t="str">
            <v>4</v>
          </cell>
          <cell r="X132" t="str">
            <v>3</v>
          </cell>
          <cell r="Y132" t="str">
            <v>S</v>
          </cell>
          <cell r="Z132" t="str">
            <v>2289718</v>
          </cell>
          <cell r="AA132" t="str">
            <v>장영환　　</v>
          </cell>
          <cell r="AB132" t="str">
            <v>26</v>
          </cell>
          <cell r="AC132" t="str">
            <v>50</v>
          </cell>
          <cell r="AD132">
            <v>76</v>
          </cell>
          <cell r="AE132">
            <v>57.7</v>
          </cell>
          <cell r="AF132">
            <v>40</v>
          </cell>
          <cell r="AG132" t="str">
            <v>2095822</v>
          </cell>
          <cell r="AH132" t="str">
            <v>임진영　　</v>
          </cell>
          <cell r="AI132" t="str">
            <v>26</v>
          </cell>
          <cell r="AJ132" t="str">
            <v>43</v>
          </cell>
          <cell r="AK132">
            <v>53</v>
          </cell>
          <cell r="AL132">
            <v>49.11</v>
          </cell>
          <cell r="AM132">
            <v>40</v>
          </cell>
          <cell r="AN132" t="str">
            <v>2001319</v>
          </cell>
          <cell r="AO132" t="str">
            <v>차정식　　</v>
          </cell>
          <cell r="AP132" t="str">
            <v>02</v>
          </cell>
          <cell r="AQ132" t="str">
            <v>20</v>
          </cell>
          <cell r="AR132">
            <v>40</v>
          </cell>
          <cell r="AS132">
            <v>49.26</v>
          </cell>
          <cell r="AT132">
            <v>10</v>
          </cell>
          <cell r="AY132">
            <v>0</v>
          </cell>
          <cell r="AZ132">
            <v>0</v>
          </cell>
          <cell r="BA132">
            <v>0</v>
          </cell>
          <cell r="BF132">
            <v>0</v>
          </cell>
          <cell r="BG132">
            <v>0</v>
          </cell>
          <cell r="BH132">
            <v>0</v>
          </cell>
          <cell r="BM132">
            <v>0</v>
          </cell>
          <cell r="BN132">
            <v>0</v>
          </cell>
          <cell r="BO132">
            <v>0</v>
          </cell>
          <cell r="BP132" t="b">
            <v>0</v>
          </cell>
          <cell r="BQ132">
            <v>0</v>
          </cell>
          <cell r="BR132">
            <v>52.94</v>
          </cell>
          <cell r="BS132">
            <v>1495</v>
          </cell>
          <cell r="BT132">
            <v>89.3</v>
          </cell>
          <cell r="BU132" t="str">
            <v>D</v>
          </cell>
          <cell r="BV132" t="str">
            <v>10</v>
          </cell>
          <cell r="BW132">
            <v>44</v>
          </cell>
          <cell r="BX132" t="str">
            <v>19960101</v>
          </cell>
          <cell r="BZ132" t="str">
            <v>D</v>
          </cell>
          <cell r="CA132" t="str">
            <v>09</v>
          </cell>
          <cell r="CB132" t="str">
            <v>C</v>
          </cell>
          <cell r="CC132" t="str">
            <v>08</v>
          </cell>
          <cell r="CD132" t="str">
            <v>D</v>
          </cell>
          <cell r="CE132" t="str">
            <v>10</v>
          </cell>
        </row>
        <row r="133">
          <cell r="A133" t="str">
            <v>2344722</v>
          </cell>
          <cell r="B133" t="str">
            <v>30</v>
          </cell>
          <cell r="C133" t="str">
            <v>4갑</v>
          </cell>
          <cell r="D133" t="str">
            <v>김학규　　</v>
          </cell>
          <cell r="E133" t="str">
            <v>C</v>
          </cell>
          <cell r="G133">
            <v>1</v>
          </cell>
          <cell r="H133" t="str">
            <v>KH**</v>
          </cell>
          <cell r="I133" t="str">
            <v>KTDA</v>
          </cell>
          <cell r="J133" t="str">
            <v>화）제조관리２부　　</v>
          </cell>
          <cell r="K133" t="str">
            <v>KHBA</v>
          </cell>
          <cell r="L133" t="str">
            <v>채권관리팀　　　　　</v>
          </cell>
          <cell r="O133" t="str">
            <v>KHBA</v>
          </cell>
          <cell r="R133" t="str">
            <v>2</v>
          </cell>
          <cell r="V133" t="str">
            <v>5</v>
          </cell>
          <cell r="W133" t="str">
            <v>1</v>
          </cell>
          <cell r="X133" t="str">
            <v>3</v>
          </cell>
          <cell r="Y133" t="str">
            <v>O</v>
          </cell>
          <cell r="Z133" t="str">
            <v>7407825</v>
          </cell>
          <cell r="AA133" t="str">
            <v>이병훈　　</v>
          </cell>
          <cell r="AB133" t="str">
            <v>24</v>
          </cell>
          <cell r="AC133" t="str">
            <v>43</v>
          </cell>
          <cell r="AD133">
            <v>47</v>
          </cell>
          <cell r="AE133">
            <v>52.85</v>
          </cell>
          <cell r="AF133">
            <v>40</v>
          </cell>
          <cell r="AG133" t="str">
            <v>7062066</v>
          </cell>
          <cell r="AH133" t="str">
            <v>부정택　　</v>
          </cell>
          <cell r="AI133" t="str">
            <v>05</v>
          </cell>
          <cell r="AJ133" t="str">
            <v>32</v>
          </cell>
          <cell r="AK133">
            <v>51</v>
          </cell>
          <cell r="AL133">
            <v>54.12</v>
          </cell>
          <cell r="AM133">
            <v>30</v>
          </cell>
          <cell r="AN133" t="str">
            <v>2059744</v>
          </cell>
          <cell r="AO133" t="str">
            <v>김도영　　</v>
          </cell>
          <cell r="AP133" t="str">
            <v>02</v>
          </cell>
          <cell r="AQ133" t="str">
            <v>20</v>
          </cell>
          <cell r="AR133">
            <v>70</v>
          </cell>
          <cell r="AS133">
            <v>59.89</v>
          </cell>
          <cell r="AT133">
            <v>10</v>
          </cell>
          <cell r="AY133">
            <v>0</v>
          </cell>
          <cell r="AZ133">
            <v>0</v>
          </cell>
          <cell r="BA133">
            <v>0</v>
          </cell>
          <cell r="BF133">
            <v>0</v>
          </cell>
          <cell r="BG133">
            <v>0</v>
          </cell>
          <cell r="BH133">
            <v>0</v>
          </cell>
          <cell r="BM133">
            <v>0</v>
          </cell>
          <cell r="BN133">
            <v>0</v>
          </cell>
          <cell r="BO133">
            <v>0</v>
          </cell>
          <cell r="BP133" t="b">
            <v>0</v>
          </cell>
          <cell r="BQ133">
            <v>0</v>
          </cell>
          <cell r="BR133">
            <v>54.21</v>
          </cell>
          <cell r="BS133">
            <v>1199</v>
          </cell>
          <cell r="BT133">
            <v>82.6</v>
          </cell>
          <cell r="BU133" t="str">
            <v>D</v>
          </cell>
          <cell r="BV133" t="str">
            <v>09</v>
          </cell>
          <cell r="BW133">
            <v>48</v>
          </cell>
          <cell r="BX133" t="str">
            <v>19940101</v>
          </cell>
          <cell r="BZ133" t="str">
            <v>C</v>
          </cell>
          <cell r="CA133" t="str">
            <v>07</v>
          </cell>
          <cell r="CB133" t="str">
            <v>D</v>
          </cell>
          <cell r="CC133" t="str">
            <v>09</v>
          </cell>
          <cell r="CD133" t="str">
            <v>C</v>
          </cell>
          <cell r="CE133" t="str">
            <v>08</v>
          </cell>
        </row>
        <row r="134">
          <cell r="A134" t="str">
            <v>2395746</v>
          </cell>
          <cell r="B134" t="str">
            <v>32</v>
          </cell>
          <cell r="C134" t="str">
            <v>4을</v>
          </cell>
          <cell r="D134" t="str">
            <v>이말애　　</v>
          </cell>
          <cell r="E134" t="str">
            <v>C</v>
          </cell>
          <cell r="G134">
            <v>1</v>
          </cell>
          <cell r="H134" t="str">
            <v>KH**</v>
          </cell>
          <cell r="I134" t="str">
            <v>KHQC</v>
          </cell>
          <cell r="J134" t="str">
            <v>광주）동광주지점　　</v>
          </cell>
          <cell r="K134" t="str">
            <v>KHQH</v>
          </cell>
          <cell r="L134" t="str">
            <v>광주）일곡지점　　　</v>
          </cell>
          <cell r="O134" t="str">
            <v>KHQHA</v>
          </cell>
          <cell r="R134" t="str">
            <v>2</v>
          </cell>
          <cell r="V134" t="str">
            <v>6</v>
          </cell>
          <cell r="W134" t="str">
            <v>3</v>
          </cell>
          <cell r="X134" t="str">
            <v>4</v>
          </cell>
          <cell r="Y134" t="str">
            <v>O</v>
          </cell>
          <cell r="Z134" t="str">
            <v>2156252</v>
          </cell>
          <cell r="AA134" t="str">
            <v>김필준　　</v>
          </cell>
          <cell r="AB134" t="str">
            <v>28</v>
          </cell>
          <cell r="AC134" t="str">
            <v>50</v>
          </cell>
          <cell r="AD134">
            <v>62</v>
          </cell>
          <cell r="AE134">
            <v>55.29</v>
          </cell>
          <cell r="AF134">
            <v>10</v>
          </cell>
          <cell r="AG134" t="str">
            <v>2304379</v>
          </cell>
          <cell r="AH134" t="str">
            <v>이동렬　　</v>
          </cell>
          <cell r="AI134" t="str">
            <v>26</v>
          </cell>
          <cell r="AJ134" t="str">
            <v>44</v>
          </cell>
          <cell r="AK134">
            <v>53</v>
          </cell>
          <cell r="AL134">
            <v>55.29</v>
          </cell>
          <cell r="AM134">
            <v>50</v>
          </cell>
          <cell r="AN134" t="str">
            <v>2020506</v>
          </cell>
          <cell r="AO134" t="str">
            <v>한용근　　</v>
          </cell>
          <cell r="AP134" t="str">
            <v>22</v>
          </cell>
          <cell r="AQ134" t="str">
            <v>32</v>
          </cell>
          <cell r="AR134">
            <v>74</v>
          </cell>
          <cell r="AS134">
            <v>56.78</v>
          </cell>
          <cell r="AT134">
            <v>30</v>
          </cell>
          <cell r="AY134">
            <v>0</v>
          </cell>
          <cell r="AZ134">
            <v>0</v>
          </cell>
          <cell r="BA134">
            <v>0</v>
          </cell>
          <cell r="BF134">
            <v>0</v>
          </cell>
          <cell r="BG134">
            <v>0</v>
          </cell>
          <cell r="BH134">
            <v>0</v>
          </cell>
          <cell r="BM134">
            <v>0</v>
          </cell>
          <cell r="BN134">
            <v>0</v>
          </cell>
          <cell r="BO134">
            <v>0</v>
          </cell>
          <cell r="BP134" t="b">
            <v>0</v>
          </cell>
          <cell r="BQ134">
            <v>0</v>
          </cell>
          <cell r="BR134">
            <v>55.79</v>
          </cell>
          <cell r="BS134">
            <v>569</v>
          </cell>
          <cell r="BT134">
            <v>81.599999999999994</v>
          </cell>
          <cell r="BU134" t="str">
            <v>D</v>
          </cell>
          <cell r="BV134" t="str">
            <v>09</v>
          </cell>
          <cell r="BW134">
            <v>48</v>
          </cell>
          <cell r="BX134" t="str">
            <v>19970101</v>
          </cell>
          <cell r="BZ134" t="str">
            <v>E</v>
          </cell>
          <cell r="CA134" t="str">
            <v>11</v>
          </cell>
          <cell r="CB134" t="str">
            <v>D</v>
          </cell>
          <cell r="CC134" t="str">
            <v>10</v>
          </cell>
          <cell r="CD134" t="str">
            <v>B</v>
          </cell>
          <cell r="CE134" t="str">
            <v>03</v>
          </cell>
        </row>
        <row r="135">
          <cell r="A135" t="str">
            <v>2551228</v>
          </cell>
          <cell r="B135" t="str">
            <v>32</v>
          </cell>
          <cell r="C135" t="str">
            <v>4을</v>
          </cell>
          <cell r="D135" t="str">
            <v>손영주　　</v>
          </cell>
          <cell r="E135" t="str">
            <v>C</v>
          </cell>
          <cell r="G135">
            <v>1</v>
          </cell>
          <cell r="H135" t="str">
            <v>KH**</v>
          </cell>
          <cell r="I135" t="str">
            <v>KHUB</v>
          </cell>
          <cell r="J135" t="str">
            <v>대구）동대구지점　　</v>
          </cell>
          <cell r="K135" t="str">
            <v>KHUM</v>
          </cell>
          <cell r="L135" t="str">
            <v>대구）반야월지점　　</v>
          </cell>
          <cell r="O135" t="str">
            <v>KHUMA</v>
          </cell>
          <cell r="R135" t="str">
            <v>2</v>
          </cell>
          <cell r="V135" t="str">
            <v>6</v>
          </cell>
          <cell r="W135" t="str">
            <v>3</v>
          </cell>
          <cell r="X135" t="str">
            <v>4</v>
          </cell>
          <cell r="Y135" t="str">
            <v>O</v>
          </cell>
          <cell r="Z135" t="str">
            <v>2318624</v>
          </cell>
          <cell r="AA135" t="str">
            <v>박종갑　　</v>
          </cell>
          <cell r="AB135" t="str">
            <v>26</v>
          </cell>
          <cell r="AC135" t="str">
            <v>44</v>
          </cell>
          <cell r="AD135">
            <v>52</v>
          </cell>
          <cell r="AE135">
            <v>55.29</v>
          </cell>
          <cell r="AF135">
            <v>60</v>
          </cell>
          <cell r="AG135" t="str">
            <v>2018769</v>
          </cell>
          <cell r="AH135" t="str">
            <v>이문식　　</v>
          </cell>
          <cell r="AI135" t="str">
            <v>20</v>
          </cell>
          <cell r="AJ135" t="str">
            <v>32</v>
          </cell>
          <cell r="AK135">
            <v>70</v>
          </cell>
          <cell r="AL135">
            <v>57</v>
          </cell>
          <cell r="AM135">
            <v>30</v>
          </cell>
          <cell r="AR135">
            <v>0</v>
          </cell>
          <cell r="AS135">
            <v>0</v>
          </cell>
          <cell r="AT135">
            <v>0</v>
          </cell>
          <cell r="AY135">
            <v>0</v>
          </cell>
          <cell r="AZ135">
            <v>0</v>
          </cell>
          <cell r="BA135">
            <v>0</v>
          </cell>
          <cell r="BF135">
            <v>0</v>
          </cell>
          <cell r="BG135">
            <v>0</v>
          </cell>
          <cell r="BH135">
            <v>0</v>
          </cell>
          <cell r="BM135">
            <v>0</v>
          </cell>
          <cell r="BN135">
            <v>0</v>
          </cell>
          <cell r="BO135">
            <v>0</v>
          </cell>
          <cell r="BP135" t="b">
            <v>0</v>
          </cell>
          <cell r="BQ135">
            <v>0</v>
          </cell>
          <cell r="BR135">
            <v>55.86</v>
          </cell>
          <cell r="BS135">
            <v>563</v>
          </cell>
          <cell r="BT135">
            <v>80.8</v>
          </cell>
          <cell r="BU135" t="str">
            <v>D</v>
          </cell>
          <cell r="BV135" t="str">
            <v>09</v>
          </cell>
          <cell r="BW135">
            <v>48</v>
          </cell>
          <cell r="BX135" t="str">
            <v>19980101</v>
          </cell>
          <cell r="BZ135" t="str">
            <v>E</v>
          </cell>
          <cell r="CA135" t="str">
            <v>11</v>
          </cell>
          <cell r="CB135" t="str">
            <v>B</v>
          </cell>
          <cell r="CC135" t="str">
            <v>02</v>
          </cell>
          <cell r="CD135" t="str">
            <v>E</v>
          </cell>
          <cell r="CE135" t="str">
            <v>11</v>
          </cell>
        </row>
        <row r="136">
          <cell r="A136" t="str">
            <v>2124276</v>
          </cell>
          <cell r="B136" t="str">
            <v>30</v>
          </cell>
          <cell r="C136" t="str">
            <v>4갑</v>
          </cell>
          <cell r="D136" t="str">
            <v>김진송　　</v>
          </cell>
          <cell r="E136" t="str">
            <v>C</v>
          </cell>
          <cell r="G136">
            <v>1</v>
          </cell>
          <cell r="H136" t="str">
            <v>KM**</v>
          </cell>
          <cell r="I136" t="str">
            <v>KMD*</v>
          </cell>
          <cell r="J136" t="str">
            <v>부산직매점</v>
          </cell>
          <cell r="K136" t="str">
            <v>KMIE</v>
          </cell>
          <cell r="L136" t="str">
            <v>부산부품사업소　　　</v>
          </cell>
          <cell r="O136" t="str">
            <v>KMIEB</v>
          </cell>
          <cell r="R136" t="str">
            <v>2</v>
          </cell>
          <cell r="V136" t="str">
            <v>5</v>
          </cell>
          <cell r="W136" t="str">
            <v>4</v>
          </cell>
          <cell r="X136" t="str">
            <v>3</v>
          </cell>
          <cell r="Y136" t="str">
            <v>S</v>
          </cell>
          <cell r="Z136" t="str">
            <v>2127761</v>
          </cell>
          <cell r="AA136" t="str">
            <v>인기정　　</v>
          </cell>
          <cell r="AB136" t="str">
            <v>28</v>
          </cell>
          <cell r="AC136" t="str">
            <v>50</v>
          </cell>
          <cell r="AD136">
            <v>77</v>
          </cell>
          <cell r="AE136">
            <v>55.29</v>
          </cell>
          <cell r="AF136">
            <v>40</v>
          </cell>
          <cell r="AG136" t="str">
            <v>2160169</v>
          </cell>
          <cell r="AH136" t="str">
            <v>신용범　　</v>
          </cell>
          <cell r="AI136" t="str">
            <v>26</v>
          </cell>
          <cell r="AJ136" t="str">
            <v>43</v>
          </cell>
          <cell r="AK136">
            <v>75</v>
          </cell>
          <cell r="AL136">
            <v>53.17</v>
          </cell>
          <cell r="AM136">
            <v>40</v>
          </cell>
          <cell r="AN136" t="str">
            <v>2001319</v>
          </cell>
          <cell r="AO136" t="str">
            <v>차정식　　</v>
          </cell>
          <cell r="AP136" t="str">
            <v>02</v>
          </cell>
          <cell r="AQ136" t="str">
            <v>20</v>
          </cell>
          <cell r="AR136">
            <v>77</v>
          </cell>
          <cell r="AS136">
            <v>62.26</v>
          </cell>
          <cell r="AT136">
            <v>10</v>
          </cell>
          <cell r="AY136">
            <v>0</v>
          </cell>
          <cell r="AZ136">
            <v>0</v>
          </cell>
          <cell r="BA136">
            <v>0</v>
          </cell>
          <cell r="BF136">
            <v>0</v>
          </cell>
          <cell r="BG136">
            <v>0</v>
          </cell>
          <cell r="BH136">
            <v>0</v>
          </cell>
          <cell r="BM136">
            <v>0</v>
          </cell>
          <cell r="BN136">
            <v>0</v>
          </cell>
          <cell r="BO136">
            <v>0</v>
          </cell>
          <cell r="BP136" t="b">
            <v>0</v>
          </cell>
          <cell r="BQ136">
            <v>0</v>
          </cell>
          <cell r="BR136">
            <v>55.12</v>
          </cell>
          <cell r="BS136">
            <v>1139</v>
          </cell>
          <cell r="BT136">
            <v>78.5</v>
          </cell>
          <cell r="BU136" t="str">
            <v>D</v>
          </cell>
          <cell r="BV136" t="str">
            <v>09</v>
          </cell>
          <cell r="BW136">
            <v>48</v>
          </cell>
          <cell r="BX136" t="str">
            <v>19930101</v>
          </cell>
          <cell r="BZ136" t="str">
            <v>C</v>
          </cell>
          <cell r="CA136" t="str">
            <v>05</v>
          </cell>
          <cell r="CB136" t="str">
            <v>E</v>
          </cell>
          <cell r="CC136" t="str">
            <v>10</v>
          </cell>
          <cell r="CD136" t="str">
            <v>D</v>
          </cell>
          <cell r="CE136" t="str">
            <v>09</v>
          </cell>
        </row>
        <row r="137">
          <cell r="A137" t="str">
            <v>2503676</v>
          </cell>
          <cell r="B137" t="str">
            <v>32</v>
          </cell>
          <cell r="C137" t="str">
            <v>4을</v>
          </cell>
          <cell r="D137" t="str">
            <v>이상정　　</v>
          </cell>
          <cell r="E137" t="str">
            <v>C</v>
          </cell>
          <cell r="G137">
            <v>1</v>
          </cell>
          <cell r="H137" t="str">
            <v>KH**</v>
          </cell>
          <cell r="I137" t="str">
            <v>KHJT</v>
          </cell>
          <cell r="J137" t="str">
            <v>경기）장호원지점　　</v>
          </cell>
          <cell r="K137" t="str">
            <v>KHJS</v>
          </cell>
          <cell r="L137" t="str">
            <v>경기）여주지점　　　</v>
          </cell>
          <cell r="O137" t="str">
            <v>KHJSA</v>
          </cell>
          <cell r="R137" t="str">
            <v>2</v>
          </cell>
          <cell r="V137" t="str">
            <v>6</v>
          </cell>
          <cell r="W137" t="str">
            <v>3</v>
          </cell>
          <cell r="X137" t="str">
            <v>4</v>
          </cell>
          <cell r="Y137" t="str">
            <v>O</v>
          </cell>
          <cell r="Z137" t="str">
            <v>2097026</v>
          </cell>
          <cell r="AA137" t="str">
            <v>황민조　　</v>
          </cell>
          <cell r="AB137" t="str">
            <v>26</v>
          </cell>
          <cell r="AC137" t="str">
            <v>44</v>
          </cell>
          <cell r="AD137">
            <v>87</v>
          </cell>
          <cell r="AE137">
            <v>55.28</v>
          </cell>
          <cell r="AF137">
            <v>60</v>
          </cell>
          <cell r="AG137" t="str">
            <v>2209609</v>
          </cell>
          <cell r="AH137" t="str">
            <v>김익래　　</v>
          </cell>
          <cell r="AI137" t="str">
            <v>20</v>
          </cell>
          <cell r="AJ137" t="str">
            <v>32</v>
          </cell>
          <cell r="AK137">
            <v>88</v>
          </cell>
          <cell r="AL137">
            <v>61.96</v>
          </cell>
          <cell r="AM137">
            <v>30</v>
          </cell>
          <cell r="AR137">
            <v>0</v>
          </cell>
          <cell r="AS137">
            <v>0</v>
          </cell>
          <cell r="AT137">
            <v>0</v>
          </cell>
          <cell r="AY137">
            <v>0</v>
          </cell>
          <cell r="AZ137">
            <v>0</v>
          </cell>
          <cell r="BA137">
            <v>0</v>
          </cell>
          <cell r="BF137">
            <v>0</v>
          </cell>
          <cell r="BG137">
            <v>0</v>
          </cell>
          <cell r="BH137">
            <v>0</v>
          </cell>
          <cell r="BM137">
            <v>0</v>
          </cell>
          <cell r="BN137">
            <v>0</v>
          </cell>
          <cell r="BO137">
            <v>0</v>
          </cell>
          <cell r="BP137" t="b">
            <v>0</v>
          </cell>
          <cell r="BQ137">
            <v>0</v>
          </cell>
          <cell r="BR137">
            <v>57.51</v>
          </cell>
          <cell r="BS137">
            <v>483</v>
          </cell>
          <cell r="BT137">
            <v>69.3</v>
          </cell>
          <cell r="BU137" t="str">
            <v>C</v>
          </cell>
          <cell r="BV137" t="str">
            <v>08</v>
          </cell>
          <cell r="BW137">
            <v>52</v>
          </cell>
          <cell r="BX137" t="str">
            <v>19970101</v>
          </cell>
          <cell r="BZ137" t="str">
            <v>D</v>
          </cell>
          <cell r="CA137" t="str">
            <v>09</v>
          </cell>
          <cell r="CB137" t="str">
            <v>D</v>
          </cell>
          <cell r="CC137" t="str">
            <v>09</v>
          </cell>
          <cell r="CD137" t="str">
            <v>B</v>
          </cell>
          <cell r="CE137" t="str">
            <v>03</v>
          </cell>
        </row>
        <row r="138">
          <cell r="A138" t="str">
            <v>2549587</v>
          </cell>
          <cell r="B138" t="str">
            <v>32</v>
          </cell>
          <cell r="C138" t="str">
            <v>4을</v>
          </cell>
          <cell r="D138" t="str">
            <v>김기영　　</v>
          </cell>
          <cell r="E138" t="str">
            <v>C</v>
          </cell>
          <cell r="G138">
            <v>1</v>
          </cell>
          <cell r="H138" t="str">
            <v>KH**</v>
          </cell>
          <cell r="I138" t="str">
            <v>KHUN</v>
          </cell>
          <cell r="J138" t="str">
            <v>대구）성서지점　　　</v>
          </cell>
          <cell r="K138" t="str">
            <v>KHUR</v>
          </cell>
          <cell r="L138" t="str">
            <v>대구）대구강북지점　</v>
          </cell>
          <cell r="O138" t="str">
            <v>KHURA</v>
          </cell>
          <cell r="R138" t="str">
            <v>2</v>
          </cell>
          <cell r="V138" t="str">
            <v>6</v>
          </cell>
          <cell r="W138" t="str">
            <v>3</v>
          </cell>
          <cell r="X138" t="str">
            <v>4</v>
          </cell>
          <cell r="Y138" t="str">
            <v>O</v>
          </cell>
          <cell r="Z138" t="str">
            <v>2185472</v>
          </cell>
          <cell r="AA138" t="str">
            <v>김경탁　　</v>
          </cell>
          <cell r="AB138" t="str">
            <v>26</v>
          </cell>
          <cell r="AC138" t="str">
            <v>44</v>
          </cell>
          <cell r="AD138">
            <v>74</v>
          </cell>
          <cell r="AE138">
            <v>60</v>
          </cell>
          <cell r="AF138">
            <v>60</v>
          </cell>
          <cell r="AG138" t="str">
            <v>2018769</v>
          </cell>
          <cell r="AH138" t="str">
            <v>이문식　　</v>
          </cell>
          <cell r="AI138" t="str">
            <v>20</v>
          </cell>
          <cell r="AJ138" t="str">
            <v>32</v>
          </cell>
          <cell r="AK138">
            <v>71</v>
          </cell>
          <cell r="AL138">
            <v>57.61</v>
          </cell>
          <cell r="AM138">
            <v>30</v>
          </cell>
          <cell r="AR138">
            <v>0</v>
          </cell>
          <cell r="AS138">
            <v>0</v>
          </cell>
          <cell r="AT138">
            <v>0</v>
          </cell>
          <cell r="AY138">
            <v>0</v>
          </cell>
          <cell r="AZ138">
            <v>0</v>
          </cell>
          <cell r="BA138">
            <v>0</v>
          </cell>
          <cell r="BF138">
            <v>0</v>
          </cell>
          <cell r="BG138">
            <v>0</v>
          </cell>
          <cell r="BH138">
            <v>0</v>
          </cell>
          <cell r="BM138">
            <v>0</v>
          </cell>
          <cell r="BN138">
            <v>0</v>
          </cell>
          <cell r="BO138">
            <v>0</v>
          </cell>
          <cell r="BP138" t="b">
            <v>0</v>
          </cell>
          <cell r="BQ138">
            <v>0</v>
          </cell>
          <cell r="BR138">
            <v>59.2</v>
          </cell>
          <cell r="BS138">
            <v>409</v>
          </cell>
          <cell r="BT138">
            <v>58.7</v>
          </cell>
          <cell r="BU138" t="str">
            <v>C</v>
          </cell>
          <cell r="BV138" t="str">
            <v>07</v>
          </cell>
          <cell r="BW138">
            <v>56</v>
          </cell>
          <cell r="BX138" t="str">
            <v>19980101</v>
          </cell>
          <cell r="BZ138" t="str">
            <v>D</v>
          </cell>
          <cell r="CA138" t="str">
            <v>08</v>
          </cell>
          <cell r="CB138" t="str">
            <v>C</v>
          </cell>
          <cell r="CC138" t="str">
            <v>05</v>
          </cell>
          <cell r="CD138" t="str">
            <v>C</v>
          </cell>
          <cell r="CE138" t="str">
            <v>05</v>
          </cell>
        </row>
        <row r="139">
          <cell r="A139" t="str">
            <v>2342278</v>
          </cell>
          <cell r="B139" t="str">
            <v>28</v>
          </cell>
          <cell r="C139" t="str">
            <v>대리</v>
          </cell>
          <cell r="D139" t="str">
            <v>조영필　　</v>
          </cell>
          <cell r="E139" t="str">
            <v>C</v>
          </cell>
          <cell r="G139">
            <v>1</v>
          </cell>
          <cell r="H139" t="str">
            <v>KK**</v>
          </cell>
          <cell r="I139" t="str">
            <v>KLCE</v>
          </cell>
          <cell r="J139" t="str">
            <v>상용특장수출팀　　　</v>
          </cell>
          <cell r="K139" t="str">
            <v>KLBA</v>
          </cell>
          <cell r="L139" t="str">
            <v>수출상품전략팀　　　</v>
          </cell>
          <cell r="O139" t="str">
            <v>KLBA</v>
          </cell>
          <cell r="R139" t="str">
            <v>1</v>
          </cell>
          <cell r="V139" t="str">
            <v>4</v>
          </cell>
          <cell r="W139" t="str">
            <v>1</v>
          </cell>
          <cell r="X139" t="str">
            <v>3</v>
          </cell>
          <cell r="Y139" t="str">
            <v>S</v>
          </cell>
          <cell r="Z139" t="str">
            <v>2724308</v>
          </cell>
          <cell r="AA139" t="str">
            <v>안용모　　</v>
          </cell>
          <cell r="AB139" t="str">
            <v>22</v>
          </cell>
          <cell r="AC139" t="str">
            <v>43</v>
          </cell>
          <cell r="AD139">
            <v>48</v>
          </cell>
          <cell r="AE139">
            <v>51.87</v>
          </cell>
          <cell r="AF139">
            <v>30</v>
          </cell>
          <cell r="AG139" t="str">
            <v>2712521</v>
          </cell>
          <cell r="AH139" t="str">
            <v>서동식　　</v>
          </cell>
          <cell r="AI139" t="str">
            <v>05</v>
          </cell>
          <cell r="AJ139" t="str">
            <v>32</v>
          </cell>
          <cell r="AK139">
            <v>87</v>
          </cell>
          <cell r="AL139">
            <v>65.930000000000007</v>
          </cell>
          <cell r="AM139">
            <v>20</v>
          </cell>
          <cell r="AN139" t="str">
            <v>2002024</v>
          </cell>
          <cell r="AO139" t="str">
            <v>이덕규　　</v>
          </cell>
          <cell r="AP139" t="str">
            <v>04</v>
          </cell>
          <cell r="AQ139" t="str">
            <v>30</v>
          </cell>
          <cell r="AR139">
            <v>70</v>
          </cell>
          <cell r="AS139">
            <v>59.57</v>
          </cell>
          <cell r="AT139">
            <v>20</v>
          </cell>
          <cell r="AU139" t="str">
            <v>2005295</v>
          </cell>
          <cell r="AV139" t="str">
            <v>박성도　　</v>
          </cell>
          <cell r="AW139" t="str">
            <v>02</v>
          </cell>
          <cell r="AX139" t="str">
            <v>20</v>
          </cell>
          <cell r="AY139">
            <v>70</v>
          </cell>
          <cell r="AZ139">
            <v>59.54</v>
          </cell>
          <cell r="BA139">
            <v>10</v>
          </cell>
          <cell r="BF139">
            <v>0</v>
          </cell>
          <cell r="BG139">
            <v>0</v>
          </cell>
          <cell r="BH139">
            <v>0</v>
          </cell>
          <cell r="BM139">
            <v>0</v>
          </cell>
          <cell r="BN139">
            <v>0</v>
          </cell>
          <cell r="BO139">
            <v>0</v>
          </cell>
          <cell r="BP139" t="b">
            <v>0</v>
          </cell>
          <cell r="BQ139">
            <v>0</v>
          </cell>
          <cell r="BR139">
            <v>58.27</v>
          </cell>
          <cell r="BS139">
            <v>1039</v>
          </cell>
          <cell r="BT139">
            <v>62.1</v>
          </cell>
          <cell r="BU139" t="str">
            <v>C</v>
          </cell>
          <cell r="BV139" t="str">
            <v>07</v>
          </cell>
          <cell r="BW139">
            <v>56</v>
          </cell>
          <cell r="BX139" t="str">
            <v>19950101</v>
          </cell>
          <cell r="BZ139" t="str">
            <v>C</v>
          </cell>
          <cell r="CA139" t="str">
            <v>06</v>
          </cell>
          <cell r="CB139" t="str">
            <v>D</v>
          </cell>
          <cell r="CC139" t="str">
            <v>08</v>
          </cell>
          <cell r="CD139" t="str">
            <v>C</v>
          </cell>
          <cell r="CE139" t="str">
            <v>04</v>
          </cell>
        </row>
        <row r="140">
          <cell r="A140" t="str">
            <v>2110334</v>
          </cell>
          <cell r="B140" t="str">
            <v>26</v>
          </cell>
          <cell r="C140" t="str">
            <v>과장</v>
          </cell>
          <cell r="D140" t="str">
            <v>김현준　　</v>
          </cell>
          <cell r="E140" t="str">
            <v>C</v>
          </cell>
          <cell r="G140">
            <v>1</v>
          </cell>
          <cell r="H140" t="str">
            <v>KK**</v>
          </cell>
          <cell r="I140" t="str">
            <v>KNBA</v>
          </cell>
          <cell r="J140" t="str">
            <v>기술관리３팀　　　　</v>
          </cell>
          <cell r="K140" t="str">
            <v>KLDC</v>
          </cell>
          <cell r="L140" t="str">
            <v>해외써비스팀　　　　</v>
          </cell>
          <cell r="O140" t="str">
            <v>KLDC</v>
          </cell>
          <cell r="R140" t="str">
            <v>1</v>
          </cell>
          <cell r="V140" t="str">
            <v>3</v>
          </cell>
          <cell r="W140" t="str">
            <v>1</v>
          </cell>
          <cell r="X140" t="str">
            <v>3</v>
          </cell>
          <cell r="Y140" t="str">
            <v>O</v>
          </cell>
          <cell r="Z140" t="str">
            <v>7253025</v>
          </cell>
          <cell r="AA140" t="str">
            <v>김종민　　</v>
          </cell>
          <cell r="AB140" t="str">
            <v>24</v>
          </cell>
          <cell r="AC140" t="str">
            <v>43</v>
          </cell>
          <cell r="AD140">
            <v>77</v>
          </cell>
          <cell r="AE140">
            <v>61.03</v>
          </cell>
          <cell r="AF140">
            <v>30</v>
          </cell>
          <cell r="AG140" t="str">
            <v>7043258</v>
          </cell>
          <cell r="AH140" t="str">
            <v>박상근　　</v>
          </cell>
          <cell r="AI140" t="str">
            <v>05</v>
          </cell>
          <cell r="AJ140" t="str">
            <v>32</v>
          </cell>
          <cell r="AK140">
            <v>86</v>
          </cell>
          <cell r="AL140">
            <v>66.25</v>
          </cell>
          <cell r="AM140">
            <v>20</v>
          </cell>
          <cell r="AN140" t="str">
            <v>2002024</v>
          </cell>
          <cell r="AO140" t="str">
            <v>이덕규　　</v>
          </cell>
          <cell r="AP140" t="str">
            <v>04</v>
          </cell>
          <cell r="AQ140" t="str">
            <v>30</v>
          </cell>
          <cell r="AR140">
            <v>70</v>
          </cell>
          <cell r="AS140">
            <v>59.37</v>
          </cell>
          <cell r="AT140">
            <v>20</v>
          </cell>
          <cell r="AU140" t="str">
            <v>2005295</v>
          </cell>
          <cell r="AV140" t="str">
            <v>박성도　　</v>
          </cell>
          <cell r="AW140" t="str">
            <v>02</v>
          </cell>
          <cell r="AX140" t="str">
            <v>20</v>
          </cell>
          <cell r="AY140">
            <v>70</v>
          </cell>
          <cell r="AZ140">
            <v>59.26</v>
          </cell>
          <cell r="BA140">
            <v>10</v>
          </cell>
          <cell r="BF140">
            <v>0</v>
          </cell>
          <cell r="BG140">
            <v>0</v>
          </cell>
          <cell r="BH140">
            <v>0</v>
          </cell>
          <cell r="BM140">
            <v>0</v>
          </cell>
          <cell r="BN140">
            <v>0</v>
          </cell>
          <cell r="BO140">
            <v>0</v>
          </cell>
          <cell r="BP140" t="b">
            <v>0</v>
          </cell>
          <cell r="BQ140">
            <v>0</v>
          </cell>
          <cell r="BR140">
            <v>61.7</v>
          </cell>
          <cell r="BS140">
            <v>421</v>
          </cell>
          <cell r="BT140">
            <v>37.1</v>
          </cell>
          <cell r="BU140" t="str">
            <v>C</v>
          </cell>
          <cell r="BV140" t="str">
            <v>05</v>
          </cell>
          <cell r="BW140">
            <v>64</v>
          </cell>
          <cell r="BX140" t="str">
            <v>19970101</v>
          </cell>
          <cell r="BZ140" t="str">
            <v>C</v>
          </cell>
          <cell r="CA140" t="str">
            <v>04</v>
          </cell>
          <cell r="CB140" t="str">
            <v>C</v>
          </cell>
          <cell r="CC140" t="str">
            <v>06</v>
          </cell>
          <cell r="CD140" t="str">
            <v>B</v>
          </cell>
          <cell r="CE140" t="str">
            <v>02</v>
          </cell>
        </row>
        <row r="141">
          <cell r="A141" t="str">
            <v>2136984</v>
          </cell>
          <cell r="B141" t="str">
            <v>26</v>
          </cell>
          <cell r="C141" t="str">
            <v>과장</v>
          </cell>
          <cell r="D141" t="str">
            <v>호진선　　</v>
          </cell>
          <cell r="E141" t="str">
            <v>C</v>
          </cell>
          <cell r="G141">
            <v>1</v>
          </cell>
          <cell r="H141" t="str">
            <v>KO**</v>
          </cell>
          <cell r="I141" t="str">
            <v>KOCA</v>
          </cell>
          <cell r="J141" t="str">
            <v>업체협력１팀　　　　</v>
          </cell>
          <cell r="K141" t="str">
            <v>KPAB</v>
          </cell>
          <cell r="L141" t="str">
            <v>승용샤시부품개발팀　</v>
          </cell>
          <cell r="O141" t="str">
            <v>KPAB</v>
          </cell>
          <cell r="R141" t="str">
            <v>4</v>
          </cell>
          <cell r="V141" t="str">
            <v>3</v>
          </cell>
          <cell r="W141" t="str">
            <v>1</v>
          </cell>
          <cell r="X141" t="str">
            <v>3</v>
          </cell>
          <cell r="Y141" t="str">
            <v>S</v>
          </cell>
          <cell r="Z141" t="str">
            <v>7428982</v>
          </cell>
          <cell r="AA141" t="str">
            <v>최재현　　</v>
          </cell>
          <cell r="AB141" t="str">
            <v>24</v>
          </cell>
          <cell r="AC141" t="str">
            <v>43</v>
          </cell>
          <cell r="AD141">
            <v>90</v>
          </cell>
          <cell r="AE141">
            <v>70.760000000000005</v>
          </cell>
          <cell r="AF141">
            <v>30</v>
          </cell>
          <cell r="AG141" t="str">
            <v>7151374</v>
          </cell>
          <cell r="AH141" t="str">
            <v>고승환　　</v>
          </cell>
          <cell r="AI141" t="str">
            <v>20</v>
          </cell>
          <cell r="AJ141" t="str">
            <v>32</v>
          </cell>
          <cell r="AK141">
            <v>95</v>
          </cell>
          <cell r="AL141">
            <v>71.38</v>
          </cell>
          <cell r="AM141">
            <v>20</v>
          </cell>
          <cell r="AN141" t="str">
            <v>7043317</v>
          </cell>
          <cell r="AO141" t="str">
            <v>박승하　　</v>
          </cell>
          <cell r="AP141" t="str">
            <v>04</v>
          </cell>
          <cell r="AQ141" t="str">
            <v>30</v>
          </cell>
          <cell r="AR141">
            <v>94</v>
          </cell>
          <cell r="AS141">
            <v>68</v>
          </cell>
          <cell r="AT141">
            <v>20</v>
          </cell>
          <cell r="AU141" t="str">
            <v>2008268</v>
          </cell>
          <cell r="AV141" t="str">
            <v>이용도　　</v>
          </cell>
          <cell r="AW141" t="str">
            <v>02</v>
          </cell>
          <cell r="AX141" t="str">
            <v>20</v>
          </cell>
          <cell r="AY141">
            <v>80</v>
          </cell>
          <cell r="AZ141">
            <v>63.76</v>
          </cell>
          <cell r="BA141">
            <v>10</v>
          </cell>
          <cell r="BF141">
            <v>0</v>
          </cell>
          <cell r="BG141">
            <v>0</v>
          </cell>
          <cell r="BH141">
            <v>0</v>
          </cell>
          <cell r="BM141">
            <v>0</v>
          </cell>
          <cell r="BN141">
            <v>0</v>
          </cell>
          <cell r="BO141">
            <v>0</v>
          </cell>
          <cell r="BP141" t="b">
            <v>0</v>
          </cell>
          <cell r="BQ141">
            <v>0</v>
          </cell>
          <cell r="BR141">
            <v>69.349999999999994</v>
          </cell>
          <cell r="BS141">
            <v>36</v>
          </cell>
          <cell r="BT141">
            <v>3.2</v>
          </cell>
          <cell r="BU141" t="str">
            <v>A</v>
          </cell>
          <cell r="BV141" t="str">
            <v>01</v>
          </cell>
          <cell r="BW141">
            <v>80</v>
          </cell>
          <cell r="BX141" t="str">
            <v>19950101</v>
          </cell>
        </row>
        <row r="142">
          <cell r="A142" t="str">
            <v>2503653</v>
          </cell>
          <cell r="B142" t="str">
            <v>28</v>
          </cell>
          <cell r="C142" t="str">
            <v>대리</v>
          </cell>
          <cell r="D142" t="str">
            <v>손재호　　</v>
          </cell>
          <cell r="E142" t="str">
            <v>C</v>
          </cell>
          <cell r="G142">
            <v>1</v>
          </cell>
          <cell r="H142" t="str">
            <v>KK**</v>
          </cell>
          <cell r="I142" t="str">
            <v>KIAA</v>
          </cell>
          <cell r="J142" t="str">
            <v>ＣＳ추진팀　　　　　</v>
          </cell>
          <cell r="K142" t="str">
            <v>KLDC</v>
          </cell>
          <cell r="L142" t="str">
            <v>해외써비스팀　　　　</v>
          </cell>
          <cell r="O142" t="str">
            <v>KLDC</v>
          </cell>
          <cell r="R142" t="str">
            <v>1</v>
          </cell>
          <cell r="V142" t="str">
            <v>4</v>
          </cell>
          <cell r="W142" t="str">
            <v>1</v>
          </cell>
          <cell r="X142" t="str">
            <v>3</v>
          </cell>
          <cell r="Y142" t="str">
            <v>O</v>
          </cell>
          <cell r="Z142" t="str">
            <v>7253025</v>
          </cell>
          <cell r="AA142" t="str">
            <v>김종민　　</v>
          </cell>
          <cell r="AB142" t="str">
            <v>24</v>
          </cell>
          <cell r="AC142" t="str">
            <v>43</v>
          </cell>
          <cell r="AD142">
            <v>72</v>
          </cell>
          <cell r="AE142">
            <v>58.46</v>
          </cell>
          <cell r="AF142">
            <v>30</v>
          </cell>
          <cell r="AG142" t="str">
            <v>7043258</v>
          </cell>
          <cell r="AH142" t="str">
            <v>박상근　　</v>
          </cell>
          <cell r="AI142" t="str">
            <v>05</v>
          </cell>
          <cell r="AJ142" t="str">
            <v>32</v>
          </cell>
          <cell r="AK142">
            <v>72</v>
          </cell>
          <cell r="AL142">
            <v>58.51</v>
          </cell>
          <cell r="AM142">
            <v>20</v>
          </cell>
          <cell r="AN142" t="str">
            <v>2002024</v>
          </cell>
          <cell r="AO142" t="str">
            <v>이덕규　　</v>
          </cell>
          <cell r="AP142" t="str">
            <v>04</v>
          </cell>
          <cell r="AQ142" t="str">
            <v>30</v>
          </cell>
          <cell r="AR142">
            <v>70</v>
          </cell>
          <cell r="AS142">
            <v>59.57</v>
          </cell>
          <cell r="AT142">
            <v>20</v>
          </cell>
          <cell r="AU142" t="str">
            <v>2005295</v>
          </cell>
          <cell r="AV142" t="str">
            <v>박성도　　</v>
          </cell>
          <cell r="AW142" t="str">
            <v>02</v>
          </cell>
          <cell r="AX142" t="str">
            <v>20</v>
          </cell>
          <cell r="AY142">
            <v>63</v>
          </cell>
          <cell r="AZ142">
            <v>56.64</v>
          </cell>
          <cell r="BA142">
            <v>10</v>
          </cell>
          <cell r="BF142">
            <v>0</v>
          </cell>
          <cell r="BG142">
            <v>0</v>
          </cell>
          <cell r="BH142">
            <v>0</v>
          </cell>
          <cell r="BM142">
            <v>0</v>
          </cell>
          <cell r="BN142">
            <v>0</v>
          </cell>
          <cell r="BO142">
            <v>0</v>
          </cell>
          <cell r="BP142" t="b">
            <v>0</v>
          </cell>
          <cell r="BQ142">
            <v>0</v>
          </cell>
          <cell r="BR142">
            <v>58.52</v>
          </cell>
          <cell r="BS142">
            <v>1002</v>
          </cell>
          <cell r="BT142">
            <v>59.9</v>
          </cell>
          <cell r="BU142" t="str">
            <v>C</v>
          </cell>
          <cell r="BV142" t="str">
            <v>07</v>
          </cell>
          <cell r="BW142">
            <v>56</v>
          </cell>
          <cell r="BX142" t="str">
            <v>19980101</v>
          </cell>
          <cell r="BZ142" t="str">
            <v>D</v>
          </cell>
          <cell r="CA142" t="str">
            <v>10</v>
          </cell>
          <cell r="CB142" t="str">
            <v>B</v>
          </cell>
          <cell r="CC142" t="str">
            <v>03</v>
          </cell>
          <cell r="CD142" t="str">
            <v>C</v>
          </cell>
          <cell r="CE142" t="str">
            <v>06</v>
          </cell>
        </row>
        <row r="143">
          <cell r="A143" t="str">
            <v>2124618</v>
          </cell>
          <cell r="B143" t="str">
            <v>30</v>
          </cell>
          <cell r="C143" t="str">
            <v>4갑</v>
          </cell>
          <cell r="D143" t="str">
            <v>유권상　　</v>
          </cell>
          <cell r="E143" t="str">
            <v>C</v>
          </cell>
          <cell r="G143">
            <v>1</v>
          </cell>
          <cell r="H143" t="str">
            <v>KH**</v>
          </cell>
          <cell r="I143" t="str">
            <v>KHFR</v>
          </cell>
          <cell r="J143" t="str">
            <v>서부）신림지점　　　</v>
          </cell>
          <cell r="K143" t="str">
            <v>KHFJ</v>
          </cell>
          <cell r="L143" t="str">
            <v>서부）구로공단지점　</v>
          </cell>
          <cell r="O143" t="str">
            <v>KHFJA</v>
          </cell>
          <cell r="R143" t="str">
            <v>2</v>
          </cell>
          <cell r="V143" t="str">
            <v>5</v>
          </cell>
          <cell r="W143" t="str">
            <v>3</v>
          </cell>
          <cell r="X143" t="str">
            <v>3</v>
          </cell>
          <cell r="Y143" t="str">
            <v>S</v>
          </cell>
          <cell r="Z143" t="str">
            <v>2112244</v>
          </cell>
          <cell r="AA143" t="str">
            <v>최의순　　</v>
          </cell>
          <cell r="AB143" t="str">
            <v>26</v>
          </cell>
          <cell r="AC143" t="str">
            <v>44</v>
          </cell>
          <cell r="AD143">
            <v>93</v>
          </cell>
          <cell r="AE143">
            <v>60</v>
          </cell>
          <cell r="AF143">
            <v>50</v>
          </cell>
          <cell r="AG143" t="str">
            <v>7120125</v>
          </cell>
          <cell r="AH143" t="str">
            <v>송만섭　　</v>
          </cell>
          <cell r="AI143" t="str">
            <v>22</v>
          </cell>
          <cell r="AJ143" t="str">
            <v>32</v>
          </cell>
          <cell r="AK143">
            <v>87</v>
          </cell>
          <cell r="AL143">
            <v>68.37</v>
          </cell>
          <cell r="AM143">
            <v>30</v>
          </cell>
          <cell r="AN143" t="str">
            <v>2059744</v>
          </cell>
          <cell r="AO143" t="str">
            <v>김도영　　</v>
          </cell>
          <cell r="AP143" t="str">
            <v>02</v>
          </cell>
          <cell r="AQ143" t="str">
            <v>20</v>
          </cell>
          <cell r="AR143">
            <v>53</v>
          </cell>
          <cell r="AS143">
            <v>53.84</v>
          </cell>
          <cell r="AT143">
            <v>10</v>
          </cell>
          <cell r="AY143">
            <v>0</v>
          </cell>
          <cell r="AZ143">
            <v>0</v>
          </cell>
          <cell r="BA143">
            <v>0</v>
          </cell>
          <cell r="BF143">
            <v>0</v>
          </cell>
          <cell r="BG143">
            <v>0</v>
          </cell>
          <cell r="BH143">
            <v>0</v>
          </cell>
          <cell r="BM143">
            <v>0</v>
          </cell>
          <cell r="BN143">
            <v>0</v>
          </cell>
          <cell r="BO143">
            <v>0</v>
          </cell>
          <cell r="BP143" t="b">
            <v>0</v>
          </cell>
          <cell r="BQ143">
            <v>0</v>
          </cell>
          <cell r="BR143">
            <v>62.11</v>
          </cell>
          <cell r="BS143">
            <v>496</v>
          </cell>
          <cell r="BT143">
            <v>34.200000000000003</v>
          </cell>
          <cell r="BU143" t="str">
            <v>C</v>
          </cell>
          <cell r="BV143" t="str">
            <v>04</v>
          </cell>
          <cell r="BW143">
            <v>68</v>
          </cell>
          <cell r="BX143" t="str">
            <v>19930101</v>
          </cell>
          <cell r="BZ143" t="str">
            <v>C</v>
          </cell>
          <cell r="CA143" t="str">
            <v>06</v>
          </cell>
          <cell r="CB143" t="str">
            <v>B</v>
          </cell>
          <cell r="CC143" t="str">
            <v>02</v>
          </cell>
          <cell r="CD143" t="str">
            <v>A</v>
          </cell>
          <cell r="CE143" t="str">
            <v>02</v>
          </cell>
        </row>
        <row r="144">
          <cell r="A144" t="str">
            <v>2675538</v>
          </cell>
          <cell r="B144" t="str">
            <v>30</v>
          </cell>
          <cell r="C144" t="str">
            <v>4갑</v>
          </cell>
          <cell r="D144" t="str">
            <v>이선규　　</v>
          </cell>
          <cell r="E144" t="str">
            <v>C</v>
          </cell>
          <cell r="G144">
            <v>1</v>
          </cell>
          <cell r="H144" t="str">
            <v>KM**</v>
          </cell>
          <cell r="I144" t="str">
            <v>KMJI</v>
          </cell>
          <cell r="J144" t="str">
            <v>원주사업소　　　　　</v>
          </cell>
          <cell r="K144" t="str">
            <v>KMIH</v>
          </cell>
          <cell r="L144" t="str">
            <v>원주부품사업소　　　</v>
          </cell>
          <cell r="O144" t="str">
            <v>KMIHA</v>
          </cell>
          <cell r="R144" t="str">
            <v>2</v>
          </cell>
          <cell r="V144" t="str">
            <v>5</v>
          </cell>
          <cell r="W144" t="str">
            <v>4</v>
          </cell>
          <cell r="X144" t="str">
            <v>3</v>
          </cell>
          <cell r="Y144" t="str">
            <v>O</v>
          </cell>
          <cell r="Z144" t="str">
            <v>2129888</v>
          </cell>
          <cell r="AA144" t="str">
            <v>최현생　　</v>
          </cell>
          <cell r="AB144" t="str">
            <v>26</v>
          </cell>
          <cell r="AC144" t="str">
            <v>43</v>
          </cell>
          <cell r="AD144">
            <v>52</v>
          </cell>
          <cell r="AE144">
            <v>53.66</v>
          </cell>
          <cell r="AF144">
            <v>70</v>
          </cell>
          <cell r="AG144" t="str">
            <v>2001319</v>
          </cell>
          <cell r="AH144" t="str">
            <v>차정식　　</v>
          </cell>
          <cell r="AI144" t="str">
            <v>02</v>
          </cell>
          <cell r="AJ144" t="str">
            <v>20</v>
          </cell>
          <cell r="AK144">
            <v>40</v>
          </cell>
          <cell r="AL144">
            <v>49.11</v>
          </cell>
          <cell r="AM144">
            <v>20</v>
          </cell>
          <cell r="AR144">
            <v>0</v>
          </cell>
          <cell r="AS144">
            <v>0</v>
          </cell>
          <cell r="AT144">
            <v>0</v>
          </cell>
          <cell r="AY144">
            <v>0</v>
          </cell>
          <cell r="AZ144">
            <v>0</v>
          </cell>
          <cell r="BA144">
            <v>0</v>
          </cell>
          <cell r="BF144">
            <v>0</v>
          </cell>
          <cell r="BG144">
            <v>0</v>
          </cell>
          <cell r="BH144">
            <v>0</v>
          </cell>
          <cell r="BM144">
            <v>0</v>
          </cell>
          <cell r="BN144">
            <v>0</v>
          </cell>
          <cell r="BO144">
            <v>0</v>
          </cell>
          <cell r="BP144" t="b">
            <v>0</v>
          </cell>
          <cell r="BQ144">
            <v>0</v>
          </cell>
          <cell r="BR144">
            <v>52.65</v>
          </cell>
          <cell r="BS144">
            <v>1295</v>
          </cell>
          <cell r="BT144">
            <v>89.2</v>
          </cell>
          <cell r="BU144" t="str">
            <v>D</v>
          </cell>
          <cell r="BV144" t="str">
            <v>10</v>
          </cell>
          <cell r="BW144">
            <v>44</v>
          </cell>
          <cell r="BX144" t="str">
            <v>19960701</v>
          </cell>
          <cell r="BZ144" t="str">
            <v>D</v>
          </cell>
          <cell r="CA144" t="str">
            <v>09</v>
          </cell>
          <cell r="CB144" t="str">
            <v>E</v>
          </cell>
          <cell r="CC144" t="str">
            <v>11</v>
          </cell>
          <cell r="CD144" t="str">
            <v>D</v>
          </cell>
          <cell r="CE144" t="str">
            <v>08</v>
          </cell>
        </row>
        <row r="145">
          <cell r="A145" t="str">
            <v>2091349</v>
          </cell>
          <cell r="B145" t="str">
            <v>30</v>
          </cell>
          <cell r="C145" t="str">
            <v>4갑</v>
          </cell>
          <cell r="D145" t="str">
            <v>배금례　　</v>
          </cell>
          <cell r="E145" t="str">
            <v>C</v>
          </cell>
          <cell r="G145">
            <v>1</v>
          </cell>
          <cell r="H145" t="str">
            <v>KQ**</v>
          </cell>
          <cell r="I145" t="str">
            <v>KUEA</v>
          </cell>
          <cell r="J145" t="str">
            <v>광）엔진변속기제조관</v>
          </cell>
          <cell r="K145" t="str">
            <v>KUCB</v>
          </cell>
          <cell r="L145" t="str">
            <v>광）트럭차체부　　　</v>
          </cell>
          <cell r="O145" t="str">
            <v>KUCBH</v>
          </cell>
          <cell r="R145" t="str">
            <v>6</v>
          </cell>
          <cell r="V145" t="str">
            <v>5</v>
          </cell>
          <cell r="W145" t="str">
            <v>2</v>
          </cell>
          <cell r="X145" t="str">
            <v>3</v>
          </cell>
          <cell r="Y145" t="str">
            <v>S</v>
          </cell>
          <cell r="Z145" t="str">
            <v>2114414</v>
          </cell>
          <cell r="AA145" t="str">
            <v>나영석　　</v>
          </cell>
          <cell r="AB145" t="str">
            <v>26</v>
          </cell>
          <cell r="AC145" t="str">
            <v>50</v>
          </cell>
          <cell r="AD145">
            <v>52</v>
          </cell>
          <cell r="AE145">
            <v>55.29</v>
          </cell>
          <cell r="AF145">
            <v>20</v>
          </cell>
          <cell r="AG145" t="str">
            <v>2029269</v>
          </cell>
          <cell r="AH145" t="str">
            <v>홍성태　　</v>
          </cell>
          <cell r="AI145" t="str">
            <v>22</v>
          </cell>
          <cell r="AJ145" t="str">
            <v>40</v>
          </cell>
          <cell r="AK145">
            <v>50</v>
          </cell>
          <cell r="AL145">
            <v>49.4</v>
          </cell>
          <cell r="AM145">
            <v>20</v>
          </cell>
          <cell r="AN145" t="str">
            <v>2034693</v>
          </cell>
          <cell r="AO145" t="str">
            <v>김홍수　　</v>
          </cell>
          <cell r="AP145" t="str">
            <v>20</v>
          </cell>
          <cell r="AQ145" t="str">
            <v>32</v>
          </cell>
          <cell r="AR145">
            <v>47</v>
          </cell>
          <cell r="AS145">
            <v>51.21</v>
          </cell>
          <cell r="AT145">
            <v>10</v>
          </cell>
          <cell r="AU145" t="str">
            <v>2024118</v>
          </cell>
          <cell r="AV145" t="str">
            <v>정정규　　</v>
          </cell>
          <cell r="AW145" t="str">
            <v>20</v>
          </cell>
          <cell r="AX145" t="str">
            <v>31</v>
          </cell>
          <cell r="AY145">
            <v>49</v>
          </cell>
          <cell r="AZ145">
            <v>50.13</v>
          </cell>
          <cell r="BA145">
            <v>10</v>
          </cell>
          <cell r="BB145" t="str">
            <v>2026563</v>
          </cell>
          <cell r="BC145" t="str">
            <v>전천수　　</v>
          </cell>
          <cell r="BD145" t="str">
            <v>03</v>
          </cell>
          <cell r="BE145" t="str">
            <v>30</v>
          </cell>
          <cell r="BF145">
            <v>45</v>
          </cell>
          <cell r="BG145">
            <v>51.5</v>
          </cell>
          <cell r="BH145">
            <v>10</v>
          </cell>
          <cell r="BI145" t="str">
            <v>2728462</v>
          </cell>
          <cell r="BJ145" t="str">
            <v>임승근　　</v>
          </cell>
          <cell r="BK145" t="str">
            <v>02</v>
          </cell>
          <cell r="BL145" t="str">
            <v>20</v>
          </cell>
          <cell r="BM145">
            <v>47</v>
          </cell>
          <cell r="BN145">
            <v>51.22</v>
          </cell>
          <cell r="BO145">
            <v>10</v>
          </cell>
          <cell r="BP145" t="b">
            <v>0</v>
          </cell>
          <cell r="BQ145">
            <v>0</v>
          </cell>
          <cell r="BR145">
            <v>51.68</v>
          </cell>
          <cell r="BS145">
            <v>1352</v>
          </cell>
          <cell r="BT145">
            <v>93.2</v>
          </cell>
          <cell r="BU145" t="str">
            <v>E</v>
          </cell>
          <cell r="BV145" t="str">
            <v>10</v>
          </cell>
          <cell r="BW145">
            <v>44</v>
          </cell>
          <cell r="BX145" t="str">
            <v>19960208</v>
          </cell>
          <cell r="BZ145" t="str">
            <v>C</v>
          </cell>
          <cell r="CA145" t="str">
            <v>07</v>
          </cell>
          <cell r="CB145" t="str">
            <v>E</v>
          </cell>
          <cell r="CC145" t="str">
            <v>10</v>
          </cell>
          <cell r="CD145" t="str">
            <v>E</v>
          </cell>
          <cell r="CE145" t="str">
            <v>11</v>
          </cell>
        </row>
        <row r="146">
          <cell r="A146" t="str">
            <v>2707305</v>
          </cell>
          <cell r="B146" t="str">
            <v>33</v>
          </cell>
          <cell r="C146" t="str">
            <v>5급</v>
          </cell>
          <cell r="D146" t="str">
            <v>김인경　　</v>
          </cell>
          <cell r="E146" t="str">
            <v>C</v>
          </cell>
          <cell r="G146">
            <v>1</v>
          </cell>
          <cell r="H146" t="str">
            <v>KH**</v>
          </cell>
          <cell r="I146" t="str">
            <v>KHUG</v>
          </cell>
          <cell r="J146" t="str">
            <v>대구）금오지점　　　</v>
          </cell>
          <cell r="K146" t="str">
            <v>KHUF</v>
          </cell>
          <cell r="L146" t="str">
            <v>대구）구미지점　　　</v>
          </cell>
          <cell r="O146" t="str">
            <v>KHUFA</v>
          </cell>
          <cell r="R146" t="str">
            <v>2</v>
          </cell>
          <cell r="V146" t="str">
            <v>7</v>
          </cell>
          <cell r="W146" t="str">
            <v>3</v>
          </cell>
          <cell r="X146" t="str">
            <v>4</v>
          </cell>
          <cell r="Y146" t="str">
            <v>O</v>
          </cell>
          <cell r="Z146" t="str">
            <v>2160034</v>
          </cell>
          <cell r="AA146" t="str">
            <v>박준호　　</v>
          </cell>
          <cell r="AB146" t="str">
            <v>26</v>
          </cell>
          <cell r="AC146" t="str">
            <v>44</v>
          </cell>
          <cell r="AD146">
            <v>75</v>
          </cell>
          <cell r="AE146">
            <v>52.85</v>
          </cell>
          <cell r="AF146">
            <v>60</v>
          </cell>
          <cell r="AG146" t="str">
            <v>2018769</v>
          </cell>
          <cell r="AH146" t="str">
            <v>이문식　　</v>
          </cell>
          <cell r="AI146" t="str">
            <v>20</v>
          </cell>
          <cell r="AJ146" t="str">
            <v>32</v>
          </cell>
          <cell r="AK146">
            <v>68</v>
          </cell>
          <cell r="AL146">
            <v>50.04</v>
          </cell>
          <cell r="AM146">
            <v>30</v>
          </cell>
          <cell r="AR146">
            <v>0</v>
          </cell>
          <cell r="AS146">
            <v>0</v>
          </cell>
          <cell r="AT146">
            <v>0</v>
          </cell>
          <cell r="AY146">
            <v>0</v>
          </cell>
          <cell r="AZ146">
            <v>0</v>
          </cell>
          <cell r="BA146">
            <v>0</v>
          </cell>
          <cell r="BF146">
            <v>0</v>
          </cell>
          <cell r="BG146">
            <v>0</v>
          </cell>
          <cell r="BH146">
            <v>0</v>
          </cell>
          <cell r="BM146">
            <v>0</v>
          </cell>
          <cell r="BN146">
            <v>0</v>
          </cell>
          <cell r="BO146">
            <v>0</v>
          </cell>
          <cell r="BP146" t="b">
            <v>0</v>
          </cell>
          <cell r="BQ146">
            <v>0</v>
          </cell>
          <cell r="BR146">
            <v>51.91</v>
          </cell>
          <cell r="BS146">
            <v>658</v>
          </cell>
          <cell r="BT146">
            <v>96.1</v>
          </cell>
          <cell r="BU146" t="str">
            <v>E</v>
          </cell>
          <cell r="BV146" t="str">
            <v>11</v>
          </cell>
          <cell r="BW146">
            <v>40</v>
          </cell>
          <cell r="BX146" t="str">
            <v>19970513</v>
          </cell>
          <cell r="BZ146" t="str">
            <v>E</v>
          </cell>
          <cell r="CA146" t="str">
            <v>10</v>
          </cell>
          <cell r="CB146" t="str">
            <v>E</v>
          </cell>
          <cell r="CC146" t="str">
            <v>11</v>
          </cell>
        </row>
        <row r="147">
          <cell r="A147" t="str">
            <v>2690378</v>
          </cell>
          <cell r="B147" t="str">
            <v>33</v>
          </cell>
          <cell r="C147" t="str">
            <v>5급</v>
          </cell>
          <cell r="D147" t="str">
            <v>이진경　　</v>
          </cell>
          <cell r="E147" t="str">
            <v>C</v>
          </cell>
          <cell r="G147">
            <v>1</v>
          </cell>
          <cell r="H147" t="str">
            <v>KH**</v>
          </cell>
          <cell r="I147" t="str">
            <v>KHJR</v>
          </cell>
          <cell r="J147" t="str">
            <v>경기）신갈지점　　　</v>
          </cell>
          <cell r="K147" t="str">
            <v>KHG1</v>
          </cell>
          <cell r="L147" t="str">
            <v>남부）경기광주지점　</v>
          </cell>
          <cell r="O147" t="str">
            <v>KHG1A</v>
          </cell>
          <cell r="R147" t="str">
            <v>2</v>
          </cell>
          <cell r="V147" t="str">
            <v>7</v>
          </cell>
          <cell r="W147" t="str">
            <v>3</v>
          </cell>
          <cell r="X147" t="str">
            <v>4</v>
          </cell>
          <cell r="Y147" t="str">
            <v>O</v>
          </cell>
          <cell r="Z147" t="str">
            <v>2081353</v>
          </cell>
          <cell r="AA147" t="str">
            <v>박병수　　</v>
          </cell>
          <cell r="AB147" t="str">
            <v>26</v>
          </cell>
          <cell r="AC147" t="str">
            <v>44</v>
          </cell>
          <cell r="AD147">
            <v>69</v>
          </cell>
          <cell r="AE147">
            <v>55.29</v>
          </cell>
          <cell r="AF147">
            <v>60</v>
          </cell>
          <cell r="AG147" t="str">
            <v>2013194</v>
          </cell>
          <cell r="AH147" t="str">
            <v>박종호　　</v>
          </cell>
          <cell r="AI147" t="str">
            <v>05</v>
          </cell>
          <cell r="AJ147" t="str">
            <v>32</v>
          </cell>
          <cell r="AK147">
            <v>42</v>
          </cell>
          <cell r="AL147">
            <v>46.87</v>
          </cell>
          <cell r="AM147">
            <v>30</v>
          </cell>
          <cell r="AR147">
            <v>0</v>
          </cell>
          <cell r="AS147">
            <v>0</v>
          </cell>
          <cell r="AT147">
            <v>0</v>
          </cell>
          <cell r="AY147">
            <v>0</v>
          </cell>
          <cell r="AZ147">
            <v>0</v>
          </cell>
          <cell r="BA147">
            <v>0</v>
          </cell>
          <cell r="BF147">
            <v>0</v>
          </cell>
          <cell r="BG147">
            <v>0</v>
          </cell>
          <cell r="BH147">
            <v>0</v>
          </cell>
          <cell r="BM147">
            <v>0</v>
          </cell>
          <cell r="BN147">
            <v>0</v>
          </cell>
          <cell r="BO147">
            <v>0</v>
          </cell>
          <cell r="BP147" t="b">
            <v>0</v>
          </cell>
          <cell r="BQ147">
            <v>0</v>
          </cell>
          <cell r="BR147">
            <v>52.48</v>
          </cell>
          <cell r="BS147">
            <v>643</v>
          </cell>
          <cell r="BT147">
            <v>93.9</v>
          </cell>
          <cell r="BU147" t="str">
            <v>E</v>
          </cell>
          <cell r="BV147" t="str">
            <v>10</v>
          </cell>
          <cell r="BW147">
            <v>44</v>
          </cell>
          <cell r="BX147" t="str">
            <v>19961205</v>
          </cell>
          <cell r="BZ147" t="str">
            <v>D</v>
          </cell>
          <cell r="CA147" t="str">
            <v>10</v>
          </cell>
          <cell r="CB147" t="str">
            <v>D</v>
          </cell>
          <cell r="CC147" t="str">
            <v>09</v>
          </cell>
        </row>
        <row r="148">
          <cell r="A148" t="str">
            <v>2701427</v>
          </cell>
          <cell r="B148" t="str">
            <v>33</v>
          </cell>
          <cell r="C148" t="str">
            <v>5급</v>
          </cell>
          <cell r="D148" t="str">
            <v>박정민　　</v>
          </cell>
          <cell r="E148" t="str">
            <v>C</v>
          </cell>
          <cell r="G148">
            <v>1</v>
          </cell>
          <cell r="H148" t="str">
            <v>KH**</v>
          </cell>
          <cell r="I148" t="str">
            <v>KHHF</v>
          </cell>
          <cell r="J148" t="str">
            <v>북부）은평지점　　　</v>
          </cell>
          <cell r="K148" t="str">
            <v>KHGT</v>
          </cell>
          <cell r="L148" t="str">
            <v>남부）방배지점　　　</v>
          </cell>
          <cell r="O148" t="str">
            <v>KHGTA</v>
          </cell>
          <cell r="R148" t="str">
            <v>2</v>
          </cell>
          <cell r="V148" t="str">
            <v>7</v>
          </cell>
          <cell r="W148" t="str">
            <v>3</v>
          </cell>
          <cell r="X148" t="str">
            <v>4</v>
          </cell>
          <cell r="Y148" t="str">
            <v>O</v>
          </cell>
          <cell r="Z148" t="str">
            <v>2064811</v>
          </cell>
          <cell r="AA148" t="str">
            <v>이명호　　</v>
          </cell>
          <cell r="AB148" t="str">
            <v>24</v>
          </cell>
          <cell r="AC148" t="str">
            <v>44</v>
          </cell>
          <cell r="AD148">
            <v>75</v>
          </cell>
          <cell r="AE148">
            <v>60</v>
          </cell>
          <cell r="AF148">
            <v>60</v>
          </cell>
          <cell r="AG148" t="str">
            <v>2013194</v>
          </cell>
          <cell r="AH148" t="str">
            <v>박종호　　</v>
          </cell>
          <cell r="AI148" t="str">
            <v>05</v>
          </cell>
          <cell r="AJ148" t="str">
            <v>32</v>
          </cell>
          <cell r="AK148">
            <v>42</v>
          </cell>
          <cell r="AL148">
            <v>46.87</v>
          </cell>
          <cell r="AM148">
            <v>30</v>
          </cell>
          <cell r="AR148">
            <v>0</v>
          </cell>
          <cell r="AS148">
            <v>0</v>
          </cell>
          <cell r="AT148">
            <v>0</v>
          </cell>
          <cell r="AY148">
            <v>0</v>
          </cell>
          <cell r="AZ148">
            <v>0</v>
          </cell>
          <cell r="BA148">
            <v>0</v>
          </cell>
          <cell r="BF148">
            <v>0</v>
          </cell>
          <cell r="BG148">
            <v>0</v>
          </cell>
          <cell r="BH148">
            <v>0</v>
          </cell>
          <cell r="BM148">
            <v>0</v>
          </cell>
          <cell r="BN148">
            <v>0</v>
          </cell>
          <cell r="BO148">
            <v>0</v>
          </cell>
          <cell r="BP148" t="b">
            <v>0</v>
          </cell>
          <cell r="BQ148">
            <v>0</v>
          </cell>
          <cell r="BR148">
            <v>55.62</v>
          </cell>
          <cell r="BS148">
            <v>537</v>
          </cell>
          <cell r="BT148">
            <v>78.400000000000006</v>
          </cell>
          <cell r="BU148" t="str">
            <v>D</v>
          </cell>
          <cell r="BV148" t="str">
            <v>09</v>
          </cell>
          <cell r="BW148">
            <v>48</v>
          </cell>
          <cell r="BX148" t="str">
            <v>19970225</v>
          </cell>
          <cell r="BZ148" t="str">
            <v>D</v>
          </cell>
          <cell r="CA148" t="str">
            <v>09</v>
          </cell>
          <cell r="CB148" t="str">
            <v>D</v>
          </cell>
          <cell r="CC148" t="str">
            <v>08</v>
          </cell>
        </row>
        <row r="149">
          <cell r="A149" t="str">
            <v>2596768</v>
          </cell>
          <cell r="B149" t="str">
            <v>30</v>
          </cell>
          <cell r="C149" t="str">
            <v>4갑</v>
          </cell>
          <cell r="D149" t="str">
            <v>고영주　　</v>
          </cell>
          <cell r="E149" t="str">
            <v>C</v>
          </cell>
          <cell r="G149">
            <v>1</v>
          </cell>
          <cell r="H149" t="str">
            <v>KM**</v>
          </cell>
          <cell r="I149" t="str">
            <v>KMD*</v>
          </cell>
          <cell r="J149" t="str">
            <v>대구직매점</v>
          </cell>
          <cell r="K149" t="str">
            <v>KMID</v>
          </cell>
          <cell r="L149" t="str">
            <v>대구부품사업소　　　</v>
          </cell>
          <cell r="O149" t="str">
            <v>KMIDB</v>
          </cell>
          <cell r="R149" t="str">
            <v>2</v>
          </cell>
          <cell r="V149" t="str">
            <v>5</v>
          </cell>
          <cell r="W149" t="str">
            <v>4</v>
          </cell>
          <cell r="X149" t="str">
            <v>3</v>
          </cell>
          <cell r="Y149" t="str">
            <v>O</v>
          </cell>
          <cell r="Z149" t="str">
            <v>2127055</v>
          </cell>
          <cell r="AA149" t="str">
            <v>박병화　　</v>
          </cell>
          <cell r="AB149" t="str">
            <v>28</v>
          </cell>
          <cell r="AC149" t="str">
            <v>50</v>
          </cell>
          <cell r="AD149">
            <v>66</v>
          </cell>
          <cell r="AE149">
            <v>52.13</v>
          </cell>
          <cell r="AF149">
            <v>40</v>
          </cell>
          <cell r="AG149" t="str">
            <v>2011112</v>
          </cell>
          <cell r="AH149" t="str">
            <v>백원량　　</v>
          </cell>
          <cell r="AI149" t="str">
            <v>22</v>
          </cell>
          <cell r="AJ149" t="str">
            <v>43</v>
          </cell>
          <cell r="AK149">
            <v>67</v>
          </cell>
          <cell r="AL149">
            <v>54.21</v>
          </cell>
          <cell r="AM149">
            <v>40</v>
          </cell>
          <cell r="AN149" t="str">
            <v>2001319</v>
          </cell>
          <cell r="AO149" t="str">
            <v>차정식　　</v>
          </cell>
          <cell r="AP149" t="str">
            <v>02</v>
          </cell>
          <cell r="AQ149" t="str">
            <v>20</v>
          </cell>
          <cell r="AR149">
            <v>53</v>
          </cell>
          <cell r="AS149">
            <v>53.73</v>
          </cell>
          <cell r="AT149">
            <v>10</v>
          </cell>
          <cell r="AY149">
            <v>0</v>
          </cell>
          <cell r="AZ149">
            <v>0</v>
          </cell>
          <cell r="BA149">
            <v>0</v>
          </cell>
          <cell r="BF149">
            <v>0</v>
          </cell>
          <cell r="BG149">
            <v>0</v>
          </cell>
          <cell r="BH149">
            <v>0</v>
          </cell>
          <cell r="BM149">
            <v>0</v>
          </cell>
          <cell r="BN149">
            <v>0</v>
          </cell>
          <cell r="BO149">
            <v>0</v>
          </cell>
          <cell r="BP149" t="b">
            <v>0</v>
          </cell>
          <cell r="BQ149">
            <v>0</v>
          </cell>
          <cell r="BR149">
            <v>53.23</v>
          </cell>
          <cell r="BS149">
            <v>1261</v>
          </cell>
          <cell r="BT149">
            <v>86.9</v>
          </cell>
          <cell r="BU149" t="str">
            <v>D</v>
          </cell>
          <cell r="BV149" t="str">
            <v>10</v>
          </cell>
          <cell r="BW149">
            <v>44</v>
          </cell>
          <cell r="BX149" t="str">
            <v>19950101</v>
          </cell>
          <cell r="BZ149" t="str">
            <v>C</v>
          </cell>
          <cell r="CA149" t="str">
            <v>07</v>
          </cell>
          <cell r="CB149" t="str">
            <v>E</v>
          </cell>
          <cell r="CC149" t="str">
            <v>11</v>
          </cell>
          <cell r="CD149" t="str">
            <v>E</v>
          </cell>
          <cell r="CE149" t="str">
            <v>11</v>
          </cell>
        </row>
        <row r="150">
          <cell r="A150" t="str">
            <v>2235529</v>
          </cell>
          <cell r="B150" t="str">
            <v>28</v>
          </cell>
          <cell r="C150" t="str">
            <v>대리</v>
          </cell>
          <cell r="D150" t="str">
            <v>이준호　　</v>
          </cell>
          <cell r="E150" t="str">
            <v>C</v>
          </cell>
          <cell r="G150">
            <v>1</v>
          </cell>
          <cell r="H150" t="str">
            <v>KH**</v>
          </cell>
          <cell r="I150" t="str">
            <v>KHIV</v>
          </cell>
          <cell r="J150" t="str">
            <v>택시판매）인천택시지</v>
          </cell>
          <cell r="K150" t="str">
            <v>KHIG</v>
          </cell>
          <cell r="L150" t="str">
            <v>인천）부천지점　　　</v>
          </cell>
          <cell r="O150" t="str">
            <v>KHIGA</v>
          </cell>
          <cell r="R150" t="str">
            <v>2</v>
          </cell>
          <cell r="V150" t="str">
            <v>4</v>
          </cell>
          <cell r="W150" t="str">
            <v>3</v>
          </cell>
          <cell r="X150" t="str">
            <v>3</v>
          </cell>
          <cell r="Y150" t="str">
            <v>S</v>
          </cell>
          <cell r="Z150" t="str">
            <v>8988054</v>
          </cell>
          <cell r="AA150" t="str">
            <v>권오빈　　</v>
          </cell>
          <cell r="AB150" t="str">
            <v>28</v>
          </cell>
          <cell r="AC150" t="str">
            <v>50</v>
          </cell>
          <cell r="AD150">
            <v>66</v>
          </cell>
          <cell r="AE150">
            <v>55.29</v>
          </cell>
          <cell r="AF150">
            <v>10</v>
          </cell>
          <cell r="AG150" t="str">
            <v>2036559</v>
          </cell>
          <cell r="AH150" t="str">
            <v>곽형욱　　</v>
          </cell>
          <cell r="AI150" t="str">
            <v>22</v>
          </cell>
          <cell r="AJ150" t="str">
            <v>44</v>
          </cell>
          <cell r="AK150">
            <v>72</v>
          </cell>
          <cell r="AL150">
            <v>57.34</v>
          </cell>
          <cell r="AM150">
            <v>40</v>
          </cell>
          <cell r="AN150" t="str">
            <v>2718155</v>
          </cell>
          <cell r="AO150" t="str">
            <v>김한수　　</v>
          </cell>
          <cell r="AP150" t="str">
            <v>05</v>
          </cell>
          <cell r="AQ150" t="str">
            <v>32</v>
          </cell>
          <cell r="AR150">
            <v>56</v>
          </cell>
          <cell r="AS150">
            <v>53.61</v>
          </cell>
          <cell r="AT150">
            <v>30</v>
          </cell>
          <cell r="AU150" t="str">
            <v>2059744</v>
          </cell>
          <cell r="AV150" t="str">
            <v>김도영　　</v>
          </cell>
          <cell r="AW150" t="str">
            <v>02</v>
          </cell>
          <cell r="AX150" t="str">
            <v>20</v>
          </cell>
          <cell r="AY150">
            <v>63</v>
          </cell>
          <cell r="AZ150">
            <v>57.38</v>
          </cell>
          <cell r="BA150">
            <v>10</v>
          </cell>
          <cell r="BF150">
            <v>0</v>
          </cell>
          <cell r="BG150">
            <v>0</v>
          </cell>
          <cell r="BH150">
            <v>0</v>
          </cell>
          <cell r="BM150">
            <v>0</v>
          </cell>
          <cell r="BN150">
            <v>0</v>
          </cell>
          <cell r="BO150">
            <v>0</v>
          </cell>
          <cell r="BP150" t="b">
            <v>0</v>
          </cell>
          <cell r="BQ150">
            <v>0</v>
          </cell>
          <cell r="BR150">
            <v>55.87</v>
          </cell>
          <cell r="BS150">
            <v>1287</v>
          </cell>
          <cell r="BT150">
            <v>76.900000000000006</v>
          </cell>
          <cell r="BU150" t="str">
            <v>D</v>
          </cell>
          <cell r="BV150" t="str">
            <v>09</v>
          </cell>
          <cell r="BW150">
            <v>48</v>
          </cell>
          <cell r="BX150" t="str">
            <v>19950101</v>
          </cell>
          <cell r="BZ150" t="str">
            <v>C</v>
          </cell>
          <cell r="CA150" t="str">
            <v>08</v>
          </cell>
          <cell r="CB150" t="str">
            <v>D</v>
          </cell>
          <cell r="CC150" t="str">
            <v>09</v>
          </cell>
          <cell r="CD150" t="str">
            <v>D</v>
          </cell>
          <cell r="CE150" t="str">
            <v>09</v>
          </cell>
        </row>
        <row r="151">
          <cell r="A151" t="str">
            <v>2648927</v>
          </cell>
          <cell r="B151" t="str">
            <v>30</v>
          </cell>
          <cell r="C151" t="str">
            <v>4갑</v>
          </cell>
          <cell r="D151" t="str">
            <v>백흠진　　</v>
          </cell>
          <cell r="E151" t="str">
            <v>C</v>
          </cell>
          <cell r="G151">
            <v>1</v>
          </cell>
          <cell r="H151" t="str">
            <v>KH**</v>
          </cell>
          <cell r="I151" t="str">
            <v>KHAC</v>
          </cell>
          <cell r="J151" t="str">
            <v>판매정보팀　　　　　</v>
          </cell>
          <cell r="K151" t="str">
            <v>KHIJ</v>
          </cell>
          <cell r="L151" t="str">
            <v>인천）동암지점　　　</v>
          </cell>
          <cell r="O151" t="str">
            <v>KHIJA</v>
          </cell>
          <cell r="R151" t="str">
            <v>2</v>
          </cell>
          <cell r="V151" t="str">
            <v>5</v>
          </cell>
          <cell r="W151" t="str">
            <v>3</v>
          </cell>
          <cell r="X151" t="str">
            <v>3</v>
          </cell>
          <cell r="Y151" t="str">
            <v>O</v>
          </cell>
          <cell r="Z151" t="str">
            <v>2090078</v>
          </cell>
          <cell r="AA151" t="str">
            <v>염창열　　</v>
          </cell>
          <cell r="AB151" t="str">
            <v>28</v>
          </cell>
          <cell r="AC151" t="str">
            <v>50</v>
          </cell>
          <cell r="AD151">
            <v>85</v>
          </cell>
          <cell r="AE151">
            <v>60</v>
          </cell>
          <cell r="AF151">
            <v>10</v>
          </cell>
          <cell r="AG151" t="str">
            <v>2073922</v>
          </cell>
          <cell r="AH151" t="str">
            <v>송종덕　　</v>
          </cell>
          <cell r="AI151" t="str">
            <v>26</v>
          </cell>
          <cell r="AJ151" t="str">
            <v>44</v>
          </cell>
          <cell r="AK151">
            <v>81</v>
          </cell>
          <cell r="AL151">
            <v>55.29</v>
          </cell>
          <cell r="AM151">
            <v>40</v>
          </cell>
          <cell r="AN151" t="str">
            <v>2718155</v>
          </cell>
          <cell r="AO151" t="str">
            <v>김한수　　</v>
          </cell>
          <cell r="AP151" t="str">
            <v>05</v>
          </cell>
          <cell r="AQ151" t="str">
            <v>32</v>
          </cell>
          <cell r="AR151">
            <v>54</v>
          </cell>
          <cell r="AS151">
            <v>49.87</v>
          </cell>
          <cell r="AT151">
            <v>30</v>
          </cell>
          <cell r="AU151" t="str">
            <v>2059744</v>
          </cell>
          <cell r="AV151" t="str">
            <v>김도영　　</v>
          </cell>
          <cell r="AW151" t="str">
            <v>02</v>
          </cell>
          <cell r="AX151" t="str">
            <v>20</v>
          </cell>
          <cell r="AY151">
            <v>86</v>
          </cell>
          <cell r="AZ151">
            <v>65.59</v>
          </cell>
          <cell r="BA151">
            <v>10</v>
          </cell>
          <cell r="BF151">
            <v>0</v>
          </cell>
          <cell r="BG151">
            <v>0</v>
          </cell>
          <cell r="BH151">
            <v>0</v>
          </cell>
          <cell r="BM151">
            <v>0</v>
          </cell>
          <cell r="BN151">
            <v>0</v>
          </cell>
          <cell r="BO151">
            <v>0</v>
          </cell>
          <cell r="BP151" t="b">
            <v>0</v>
          </cell>
          <cell r="BQ151">
            <v>0</v>
          </cell>
          <cell r="BR151">
            <v>55.15</v>
          </cell>
          <cell r="BS151">
            <v>1135</v>
          </cell>
          <cell r="BT151">
            <v>78.2</v>
          </cell>
          <cell r="BU151" t="str">
            <v>D</v>
          </cell>
          <cell r="BV151" t="str">
            <v>09</v>
          </cell>
          <cell r="BW151">
            <v>48</v>
          </cell>
          <cell r="BX151" t="str">
            <v>19951211</v>
          </cell>
          <cell r="BZ151" t="str">
            <v>C</v>
          </cell>
          <cell r="CA151" t="str">
            <v>06</v>
          </cell>
          <cell r="CB151" t="str">
            <v>E</v>
          </cell>
          <cell r="CC151" t="str">
            <v>10</v>
          </cell>
          <cell r="CD151" t="str">
            <v>E</v>
          </cell>
          <cell r="CE151" t="str">
            <v>10</v>
          </cell>
        </row>
        <row r="152">
          <cell r="A152" t="str">
            <v>2127992</v>
          </cell>
          <cell r="B152" t="str">
            <v>32</v>
          </cell>
          <cell r="C152" t="str">
            <v>4을</v>
          </cell>
          <cell r="D152" t="str">
            <v>최순영　　</v>
          </cell>
          <cell r="E152" t="str">
            <v>C</v>
          </cell>
          <cell r="G152">
            <v>1</v>
          </cell>
          <cell r="H152" t="str">
            <v>KH**</v>
          </cell>
          <cell r="I152" t="str">
            <v>KHIS</v>
          </cell>
          <cell r="J152" t="str">
            <v>인천）안산선부지점　</v>
          </cell>
          <cell r="K152" t="str">
            <v>KHIR</v>
          </cell>
          <cell r="L152" t="str">
            <v>인천）공단지점　　　</v>
          </cell>
          <cell r="O152" t="str">
            <v>KHIRA</v>
          </cell>
          <cell r="R152" t="str">
            <v>2</v>
          </cell>
          <cell r="V152" t="str">
            <v>6</v>
          </cell>
          <cell r="W152" t="str">
            <v>3</v>
          </cell>
          <cell r="X152" t="str">
            <v>4</v>
          </cell>
          <cell r="Y152" t="str">
            <v>S</v>
          </cell>
          <cell r="Z152" t="str">
            <v>2126892</v>
          </cell>
          <cell r="AA152" t="str">
            <v>김진급　　</v>
          </cell>
          <cell r="AB152" t="str">
            <v>28</v>
          </cell>
          <cell r="AC152" t="str">
            <v>50</v>
          </cell>
          <cell r="AD152">
            <v>77</v>
          </cell>
          <cell r="AE152">
            <v>55.29</v>
          </cell>
          <cell r="AF152">
            <v>10</v>
          </cell>
          <cell r="AG152" t="str">
            <v>2055769</v>
          </cell>
          <cell r="AH152" t="str">
            <v>윤재범　　</v>
          </cell>
          <cell r="AI152" t="str">
            <v>26</v>
          </cell>
          <cell r="AJ152" t="str">
            <v>44</v>
          </cell>
          <cell r="AK152">
            <v>98</v>
          </cell>
          <cell r="AL152">
            <v>55.31</v>
          </cell>
          <cell r="AM152">
            <v>50</v>
          </cell>
          <cell r="AN152" t="str">
            <v>2718155</v>
          </cell>
          <cell r="AO152" t="str">
            <v>김한수　　</v>
          </cell>
          <cell r="AP152" t="str">
            <v>05</v>
          </cell>
          <cell r="AQ152" t="str">
            <v>32</v>
          </cell>
          <cell r="AR152">
            <v>63</v>
          </cell>
          <cell r="AS152">
            <v>56.01</v>
          </cell>
          <cell r="AT152">
            <v>30</v>
          </cell>
          <cell r="AY152">
            <v>0</v>
          </cell>
          <cell r="AZ152">
            <v>0</v>
          </cell>
          <cell r="BA152">
            <v>0</v>
          </cell>
          <cell r="BF152">
            <v>0</v>
          </cell>
          <cell r="BG152">
            <v>0</v>
          </cell>
          <cell r="BH152">
            <v>0</v>
          </cell>
          <cell r="BM152">
            <v>0</v>
          </cell>
          <cell r="BN152">
            <v>0</v>
          </cell>
          <cell r="BO152">
            <v>0</v>
          </cell>
          <cell r="BP152" t="b">
            <v>0</v>
          </cell>
          <cell r="BQ152">
            <v>0</v>
          </cell>
          <cell r="BR152">
            <v>55.54</v>
          </cell>
          <cell r="BS152">
            <v>577</v>
          </cell>
          <cell r="BT152">
            <v>82.8</v>
          </cell>
          <cell r="BU152" t="str">
            <v>D</v>
          </cell>
          <cell r="BV152" t="str">
            <v>09</v>
          </cell>
          <cell r="BW152">
            <v>48</v>
          </cell>
          <cell r="BX152" t="str">
            <v>19950101</v>
          </cell>
          <cell r="BZ152" t="str">
            <v>D</v>
          </cell>
          <cell r="CA152" t="str">
            <v>09</v>
          </cell>
          <cell r="CB152" t="str">
            <v>D</v>
          </cell>
          <cell r="CC152" t="str">
            <v>09</v>
          </cell>
          <cell r="CD152" t="str">
            <v>C</v>
          </cell>
          <cell r="CE152" t="str">
            <v>08</v>
          </cell>
        </row>
        <row r="153">
          <cell r="A153" t="str">
            <v>2343883</v>
          </cell>
          <cell r="B153" t="str">
            <v>30</v>
          </cell>
          <cell r="C153" t="str">
            <v>4갑</v>
          </cell>
          <cell r="D153" t="str">
            <v>강성윤　　</v>
          </cell>
          <cell r="E153" t="str">
            <v>C</v>
          </cell>
          <cell r="G153">
            <v>1</v>
          </cell>
          <cell r="H153" t="str">
            <v>KH**</v>
          </cell>
          <cell r="I153" t="str">
            <v>KHTJ</v>
          </cell>
          <cell r="J153" t="str">
            <v>경북）경주지점　　　</v>
          </cell>
          <cell r="K153" t="str">
            <v>KHTA</v>
          </cell>
          <cell r="L153" t="str">
            <v>경북）포항지점　　　</v>
          </cell>
          <cell r="O153" t="str">
            <v>KHTAA</v>
          </cell>
          <cell r="R153" t="str">
            <v>2</v>
          </cell>
          <cell r="V153" t="str">
            <v>5</v>
          </cell>
          <cell r="W153" t="str">
            <v>3</v>
          </cell>
          <cell r="X153" t="str">
            <v>3</v>
          </cell>
          <cell r="Y153" t="str">
            <v>O</v>
          </cell>
          <cell r="Z153" t="str">
            <v>2319978</v>
          </cell>
          <cell r="AA153" t="str">
            <v>이종극　　</v>
          </cell>
          <cell r="AB153" t="str">
            <v>28</v>
          </cell>
          <cell r="AC153" t="str">
            <v>50</v>
          </cell>
          <cell r="AD153">
            <v>95</v>
          </cell>
          <cell r="AE153">
            <v>64.73</v>
          </cell>
          <cell r="AF153">
            <v>10</v>
          </cell>
          <cell r="AG153" t="str">
            <v>2117536</v>
          </cell>
          <cell r="AH153" t="str">
            <v>김태규　　</v>
          </cell>
          <cell r="AI153" t="str">
            <v>26</v>
          </cell>
          <cell r="AJ153" t="str">
            <v>44</v>
          </cell>
          <cell r="AK153">
            <v>81</v>
          </cell>
          <cell r="AL153">
            <v>63.23</v>
          </cell>
          <cell r="AM153">
            <v>40</v>
          </cell>
          <cell r="AN153" t="str">
            <v>2061393</v>
          </cell>
          <cell r="AO153" t="str">
            <v>이광우　　</v>
          </cell>
          <cell r="AP153" t="str">
            <v>22</v>
          </cell>
          <cell r="AQ153" t="str">
            <v>32</v>
          </cell>
          <cell r="AR153">
            <v>83</v>
          </cell>
          <cell r="AS153">
            <v>63.23</v>
          </cell>
          <cell r="AT153">
            <v>30</v>
          </cell>
          <cell r="AU153" t="str">
            <v>2059744</v>
          </cell>
          <cell r="AV153" t="str">
            <v>김도영　　</v>
          </cell>
          <cell r="AW153" t="str">
            <v>02</v>
          </cell>
          <cell r="AX153" t="str">
            <v>20</v>
          </cell>
          <cell r="AY153">
            <v>93</v>
          </cell>
          <cell r="AZ153">
            <v>68.08</v>
          </cell>
          <cell r="BA153">
            <v>10</v>
          </cell>
          <cell r="BF153">
            <v>0</v>
          </cell>
          <cell r="BG153">
            <v>0</v>
          </cell>
          <cell r="BH153">
            <v>0</v>
          </cell>
          <cell r="BM153">
            <v>0</v>
          </cell>
          <cell r="BN153">
            <v>0</v>
          </cell>
          <cell r="BO153">
            <v>0</v>
          </cell>
          <cell r="BP153" t="b">
            <v>0</v>
          </cell>
          <cell r="BQ153">
            <v>0</v>
          </cell>
          <cell r="BR153">
            <v>63.94</v>
          </cell>
          <cell r="BS153">
            <v>376</v>
          </cell>
          <cell r="BT153">
            <v>25.9</v>
          </cell>
          <cell r="BU153" t="str">
            <v>B</v>
          </cell>
          <cell r="BV153" t="str">
            <v>04</v>
          </cell>
          <cell r="BW153">
            <v>68</v>
          </cell>
          <cell r="BX153" t="str">
            <v>19940101</v>
          </cell>
          <cell r="BZ153" t="str">
            <v>B</v>
          </cell>
          <cell r="CA153" t="str">
            <v>04</v>
          </cell>
          <cell r="CB153" t="str">
            <v>A</v>
          </cell>
          <cell r="CC153" t="str">
            <v>01</v>
          </cell>
          <cell r="CD153" t="str">
            <v>C</v>
          </cell>
          <cell r="CE153" t="str">
            <v>06</v>
          </cell>
        </row>
        <row r="154">
          <cell r="A154" t="str">
            <v>2069889</v>
          </cell>
          <cell r="B154" t="str">
            <v>26</v>
          </cell>
          <cell r="C154" t="str">
            <v>과장</v>
          </cell>
          <cell r="D154" t="str">
            <v>이경수　　</v>
          </cell>
          <cell r="E154" t="str">
            <v>C</v>
          </cell>
          <cell r="G154">
            <v>1</v>
          </cell>
          <cell r="H154" t="str">
            <v>KK**</v>
          </cell>
          <cell r="I154" t="str">
            <v>KNAA</v>
          </cell>
          <cell r="J154" t="str">
            <v>소）행정지원팀　　　</v>
          </cell>
          <cell r="K154" t="str">
            <v>KLBC</v>
          </cell>
          <cell r="L154" t="str">
            <v>해외광고팀　　　　　</v>
          </cell>
          <cell r="O154" t="str">
            <v>KLBC</v>
          </cell>
          <cell r="R154" t="str">
            <v>1</v>
          </cell>
          <cell r="V154" t="str">
            <v>3</v>
          </cell>
          <cell r="W154" t="str">
            <v>1</v>
          </cell>
          <cell r="X154" t="str">
            <v>3</v>
          </cell>
          <cell r="Y154" t="str">
            <v>S</v>
          </cell>
          <cell r="Z154" t="str">
            <v>2082684</v>
          </cell>
          <cell r="AA154" t="str">
            <v>황정렬　　</v>
          </cell>
          <cell r="AB154" t="str">
            <v>24</v>
          </cell>
          <cell r="AC154" t="str">
            <v>43</v>
          </cell>
          <cell r="AD154">
            <v>96</v>
          </cell>
          <cell r="AE154">
            <v>64.709999999999994</v>
          </cell>
          <cell r="AF154">
            <v>30</v>
          </cell>
          <cell r="AG154" t="str">
            <v>2712521</v>
          </cell>
          <cell r="AH154" t="str">
            <v>서동식　　</v>
          </cell>
          <cell r="AI154" t="str">
            <v>05</v>
          </cell>
          <cell r="AJ154" t="str">
            <v>32</v>
          </cell>
          <cell r="AK154">
            <v>95</v>
          </cell>
          <cell r="AL154">
            <v>68.2</v>
          </cell>
          <cell r="AM154">
            <v>20</v>
          </cell>
          <cell r="AN154" t="str">
            <v>2002024</v>
          </cell>
          <cell r="AO154" t="str">
            <v>이덕규　　</v>
          </cell>
          <cell r="AP154" t="str">
            <v>04</v>
          </cell>
          <cell r="AQ154" t="str">
            <v>30</v>
          </cell>
          <cell r="AR154">
            <v>93</v>
          </cell>
          <cell r="AS154">
            <v>68.709999999999994</v>
          </cell>
          <cell r="AT154">
            <v>20</v>
          </cell>
          <cell r="AU154" t="str">
            <v>2005295</v>
          </cell>
          <cell r="AV154" t="str">
            <v>박성도　　</v>
          </cell>
          <cell r="AW154" t="str">
            <v>02</v>
          </cell>
          <cell r="AX154" t="str">
            <v>20</v>
          </cell>
          <cell r="AY154">
            <v>47</v>
          </cell>
          <cell r="AZ154">
            <v>49.41</v>
          </cell>
          <cell r="BA154">
            <v>10</v>
          </cell>
          <cell r="BF154">
            <v>0</v>
          </cell>
          <cell r="BG154">
            <v>0</v>
          </cell>
          <cell r="BH154">
            <v>0</v>
          </cell>
          <cell r="BM154">
            <v>0</v>
          </cell>
          <cell r="BN154">
            <v>0</v>
          </cell>
          <cell r="BO154">
            <v>0</v>
          </cell>
          <cell r="BP154" t="b">
            <v>0</v>
          </cell>
          <cell r="BQ154">
            <v>0</v>
          </cell>
          <cell r="BR154">
            <v>64.67</v>
          </cell>
          <cell r="BS154">
            <v>261</v>
          </cell>
          <cell r="BT154">
            <v>23</v>
          </cell>
          <cell r="BU154" t="str">
            <v>B</v>
          </cell>
          <cell r="BV154" t="str">
            <v>03</v>
          </cell>
          <cell r="BW154">
            <v>72</v>
          </cell>
          <cell r="BX154" t="str">
            <v>19940101</v>
          </cell>
          <cell r="BZ154" t="str">
            <v>C</v>
          </cell>
          <cell r="CA154" t="str">
            <v>05</v>
          </cell>
          <cell r="CB154" t="str">
            <v>A</v>
          </cell>
          <cell r="CC154" t="str">
            <v>01</v>
          </cell>
          <cell r="CD154" t="str">
            <v>A</v>
          </cell>
          <cell r="CE154" t="str">
            <v>02</v>
          </cell>
        </row>
        <row r="155">
          <cell r="A155" t="str">
            <v>2522401</v>
          </cell>
          <cell r="B155" t="str">
            <v>28</v>
          </cell>
          <cell r="C155" t="str">
            <v>대리</v>
          </cell>
          <cell r="D155" t="str">
            <v>이미용　　</v>
          </cell>
          <cell r="E155" t="str">
            <v>C</v>
          </cell>
          <cell r="G155">
            <v>1</v>
          </cell>
          <cell r="H155" t="str">
            <v>KH**</v>
          </cell>
          <cell r="I155" t="str">
            <v>KHDC</v>
          </cell>
          <cell r="J155" t="str">
            <v>대상판촉팀　　　　　</v>
          </cell>
          <cell r="K155" t="str">
            <v>KHCB</v>
          </cell>
          <cell r="L155" t="str">
            <v>특판팀　　　　　　　</v>
          </cell>
          <cell r="O155" t="str">
            <v>KHCB</v>
          </cell>
          <cell r="R155" t="str">
            <v>1</v>
          </cell>
          <cell r="V155" t="str">
            <v>4</v>
          </cell>
          <cell r="W155" t="str">
            <v>1</v>
          </cell>
          <cell r="X155" t="str">
            <v>3</v>
          </cell>
          <cell r="Y155" t="str">
            <v>O</v>
          </cell>
          <cell r="Z155" t="str">
            <v>7065217</v>
          </cell>
          <cell r="AA155" t="str">
            <v>이재석　　</v>
          </cell>
          <cell r="AB155" t="str">
            <v>22</v>
          </cell>
          <cell r="AC155" t="str">
            <v>43</v>
          </cell>
          <cell r="AD155">
            <v>82</v>
          </cell>
          <cell r="AE155">
            <v>53.73</v>
          </cell>
          <cell r="AF155">
            <v>40</v>
          </cell>
          <cell r="AG155" t="str">
            <v>7046074</v>
          </cell>
          <cell r="AH155" t="str">
            <v>김만유　　</v>
          </cell>
          <cell r="AI155" t="str">
            <v>04</v>
          </cell>
          <cell r="AJ155" t="str">
            <v>32</v>
          </cell>
          <cell r="AK155">
            <v>85</v>
          </cell>
          <cell r="AL155">
            <v>60</v>
          </cell>
          <cell r="AM155">
            <v>30</v>
          </cell>
          <cell r="AN155" t="str">
            <v>2059744</v>
          </cell>
          <cell r="AO155" t="str">
            <v>김도영　　</v>
          </cell>
          <cell r="AP155" t="str">
            <v>02</v>
          </cell>
          <cell r="AQ155" t="str">
            <v>20</v>
          </cell>
          <cell r="AR155">
            <v>63</v>
          </cell>
          <cell r="AS155">
            <v>57.38</v>
          </cell>
          <cell r="AT155">
            <v>10</v>
          </cell>
          <cell r="AY155">
            <v>0</v>
          </cell>
          <cell r="AZ155">
            <v>0</v>
          </cell>
          <cell r="BA155">
            <v>0</v>
          </cell>
          <cell r="BF155">
            <v>0</v>
          </cell>
          <cell r="BG155">
            <v>0</v>
          </cell>
          <cell r="BH155">
            <v>0</v>
          </cell>
          <cell r="BM155">
            <v>0</v>
          </cell>
          <cell r="BN155">
            <v>0</v>
          </cell>
          <cell r="BO155">
            <v>0</v>
          </cell>
          <cell r="BP155" t="b">
            <v>0</v>
          </cell>
          <cell r="BQ155">
            <v>0</v>
          </cell>
          <cell r="BR155">
            <v>56.54</v>
          </cell>
          <cell r="BS155">
            <v>1222</v>
          </cell>
          <cell r="BT155">
            <v>73</v>
          </cell>
          <cell r="BU155" t="str">
            <v>D</v>
          </cell>
          <cell r="BV155" t="str">
            <v>08</v>
          </cell>
          <cell r="BW155">
            <v>52</v>
          </cell>
          <cell r="BX155" t="str">
            <v>19980101</v>
          </cell>
          <cell r="BZ155" t="str">
            <v>E</v>
          </cell>
          <cell r="CA155" t="str">
            <v>11</v>
          </cell>
          <cell r="CB155" t="str">
            <v>B</v>
          </cell>
          <cell r="CC155" t="str">
            <v>03</v>
          </cell>
          <cell r="CD155" t="str">
            <v>D</v>
          </cell>
          <cell r="CE155" t="str">
            <v>09</v>
          </cell>
        </row>
        <row r="156">
          <cell r="A156" t="str">
            <v>2228751</v>
          </cell>
          <cell r="B156" t="str">
            <v>26</v>
          </cell>
          <cell r="C156" t="str">
            <v>과장</v>
          </cell>
          <cell r="D156" t="str">
            <v>차대집　　</v>
          </cell>
          <cell r="E156" t="str">
            <v>C</v>
          </cell>
          <cell r="G156">
            <v>1</v>
          </cell>
          <cell r="H156" t="str">
            <v>KK**</v>
          </cell>
          <cell r="I156" t="str">
            <v>KJAB</v>
          </cell>
          <cell r="J156" t="str">
            <v>특수수출팀　　　　　</v>
          </cell>
          <cell r="K156" t="str">
            <v>KLCE</v>
          </cell>
          <cell r="L156" t="str">
            <v>상용특장수출팀　　　</v>
          </cell>
          <cell r="O156" t="str">
            <v>KLCE</v>
          </cell>
          <cell r="R156" t="str">
            <v>1</v>
          </cell>
          <cell r="V156" t="str">
            <v>3</v>
          </cell>
          <cell r="W156" t="str">
            <v>1</v>
          </cell>
          <cell r="X156" t="str">
            <v>3</v>
          </cell>
          <cell r="Y156" t="str">
            <v>O</v>
          </cell>
          <cell r="Z156" t="str">
            <v>2013104</v>
          </cell>
          <cell r="AA156" t="str">
            <v>김남중　　</v>
          </cell>
          <cell r="AB156" t="str">
            <v>20</v>
          </cell>
          <cell r="AC156" t="str">
            <v>43</v>
          </cell>
          <cell r="AD156">
            <v>66</v>
          </cell>
          <cell r="AE156">
            <v>57.58</v>
          </cell>
          <cell r="AF156">
            <v>40</v>
          </cell>
          <cell r="AG156" t="str">
            <v>2002024</v>
          </cell>
          <cell r="AH156" t="str">
            <v>이덕규　　</v>
          </cell>
          <cell r="AI156" t="str">
            <v>04</v>
          </cell>
          <cell r="AJ156" t="str">
            <v>30</v>
          </cell>
          <cell r="AK156">
            <v>70</v>
          </cell>
          <cell r="AL156">
            <v>59.37</v>
          </cell>
          <cell r="AM156">
            <v>30</v>
          </cell>
          <cell r="AN156" t="str">
            <v>2005295</v>
          </cell>
          <cell r="AO156" t="str">
            <v>박성도　　</v>
          </cell>
          <cell r="AP156" t="str">
            <v>02</v>
          </cell>
          <cell r="AQ156" t="str">
            <v>20</v>
          </cell>
          <cell r="AR156">
            <v>70</v>
          </cell>
          <cell r="AS156">
            <v>59.26</v>
          </cell>
          <cell r="AT156">
            <v>10</v>
          </cell>
          <cell r="AY156">
            <v>0</v>
          </cell>
          <cell r="AZ156">
            <v>0</v>
          </cell>
          <cell r="BA156">
            <v>0</v>
          </cell>
          <cell r="BF156">
            <v>0</v>
          </cell>
          <cell r="BG156">
            <v>0</v>
          </cell>
          <cell r="BH156">
            <v>0</v>
          </cell>
          <cell r="BM156">
            <v>0</v>
          </cell>
          <cell r="BN156">
            <v>0</v>
          </cell>
          <cell r="BO156">
            <v>0</v>
          </cell>
          <cell r="BP156" t="b">
            <v>0</v>
          </cell>
          <cell r="BQ156">
            <v>0</v>
          </cell>
          <cell r="BR156">
            <v>58.46</v>
          </cell>
          <cell r="BS156">
            <v>675</v>
          </cell>
          <cell r="BT156">
            <v>59.4</v>
          </cell>
          <cell r="BU156" t="str">
            <v>C</v>
          </cell>
          <cell r="BV156" t="str">
            <v>07</v>
          </cell>
          <cell r="BW156">
            <v>56</v>
          </cell>
          <cell r="BX156" t="str">
            <v>19980101</v>
          </cell>
          <cell r="BZ156" t="str">
            <v>E</v>
          </cell>
          <cell r="CA156" t="str">
            <v>10</v>
          </cell>
          <cell r="CB156" t="str">
            <v>B</v>
          </cell>
          <cell r="CC156" t="str">
            <v>02</v>
          </cell>
          <cell r="CD156" t="str">
            <v>C</v>
          </cell>
          <cell r="CE156" t="str">
            <v>08</v>
          </cell>
        </row>
        <row r="157">
          <cell r="A157" t="str">
            <v>2512213</v>
          </cell>
          <cell r="B157" t="str">
            <v>28</v>
          </cell>
          <cell r="C157" t="str">
            <v>대리</v>
          </cell>
          <cell r="D157" t="str">
            <v>진세영　　</v>
          </cell>
          <cell r="E157" t="str">
            <v>C</v>
          </cell>
          <cell r="G157">
            <v>1</v>
          </cell>
          <cell r="H157" t="str">
            <v>KQ**</v>
          </cell>
          <cell r="I157" t="str">
            <v>KUAA</v>
          </cell>
          <cell r="J157" t="str">
            <v>광）생산관리팀　　　</v>
          </cell>
          <cell r="K157" t="str">
            <v>KUEA</v>
          </cell>
          <cell r="L157" t="str">
            <v>광）엔진변속기제조관</v>
          </cell>
          <cell r="O157" t="str">
            <v>KUEAA</v>
          </cell>
          <cell r="R157" t="str">
            <v>6</v>
          </cell>
          <cell r="V157" t="str">
            <v>4</v>
          </cell>
          <cell r="W157" t="str">
            <v>2</v>
          </cell>
          <cell r="X157" t="str">
            <v>3</v>
          </cell>
          <cell r="Y157" t="str">
            <v>O</v>
          </cell>
          <cell r="Z157" t="str">
            <v>2128772</v>
          </cell>
          <cell r="AA157" t="str">
            <v>노일우　　</v>
          </cell>
          <cell r="AB157" t="str">
            <v>26</v>
          </cell>
          <cell r="AC157" t="str">
            <v>50</v>
          </cell>
          <cell r="AD157">
            <v>86</v>
          </cell>
          <cell r="AE157">
            <v>55.31</v>
          </cell>
          <cell r="AF157">
            <v>20</v>
          </cell>
          <cell r="AG157" t="str">
            <v>2081696</v>
          </cell>
          <cell r="AH157" t="str">
            <v>양광철　　</v>
          </cell>
          <cell r="AI157" t="str">
            <v>26</v>
          </cell>
          <cell r="AJ157" t="str">
            <v>40</v>
          </cell>
          <cell r="AK157">
            <v>80</v>
          </cell>
          <cell r="AL157">
            <v>61.77</v>
          </cell>
          <cell r="AM157">
            <v>30</v>
          </cell>
          <cell r="AN157" t="str">
            <v>2024118</v>
          </cell>
          <cell r="AO157" t="str">
            <v>정정규　　</v>
          </cell>
          <cell r="AP157" t="str">
            <v>20</v>
          </cell>
          <cell r="AQ157" t="str">
            <v>31</v>
          </cell>
          <cell r="AR157">
            <v>74</v>
          </cell>
          <cell r="AS157">
            <v>61.18</v>
          </cell>
          <cell r="AT157">
            <v>10</v>
          </cell>
          <cell r="AU157" t="str">
            <v>2026563</v>
          </cell>
          <cell r="AV157" t="str">
            <v>전천수　　</v>
          </cell>
          <cell r="AW157" t="str">
            <v>03</v>
          </cell>
          <cell r="AX157" t="str">
            <v>30</v>
          </cell>
          <cell r="AY157">
            <v>69</v>
          </cell>
          <cell r="AZ157">
            <v>60.46</v>
          </cell>
          <cell r="BA157">
            <v>10</v>
          </cell>
          <cell r="BB157" t="str">
            <v>2728462</v>
          </cell>
          <cell r="BC157" t="str">
            <v>임승근　　</v>
          </cell>
          <cell r="BD157" t="str">
            <v>02</v>
          </cell>
          <cell r="BE157" t="str">
            <v>20</v>
          </cell>
          <cell r="BF157">
            <v>70</v>
          </cell>
          <cell r="BG157">
            <v>60.01</v>
          </cell>
          <cell r="BH157">
            <v>10</v>
          </cell>
          <cell r="BM157">
            <v>0</v>
          </cell>
          <cell r="BN157">
            <v>0</v>
          </cell>
          <cell r="BO157">
            <v>0</v>
          </cell>
          <cell r="BP157" t="b">
            <v>0</v>
          </cell>
          <cell r="BQ157">
            <v>0</v>
          </cell>
          <cell r="BR157">
            <v>59.7</v>
          </cell>
          <cell r="BS157">
            <v>849</v>
          </cell>
          <cell r="BT157">
            <v>50.7</v>
          </cell>
          <cell r="BU157" t="str">
            <v>C</v>
          </cell>
          <cell r="BV157" t="str">
            <v>06</v>
          </cell>
          <cell r="BW157">
            <v>60</v>
          </cell>
          <cell r="BX157" t="str">
            <v>19980101</v>
          </cell>
          <cell r="BZ157" t="str">
            <v>D</v>
          </cell>
          <cell r="CA157" t="str">
            <v>10</v>
          </cell>
          <cell r="CB157" t="str">
            <v>B</v>
          </cell>
          <cell r="CC157" t="str">
            <v>03</v>
          </cell>
          <cell r="CD157" t="str">
            <v>B</v>
          </cell>
          <cell r="CE157" t="str">
            <v>04</v>
          </cell>
        </row>
        <row r="158">
          <cell r="A158" t="str">
            <v>2447213</v>
          </cell>
          <cell r="B158" t="str">
            <v>32</v>
          </cell>
          <cell r="C158" t="str">
            <v>4을</v>
          </cell>
          <cell r="D158" t="str">
            <v>소병길　　</v>
          </cell>
          <cell r="E158" t="str">
            <v>C</v>
          </cell>
          <cell r="G158">
            <v>1</v>
          </cell>
          <cell r="H158" t="str">
            <v>KH**</v>
          </cell>
          <cell r="I158" t="str">
            <v>KHJI</v>
          </cell>
          <cell r="J158" t="str">
            <v>경기）이천지점　　　</v>
          </cell>
          <cell r="K158" t="str">
            <v>KHJT</v>
          </cell>
          <cell r="L158" t="str">
            <v>경기）장호원지점　　</v>
          </cell>
          <cell r="O158" t="str">
            <v>KHJTA</v>
          </cell>
          <cell r="R158" t="str">
            <v>2</v>
          </cell>
          <cell r="V158" t="str">
            <v>6</v>
          </cell>
          <cell r="W158" t="str">
            <v>3</v>
          </cell>
          <cell r="X158" t="str">
            <v>4</v>
          </cell>
          <cell r="Y158" t="str">
            <v>S</v>
          </cell>
          <cell r="Z158" t="str">
            <v>2163661</v>
          </cell>
          <cell r="AA158" t="str">
            <v>한흥수　　</v>
          </cell>
          <cell r="AB158" t="str">
            <v>28</v>
          </cell>
          <cell r="AC158" t="str">
            <v>44</v>
          </cell>
          <cell r="AD158">
            <v>99</v>
          </cell>
          <cell r="AE158">
            <v>60</v>
          </cell>
          <cell r="AF158">
            <v>60</v>
          </cell>
          <cell r="AG158" t="str">
            <v>2209609</v>
          </cell>
          <cell r="AH158" t="str">
            <v>김익래　　</v>
          </cell>
          <cell r="AI158" t="str">
            <v>20</v>
          </cell>
          <cell r="AJ158" t="str">
            <v>32</v>
          </cell>
          <cell r="AK158">
            <v>94</v>
          </cell>
          <cell r="AL158">
            <v>66.45</v>
          </cell>
          <cell r="AM158">
            <v>30</v>
          </cell>
          <cell r="AR158">
            <v>0</v>
          </cell>
          <cell r="AS158">
            <v>0</v>
          </cell>
          <cell r="AT158">
            <v>0</v>
          </cell>
          <cell r="AY158">
            <v>0</v>
          </cell>
          <cell r="AZ158">
            <v>0</v>
          </cell>
          <cell r="BA158">
            <v>0</v>
          </cell>
          <cell r="BF158">
            <v>0</v>
          </cell>
          <cell r="BG158">
            <v>0</v>
          </cell>
          <cell r="BH158">
            <v>0</v>
          </cell>
          <cell r="BM158">
            <v>0</v>
          </cell>
          <cell r="BN158">
            <v>0</v>
          </cell>
          <cell r="BO158">
            <v>0</v>
          </cell>
          <cell r="BP158" t="b">
            <v>0</v>
          </cell>
          <cell r="BQ158">
            <v>0</v>
          </cell>
          <cell r="BR158">
            <v>62.15</v>
          </cell>
          <cell r="BS158">
            <v>265</v>
          </cell>
          <cell r="BT158">
            <v>38</v>
          </cell>
          <cell r="BU158" t="str">
            <v>C</v>
          </cell>
          <cell r="BV158" t="str">
            <v>05</v>
          </cell>
          <cell r="BW158">
            <v>64</v>
          </cell>
          <cell r="BX158" t="str">
            <v>19921221</v>
          </cell>
          <cell r="BZ158" t="str">
            <v>B</v>
          </cell>
          <cell r="CA158" t="str">
            <v>03</v>
          </cell>
          <cell r="CB158" t="str">
            <v>C</v>
          </cell>
          <cell r="CC158" t="str">
            <v>05</v>
          </cell>
          <cell r="CD158" t="str">
            <v>C</v>
          </cell>
          <cell r="CE158" t="str">
            <v>06</v>
          </cell>
        </row>
        <row r="159">
          <cell r="A159" t="str">
            <v>2084468</v>
          </cell>
          <cell r="B159" t="str">
            <v>28</v>
          </cell>
          <cell r="C159" t="str">
            <v>대리</v>
          </cell>
          <cell r="D159" t="str">
            <v>이재형　　</v>
          </cell>
          <cell r="E159" t="str">
            <v>C</v>
          </cell>
          <cell r="G159">
            <v>1</v>
          </cell>
          <cell r="H159" t="str">
            <v>KH**</v>
          </cell>
          <cell r="I159" t="str">
            <v>KHTG</v>
          </cell>
          <cell r="J159" t="str">
            <v>경북）영덕지점　　　</v>
          </cell>
          <cell r="K159" t="str">
            <v>KHTJ</v>
          </cell>
          <cell r="L159" t="str">
            <v>경북）경주지점　　　</v>
          </cell>
          <cell r="O159" t="str">
            <v>KHTJA</v>
          </cell>
          <cell r="R159" t="str">
            <v>2</v>
          </cell>
          <cell r="T159" t="str">
            <v>50</v>
          </cell>
          <cell r="U159" t="str">
            <v>과장</v>
          </cell>
          <cell r="V159" t="str">
            <v>4</v>
          </cell>
          <cell r="W159" t="str">
            <v>3</v>
          </cell>
          <cell r="X159" t="str">
            <v>2</v>
          </cell>
          <cell r="Y159" t="str">
            <v>O</v>
          </cell>
          <cell r="Z159" t="str">
            <v>2103304</v>
          </cell>
          <cell r="AA159" t="str">
            <v>유쌍재　　</v>
          </cell>
          <cell r="AB159" t="str">
            <v>26</v>
          </cell>
          <cell r="AC159" t="str">
            <v>44</v>
          </cell>
          <cell r="AD159">
            <v>77</v>
          </cell>
          <cell r="AE159">
            <v>64.709999999999994</v>
          </cell>
          <cell r="AF159">
            <v>50</v>
          </cell>
          <cell r="AG159" t="str">
            <v>2061393</v>
          </cell>
          <cell r="AH159" t="str">
            <v>이광우　　</v>
          </cell>
          <cell r="AI159" t="str">
            <v>22</v>
          </cell>
          <cell r="AJ159" t="str">
            <v>32</v>
          </cell>
          <cell r="AK159">
            <v>78</v>
          </cell>
          <cell r="AL159">
            <v>57.04</v>
          </cell>
          <cell r="AM159">
            <v>30</v>
          </cell>
          <cell r="AN159" t="str">
            <v>2059744</v>
          </cell>
          <cell r="AO159" t="str">
            <v>김도영　　</v>
          </cell>
          <cell r="AP159" t="str">
            <v>02</v>
          </cell>
          <cell r="AQ159" t="str">
            <v>20</v>
          </cell>
          <cell r="AR159">
            <v>93</v>
          </cell>
          <cell r="AS159">
            <v>68.14</v>
          </cell>
          <cell r="AT159">
            <v>10</v>
          </cell>
          <cell r="AY159">
            <v>0</v>
          </cell>
          <cell r="AZ159">
            <v>0</v>
          </cell>
          <cell r="BA159">
            <v>0</v>
          </cell>
          <cell r="BF159">
            <v>0</v>
          </cell>
          <cell r="BG159">
            <v>0</v>
          </cell>
          <cell r="BH159">
            <v>0</v>
          </cell>
          <cell r="BM159">
            <v>0</v>
          </cell>
          <cell r="BN159">
            <v>0</v>
          </cell>
          <cell r="BO159">
            <v>0</v>
          </cell>
          <cell r="BP159" t="b">
            <v>0</v>
          </cell>
          <cell r="BQ159">
            <v>0</v>
          </cell>
          <cell r="BR159">
            <v>62.53</v>
          </cell>
          <cell r="BS159">
            <v>592</v>
          </cell>
          <cell r="BT159">
            <v>35.4</v>
          </cell>
          <cell r="BU159" t="str">
            <v>C</v>
          </cell>
          <cell r="BV159" t="str">
            <v>05</v>
          </cell>
          <cell r="BW159">
            <v>64</v>
          </cell>
          <cell r="BX159" t="str">
            <v>19980101</v>
          </cell>
          <cell r="BZ159" t="str">
            <v>C</v>
          </cell>
          <cell r="CA159" t="str">
            <v>08</v>
          </cell>
          <cell r="CB159" t="str">
            <v>B</v>
          </cell>
          <cell r="CC159" t="str">
            <v>03</v>
          </cell>
          <cell r="CD159" t="str">
            <v>B</v>
          </cell>
          <cell r="CE159" t="str">
            <v>03</v>
          </cell>
        </row>
        <row r="160">
          <cell r="A160" t="str">
            <v>2658387</v>
          </cell>
          <cell r="B160" t="str">
            <v>33</v>
          </cell>
          <cell r="C160" t="str">
            <v>5급</v>
          </cell>
          <cell r="D160" t="str">
            <v>양진영　　</v>
          </cell>
          <cell r="E160" t="str">
            <v>C</v>
          </cell>
          <cell r="G160">
            <v>1</v>
          </cell>
          <cell r="H160" t="str">
            <v>KM**</v>
          </cell>
          <cell r="I160" t="str">
            <v>KMJN</v>
          </cell>
          <cell r="J160" t="str">
            <v>광주사업소　　　　　</v>
          </cell>
          <cell r="K160" t="str">
            <v>KMD*</v>
          </cell>
          <cell r="L160" t="str">
            <v>순천직매점</v>
          </cell>
          <cell r="O160" t="str">
            <v>KMDM</v>
          </cell>
          <cell r="R160" t="str">
            <v>2</v>
          </cell>
          <cell r="V160" t="str">
            <v>7</v>
          </cell>
          <cell r="W160" t="str">
            <v>4</v>
          </cell>
          <cell r="X160" t="str">
            <v>4</v>
          </cell>
          <cell r="Y160" t="str">
            <v>S</v>
          </cell>
          <cell r="Z160" t="str">
            <v>2342189</v>
          </cell>
          <cell r="AA160" t="str">
            <v>정인상　　</v>
          </cell>
          <cell r="AB160" t="str">
            <v>26</v>
          </cell>
          <cell r="AC160" t="str">
            <v>50</v>
          </cell>
          <cell r="AD160">
            <v>60</v>
          </cell>
          <cell r="AE160">
            <v>51.11</v>
          </cell>
          <cell r="AF160">
            <v>50</v>
          </cell>
          <cell r="AG160" t="str">
            <v>0043652</v>
          </cell>
          <cell r="AH160" t="str">
            <v>정남기　　</v>
          </cell>
          <cell r="AI160" t="str">
            <v>05</v>
          </cell>
          <cell r="AJ160" t="str">
            <v>32</v>
          </cell>
          <cell r="AK160">
            <v>40</v>
          </cell>
          <cell r="AL160">
            <v>53.41</v>
          </cell>
          <cell r="AM160">
            <v>40</v>
          </cell>
          <cell r="AR160">
            <v>0</v>
          </cell>
          <cell r="AS160">
            <v>0</v>
          </cell>
          <cell r="AT160">
            <v>0</v>
          </cell>
          <cell r="AY160">
            <v>0</v>
          </cell>
          <cell r="AZ160">
            <v>0</v>
          </cell>
          <cell r="BA160">
            <v>0</v>
          </cell>
          <cell r="BF160">
            <v>0</v>
          </cell>
          <cell r="BG160">
            <v>0</v>
          </cell>
          <cell r="BH160">
            <v>0</v>
          </cell>
          <cell r="BM160">
            <v>0</v>
          </cell>
          <cell r="BN160">
            <v>0</v>
          </cell>
          <cell r="BO160">
            <v>0</v>
          </cell>
          <cell r="BP160" t="b">
            <v>0</v>
          </cell>
          <cell r="BQ160">
            <v>0</v>
          </cell>
          <cell r="BR160">
            <v>52.13</v>
          </cell>
          <cell r="BS160">
            <v>653</v>
          </cell>
          <cell r="BT160">
            <v>95.3</v>
          </cell>
          <cell r="BU160" t="str">
            <v>E</v>
          </cell>
          <cell r="BV160" t="str">
            <v>11</v>
          </cell>
          <cell r="BW160">
            <v>40</v>
          </cell>
          <cell r="BX160" t="str">
            <v>19960115</v>
          </cell>
          <cell r="BZ160" t="str">
            <v>E</v>
          </cell>
          <cell r="CA160" t="str">
            <v>11</v>
          </cell>
          <cell r="CB160" t="str">
            <v>E</v>
          </cell>
          <cell r="CC160" t="str">
            <v>11</v>
          </cell>
          <cell r="CD160" t="str">
            <v>E</v>
          </cell>
          <cell r="CE160" t="str">
            <v>11</v>
          </cell>
        </row>
        <row r="161">
          <cell r="A161" t="str">
            <v>2706793</v>
          </cell>
          <cell r="B161" t="str">
            <v>33</v>
          </cell>
          <cell r="C161" t="str">
            <v>5급</v>
          </cell>
          <cell r="D161" t="str">
            <v>류외숙　　</v>
          </cell>
          <cell r="E161" t="str">
            <v>C</v>
          </cell>
          <cell r="G161">
            <v>1</v>
          </cell>
          <cell r="H161" t="str">
            <v>KM**</v>
          </cell>
          <cell r="I161" t="str">
            <v>KMD*</v>
          </cell>
          <cell r="J161" t="str">
            <v>부산직매점</v>
          </cell>
          <cell r="K161" t="str">
            <v>KMIE</v>
          </cell>
          <cell r="L161" t="str">
            <v>부산부품사업소　　　</v>
          </cell>
          <cell r="O161" t="str">
            <v>KMIEA</v>
          </cell>
          <cell r="R161" t="str">
            <v>2</v>
          </cell>
          <cell r="V161" t="str">
            <v>7</v>
          </cell>
          <cell r="W161" t="str">
            <v>4</v>
          </cell>
          <cell r="X161" t="str">
            <v>4</v>
          </cell>
          <cell r="Y161" t="str">
            <v>O</v>
          </cell>
          <cell r="Z161" t="str">
            <v>2532992</v>
          </cell>
          <cell r="AA161" t="str">
            <v>서승헌　　</v>
          </cell>
          <cell r="AB161" t="str">
            <v>28</v>
          </cell>
          <cell r="AC161" t="str">
            <v>50</v>
          </cell>
          <cell r="AD161">
            <v>80</v>
          </cell>
          <cell r="AE161">
            <v>54.78</v>
          </cell>
          <cell r="AF161">
            <v>40</v>
          </cell>
          <cell r="AG161" t="str">
            <v>2160169</v>
          </cell>
          <cell r="AH161" t="str">
            <v>신용범　　</v>
          </cell>
          <cell r="AI161" t="str">
            <v>26</v>
          </cell>
          <cell r="AJ161" t="str">
            <v>43</v>
          </cell>
          <cell r="AK161">
            <v>60</v>
          </cell>
          <cell r="AL161">
            <v>53.74</v>
          </cell>
          <cell r="AM161">
            <v>50</v>
          </cell>
          <cell r="AR161">
            <v>0</v>
          </cell>
          <cell r="AS161">
            <v>0</v>
          </cell>
          <cell r="AT161">
            <v>0</v>
          </cell>
          <cell r="AY161">
            <v>0</v>
          </cell>
          <cell r="AZ161">
            <v>0</v>
          </cell>
          <cell r="BA161">
            <v>0</v>
          </cell>
          <cell r="BF161">
            <v>0</v>
          </cell>
          <cell r="BG161">
            <v>0</v>
          </cell>
          <cell r="BH161">
            <v>0</v>
          </cell>
          <cell r="BM161">
            <v>0</v>
          </cell>
          <cell r="BN161">
            <v>0</v>
          </cell>
          <cell r="BO161">
            <v>0</v>
          </cell>
          <cell r="BP161" t="b">
            <v>0</v>
          </cell>
          <cell r="BQ161">
            <v>0</v>
          </cell>
          <cell r="BR161">
            <v>54.2</v>
          </cell>
          <cell r="BS161">
            <v>590</v>
          </cell>
          <cell r="BT161">
            <v>86.1</v>
          </cell>
          <cell r="BU161" t="str">
            <v>D</v>
          </cell>
          <cell r="BV161" t="str">
            <v>10</v>
          </cell>
          <cell r="BW161">
            <v>44</v>
          </cell>
          <cell r="BX161" t="str">
            <v>19970418</v>
          </cell>
          <cell r="BZ161" t="str">
            <v>E</v>
          </cell>
          <cell r="CA161" t="str">
            <v>10</v>
          </cell>
          <cell r="CB161" t="str">
            <v>D</v>
          </cell>
          <cell r="CC161" t="str">
            <v>10</v>
          </cell>
        </row>
        <row r="162">
          <cell r="A162" t="str">
            <v>2684834</v>
          </cell>
          <cell r="B162" t="str">
            <v>33</v>
          </cell>
          <cell r="C162" t="str">
            <v>5급</v>
          </cell>
          <cell r="D162" t="str">
            <v>경명철　　</v>
          </cell>
          <cell r="E162" t="str">
            <v>C</v>
          </cell>
          <cell r="G162">
            <v>1</v>
          </cell>
          <cell r="H162" t="str">
            <v>KH**</v>
          </cell>
          <cell r="I162" t="str">
            <v>KHOM</v>
          </cell>
          <cell r="J162" t="str">
            <v>전북）김제지점　　　</v>
          </cell>
          <cell r="K162" t="str">
            <v>KHOD</v>
          </cell>
          <cell r="L162" t="str">
            <v>전북）익산지점　　　</v>
          </cell>
          <cell r="O162" t="str">
            <v>KHODA</v>
          </cell>
          <cell r="R162" t="str">
            <v>2</v>
          </cell>
          <cell r="V162" t="str">
            <v>7</v>
          </cell>
          <cell r="W162" t="str">
            <v>3</v>
          </cell>
          <cell r="X162" t="str">
            <v>4</v>
          </cell>
          <cell r="Y162" t="str">
            <v>S</v>
          </cell>
          <cell r="Z162" t="str">
            <v>2091996</v>
          </cell>
          <cell r="AA162" t="str">
            <v>박영수　　</v>
          </cell>
          <cell r="AB162" t="str">
            <v>28</v>
          </cell>
          <cell r="AC162" t="str">
            <v>50</v>
          </cell>
          <cell r="AD162">
            <v>81</v>
          </cell>
          <cell r="AE162">
            <v>59.63</v>
          </cell>
          <cell r="AF162">
            <v>10</v>
          </cell>
          <cell r="AG162" t="str">
            <v>2083256</v>
          </cell>
          <cell r="AH162" t="str">
            <v>김유신　　</v>
          </cell>
          <cell r="AI162" t="str">
            <v>26</v>
          </cell>
          <cell r="AJ162" t="str">
            <v>44</v>
          </cell>
          <cell r="AK162">
            <v>86</v>
          </cell>
          <cell r="AL162">
            <v>52.72</v>
          </cell>
          <cell r="AM162">
            <v>50</v>
          </cell>
          <cell r="AN162" t="str">
            <v>2718148</v>
          </cell>
          <cell r="AO162" t="str">
            <v>김춘원　　</v>
          </cell>
          <cell r="AP162" t="str">
            <v>05</v>
          </cell>
          <cell r="AQ162" t="str">
            <v>32</v>
          </cell>
          <cell r="AR162">
            <v>65</v>
          </cell>
          <cell r="AS162">
            <v>57.86</v>
          </cell>
          <cell r="AT162">
            <v>30</v>
          </cell>
          <cell r="AY162">
            <v>0</v>
          </cell>
          <cell r="AZ162">
            <v>0</v>
          </cell>
          <cell r="BA162">
            <v>0</v>
          </cell>
          <cell r="BF162">
            <v>0</v>
          </cell>
          <cell r="BG162">
            <v>0</v>
          </cell>
          <cell r="BH162">
            <v>0</v>
          </cell>
          <cell r="BM162">
            <v>0</v>
          </cell>
          <cell r="BN162">
            <v>0</v>
          </cell>
          <cell r="BO162">
            <v>0</v>
          </cell>
          <cell r="BP162" t="b">
            <v>0</v>
          </cell>
          <cell r="BQ162">
            <v>0</v>
          </cell>
          <cell r="BR162">
            <v>55.2</v>
          </cell>
          <cell r="BS162">
            <v>557</v>
          </cell>
          <cell r="BT162">
            <v>81.3</v>
          </cell>
          <cell r="BU162" t="str">
            <v>D</v>
          </cell>
          <cell r="BV162" t="str">
            <v>09</v>
          </cell>
          <cell r="BW162">
            <v>48</v>
          </cell>
          <cell r="BX162" t="str">
            <v>19961101</v>
          </cell>
          <cell r="BZ162" t="str">
            <v>D</v>
          </cell>
          <cell r="CA162" t="str">
            <v>08</v>
          </cell>
          <cell r="CB162" t="str">
            <v>E</v>
          </cell>
          <cell r="CC162" t="str">
            <v>10</v>
          </cell>
        </row>
        <row r="163">
          <cell r="A163" t="str">
            <v>2522045</v>
          </cell>
          <cell r="B163" t="str">
            <v>30</v>
          </cell>
          <cell r="C163" t="str">
            <v>4갑</v>
          </cell>
          <cell r="D163" t="str">
            <v>손남진　　</v>
          </cell>
          <cell r="E163" t="str">
            <v>C</v>
          </cell>
          <cell r="G163">
            <v>1</v>
          </cell>
          <cell r="H163" t="str">
            <v>KM**</v>
          </cell>
          <cell r="I163" t="str">
            <v>KMJS</v>
          </cell>
          <cell r="J163" t="str">
            <v>부산북부사업소　　　</v>
          </cell>
          <cell r="K163" t="str">
            <v>KMJR</v>
          </cell>
          <cell r="L163" t="str">
            <v>부산사업소　　　　　</v>
          </cell>
          <cell r="O163" t="str">
            <v>KMJRB</v>
          </cell>
          <cell r="R163" t="str">
            <v>2</v>
          </cell>
          <cell r="V163" t="str">
            <v>5</v>
          </cell>
          <cell r="W163" t="str">
            <v>4</v>
          </cell>
          <cell r="X163" t="str">
            <v>3</v>
          </cell>
          <cell r="Y163" t="str">
            <v>O</v>
          </cell>
          <cell r="Z163" t="str">
            <v>2083509</v>
          </cell>
          <cell r="AA163" t="str">
            <v>장재명　　</v>
          </cell>
          <cell r="AB163" t="str">
            <v>26</v>
          </cell>
          <cell r="AC163" t="str">
            <v>50</v>
          </cell>
          <cell r="AD163">
            <v>78</v>
          </cell>
          <cell r="AE163">
            <v>53.26</v>
          </cell>
          <cell r="AF163">
            <v>40</v>
          </cell>
          <cell r="AG163" t="str">
            <v>2026355</v>
          </cell>
          <cell r="AH163" t="str">
            <v>유원홍　　</v>
          </cell>
          <cell r="AI163" t="str">
            <v>24</v>
          </cell>
          <cell r="AJ163" t="str">
            <v>43</v>
          </cell>
          <cell r="AK163">
            <v>78</v>
          </cell>
          <cell r="AL163">
            <v>55.6</v>
          </cell>
          <cell r="AM163">
            <v>40</v>
          </cell>
          <cell r="AN163" t="str">
            <v>2001319</v>
          </cell>
          <cell r="AO163" t="str">
            <v>차정식　　</v>
          </cell>
          <cell r="AP163" t="str">
            <v>02</v>
          </cell>
          <cell r="AQ163" t="str">
            <v>20</v>
          </cell>
          <cell r="AR163">
            <v>63</v>
          </cell>
          <cell r="AS163">
            <v>57.28</v>
          </cell>
          <cell r="AT163">
            <v>10</v>
          </cell>
          <cell r="AY163">
            <v>0</v>
          </cell>
          <cell r="AZ163">
            <v>0</v>
          </cell>
          <cell r="BA163">
            <v>0</v>
          </cell>
          <cell r="BF163">
            <v>0</v>
          </cell>
          <cell r="BG163">
            <v>0</v>
          </cell>
          <cell r="BH163">
            <v>0</v>
          </cell>
          <cell r="BM163">
            <v>0</v>
          </cell>
          <cell r="BN163">
            <v>0</v>
          </cell>
          <cell r="BO163">
            <v>0</v>
          </cell>
          <cell r="BP163" t="b">
            <v>0</v>
          </cell>
          <cell r="BQ163">
            <v>0</v>
          </cell>
          <cell r="BR163">
            <v>54.75</v>
          </cell>
          <cell r="BS163">
            <v>1168</v>
          </cell>
          <cell r="BT163">
            <v>80.5</v>
          </cell>
          <cell r="BU163" t="str">
            <v>D</v>
          </cell>
          <cell r="BV163" t="str">
            <v>09</v>
          </cell>
          <cell r="BW163">
            <v>48</v>
          </cell>
          <cell r="BX163" t="str">
            <v>19940101</v>
          </cell>
          <cell r="BZ163" t="str">
            <v>C</v>
          </cell>
          <cell r="CA163" t="str">
            <v>07</v>
          </cell>
          <cell r="CB163" t="str">
            <v>D</v>
          </cell>
          <cell r="CC163" t="str">
            <v>10</v>
          </cell>
          <cell r="CD163" t="str">
            <v>D</v>
          </cell>
          <cell r="CE163" t="str">
            <v>10</v>
          </cell>
        </row>
        <row r="164">
          <cell r="A164" t="str">
            <v>2695021</v>
          </cell>
          <cell r="B164" t="str">
            <v>30</v>
          </cell>
          <cell r="C164" t="str">
            <v>4갑</v>
          </cell>
          <cell r="D164" t="str">
            <v>고난수　　</v>
          </cell>
          <cell r="E164" t="str">
            <v>C</v>
          </cell>
          <cell r="G164">
            <v>1</v>
          </cell>
          <cell r="H164" t="str">
            <v>KO**</v>
          </cell>
          <cell r="I164" t="str">
            <v>KOAA</v>
          </cell>
          <cell r="J164" t="str">
            <v>구매계획팀　　　　　</v>
          </cell>
          <cell r="K164" t="str">
            <v>KOCA</v>
          </cell>
          <cell r="L164" t="str">
            <v>업체협력１팀　　　　</v>
          </cell>
          <cell r="O164" t="str">
            <v>KOCA</v>
          </cell>
          <cell r="R164" t="str">
            <v>4</v>
          </cell>
          <cell r="V164" t="str">
            <v>5</v>
          </cell>
          <cell r="W164" t="str">
            <v>1</v>
          </cell>
          <cell r="X164" t="str">
            <v>3</v>
          </cell>
          <cell r="Y164" t="str">
            <v>O</v>
          </cell>
          <cell r="Z164" t="str">
            <v>2074963</v>
          </cell>
          <cell r="AA164" t="str">
            <v>최종수　　</v>
          </cell>
          <cell r="AB164" t="str">
            <v>24</v>
          </cell>
          <cell r="AC164" t="str">
            <v>43</v>
          </cell>
          <cell r="AD164">
            <v>63</v>
          </cell>
          <cell r="AE164">
            <v>49.47</v>
          </cell>
          <cell r="AF164">
            <v>30</v>
          </cell>
          <cell r="AG164" t="str">
            <v>7142382</v>
          </cell>
          <cell r="AH164" t="str">
            <v>오승국　　</v>
          </cell>
          <cell r="AI164" t="str">
            <v>22</v>
          </cell>
          <cell r="AJ164" t="str">
            <v>32</v>
          </cell>
          <cell r="AK164">
            <v>66</v>
          </cell>
          <cell r="AL164">
            <v>52.63</v>
          </cell>
          <cell r="AM164">
            <v>20</v>
          </cell>
          <cell r="AN164" t="str">
            <v>7043317</v>
          </cell>
          <cell r="AO164" t="str">
            <v>박승하　　</v>
          </cell>
          <cell r="AP164" t="str">
            <v>04</v>
          </cell>
          <cell r="AQ164" t="str">
            <v>30</v>
          </cell>
          <cell r="AR164">
            <v>75</v>
          </cell>
          <cell r="AS164">
            <v>60.14</v>
          </cell>
          <cell r="AT164">
            <v>20</v>
          </cell>
          <cell r="AU164" t="str">
            <v>2008268</v>
          </cell>
          <cell r="AV164" t="str">
            <v>이용도　　</v>
          </cell>
          <cell r="AW164" t="str">
            <v>02</v>
          </cell>
          <cell r="AX164" t="str">
            <v>20</v>
          </cell>
          <cell r="AY164">
            <v>64</v>
          </cell>
          <cell r="AZ164">
            <v>55.79</v>
          </cell>
          <cell r="BA164">
            <v>10</v>
          </cell>
          <cell r="BF164">
            <v>0</v>
          </cell>
          <cell r="BG164">
            <v>0</v>
          </cell>
          <cell r="BH164">
            <v>0</v>
          </cell>
          <cell r="BM164">
            <v>0</v>
          </cell>
          <cell r="BN164">
            <v>0</v>
          </cell>
          <cell r="BO164">
            <v>0</v>
          </cell>
          <cell r="BP164" t="b">
            <v>0</v>
          </cell>
          <cell r="BQ164">
            <v>0</v>
          </cell>
          <cell r="BR164">
            <v>53.72</v>
          </cell>
          <cell r="BS164">
            <v>1222</v>
          </cell>
          <cell r="BT164">
            <v>84.2</v>
          </cell>
          <cell r="BU164" t="str">
            <v>D</v>
          </cell>
          <cell r="BV164" t="str">
            <v>09</v>
          </cell>
          <cell r="BW164">
            <v>48</v>
          </cell>
          <cell r="BX164" t="str">
            <v>19970106</v>
          </cell>
          <cell r="BZ164" t="str">
            <v>D</v>
          </cell>
          <cell r="CA164" t="str">
            <v>09</v>
          </cell>
          <cell r="CB164" t="str">
            <v>D</v>
          </cell>
          <cell r="CC164" t="str">
            <v>09</v>
          </cell>
        </row>
        <row r="165">
          <cell r="A165" t="str">
            <v>2337418</v>
          </cell>
          <cell r="B165" t="str">
            <v>32</v>
          </cell>
          <cell r="C165" t="str">
            <v>4을</v>
          </cell>
          <cell r="D165" t="str">
            <v>김은희　　</v>
          </cell>
          <cell r="E165" t="str">
            <v>C</v>
          </cell>
          <cell r="G165">
            <v>1</v>
          </cell>
          <cell r="H165" t="str">
            <v>KH**</v>
          </cell>
          <cell r="I165" t="str">
            <v>KHEX</v>
          </cell>
          <cell r="J165" t="str">
            <v>동부）남양주지점　　</v>
          </cell>
          <cell r="K165" t="str">
            <v>KHEJ</v>
          </cell>
          <cell r="L165" t="str">
            <v>동부）구리지점　　　</v>
          </cell>
          <cell r="O165" t="str">
            <v>KHEJA</v>
          </cell>
          <cell r="R165" t="str">
            <v>2</v>
          </cell>
          <cell r="V165" t="str">
            <v>6</v>
          </cell>
          <cell r="W165" t="str">
            <v>3</v>
          </cell>
          <cell r="X165" t="str">
            <v>4</v>
          </cell>
          <cell r="Y165" t="str">
            <v>O</v>
          </cell>
          <cell r="Z165" t="str">
            <v>2291106</v>
          </cell>
          <cell r="AA165" t="str">
            <v>길창섭　　</v>
          </cell>
          <cell r="AB165" t="str">
            <v>28</v>
          </cell>
          <cell r="AC165" t="str">
            <v>50</v>
          </cell>
          <cell r="AD165">
            <v>91</v>
          </cell>
          <cell r="AE165">
            <v>64.709999999999994</v>
          </cell>
          <cell r="AF165">
            <v>10</v>
          </cell>
          <cell r="AG165" t="str">
            <v>2021844</v>
          </cell>
          <cell r="AH165" t="str">
            <v>권오봉　　</v>
          </cell>
          <cell r="AI165" t="str">
            <v>22</v>
          </cell>
          <cell r="AJ165" t="str">
            <v>44</v>
          </cell>
          <cell r="AK165">
            <v>65</v>
          </cell>
          <cell r="AL165">
            <v>55.29</v>
          </cell>
          <cell r="AM165">
            <v>50</v>
          </cell>
          <cell r="AN165" t="str">
            <v>2718162</v>
          </cell>
          <cell r="AO165" t="str">
            <v>박광인　　</v>
          </cell>
          <cell r="AP165" t="str">
            <v>03</v>
          </cell>
          <cell r="AQ165" t="str">
            <v>32</v>
          </cell>
          <cell r="AR165">
            <v>70</v>
          </cell>
          <cell r="AS165">
            <v>59.22</v>
          </cell>
          <cell r="AT165">
            <v>30</v>
          </cell>
          <cell r="AY165">
            <v>0</v>
          </cell>
          <cell r="AZ165">
            <v>0</v>
          </cell>
          <cell r="BA165">
            <v>0</v>
          </cell>
          <cell r="BF165">
            <v>0</v>
          </cell>
          <cell r="BG165">
            <v>0</v>
          </cell>
          <cell r="BH165">
            <v>0</v>
          </cell>
          <cell r="BM165">
            <v>0</v>
          </cell>
          <cell r="BN165">
            <v>0</v>
          </cell>
          <cell r="BO165">
            <v>0</v>
          </cell>
          <cell r="BP165" t="b">
            <v>0</v>
          </cell>
          <cell r="BQ165">
            <v>0</v>
          </cell>
          <cell r="BR165">
            <v>57.65</v>
          </cell>
          <cell r="BS165">
            <v>481</v>
          </cell>
          <cell r="BT165">
            <v>69</v>
          </cell>
          <cell r="BU165" t="str">
            <v>C</v>
          </cell>
          <cell r="BV165" t="str">
            <v>08</v>
          </cell>
          <cell r="BW165">
            <v>52</v>
          </cell>
          <cell r="BX165" t="str">
            <v>19960101</v>
          </cell>
          <cell r="BZ165" t="str">
            <v>C</v>
          </cell>
          <cell r="CA165" t="str">
            <v>07</v>
          </cell>
          <cell r="CB165" t="str">
            <v>D</v>
          </cell>
          <cell r="CC165" t="str">
            <v>08</v>
          </cell>
          <cell r="CD165" t="str">
            <v>D</v>
          </cell>
          <cell r="CE165" t="str">
            <v>09</v>
          </cell>
        </row>
        <row r="166">
          <cell r="A166" t="str">
            <v>2552098</v>
          </cell>
          <cell r="B166" t="str">
            <v>33</v>
          </cell>
          <cell r="C166" t="str">
            <v>5급</v>
          </cell>
          <cell r="D166" t="str">
            <v>이선희　　</v>
          </cell>
          <cell r="E166" t="str">
            <v>C</v>
          </cell>
          <cell r="G166">
            <v>1</v>
          </cell>
          <cell r="H166" t="str">
            <v>KH**</v>
          </cell>
          <cell r="I166" t="str">
            <v>KHID</v>
          </cell>
          <cell r="J166" t="str">
            <v>인천）인천연수지점　</v>
          </cell>
          <cell r="K166" t="str">
            <v>KHIL</v>
          </cell>
          <cell r="L166" t="str">
            <v>인천）간석지점　　　</v>
          </cell>
          <cell r="O166" t="str">
            <v>KHILA</v>
          </cell>
          <cell r="R166" t="str">
            <v>2</v>
          </cell>
          <cell r="V166" t="str">
            <v>7</v>
          </cell>
          <cell r="W166" t="str">
            <v>3</v>
          </cell>
          <cell r="X166" t="str">
            <v>4</v>
          </cell>
          <cell r="Y166" t="str">
            <v>S</v>
          </cell>
          <cell r="Z166" t="str">
            <v>2197912</v>
          </cell>
          <cell r="AA166" t="str">
            <v>한동희　　</v>
          </cell>
          <cell r="AB166" t="str">
            <v>26</v>
          </cell>
          <cell r="AC166" t="str">
            <v>44</v>
          </cell>
          <cell r="AD166">
            <v>97</v>
          </cell>
          <cell r="AE166">
            <v>56.21</v>
          </cell>
          <cell r="AF166">
            <v>60</v>
          </cell>
          <cell r="AG166" t="str">
            <v>2718155</v>
          </cell>
          <cell r="AH166" t="str">
            <v>김한수　　</v>
          </cell>
          <cell r="AI166" t="str">
            <v>05</v>
          </cell>
          <cell r="AJ166" t="str">
            <v>32</v>
          </cell>
          <cell r="AK166">
            <v>70</v>
          </cell>
          <cell r="AL166">
            <v>59.43</v>
          </cell>
          <cell r="AM166">
            <v>30</v>
          </cell>
          <cell r="AR166">
            <v>0</v>
          </cell>
          <cell r="AS166">
            <v>0</v>
          </cell>
          <cell r="AT166">
            <v>0</v>
          </cell>
          <cell r="AY166">
            <v>0</v>
          </cell>
          <cell r="AZ166">
            <v>0</v>
          </cell>
          <cell r="BA166">
            <v>0</v>
          </cell>
          <cell r="BF166">
            <v>0</v>
          </cell>
          <cell r="BG166">
            <v>0</v>
          </cell>
          <cell r="BH166">
            <v>0</v>
          </cell>
          <cell r="BM166">
            <v>0</v>
          </cell>
          <cell r="BN166">
            <v>0</v>
          </cell>
          <cell r="BO166">
            <v>0</v>
          </cell>
          <cell r="BP166" t="b">
            <v>0</v>
          </cell>
          <cell r="BQ166">
            <v>0</v>
          </cell>
          <cell r="BR166">
            <v>57.28</v>
          </cell>
          <cell r="BS166">
            <v>447</v>
          </cell>
          <cell r="BT166">
            <v>65.3</v>
          </cell>
          <cell r="BU166" t="str">
            <v>C</v>
          </cell>
          <cell r="BV166" t="str">
            <v>08</v>
          </cell>
          <cell r="BW166">
            <v>52</v>
          </cell>
          <cell r="BX166" t="str">
            <v>19940411</v>
          </cell>
          <cell r="BZ166" t="str">
            <v>D</v>
          </cell>
          <cell r="CA166" t="str">
            <v>08</v>
          </cell>
          <cell r="CB166" t="str">
            <v>D</v>
          </cell>
          <cell r="CC166" t="str">
            <v>08</v>
          </cell>
          <cell r="CD166" t="str">
            <v>D</v>
          </cell>
          <cell r="CE166" t="str">
            <v>08</v>
          </cell>
        </row>
        <row r="167">
          <cell r="A167" t="str">
            <v>2095786</v>
          </cell>
          <cell r="B167" t="str">
            <v>26</v>
          </cell>
          <cell r="C167" t="str">
            <v>과장</v>
          </cell>
          <cell r="D167" t="str">
            <v>이원태　　</v>
          </cell>
          <cell r="E167" t="str">
            <v>C</v>
          </cell>
          <cell r="G167">
            <v>1</v>
          </cell>
          <cell r="H167" t="str">
            <v>KH**</v>
          </cell>
          <cell r="I167" t="str">
            <v>KHDA</v>
          </cell>
          <cell r="J167" t="str">
            <v>소상판촉팀　　　　　</v>
          </cell>
          <cell r="K167" t="str">
            <v>KHGA</v>
          </cell>
          <cell r="L167" t="str">
            <v>남부）강동지점　　　</v>
          </cell>
          <cell r="O167" t="str">
            <v>KHGA</v>
          </cell>
          <cell r="R167" t="str">
            <v>2</v>
          </cell>
          <cell r="V167" t="str">
            <v>3</v>
          </cell>
          <cell r="W167" t="str">
            <v>3</v>
          </cell>
          <cell r="X167" t="str">
            <v>3</v>
          </cell>
          <cell r="Y167" t="str">
            <v>S</v>
          </cell>
          <cell r="Z167" t="str">
            <v>2022156</v>
          </cell>
          <cell r="AA167" t="str">
            <v>민병준　　</v>
          </cell>
          <cell r="AB167" t="str">
            <v>22</v>
          </cell>
          <cell r="AC167" t="str">
            <v>44</v>
          </cell>
          <cell r="AD167">
            <v>90</v>
          </cell>
          <cell r="AE167">
            <v>60</v>
          </cell>
          <cell r="AF167">
            <v>50</v>
          </cell>
          <cell r="AG167" t="str">
            <v>2013194</v>
          </cell>
          <cell r="AH167" t="str">
            <v>박종호　　</v>
          </cell>
          <cell r="AI167" t="str">
            <v>05</v>
          </cell>
          <cell r="AJ167" t="str">
            <v>32</v>
          </cell>
          <cell r="AK167">
            <v>65</v>
          </cell>
          <cell r="AL167">
            <v>54.54</v>
          </cell>
          <cell r="AM167">
            <v>30</v>
          </cell>
          <cell r="AN167" t="str">
            <v>2059744</v>
          </cell>
          <cell r="AO167" t="str">
            <v>김도영　　</v>
          </cell>
          <cell r="AP167" t="str">
            <v>02</v>
          </cell>
          <cell r="AQ167" t="str">
            <v>20</v>
          </cell>
          <cell r="AR167">
            <v>70</v>
          </cell>
          <cell r="AS167">
            <v>59.87</v>
          </cell>
          <cell r="AT167">
            <v>10</v>
          </cell>
          <cell r="AY167">
            <v>0</v>
          </cell>
          <cell r="AZ167">
            <v>0</v>
          </cell>
          <cell r="BA167">
            <v>0</v>
          </cell>
          <cell r="BF167">
            <v>0</v>
          </cell>
          <cell r="BG167">
            <v>0</v>
          </cell>
          <cell r="BH167">
            <v>0</v>
          </cell>
          <cell r="BM167">
            <v>0</v>
          </cell>
          <cell r="BN167">
            <v>0</v>
          </cell>
          <cell r="BO167">
            <v>0</v>
          </cell>
          <cell r="BP167" t="b">
            <v>0</v>
          </cell>
          <cell r="BQ167">
            <v>0</v>
          </cell>
          <cell r="BR167">
            <v>58.17</v>
          </cell>
          <cell r="BS167">
            <v>692</v>
          </cell>
          <cell r="BT167">
            <v>60.9</v>
          </cell>
          <cell r="BU167" t="str">
            <v>C</v>
          </cell>
          <cell r="BV167" t="str">
            <v>07</v>
          </cell>
          <cell r="BW167">
            <v>56</v>
          </cell>
          <cell r="BX167" t="str">
            <v>19940101</v>
          </cell>
          <cell r="BZ167" t="str">
            <v>C</v>
          </cell>
          <cell r="CA167" t="str">
            <v>07</v>
          </cell>
          <cell r="CB167" t="str">
            <v>C</v>
          </cell>
          <cell r="CC167" t="str">
            <v>08</v>
          </cell>
          <cell r="CD167" t="str">
            <v>C</v>
          </cell>
          <cell r="CE167" t="str">
            <v>06</v>
          </cell>
        </row>
        <row r="168">
          <cell r="A168" t="str">
            <v>2406729</v>
          </cell>
          <cell r="B168" t="str">
            <v>30</v>
          </cell>
          <cell r="C168" t="str">
            <v>4갑</v>
          </cell>
          <cell r="D168" t="str">
            <v>이두진　　</v>
          </cell>
          <cell r="E168" t="str">
            <v>C</v>
          </cell>
          <cell r="G168">
            <v>1</v>
          </cell>
          <cell r="H168" t="str">
            <v>KH**</v>
          </cell>
          <cell r="I168" t="str">
            <v>KHII</v>
          </cell>
          <cell r="J168" t="str">
            <v>인천）김포지점　　　</v>
          </cell>
          <cell r="K168" t="str">
            <v>KHIO</v>
          </cell>
          <cell r="L168" t="str">
            <v>인천）서인천지점　　</v>
          </cell>
          <cell r="O168" t="str">
            <v>KHIOA</v>
          </cell>
          <cell r="R168" t="str">
            <v>2</v>
          </cell>
          <cell r="V168" t="str">
            <v>5</v>
          </cell>
          <cell r="W168" t="str">
            <v>3</v>
          </cell>
          <cell r="X168" t="str">
            <v>3</v>
          </cell>
          <cell r="Y168" t="str">
            <v>O</v>
          </cell>
          <cell r="Z168" t="str">
            <v>2096171</v>
          </cell>
          <cell r="AA168" t="str">
            <v>정민재　　</v>
          </cell>
          <cell r="AB168" t="str">
            <v>28</v>
          </cell>
          <cell r="AC168" t="str">
            <v>44</v>
          </cell>
          <cell r="AD168">
            <v>92</v>
          </cell>
          <cell r="AE168">
            <v>60</v>
          </cell>
          <cell r="AF168">
            <v>50</v>
          </cell>
          <cell r="AG168" t="str">
            <v>2718155</v>
          </cell>
          <cell r="AH168" t="str">
            <v>김한수　　</v>
          </cell>
          <cell r="AI168" t="str">
            <v>05</v>
          </cell>
          <cell r="AJ168" t="str">
            <v>32</v>
          </cell>
          <cell r="AK168">
            <v>66</v>
          </cell>
          <cell r="AL168">
            <v>56.73</v>
          </cell>
          <cell r="AM168">
            <v>30</v>
          </cell>
          <cell r="AN168" t="str">
            <v>2059744</v>
          </cell>
          <cell r="AO168" t="str">
            <v>김도영　　</v>
          </cell>
          <cell r="AP168" t="str">
            <v>02</v>
          </cell>
          <cell r="AQ168" t="str">
            <v>20</v>
          </cell>
          <cell r="AR168">
            <v>63</v>
          </cell>
          <cell r="AS168">
            <v>57.4</v>
          </cell>
          <cell r="AT168">
            <v>10</v>
          </cell>
          <cell r="AY168">
            <v>0</v>
          </cell>
          <cell r="AZ168">
            <v>0</v>
          </cell>
          <cell r="BA168">
            <v>0</v>
          </cell>
          <cell r="BF168">
            <v>0</v>
          </cell>
          <cell r="BG168">
            <v>0</v>
          </cell>
          <cell r="BH168">
            <v>0</v>
          </cell>
          <cell r="BM168">
            <v>0</v>
          </cell>
          <cell r="BN168">
            <v>0</v>
          </cell>
          <cell r="BO168">
            <v>0</v>
          </cell>
          <cell r="BP168" t="b">
            <v>0</v>
          </cell>
          <cell r="BQ168">
            <v>0</v>
          </cell>
          <cell r="BR168">
            <v>58.62</v>
          </cell>
          <cell r="BS168">
            <v>837</v>
          </cell>
          <cell r="BT168">
            <v>57.7</v>
          </cell>
          <cell r="BU168" t="str">
            <v>C</v>
          </cell>
          <cell r="BV168" t="str">
            <v>07</v>
          </cell>
          <cell r="BW168">
            <v>56</v>
          </cell>
          <cell r="BX168" t="str">
            <v>19960101</v>
          </cell>
          <cell r="BZ168" t="str">
            <v>D</v>
          </cell>
          <cell r="CA168" t="str">
            <v>08</v>
          </cell>
          <cell r="CB168" t="str">
            <v>C</v>
          </cell>
          <cell r="CC168" t="str">
            <v>08</v>
          </cell>
          <cell r="CD168" t="str">
            <v>C</v>
          </cell>
          <cell r="CE168" t="str">
            <v>05</v>
          </cell>
        </row>
        <row r="169">
          <cell r="A169" t="str">
            <v>2132026</v>
          </cell>
          <cell r="B169" t="str">
            <v>26</v>
          </cell>
          <cell r="C169" t="str">
            <v>과장</v>
          </cell>
          <cell r="D169" t="str">
            <v>김영환　　</v>
          </cell>
          <cell r="E169" t="str">
            <v>C</v>
          </cell>
          <cell r="G169">
            <v>1</v>
          </cell>
          <cell r="H169" t="str">
            <v>KM**</v>
          </cell>
          <cell r="I169" t="str">
            <v>KMJS</v>
          </cell>
          <cell r="J169" t="str">
            <v>부산북부사업소　　　</v>
          </cell>
          <cell r="K169" t="str">
            <v>KMJM</v>
          </cell>
          <cell r="L169" t="str">
            <v>청주사업소　　　　　</v>
          </cell>
          <cell r="O169" t="str">
            <v>KMJMB</v>
          </cell>
          <cell r="R169" t="str">
            <v>2</v>
          </cell>
          <cell r="T169" t="str">
            <v>50</v>
          </cell>
          <cell r="U169" t="str">
            <v>과장</v>
          </cell>
          <cell r="V169" t="str">
            <v>3</v>
          </cell>
          <cell r="W169" t="str">
            <v>4</v>
          </cell>
          <cell r="X169" t="str">
            <v>2</v>
          </cell>
          <cell r="Y169" t="str">
            <v>O</v>
          </cell>
          <cell r="Z169" t="str">
            <v>2008252</v>
          </cell>
          <cell r="AA169" t="str">
            <v>이용국　　</v>
          </cell>
          <cell r="AB169" t="str">
            <v>24</v>
          </cell>
          <cell r="AC169" t="str">
            <v>43</v>
          </cell>
          <cell r="AD169">
            <v>75</v>
          </cell>
          <cell r="AE169">
            <v>64.72</v>
          </cell>
          <cell r="AF169">
            <v>60</v>
          </cell>
          <cell r="AG169" t="str">
            <v>2001319</v>
          </cell>
          <cell r="AH169" t="str">
            <v>차정식　　</v>
          </cell>
          <cell r="AI169" t="str">
            <v>02</v>
          </cell>
          <cell r="AJ169" t="str">
            <v>20</v>
          </cell>
          <cell r="AK169">
            <v>40</v>
          </cell>
          <cell r="AL169">
            <v>48.7</v>
          </cell>
          <cell r="AM169">
            <v>20</v>
          </cell>
          <cell r="AR169">
            <v>0</v>
          </cell>
          <cell r="AS169">
            <v>0</v>
          </cell>
          <cell r="AT169">
            <v>0</v>
          </cell>
          <cell r="AY169">
            <v>0</v>
          </cell>
          <cell r="AZ169">
            <v>0</v>
          </cell>
          <cell r="BA169">
            <v>0</v>
          </cell>
          <cell r="BF169">
            <v>0</v>
          </cell>
          <cell r="BG169">
            <v>0</v>
          </cell>
          <cell r="BH169">
            <v>0</v>
          </cell>
          <cell r="BM169">
            <v>0</v>
          </cell>
          <cell r="BN169">
            <v>0</v>
          </cell>
          <cell r="BO169">
            <v>0</v>
          </cell>
          <cell r="BP169" t="b">
            <v>1</v>
          </cell>
          <cell r="BQ169">
            <v>5</v>
          </cell>
          <cell r="BR169">
            <v>58.13</v>
          </cell>
          <cell r="BS169">
            <v>698</v>
          </cell>
          <cell r="BT169">
            <v>61.4</v>
          </cell>
          <cell r="BU169" t="str">
            <v>C</v>
          </cell>
          <cell r="BV169" t="str">
            <v>07</v>
          </cell>
          <cell r="BW169">
            <v>56</v>
          </cell>
          <cell r="BX169" t="str">
            <v>19960101</v>
          </cell>
          <cell r="BZ169" t="str">
            <v>D</v>
          </cell>
          <cell r="CA169" t="str">
            <v>09</v>
          </cell>
          <cell r="CB169" t="str">
            <v>C</v>
          </cell>
          <cell r="CC169" t="str">
            <v>06</v>
          </cell>
          <cell r="CD169" t="str">
            <v>C</v>
          </cell>
          <cell r="CE169" t="str">
            <v>06</v>
          </cell>
        </row>
        <row r="170">
          <cell r="A170" t="str">
            <v>2290207</v>
          </cell>
          <cell r="B170" t="str">
            <v>28</v>
          </cell>
          <cell r="C170" t="str">
            <v>대리</v>
          </cell>
          <cell r="D170" t="str">
            <v>김재환　　</v>
          </cell>
          <cell r="E170" t="str">
            <v>C</v>
          </cell>
          <cell r="G170">
            <v>1</v>
          </cell>
          <cell r="H170" t="str">
            <v>KH**</v>
          </cell>
          <cell r="I170" t="str">
            <v>KHHP</v>
          </cell>
          <cell r="J170" t="str">
            <v>북부）서교지점　　　</v>
          </cell>
          <cell r="K170" t="str">
            <v>KHEA</v>
          </cell>
          <cell r="L170" t="str">
            <v>동부）동대문지점　　</v>
          </cell>
          <cell r="O170" t="str">
            <v>KHEAA</v>
          </cell>
          <cell r="R170" t="str">
            <v>2</v>
          </cell>
          <cell r="T170" t="str">
            <v>50</v>
          </cell>
          <cell r="U170" t="str">
            <v>과장</v>
          </cell>
          <cell r="V170" t="str">
            <v>4</v>
          </cell>
          <cell r="W170" t="str">
            <v>3</v>
          </cell>
          <cell r="X170" t="str">
            <v>2</v>
          </cell>
          <cell r="Y170" t="str">
            <v>S</v>
          </cell>
          <cell r="Z170" t="str">
            <v>2078694</v>
          </cell>
          <cell r="AA170" t="str">
            <v>이호열　　</v>
          </cell>
          <cell r="AB170" t="str">
            <v>22</v>
          </cell>
          <cell r="AC170" t="str">
            <v>44</v>
          </cell>
          <cell r="AD170">
            <v>97</v>
          </cell>
          <cell r="AE170">
            <v>60</v>
          </cell>
          <cell r="AF170">
            <v>50</v>
          </cell>
          <cell r="AG170" t="str">
            <v>2718162</v>
          </cell>
          <cell r="AH170" t="str">
            <v>박광인　　</v>
          </cell>
          <cell r="AI170" t="str">
            <v>03</v>
          </cell>
          <cell r="AJ170" t="str">
            <v>32</v>
          </cell>
          <cell r="AK170">
            <v>69</v>
          </cell>
          <cell r="AL170">
            <v>58.4</v>
          </cell>
          <cell r="AM170">
            <v>30</v>
          </cell>
          <cell r="AN170" t="str">
            <v>2059744</v>
          </cell>
          <cell r="AO170" t="str">
            <v>김도영　　</v>
          </cell>
          <cell r="AP170" t="str">
            <v>02</v>
          </cell>
          <cell r="AQ170" t="str">
            <v>20</v>
          </cell>
          <cell r="AR170">
            <v>77</v>
          </cell>
          <cell r="AS170">
            <v>62.4</v>
          </cell>
          <cell r="AT170">
            <v>10</v>
          </cell>
          <cell r="AY170">
            <v>0</v>
          </cell>
          <cell r="AZ170">
            <v>0</v>
          </cell>
          <cell r="BA170">
            <v>0</v>
          </cell>
          <cell r="BF170">
            <v>0</v>
          </cell>
          <cell r="BG170">
            <v>0</v>
          </cell>
          <cell r="BH170">
            <v>0</v>
          </cell>
          <cell r="BM170">
            <v>0</v>
          </cell>
          <cell r="BN170">
            <v>0</v>
          </cell>
          <cell r="BO170">
            <v>0</v>
          </cell>
          <cell r="BP170" t="b">
            <v>0</v>
          </cell>
          <cell r="BQ170">
            <v>0</v>
          </cell>
          <cell r="BR170">
            <v>59.73</v>
          </cell>
          <cell r="BS170">
            <v>847</v>
          </cell>
          <cell r="BT170">
            <v>50.6</v>
          </cell>
          <cell r="BU170" t="str">
            <v>C</v>
          </cell>
          <cell r="BV170" t="str">
            <v>06</v>
          </cell>
          <cell r="BW170">
            <v>60</v>
          </cell>
          <cell r="BX170" t="str">
            <v>19940101</v>
          </cell>
          <cell r="BZ170" t="str">
            <v>C</v>
          </cell>
          <cell r="CA170" t="str">
            <v>07</v>
          </cell>
          <cell r="CB170" t="str">
            <v>B</v>
          </cell>
          <cell r="CC170" t="str">
            <v>04</v>
          </cell>
          <cell r="CD170" t="str">
            <v>C</v>
          </cell>
          <cell r="CE170" t="str">
            <v>07</v>
          </cell>
        </row>
        <row r="171">
          <cell r="A171" t="str">
            <v>2558088</v>
          </cell>
          <cell r="B171" t="str">
            <v>32</v>
          </cell>
          <cell r="C171" t="str">
            <v>4을</v>
          </cell>
          <cell r="D171" t="str">
            <v>유태영　　</v>
          </cell>
          <cell r="E171" t="str">
            <v>C</v>
          </cell>
          <cell r="G171">
            <v>1</v>
          </cell>
          <cell r="H171" t="str">
            <v>KH**</v>
          </cell>
          <cell r="I171" t="str">
            <v>KHIQ</v>
          </cell>
          <cell r="J171" t="str">
            <v>인천）중동지점　　　</v>
          </cell>
          <cell r="K171" t="str">
            <v>KHIG</v>
          </cell>
          <cell r="L171" t="str">
            <v>인천）부천지점　　　</v>
          </cell>
          <cell r="O171" t="str">
            <v>KHIGA</v>
          </cell>
          <cell r="R171" t="str">
            <v>2</v>
          </cell>
          <cell r="V171" t="str">
            <v>6</v>
          </cell>
          <cell r="W171" t="str">
            <v>3</v>
          </cell>
          <cell r="X171" t="str">
            <v>4</v>
          </cell>
          <cell r="Y171" t="str">
            <v>O</v>
          </cell>
          <cell r="Z171" t="str">
            <v>8988054</v>
          </cell>
          <cell r="AA171" t="str">
            <v>권오빈　　</v>
          </cell>
          <cell r="AB171" t="str">
            <v>28</v>
          </cell>
          <cell r="AC171" t="str">
            <v>50</v>
          </cell>
          <cell r="AD171">
            <v>75</v>
          </cell>
          <cell r="AE171">
            <v>55.29</v>
          </cell>
          <cell r="AF171">
            <v>10</v>
          </cell>
          <cell r="AG171" t="str">
            <v>2036559</v>
          </cell>
          <cell r="AH171" t="str">
            <v>곽형욱　　</v>
          </cell>
          <cell r="AI171" t="str">
            <v>22</v>
          </cell>
          <cell r="AJ171" t="str">
            <v>44</v>
          </cell>
          <cell r="AK171">
            <v>66</v>
          </cell>
          <cell r="AL171">
            <v>55.29</v>
          </cell>
          <cell r="AM171">
            <v>50</v>
          </cell>
          <cell r="AN171" t="str">
            <v>2718155</v>
          </cell>
          <cell r="AO171" t="str">
            <v>김한수　　</v>
          </cell>
          <cell r="AP171" t="str">
            <v>05</v>
          </cell>
          <cell r="AQ171" t="str">
            <v>32</v>
          </cell>
          <cell r="AR171">
            <v>91</v>
          </cell>
          <cell r="AS171">
            <v>68.91</v>
          </cell>
          <cell r="AT171">
            <v>30</v>
          </cell>
          <cell r="AY171">
            <v>0</v>
          </cell>
          <cell r="AZ171">
            <v>0</v>
          </cell>
          <cell r="BA171">
            <v>0</v>
          </cell>
          <cell r="BF171">
            <v>0</v>
          </cell>
          <cell r="BG171">
            <v>0</v>
          </cell>
          <cell r="BH171">
            <v>0</v>
          </cell>
          <cell r="BM171">
            <v>0</v>
          </cell>
          <cell r="BN171">
            <v>0</v>
          </cell>
          <cell r="BO171">
            <v>0</v>
          </cell>
          <cell r="BP171" t="b">
            <v>0</v>
          </cell>
          <cell r="BQ171">
            <v>0</v>
          </cell>
          <cell r="BR171">
            <v>59.83</v>
          </cell>
          <cell r="BS171">
            <v>372</v>
          </cell>
          <cell r="BT171">
            <v>53.4</v>
          </cell>
          <cell r="BU171" t="str">
            <v>C</v>
          </cell>
          <cell r="BV171" t="str">
            <v>06</v>
          </cell>
          <cell r="BW171">
            <v>60</v>
          </cell>
          <cell r="BX171" t="str">
            <v>19970101</v>
          </cell>
          <cell r="BZ171" t="str">
            <v>D</v>
          </cell>
          <cell r="CA171" t="str">
            <v>10</v>
          </cell>
          <cell r="CB171" t="str">
            <v>C</v>
          </cell>
          <cell r="CC171" t="str">
            <v>05</v>
          </cell>
          <cell r="CD171" t="str">
            <v>B</v>
          </cell>
          <cell r="CE171" t="str">
            <v>03</v>
          </cell>
        </row>
        <row r="172">
          <cell r="A172" t="str">
            <v>2054639</v>
          </cell>
          <cell r="B172" t="str">
            <v>28</v>
          </cell>
          <cell r="C172" t="str">
            <v>대리</v>
          </cell>
          <cell r="D172" t="str">
            <v>김요득　　</v>
          </cell>
          <cell r="E172" t="str">
            <v>C</v>
          </cell>
          <cell r="G172">
            <v>1</v>
          </cell>
          <cell r="H172" t="str">
            <v>KH**</v>
          </cell>
          <cell r="I172" t="str">
            <v>KHEG</v>
          </cell>
          <cell r="J172" t="str">
            <v>동부）상계지점　　　</v>
          </cell>
          <cell r="K172" t="str">
            <v>KHEJ</v>
          </cell>
          <cell r="L172" t="str">
            <v>동부）구리지점　　　</v>
          </cell>
          <cell r="O172" t="str">
            <v>KHEJA</v>
          </cell>
          <cell r="R172" t="str">
            <v>2</v>
          </cell>
          <cell r="V172" t="str">
            <v>4</v>
          </cell>
          <cell r="W172" t="str">
            <v>3</v>
          </cell>
          <cell r="X172" t="str">
            <v>3</v>
          </cell>
          <cell r="Y172" t="str">
            <v>O</v>
          </cell>
          <cell r="Z172" t="str">
            <v>2291106</v>
          </cell>
          <cell r="AA172" t="str">
            <v>길창섭　　</v>
          </cell>
          <cell r="AB172" t="str">
            <v>28</v>
          </cell>
          <cell r="AC172" t="str">
            <v>50</v>
          </cell>
          <cell r="AD172">
            <v>86</v>
          </cell>
          <cell r="AE172">
            <v>64.72</v>
          </cell>
          <cell r="AF172">
            <v>10</v>
          </cell>
          <cell r="AG172" t="str">
            <v>2021844</v>
          </cell>
          <cell r="AH172" t="str">
            <v>권오봉　　</v>
          </cell>
          <cell r="AI172" t="str">
            <v>22</v>
          </cell>
          <cell r="AJ172" t="str">
            <v>44</v>
          </cell>
          <cell r="AK172">
            <v>80</v>
          </cell>
          <cell r="AL172">
            <v>60</v>
          </cell>
          <cell r="AM172">
            <v>40</v>
          </cell>
          <cell r="AN172" t="str">
            <v>2718162</v>
          </cell>
          <cell r="AO172" t="str">
            <v>박광인　　</v>
          </cell>
          <cell r="AP172" t="str">
            <v>03</v>
          </cell>
          <cell r="AQ172" t="str">
            <v>32</v>
          </cell>
          <cell r="AR172">
            <v>75</v>
          </cell>
          <cell r="AS172">
            <v>60.62</v>
          </cell>
          <cell r="AT172">
            <v>30</v>
          </cell>
          <cell r="AU172" t="str">
            <v>2059744</v>
          </cell>
          <cell r="AV172" t="str">
            <v>김도영　　</v>
          </cell>
          <cell r="AW172" t="str">
            <v>02</v>
          </cell>
          <cell r="AX172" t="str">
            <v>20</v>
          </cell>
          <cell r="AY172">
            <v>70</v>
          </cell>
          <cell r="AZ172">
            <v>59.89</v>
          </cell>
          <cell r="BA172">
            <v>10</v>
          </cell>
          <cell r="BF172">
            <v>0</v>
          </cell>
          <cell r="BG172">
            <v>0</v>
          </cell>
          <cell r="BH172">
            <v>0</v>
          </cell>
          <cell r="BM172">
            <v>0</v>
          </cell>
          <cell r="BN172">
            <v>0</v>
          </cell>
          <cell r="BO172">
            <v>0</v>
          </cell>
          <cell r="BP172" t="b">
            <v>0</v>
          </cell>
          <cell r="BQ172">
            <v>0</v>
          </cell>
          <cell r="BR172">
            <v>60.72</v>
          </cell>
          <cell r="BS172">
            <v>745</v>
          </cell>
          <cell r="BT172">
            <v>44.5</v>
          </cell>
          <cell r="BU172" t="str">
            <v>C</v>
          </cell>
          <cell r="BV172" t="str">
            <v>05</v>
          </cell>
          <cell r="BW172">
            <v>64</v>
          </cell>
          <cell r="BX172" t="str">
            <v>19980101</v>
          </cell>
          <cell r="BZ172" t="str">
            <v>C</v>
          </cell>
          <cell r="CA172" t="str">
            <v>07</v>
          </cell>
          <cell r="CB172" t="str">
            <v>A</v>
          </cell>
          <cell r="CC172" t="str">
            <v>01</v>
          </cell>
          <cell r="CD172" t="str">
            <v>C</v>
          </cell>
          <cell r="CE172" t="str">
            <v>07</v>
          </cell>
        </row>
        <row r="173">
          <cell r="A173" t="str">
            <v>2340628</v>
          </cell>
          <cell r="B173" t="str">
            <v>26</v>
          </cell>
          <cell r="C173" t="str">
            <v>과장</v>
          </cell>
          <cell r="D173" t="str">
            <v>김춘성　　</v>
          </cell>
          <cell r="E173" t="str">
            <v>C</v>
          </cell>
          <cell r="G173">
            <v>1</v>
          </cell>
          <cell r="H173" t="str">
            <v>KK**</v>
          </cell>
          <cell r="I173" t="str">
            <v>KJAB</v>
          </cell>
          <cell r="J173" t="str">
            <v>특수수출팀　　　　　</v>
          </cell>
          <cell r="K173" t="str">
            <v>KLCE</v>
          </cell>
          <cell r="L173" t="str">
            <v>상용특장수출팀　　　</v>
          </cell>
          <cell r="O173" t="str">
            <v>KLCE</v>
          </cell>
          <cell r="R173" t="str">
            <v>1</v>
          </cell>
          <cell r="V173" t="str">
            <v>3</v>
          </cell>
          <cell r="W173" t="str">
            <v>1</v>
          </cell>
          <cell r="X173" t="str">
            <v>3</v>
          </cell>
          <cell r="Y173" t="str">
            <v>O</v>
          </cell>
          <cell r="Z173" t="str">
            <v>2013104</v>
          </cell>
          <cell r="AA173" t="str">
            <v>김남중　　</v>
          </cell>
          <cell r="AB173" t="str">
            <v>20</v>
          </cell>
          <cell r="AC173" t="str">
            <v>43</v>
          </cell>
          <cell r="AD173">
            <v>77</v>
          </cell>
          <cell r="AE173">
            <v>61.81</v>
          </cell>
          <cell r="AF173">
            <v>40</v>
          </cell>
          <cell r="AG173" t="str">
            <v>2002024</v>
          </cell>
          <cell r="AH173" t="str">
            <v>이덕규　　</v>
          </cell>
          <cell r="AI173" t="str">
            <v>04</v>
          </cell>
          <cell r="AJ173" t="str">
            <v>30</v>
          </cell>
          <cell r="AK173">
            <v>75</v>
          </cell>
          <cell r="AL173">
            <v>61.4</v>
          </cell>
          <cell r="AM173">
            <v>30</v>
          </cell>
          <cell r="AN173" t="str">
            <v>2005295</v>
          </cell>
          <cell r="AO173" t="str">
            <v>박성도　　</v>
          </cell>
          <cell r="AP173" t="str">
            <v>02</v>
          </cell>
          <cell r="AQ173" t="str">
            <v>20</v>
          </cell>
          <cell r="AR173">
            <v>70</v>
          </cell>
          <cell r="AS173">
            <v>59.26</v>
          </cell>
          <cell r="AT173">
            <v>10</v>
          </cell>
          <cell r="AY173">
            <v>0</v>
          </cell>
          <cell r="AZ173">
            <v>0</v>
          </cell>
          <cell r="BA173">
            <v>0</v>
          </cell>
          <cell r="BF173">
            <v>0</v>
          </cell>
          <cell r="BG173">
            <v>0</v>
          </cell>
          <cell r="BH173">
            <v>0</v>
          </cell>
          <cell r="BM173">
            <v>0</v>
          </cell>
          <cell r="BN173">
            <v>0</v>
          </cell>
          <cell r="BO173">
            <v>0</v>
          </cell>
          <cell r="BP173" t="b">
            <v>0</v>
          </cell>
          <cell r="BQ173">
            <v>0</v>
          </cell>
          <cell r="BR173">
            <v>61.34</v>
          </cell>
          <cell r="BS173">
            <v>444</v>
          </cell>
          <cell r="BT173">
            <v>39.1</v>
          </cell>
          <cell r="BU173" t="str">
            <v>C</v>
          </cell>
          <cell r="BV173" t="str">
            <v>05</v>
          </cell>
          <cell r="BW173">
            <v>64</v>
          </cell>
          <cell r="BX173" t="str">
            <v>19980101</v>
          </cell>
          <cell r="BZ173" t="str">
            <v>D</v>
          </cell>
          <cell r="CA173" t="str">
            <v>09</v>
          </cell>
          <cell r="CB173" t="str">
            <v>B</v>
          </cell>
          <cell r="CC173" t="str">
            <v>02</v>
          </cell>
          <cell r="CD173" t="str">
            <v>B</v>
          </cell>
          <cell r="CE173" t="str">
            <v>04</v>
          </cell>
        </row>
        <row r="174">
          <cell r="A174" t="str">
            <v>2165884</v>
          </cell>
          <cell r="B174" t="str">
            <v>28</v>
          </cell>
          <cell r="C174" t="str">
            <v>대리</v>
          </cell>
          <cell r="D174" t="str">
            <v>김병규　　</v>
          </cell>
          <cell r="E174" t="str">
            <v>C</v>
          </cell>
          <cell r="G174">
            <v>1</v>
          </cell>
          <cell r="H174" t="str">
            <v>KM**</v>
          </cell>
          <cell r="I174" t="str">
            <v>KMIB</v>
          </cell>
          <cell r="J174" t="str">
            <v>강남부품사업소　　　</v>
          </cell>
          <cell r="K174" t="str">
            <v>KMIG</v>
          </cell>
          <cell r="L174" t="str">
            <v>대형부품사업소　　　</v>
          </cell>
          <cell r="O174" t="str">
            <v>KMIGB</v>
          </cell>
          <cell r="R174" t="str">
            <v>2</v>
          </cell>
          <cell r="T174" t="str">
            <v>50</v>
          </cell>
          <cell r="U174" t="str">
            <v>과장</v>
          </cell>
          <cell r="V174" t="str">
            <v>4</v>
          </cell>
          <cell r="W174" t="str">
            <v>4</v>
          </cell>
          <cell r="X174" t="str">
            <v>2</v>
          </cell>
          <cell r="Y174" t="str">
            <v>O</v>
          </cell>
          <cell r="Z174" t="str">
            <v>2161447</v>
          </cell>
          <cell r="AA174" t="str">
            <v>윤재희　　</v>
          </cell>
          <cell r="AB174" t="str">
            <v>26</v>
          </cell>
          <cell r="AC174" t="str">
            <v>43</v>
          </cell>
          <cell r="AD174">
            <v>84</v>
          </cell>
          <cell r="AE174">
            <v>64.66</v>
          </cell>
          <cell r="AF174">
            <v>60</v>
          </cell>
          <cell r="AG174" t="str">
            <v>2001319</v>
          </cell>
          <cell r="AH174" t="str">
            <v>차정식　　</v>
          </cell>
          <cell r="AI174" t="str">
            <v>02</v>
          </cell>
          <cell r="AJ174" t="str">
            <v>20</v>
          </cell>
          <cell r="AK174">
            <v>77</v>
          </cell>
          <cell r="AL174">
            <v>62.21</v>
          </cell>
          <cell r="AM174">
            <v>20</v>
          </cell>
          <cell r="AR174">
            <v>0</v>
          </cell>
          <cell r="AS174">
            <v>0</v>
          </cell>
          <cell r="AT174">
            <v>0</v>
          </cell>
          <cell r="AY174">
            <v>0</v>
          </cell>
          <cell r="AZ174">
            <v>0</v>
          </cell>
          <cell r="BA174">
            <v>0</v>
          </cell>
          <cell r="BF174">
            <v>0</v>
          </cell>
          <cell r="BG174">
            <v>0</v>
          </cell>
          <cell r="BH174">
            <v>0</v>
          </cell>
          <cell r="BM174">
            <v>0</v>
          </cell>
          <cell r="BN174">
            <v>0</v>
          </cell>
          <cell r="BO174">
            <v>0</v>
          </cell>
          <cell r="BP174" t="b">
            <v>1</v>
          </cell>
          <cell r="BQ174">
            <v>5</v>
          </cell>
          <cell r="BR174">
            <v>61.04</v>
          </cell>
          <cell r="BS174">
            <v>718</v>
          </cell>
          <cell r="BT174">
            <v>42.9</v>
          </cell>
          <cell r="BU174" t="str">
            <v>C</v>
          </cell>
          <cell r="BV174" t="str">
            <v>05</v>
          </cell>
          <cell r="BW174">
            <v>64</v>
          </cell>
          <cell r="BX174" t="str">
            <v>19970101</v>
          </cell>
          <cell r="BZ174" t="str">
            <v>E</v>
          </cell>
          <cell r="CA174" t="str">
            <v>10</v>
          </cell>
          <cell r="CB174" t="str">
            <v>B</v>
          </cell>
          <cell r="CC174" t="str">
            <v>03</v>
          </cell>
          <cell r="CD174" t="str">
            <v>B</v>
          </cell>
          <cell r="CE174" t="str">
            <v>02</v>
          </cell>
        </row>
        <row r="175">
          <cell r="A175" t="str">
            <v>2289435</v>
          </cell>
          <cell r="B175" t="str">
            <v>28</v>
          </cell>
          <cell r="C175" t="str">
            <v>대리</v>
          </cell>
          <cell r="D175" t="str">
            <v>신진　　　</v>
          </cell>
          <cell r="E175" t="str">
            <v>C</v>
          </cell>
          <cell r="G175">
            <v>1</v>
          </cell>
          <cell r="H175" t="str">
            <v>KQ**</v>
          </cell>
          <cell r="I175" t="str">
            <v>KFC*</v>
          </cell>
          <cell r="J175" t="str">
            <v>경영개선실　　　　　</v>
          </cell>
          <cell r="K175" t="str">
            <v>KUEC</v>
          </cell>
          <cell r="L175" t="str">
            <v>광）소형엔진부　　　</v>
          </cell>
          <cell r="O175" t="str">
            <v>KUECC</v>
          </cell>
          <cell r="R175" t="str">
            <v>6</v>
          </cell>
          <cell r="T175" t="str">
            <v>50</v>
          </cell>
          <cell r="U175" t="str">
            <v>과장</v>
          </cell>
          <cell r="V175" t="str">
            <v>4</v>
          </cell>
          <cell r="W175" t="str">
            <v>2</v>
          </cell>
          <cell r="X175" t="str">
            <v>2</v>
          </cell>
          <cell r="Y175" t="str">
            <v>S</v>
          </cell>
          <cell r="Z175" t="str">
            <v>2168172</v>
          </cell>
          <cell r="AA175" t="str">
            <v>기회봉　　</v>
          </cell>
          <cell r="AB175" t="str">
            <v>24</v>
          </cell>
          <cell r="AC175" t="str">
            <v>40</v>
          </cell>
          <cell r="AD175">
            <v>77</v>
          </cell>
          <cell r="AE175">
            <v>60.54</v>
          </cell>
          <cell r="AF175">
            <v>40</v>
          </cell>
          <cell r="AG175" t="str">
            <v>2024118</v>
          </cell>
          <cell r="AH175" t="str">
            <v>정정규　　</v>
          </cell>
          <cell r="AI175" t="str">
            <v>20</v>
          </cell>
          <cell r="AJ175" t="str">
            <v>31</v>
          </cell>
          <cell r="AK175">
            <v>76</v>
          </cell>
          <cell r="AL175">
            <v>62</v>
          </cell>
          <cell r="AM175">
            <v>20</v>
          </cell>
          <cell r="AN175" t="str">
            <v>2026563</v>
          </cell>
          <cell r="AO175" t="str">
            <v>전천수　　</v>
          </cell>
          <cell r="AP175" t="str">
            <v>03</v>
          </cell>
          <cell r="AQ175" t="str">
            <v>30</v>
          </cell>
          <cell r="AR175">
            <v>73</v>
          </cell>
          <cell r="AS175">
            <v>61.99</v>
          </cell>
          <cell r="AT175">
            <v>10</v>
          </cell>
          <cell r="AU175" t="str">
            <v>2728462</v>
          </cell>
          <cell r="AV175" t="str">
            <v>임승근　　</v>
          </cell>
          <cell r="AW175" t="str">
            <v>02</v>
          </cell>
          <cell r="AX175" t="str">
            <v>20</v>
          </cell>
          <cell r="AY175">
            <v>70</v>
          </cell>
          <cell r="AZ175">
            <v>60.01</v>
          </cell>
          <cell r="BA175">
            <v>10</v>
          </cell>
          <cell r="BF175">
            <v>0</v>
          </cell>
          <cell r="BG175">
            <v>0</v>
          </cell>
          <cell r="BH175">
            <v>0</v>
          </cell>
          <cell r="BM175">
            <v>0</v>
          </cell>
          <cell r="BN175">
            <v>0</v>
          </cell>
          <cell r="BO175">
            <v>0</v>
          </cell>
          <cell r="BP175" t="b">
            <v>0</v>
          </cell>
          <cell r="BQ175">
            <v>0</v>
          </cell>
          <cell r="BR175">
            <v>61.02</v>
          </cell>
          <cell r="BS175">
            <v>722</v>
          </cell>
          <cell r="BT175">
            <v>43.1</v>
          </cell>
          <cell r="BU175" t="str">
            <v>C</v>
          </cell>
          <cell r="BV175" t="str">
            <v>05</v>
          </cell>
          <cell r="BW175">
            <v>64</v>
          </cell>
          <cell r="BX175" t="str">
            <v>19940101</v>
          </cell>
          <cell r="BZ175" t="str">
            <v>C</v>
          </cell>
          <cell r="CA175" t="str">
            <v>05</v>
          </cell>
          <cell r="CB175" t="str">
            <v>C</v>
          </cell>
          <cell r="CC175" t="str">
            <v>07</v>
          </cell>
          <cell r="CD175" t="str">
            <v>B</v>
          </cell>
          <cell r="CE175" t="str">
            <v>03</v>
          </cell>
        </row>
        <row r="176">
          <cell r="A176" t="str">
            <v>2595928</v>
          </cell>
          <cell r="B176" t="str">
            <v>33</v>
          </cell>
          <cell r="C176" t="str">
            <v>5급</v>
          </cell>
          <cell r="D176" t="str">
            <v>신효철　　</v>
          </cell>
          <cell r="E176" t="str">
            <v>C</v>
          </cell>
          <cell r="G176">
            <v>1</v>
          </cell>
          <cell r="H176" t="str">
            <v>KO**</v>
          </cell>
          <cell r="I176" t="str">
            <v>KOAA</v>
          </cell>
          <cell r="J176" t="str">
            <v>구매계획팀　　　　　</v>
          </cell>
          <cell r="K176" t="str">
            <v>KPCB</v>
          </cell>
          <cell r="L176" t="str">
            <v>승용구동부품개발팀　</v>
          </cell>
          <cell r="O176" t="str">
            <v>KPCB</v>
          </cell>
          <cell r="R176" t="str">
            <v>4</v>
          </cell>
          <cell r="V176" t="str">
            <v>7</v>
          </cell>
          <cell r="W176" t="str">
            <v>1</v>
          </cell>
          <cell r="X176" t="str">
            <v>4</v>
          </cell>
          <cell r="Y176" t="str">
            <v>S</v>
          </cell>
          <cell r="Z176" t="str">
            <v>7342966</v>
          </cell>
          <cell r="AA176" t="str">
            <v>황윤철　　</v>
          </cell>
          <cell r="AB176" t="str">
            <v>24</v>
          </cell>
          <cell r="AC176" t="str">
            <v>43</v>
          </cell>
          <cell r="AD176">
            <v>88</v>
          </cell>
          <cell r="AE176">
            <v>60</v>
          </cell>
          <cell r="AF176">
            <v>40</v>
          </cell>
          <cell r="AG176" t="str">
            <v>7151374</v>
          </cell>
          <cell r="AH176" t="str">
            <v>고승환　　</v>
          </cell>
          <cell r="AI176" t="str">
            <v>20</v>
          </cell>
          <cell r="AJ176" t="str">
            <v>32</v>
          </cell>
          <cell r="AK176">
            <v>56</v>
          </cell>
          <cell r="AL176">
            <v>51.45</v>
          </cell>
          <cell r="AM176">
            <v>20</v>
          </cell>
          <cell r="AN176" t="str">
            <v>7043317</v>
          </cell>
          <cell r="AO176" t="str">
            <v>박승하　　</v>
          </cell>
          <cell r="AP176" t="str">
            <v>04</v>
          </cell>
          <cell r="AQ176" t="str">
            <v>30</v>
          </cell>
          <cell r="AR176">
            <v>73</v>
          </cell>
          <cell r="AS176">
            <v>62.42</v>
          </cell>
          <cell r="AT176">
            <v>20</v>
          </cell>
          <cell r="AY176">
            <v>0</v>
          </cell>
          <cell r="AZ176">
            <v>0</v>
          </cell>
          <cell r="BA176">
            <v>0</v>
          </cell>
          <cell r="BF176">
            <v>0</v>
          </cell>
          <cell r="BG176">
            <v>0</v>
          </cell>
          <cell r="BH176">
            <v>0</v>
          </cell>
          <cell r="BM176">
            <v>0</v>
          </cell>
          <cell r="BN176">
            <v>0</v>
          </cell>
          <cell r="BO176">
            <v>0</v>
          </cell>
          <cell r="BP176" t="b">
            <v>0</v>
          </cell>
          <cell r="BQ176">
            <v>0</v>
          </cell>
          <cell r="BR176">
            <v>58.47</v>
          </cell>
          <cell r="BS176">
            <v>394</v>
          </cell>
          <cell r="BT176">
            <v>57.5</v>
          </cell>
          <cell r="BU176" t="str">
            <v>C</v>
          </cell>
          <cell r="BV176" t="str">
            <v>07</v>
          </cell>
          <cell r="BW176">
            <v>56</v>
          </cell>
          <cell r="BX176" t="str">
            <v>19941212</v>
          </cell>
          <cell r="BZ176" t="str">
            <v>D</v>
          </cell>
          <cell r="CA176" t="str">
            <v>10</v>
          </cell>
          <cell r="CB176" t="str">
            <v>C</v>
          </cell>
          <cell r="CC176" t="str">
            <v>06</v>
          </cell>
          <cell r="CD176" t="str">
            <v>C</v>
          </cell>
          <cell r="CE176" t="str">
            <v>06</v>
          </cell>
        </row>
        <row r="177">
          <cell r="A177" t="str">
            <v>2433578</v>
          </cell>
          <cell r="B177" t="str">
            <v>32</v>
          </cell>
          <cell r="C177" t="str">
            <v>4을</v>
          </cell>
          <cell r="D177" t="str">
            <v>김연실　　</v>
          </cell>
          <cell r="E177" t="str">
            <v>C</v>
          </cell>
          <cell r="G177">
            <v>1</v>
          </cell>
          <cell r="H177" t="str">
            <v>KQ**</v>
          </cell>
          <cell r="I177" t="str">
            <v>KRDC</v>
          </cell>
          <cell r="J177" t="str">
            <v>구동생기팀　　　　　</v>
          </cell>
          <cell r="K177" t="str">
            <v>KRDA</v>
          </cell>
          <cell r="L177" t="str">
            <v>엔진기술계획팀　　　</v>
          </cell>
          <cell r="O177" t="str">
            <v>KRDA</v>
          </cell>
          <cell r="R177" t="str">
            <v>4</v>
          </cell>
          <cell r="V177" t="str">
            <v>6</v>
          </cell>
          <cell r="W177" t="str">
            <v>2</v>
          </cell>
          <cell r="X177" t="str">
            <v>4</v>
          </cell>
          <cell r="Y177" t="str">
            <v>O</v>
          </cell>
          <cell r="Z177" t="str">
            <v>2074702</v>
          </cell>
          <cell r="AA177" t="str">
            <v>정시득　　</v>
          </cell>
          <cell r="AB177" t="str">
            <v>26</v>
          </cell>
          <cell r="AC177" t="str">
            <v>43</v>
          </cell>
          <cell r="AD177">
            <v>60</v>
          </cell>
          <cell r="AE177">
            <v>60</v>
          </cell>
          <cell r="AF177">
            <v>40</v>
          </cell>
          <cell r="AG177" t="str">
            <v>7037982</v>
          </cell>
          <cell r="AH177" t="str">
            <v>한상대　　</v>
          </cell>
          <cell r="AI177" t="str">
            <v>05</v>
          </cell>
          <cell r="AJ177" t="str">
            <v>32</v>
          </cell>
          <cell r="AK177">
            <v>70</v>
          </cell>
          <cell r="AL177">
            <v>60</v>
          </cell>
          <cell r="AM177">
            <v>20</v>
          </cell>
          <cell r="AN177" t="str">
            <v>2002001</v>
          </cell>
          <cell r="AO177" t="str">
            <v>신도철　　</v>
          </cell>
          <cell r="AP177" t="str">
            <v>03</v>
          </cell>
          <cell r="AQ177" t="str">
            <v>30</v>
          </cell>
          <cell r="AR177">
            <v>63</v>
          </cell>
          <cell r="AS177">
            <v>56.6</v>
          </cell>
          <cell r="AT177">
            <v>20</v>
          </cell>
          <cell r="AY177">
            <v>0</v>
          </cell>
          <cell r="AZ177">
            <v>0</v>
          </cell>
          <cell r="BA177">
            <v>0</v>
          </cell>
          <cell r="BF177">
            <v>0</v>
          </cell>
          <cell r="BG177">
            <v>0</v>
          </cell>
          <cell r="BH177">
            <v>0</v>
          </cell>
          <cell r="BM177">
            <v>0</v>
          </cell>
          <cell r="BN177">
            <v>0</v>
          </cell>
          <cell r="BO177">
            <v>0</v>
          </cell>
          <cell r="BP177" t="b">
            <v>0</v>
          </cell>
          <cell r="BQ177">
            <v>0</v>
          </cell>
          <cell r="BR177">
            <v>59.15</v>
          </cell>
          <cell r="BS177">
            <v>417</v>
          </cell>
          <cell r="BT177">
            <v>59.8</v>
          </cell>
          <cell r="BU177" t="str">
            <v>C</v>
          </cell>
          <cell r="BV177" t="str">
            <v>07</v>
          </cell>
          <cell r="BW177">
            <v>56</v>
          </cell>
          <cell r="BX177" t="str">
            <v>19980101</v>
          </cell>
          <cell r="BZ177" t="str">
            <v>E</v>
          </cell>
          <cell r="CA177" t="str">
            <v>10</v>
          </cell>
          <cell r="CB177" t="str">
            <v>B</v>
          </cell>
          <cell r="CC177" t="str">
            <v>02</v>
          </cell>
          <cell r="CD177" t="str">
            <v>E</v>
          </cell>
          <cell r="CE177" t="str">
            <v>10</v>
          </cell>
        </row>
        <row r="178">
          <cell r="A178" t="str">
            <v>2339968</v>
          </cell>
          <cell r="B178" t="str">
            <v>30</v>
          </cell>
          <cell r="C178" t="str">
            <v>4갑</v>
          </cell>
          <cell r="D178" t="str">
            <v>최승운　　</v>
          </cell>
          <cell r="E178" t="str">
            <v>C</v>
          </cell>
          <cell r="G178">
            <v>1</v>
          </cell>
          <cell r="H178" t="str">
            <v>KQ**</v>
          </cell>
          <cell r="I178" t="str">
            <v>KTDD</v>
          </cell>
          <cell r="J178" t="str">
            <v>화）조립２부　　　　</v>
          </cell>
          <cell r="K178" t="str">
            <v>KTDA</v>
          </cell>
          <cell r="L178" t="str">
            <v>화）제조관리２부　　</v>
          </cell>
          <cell r="O178" t="str">
            <v>KTDAB</v>
          </cell>
          <cell r="R178" t="str">
            <v>5</v>
          </cell>
          <cell r="V178" t="str">
            <v>5</v>
          </cell>
          <cell r="W178" t="str">
            <v>2</v>
          </cell>
          <cell r="X178" t="str">
            <v>3</v>
          </cell>
          <cell r="Y178" t="str">
            <v>S</v>
          </cell>
          <cell r="Z178" t="str">
            <v>2292519</v>
          </cell>
          <cell r="AA178" t="str">
            <v>이종대　　</v>
          </cell>
          <cell r="AB178" t="str">
            <v>26</v>
          </cell>
          <cell r="AC178" t="str">
            <v>50</v>
          </cell>
          <cell r="AD178">
            <v>73</v>
          </cell>
          <cell r="AE178">
            <v>60</v>
          </cell>
          <cell r="AF178">
            <v>20</v>
          </cell>
          <cell r="AG178" t="str">
            <v>2074168</v>
          </cell>
          <cell r="AH178" t="str">
            <v>유재광　　</v>
          </cell>
          <cell r="AI178" t="str">
            <v>24</v>
          </cell>
          <cell r="AJ178" t="str">
            <v>40</v>
          </cell>
          <cell r="AK178">
            <v>78</v>
          </cell>
          <cell r="AL178">
            <v>62.28</v>
          </cell>
          <cell r="AM178">
            <v>20</v>
          </cell>
          <cell r="AN178" t="str">
            <v>2018783</v>
          </cell>
          <cell r="AO178" t="str">
            <v>이성복　　</v>
          </cell>
          <cell r="AP178" t="str">
            <v>22</v>
          </cell>
          <cell r="AQ178" t="str">
            <v>32</v>
          </cell>
          <cell r="AR178">
            <v>70</v>
          </cell>
          <cell r="AS178">
            <v>60.03</v>
          </cell>
          <cell r="AT178">
            <v>10</v>
          </cell>
          <cell r="AU178" t="str">
            <v>7019858</v>
          </cell>
          <cell r="AV178" t="str">
            <v>홍석종　　</v>
          </cell>
          <cell r="AW178" t="str">
            <v>04</v>
          </cell>
          <cell r="AX178" t="str">
            <v>31</v>
          </cell>
          <cell r="AY178">
            <v>77</v>
          </cell>
          <cell r="AZ178">
            <v>62.44</v>
          </cell>
          <cell r="BA178">
            <v>10</v>
          </cell>
          <cell r="BB178" t="str">
            <v>2100100</v>
          </cell>
          <cell r="BC178" t="str">
            <v>김무일　　</v>
          </cell>
          <cell r="BD178" t="str">
            <v>02</v>
          </cell>
          <cell r="BE178" t="str">
            <v>30</v>
          </cell>
          <cell r="BF178">
            <v>47</v>
          </cell>
          <cell r="BG178">
            <v>52.03</v>
          </cell>
          <cell r="BH178">
            <v>10</v>
          </cell>
          <cell r="BI178" t="str">
            <v>2728462</v>
          </cell>
          <cell r="BJ178" t="str">
            <v>임승근　　</v>
          </cell>
          <cell r="BK178" t="str">
            <v>02</v>
          </cell>
          <cell r="BL178" t="str">
            <v>20</v>
          </cell>
          <cell r="BM178">
            <v>47</v>
          </cell>
          <cell r="BN178">
            <v>51.22</v>
          </cell>
          <cell r="BO178">
            <v>10</v>
          </cell>
          <cell r="BP178" t="b">
            <v>0</v>
          </cell>
          <cell r="BQ178">
            <v>0</v>
          </cell>
          <cell r="BR178">
            <v>58.78</v>
          </cell>
          <cell r="BS178">
            <v>817</v>
          </cell>
          <cell r="BT178">
            <v>56.3</v>
          </cell>
          <cell r="BU178" t="str">
            <v>C</v>
          </cell>
          <cell r="BV178" t="str">
            <v>07</v>
          </cell>
          <cell r="BW178">
            <v>56</v>
          </cell>
          <cell r="BX178" t="str">
            <v>19901203</v>
          </cell>
          <cell r="BZ178" t="str">
            <v>C</v>
          </cell>
          <cell r="CA178" t="str">
            <v>08</v>
          </cell>
          <cell r="CB178" t="str">
            <v>E</v>
          </cell>
          <cell r="CC178" t="str">
            <v>11</v>
          </cell>
          <cell r="CD178" t="str">
            <v>B</v>
          </cell>
          <cell r="CE178" t="str">
            <v>03</v>
          </cell>
        </row>
        <row r="179">
          <cell r="A179" t="str">
            <v>2345585</v>
          </cell>
          <cell r="B179" t="str">
            <v>30</v>
          </cell>
          <cell r="C179" t="str">
            <v>4갑</v>
          </cell>
          <cell r="D179" t="str">
            <v>심상영　　</v>
          </cell>
          <cell r="E179" t="str">
            <v>C</v>
          </cell>
          <cell r="G179">
            <v>1</v>
          </cell>
          <cell r="H179" t="str">
            <v>KH**</v>
          </cell>
          <cell r="I179" t="str">
            <v>KHKD</v>
          </cell>
          <cell r="J179" t="str">
            <v>강원）동해지점　　　</v>
          </cell>
          <cell r="K179" t="str">
            <v>KHKP</v>
          </cell>
          <cell r="L179" t="str">
            <v>강원）삼척지점　　　</v>
          </cell>
          <cell r="O179" t="str">
            <v>KHKPA</v>
          </cell>
          <cell r="R179" t="str">
            <v>2</v>
          </cell>
          <cell r="V179" t="str">
            <v>5</v>
          </cell>
          <cell r="W179" t="str">
            <v>3</v>
          </cell>
          <cell r="X179" t="str">
            <v>3</v>
          </cell>
          <cell r="Y179" t="str">
            <v>O</v>
          </cell>
          <cell r="Z179" t="str">
            <v>2161863</v>
          </cell>
          <cell r="AA179" t="str">
            <v>김영명　　</v>
          </cell>
          <cell r="AB179" t="str">
            <v>28</v>
          </cell>
          <cell r="AC179" t="str">
            <v>44</v>
          </cell>
          <cell r="AD179">
            <v>95</v>
          </cell>
          <cell r="AE179">
            <v>60</v>
          </cell>
          <cell r="AF179">
            <v>50</v>
          </cell>
          <cell r="AG179" t="str">
            <v>2032367</v>
          </cell>
          <cell r="AH179" t="str">
            <v>최진　　　</v>
          </cell>
          <cell r="AI179" t="str">
            <v>22</v>
          </cell>
          <cell r="AJ179" t="str">
            <v>32</v>
          </cell>
          <cell r="AK179">
            <v>77</v>
          </cell>
          <cell r="AL179">
            <v>60.63</v>
          </cell>
          <cell r="AM179">
            <v>30</v>
          </cell>
          <cell r="AN179" t="str">
            <v>2059744</v>
          </cell>
          <cell r="AO179" t="str">
            <v>김도영　　</v>
          </cell>
          <cell r="AP179" t="str">
            <v>02</v>
          </cell>
          <cell r="AQ179" t="str">
            <v>20</v>
          </cell>
          <cell r="AR179">
            <v>70</v>
          </cell>
          <cell r="AS179">
            <v>59.89</v>
          </cell>
          <cell r="AT179">
            <v>10</v>
          </cell>
          <cell r="AY179">
            <v>0</v>
          </cell>
          <cell r="AZ179">
            <v>0</v>
          </cell>
          <cell r="BA179">
            <v>0</v>
          </cell>
          <cell r="BF179">
            <v>0</v>
          </cell>
          <cell r="BG179">
            <v>0</v>
          </cell>
          <cell r="BH179">
            <v>0</v>
          </cell>
          <cell r="BM179">
            <v>0</v>
          </cell>
          <cell r="BN179">
            <v>0</v>
          </cell>
          <cell r="BO179">
            <v>0</v>
          </cell>
          <cell r="BP179" t="b">
            <v>0</v>
          </cell>
          <cell r="BQ179">
            <v>0</v>
          </cell>
          <cell r="BR179">
            <v>60.2</v>
          </cell>
          <cell r="BS179">
            <v>662</v>
          </cell>
          <cell r="BT179">
            <v>45.6</v>
          </cell>
          <cell r="BU179" t="str">
            <v>C</v>
          </cell>
          <cell r="BV179" t="str">
            <v>06</v>
          </cell>
          <cell r="BW179">
            <v>60</v>
          </cell>
          <cell r="BX179" t="str">
            <v>19940101</v>
          </cell>
          <cell r="BZ179" t="str">
            <v>C</v>
          </cell>
          <cell r="CA179" t="str">
            <v>08</v>
          </cell>
          <cell r="CB179" t="str">
            <v>B</v>
          </cell>
          <cell r="CC179" t="str">
            <v>03</v>
          </cell>
          <cell r="CD179" t="str">
            <v>C</v>
          </cell>
          <cell r="CE179" t="str">
            <v>08</v>
          </cell>
        </row>
        <row r="180">
          <cell r="A180" t="str">
            <v>2078812</v>
          </cell>
          <cell r="B180" t="str">
            <v>26</v>
          </cell>
          <cell r="C180" t="str">
            <v>과장</v>
          </cell>
          <cell r="D180" t="str">
            <v>임성철　　</v>
          </cell>
          <cell r="E180" t="str">
            <v>C</v>
          </cell>
          <cell r="G180">
            <v>1</v>
          </cell>
          <cell r="H180" t="str">
            <v>KM**</v>
          </cell>
          <cell r="I180" t="str">
            <v>KMIG</v>
          </cell>
          <cell r="J180" t="str">
            <v>대형부품사업소　　　</v>
          </cell>
          <cell r="K180" t="str">
            <v>KME*</v>
          </cell>
          <cell r="L180" t="str">
            <v>오산물류센타</v>
          </cell>
          <cell r="O180" t="str">
            <v>KMEH</v>
          </cell>
          <cell r="R180" t="str">
            <v>2</v>
          </cell>
          <cell r="T180" t="str">
            <v>50</v>
          </cell>
          <cell r="U180" t="str">
            <v>과장</v>
          </cell>
          <cell r="V180" t="str">
            <v>3</v>
          </cell>
          <cell r="W180" t="str">
            <v>4</v>
          </cell>
          <cell r="X180" t="str">
            <v>2</v>
          </cell>
          <cell r="Y180" t="str">
            <v>S</v>
          </cell>
          <cell r="Z180" t="str">
            <v>0043652</v>
          </cell>
          <cell r="AA180" t="str">
            <v>정남기　　</v>
          </cell>
          <cell r="AB180" t="str">
            <v>05</v>
          </cell>
          <cell r="AC180" t="str">
            <v>32</v>
          </cell>
          <cell r="AD180">
            <v>73</v>
          </cell>
          <cell r="AE180">
            <v>59.82</v>
          </cell>
          <cell r="AF180">
            <v>60</v>
          </cell>
          <cell r="AG180" t="str">
            <v>2001319</v>
          </cell>
          <cell r="AH180" t="str">
            <v>차정식　　</v>
          </cell>
          <cell r="AI180" t="str">
            <v>02</v>
          </cell>
          <cell r="AJ180" t="str">
            <v>20</v>
          </cell>
          <cell r="AK180">
            <v>77</v>
          </cell>
          <cell r="AL180">
            <v>61.75</v>
          </cell>
          <cell r="AM180">
            <v>20</v>
          </cell>
          <cell r="AR180">
            <v>0</v>
          </cell>
          <cell r="AS180">
            <v>0</v>
          </cell>
          <cell r="AT180">
            <v>0</v>
          </cell>
          <cell r="AY180">
            <v>0</v>
          </cell>
          <cell r="AZ180">
            <v>0</v>
          </cell>
          <cell r="BA180">
            <v>0</v>
          </cell>
          <cell r="BF180">
            <v>0</v>
          </cell>
          <cell r="BG180">
            <v>0</v>
          </cell>
          <cell r="BH180">
            <v>0</v>
          </cell>
          <cell r="BM180">
            <v>0</v>
          </cell>
          <cell r="BN180">
            <v>0</v>
          </cell>
          <cell r="BO180">
            <v>0</v>
          </cell>
          <cell r="BP180" t="b">
            <v>1</v>
          </cell>
          <cell r="BQ180">
            <v>7</v>
          </cell>
          <cell r="BR180">
            <v>59.76</v>
          </cell>
          <cell r="BS180">
            <v>562</v>
          </cell>
          <cell r="BT180">
            <v>49.5</v>
          </cell>
          <cell r="BU180" t="str">
            <v>C</v>
          </cell>
          <cell r="BV180" t="str">
            <v>06</v>
          </cell>
          <cell r="BW180">
            <v>60</v>
          </cell>
          <cell r="BX180" t="str">
            <v>19940101</v>
          </cell>
          <cell r="BZ180" t="str">
            <v>C</v>
          </cell>
          <cell r="CA180" t="str">
            <v>06</v>
          </cell>
          <cell r="CB180" t="str">
            <v>A</v>
          </cell>
          <cell r="CC180" t="str">
            <v>02</v>
          </cell>
          <cell r="CD180" t="str">
            <v>E</v>
          </cell>
          <cell r="CE180" t="str">
            <v>11</v>
          </cell>
        </row>
        <row r="181">
          <cell r="A181" t="str">
            <v>2203976</v>
          </cell>
          <cell r="B181" t="str">
            <v>28</v>
          </cell>
          <cell r="C181" t="str">
            <v>대리</v>
          </cell>
          <cell r="D181" t="str">
            <v>이승종　　</v>
          </cell>
          <cell r="E181" t="str">
            <v>C</v>
          </cell>
          <cell r="G181">
            <v>1</v>
          </cell>
          <cell r="H181" t="str">
            <v>KM**</v>
          </cell>
          <cell r="I181" t="str">
            <v>KMEB</v>
          </cell>
          <cell r="J181" t="str">
            <v>부품물류팀　　　　　</v>
          </cell>
          <cell r="K181" t="str">
            <v>KMEA</v>
          </cell>
          <cell r="L181" t="str">
            <v>부품조달팀　　　　　</v>
          </cell>
          <cell r="O181" t="str">
            <v>KMEA</v>
          </cell>
          <cell r="R181" t="str">
            <v>4</v>
          </cell>
          <cell r="V181" t="str">
            <v>4</v>
          </cell>
          <cell r="W181" t="str">
            <v>1</v>
          </cell>
          <cell r="X181" t="str">
            <v>3</v>
          </cell>
          <cell r="Y181" t="str">
            <v>S</v>
          </cell>
          <cell r="Z181" t="str">
            <v>0032631</v>
          </cell>
          <cell r="AA181" t="str">
            <v>조병덕　　</v>
          </cell>
          <cell r="AB181" t="str">
            <v>22</v>
          </cell>
          <cell r="AC181" t="str">
            <v>43</v>
          </cell>
          <cell r="AD181">
            <v>88</v>
          </cell>
          <cell r="AE181">
            <v>61.22</v>
          </cell>
          <cell r="AF181">
            <v>40</v>
          </cell>
          <cell r="AG181" t="str">
            <v>0043652</v>
          </cell>
          <cell r="AH181" t="str">
            <v>정남기　　</v>
          </cell>
          <cell r="AI181" t="str">
            <v>05</v>
          </cell>
          <cell r="AJ181" t="str">
            <v>32</v>
          </cell>
          <cell r="AK181">
            <v>70</v>
          </cell>
          <cell r="AL181">
            <v>58.12</v>
          </cell>
          <cell r="AM181">
            <v>30</v>
          </cell>
          <cell r="AN181" t="str">
            <v>2001319</v>
          </cell>
          <cell r="AO181" t="str">
            <v>차정식　　</v>
          </cell>
          <cell r="AP181" t="str">
            <v>02</v>
          </cell>
          <cell r="AQ181" t="str">
            <v>20</v>
          </cell>
          <cell r="AR181">
            <v>63</v>
          </cell>
          <cell r="AS181">
            <v>57.31</v>
          </cell>
          <cell r="AT181">
            <v>10</v>
          </cell>
          <cell r="AY181">
            <v>0</v>
          </cell>
          <cell r="AZ181">
            <v>0</v>
          </cell>
          <cell r="BA181">
            <v>0</v>
          </cell>
          <cell r="BF181">
            <v>0</v>
          </cell>
          <cell r="BG181">
            <v>0</v>
          </cell>
          <cell r="BH181">
            <v>0</v>
          </cell>
          <cell r="BM181">
            <v>0</v>
          </cell>
          <cell r="BN181">
            <v>0</v>
          </cell>
          <cell r="BO181">
            <v>0</v>
          </cell>
          <cell r="BP181" t="b">
            <v>0</v>
          </cell>
          <cell r="BQ181">
            <v>0</v>
          </cell>
          <cell r="BR181">
            <v>59.57</v>
          </cell>
          <cell r="BS181">
            <v>869</v>
          </cell>
          <cell r="BT181">
            <v>51.9</v>
          </cell>
          <cell r="BU181" t="str">
            <v>C</v>
          </cell>
          <cell r="BV181" t="str">
            <v>06</v>
          </cell>
          <cell r="BW181">
            <v>60</v>
          </cell>
          <cell r="BX181" t="str">
            <v>19950101</v>
          </cell>
          <cell r="BZ181" t="str">
            <v>C</v>
          </cell>
          <cell r="CA181" t="str">
            <v>06</v>
          </cell>
          <cell r="CB181" t="str">
            <v>C</v>
          </cell>
          <cell r="CC181" t="str">
            <v>06</v>
          </cell>
          <cell r="CD181" t="str">
            <v>C</v>
          </cell>
          <cell r="CE181" t="str">
            <v>07</v>
          </cell>
        </row>
        <row r="182">
          <cell r="A182" t="str">
            <v>2550581</v>
          </cell>
          <cell r="B182" t="str">
            <v>33</v>
          </cell>
          <cell r="C182" t="str">
            <v>5급</v>
          </cell>
          <cell r="D182" t="str">
            <v>박기연　　</v>
          </cell>
          <cell r="E182" t="str">
            <v>C</v>
          </cell>
          <cell r="G182">
            <v>1</v>
          </cell>
          <cell r="H182" t="str">
            <v>KH**</v>
          </cell>
          <cell r="I182" t="str">
            <v>KHIL</v>
          </cell>
          <cell r="J182" t="str">
            <v>인천）간석지점　　　</v>
          </cell>
          <cell r="K182" t="str">
            <v>KHID</v>
          </cell>
          <cell r="L182" t="str">
            <v>인천）인천연수지점　</v>
          </cell>
          <cell r="O182" t="str">
            <v>KHIDA</v>
          </cell>
          <cell r="R182" t="str">
            <v>2</v>
          </cell>
          <cell r="V182" t="str">
            <v>7</v>
          </cell>
          <cell r="W182" t="str">
            <v>3</v>
          </cell>
          <cell r="X182" t="str">
            <v>4</v>
          </cell>
          <cell r="Y182" t="str">
            <v>S</v>
          </cell>
          <cell r="Z182" t="str">
            <v>2131573</v>
          </cell>
          <cell r="AA182" t="str">
            <v>전용환　　</v>
          </cell>
          <cell r="AB182" t="str">
            <v>26</v>
          </cell>
          <cell r="AC182" t="str">
            <v>44</v>
          </cell>
          <cell r="AD182">
            <v>100</v>
          </cell>
          <cell r="AE182">
            <v>60</v>
          </cell>
          <cell r="AF182">
            <v>60</v>
          </cell>
          <cell r="AG182" t="str">
            <v>2718155</v>
          </cell>
          <cell r="AH182" t="str">
            <v>김한수　　</v>
          </cell>
          <cell r="AI182" t="str">
            <v>05</v>
          </cell>
          <cell r="AJ182" t="str">
            <v>32</v>
          </cell>
          <cell r="AK182">
            <v>73</v>
          </cell>
          <cell r="AL182">
            <v>60.69</v>
          </cell>
          <cell r="AM182">
            <v>30</v>
          </cell>
          <cell r="AR182">
            <v>0</v>
          </cell>
          <cell r="AS182">
            <v>0</v>
          </cell>
          <cell r="AT182">
            <v>0</v>
          </cell>
          <cell r="AY182">
            <v>0</v>
          </cell>
          <cell r="AZ182">
            <v>0</v>
          </cell>
          <cell r="BA182">
            <v>0</v>
          </cell>
          <cell r="BF182">
            <v>0</v>
          </cell>
          <cell r="BG182">
            <v>0</v>
          </cell>
          <cell r="BH182">
            <v>0</v>
          </cell>
          <cell r="BM182">
            <v>0</v>
          </cell>
          <cell r="BN182">
            <v>0</v>
          </cell>
          <cell r="BO182">
            <v>0</v>
          </cell>
          <cell r="BP182" t="b">
            <v>0</v>
          </cell>
          <cell r="BQ182">
            <v>0</v>
          </cell>
          <cell r="BR182">
            <v>60.23</v>
          </cell>
          <cell r="BS182">
            <v>299</v>
          </cell>
          <cell r="BT182">
            <v>43.6</v>
          </cell>
          <cell r="BU182" t="str">
            <v>C</v>
          </cell>
          <cell r="BV182" t="str">
            <v>05</v>
          </cell>
          <cell r="BW182">
            <v>64</v>
          </cell>
          <cell r="BX182" t="str">
            <v>19940411</v>
          </cell>
          <cell r="BZ182" t="str">
            <v>C</v>
          </cell>
          <cell r="CA182" t="str">
            <v>06</v>
          </cell>
          <cell r="CB182" t="str">
            <v>A</v>
          </cell>
          <cell r="CC182" t="str">
            <v>02</v>
          </cell>
          <cell r="CD182" t="str">
            <v>D</v>
          </cell>
          <cell r="CE182" t="str">
            <v>08</v>
          </cell>
        </row>
        <row r="183">
          <cell r="A183" t="str">
            <v>2234555</v>
          </cell>
          <cell r="B183" t="str">
            <v>30</v>
          </cell>
          <cell r="C183" t="str">
            <v>4갑</v>
          </cell>
          <cell r="D183" t="str">
            <v>임동린　　</v>
          </cell>
          <cell r="E183" t="str">
            <v>C</v>
          </cell>
          <cell r="G183">
            <v>1</v>
          </cell>
          <cell r="H183" t="str">
            <v>KH**</v>
          </cell>
          <cell r="I183" t="str">
            <v>KHIO</v>
          </cell>
          <cell r="J183" t="str">
            <v>인천）서인천지점　　</v>
          </cell>
          <cell r="K183" t="str">
            <v>KHIP</v>
          </cell>
          <cell r="L183" t="str">
            <v>인천）역곡지점　　　</v>
          </cell>
          <cell r="O183" t="str">
            <v>KHIPA</v>
          </cell>
          <cell r="R183" t="str">
            <v>2</v>
          </cell>
          <cell r="V183" t="str">
            <v>5</v>
          </cell>
          <cell r="W183" t="str">
            <v>3</v>
          </cell>
          <cell r="X183" t="str">
            <v>3</v>
          </cell>
          <cell r="Y183" t="str">
            <v>S</v>
          </cell>
          <cell r="Z183" t="str">
            <v>2718445</v>
          </cell>
          <cell r="AA183" t="str">
            <v>진형근　　</v>
          </cell>
          <cell r="AB183" t="str">
            <v>26</v>
          </cell>
          <cell r="AC183" t="str">
            <v>44</v>
          </cell>
          <cell r="AD183">
            <v>96</v>
          </cell>
          <cell r="AE183">
            <v>60</v>
          </cell>
          <cell r="AF183">
            <v>50</v>
          </cell>
          <cell r="AG183" t="str">
            <v>2718155</v>
          </cell>
          <cell r="AH183" t="str">
            <v>김한수　　</v>
          </cell>
          <cell r="AI183" t="str">
            <v>05</v>
          </cell>
          <cell r="AJ183" t="str">
            <v>32</v>
          </cell>
          <cell r="AK183">
            <v>88</v>
          </cell>
          <cell r="AL183">
            <v>69.319999999999993</v>
          </cell>
          <cell r="AM183">
            <v>30</v>
          </cell>
          <cell r="AN183" t="str">
            <v>2059744</v>
          </cell>
          <cell r="AO183" t="str">
            <v>김도영　　</v>
          </cell>
          <cell r="AP183" t="str">
            <v>02</v>
          </cell>
          <cell r="AQ183" t="str">
            <v>20</v>
          </cell>
          <cell r="AR183">
            <v>47</v>
          </cell>
          <cell r="AS183">
            <v>51.7</v>
          </cell>
          <cell r="AT183">
            <v>10</v>
          </cell>
          <cell r="AY183">
            <v>0</v>
          </cell>
          <cell r="AZ183">
            <v>0</v>
          </cell>
          <cell r="BA183">
            <v>0</v>
          </cell>
          <cell r="BF183">
            <v>0</v>
          </cell>
          <cell r="BG183">
            <v>0</v>
          </cell>
          <cell r="BH183">
            <v>0</v>
          </cell>
          <cell r="BM183">
            <v>0</v>
          </cell>
          <cell r="BN183">
            <v>0</v>
          </cell>
          <cell r="BO183">
            <v>0</v>
          </cell>
          <cell r="BP183" t="b">
            <v>0</v>
          </cell>
          <cell r="BQ183">
            <v>0</v>
          </cell>
          <cell r="BR183">
            <v>62.18</v>
          </cell>
          <cell r="BS183">
            <v>490</v>
          </cell>
          <cell r="BT183">
            <v>33.799999999999997</v>
          </cell>
          <cell r="BU183" t="str">
            <v>C</v>
          </cell>
          <cell r="BV183" t="str">
            <v>04</v>
          </cell>
          <cell r="BW183">
            <v>68</v>
          </cell>
          <cell r="BX183" t="str">
            <v>19930101</v>
          </cell>
          <cell r="BZ183" t="str">
            <v>D</v>
          </cell>
          <cell r="CA183" t="str">
            <v>08</v>
          </cell>
          <cell r="CB183" t="str">
            <v>A</v>
          </cell>
          <cell r="CC183" t="str">
            <v>02</v>
          </cell>
          <cell r="CD183" t="str">
            <v>B</v>
          </cell>
          <cell r="CE183" t="str">
            <v>03</v>
          </cell>
        </row>
        <row r="184">
          <cell r="A184" t="str">
            <v>2280152</v>
          </cell>
          <cell r="B184" t="str">
            <v>30</v>
          </cell>
          <cell r="C184" t="str">
            <v>4갑</v>
          </cell>
          <cell r="D184" t="str">
            <v>강종태　　</v>
          </cell>
          <cell r="E184" t="str">
            <v>C</v>
          </cell>
          <cell r="G184">
            <v>1</v>
          </cell>
          <cell r="H184" t="str">
            <v>KQ**</v>
          </cell>
          <cell r="I184" t="str">
            <v>KTCDB</v>
          </cell>
          <cell r="J184" t="str">
            <v>생산２과　　　　　　</v>
          </cell>
          <cell r="K184" t="str">
            <v>KTCD</v>
          </cell>
          <cell r="L184" t="str">
            <v>화）조립１부　　　　</v>
          </cell>
          <cell r="O184" t="str">
            <v>KTCDC</v>
          </cell>
          <cell r="R184" t="str">
            <v>5</v>
          </cell>
          <cell r="V184" t="str">
            <v>5</v>
          </cell>
          <cell r="W184" t="str">
            <v>2</v>
          </cell>
          <cell r="X184" t="str">
            <v>3</v>
          </cell>
          <cell r="Y184" t="str">
            <v>O</v>
          </cell>
          <cell r="Z184" t="str">
            <v>2072667</v>
          </cell>
          <cell r="AA184" t="str">
            <v>이병준　　</v>
          </cell>
          <cell r="AB184" t="str">
            <v>26</v>
          </cell>
          <cell r="AC184" t="str">
            <v>50</v>
          </cell>
          <cell r="AD184">
            <v>77</v>
          </cell>
          <cell r="AE184">
            <v>61.95</v>
          </cell>
          <cell r="AF184">
            <v>20</v>
          </cell>
          <cell r="AG184" t="str">
            <v>2112185</v>
          </cell>
          <cell r="AH184" t="str">
            <v>최성호　　</v>
          </cell>
          <cell r="AI184" t="str">
            <v>26</v>
          </cell>
          <cell r="AJ184" t="str">
            <v>40</v>
          </cell>
          <cell r="AK184">
            <v>63</v>
          </cell>
          <cell r="AL184">
            <v>55.95</v>
          </cell>
          <cell r="AM184">
            <v>20</v>
          </cell>
          <cell r="AN184" t="str">
            <v>2018984</v>
          </cell>
          <cell r="AO184" t="str">
            <v>최종길　　</v>
          </cell>
          <cell r="AP184" t="str">
            <v>20</v>
          </cell>
          <cell r="AQ184" t="str">
            <v>32</v>
          </cell>
          <cell r="AR184">
            <v>58</v>
          </cell>
          <cell r="AS184">
            <v>56.63</v>
          </cell>
          <cell r="AT184">
            <v>10</v>
          </cell>
          <cell r="AU184" t="str">
            <v>7019858</v>
          </cell>
          <cell r="AV184" t="str">
            <v>홍석종　　</v>
          </cell>
          <cell r="AW184" t="str">
            <v>04</v>
          </cell>
          <cell r="AX184" t="str">
            <v>31</v>
          </cell>
          <cell r="AY184">
            <v>53</v>
          </cell>
          <cell r="AZ184">
            <v>53.7</v>
          </cell>
          <cell r="BA184">
            <v>10</v>
          </cell>
          <cell r="BB184" t="str">
            <v>2100100</v>
          </cell>
          <cell r="BC184" t="str">
            <v>김무일　　</v>
          </cell>
          <cell r="BD184" t="str">
            <v>02</v>
          </cell>
          <cell r="BE184" t="str">
            <v>30</v>
          </cell>
          <cell r="BF184">
            <v>47</v>
          </cell>
          <cell r="BG184">
            <v>52.03</v>
          </cell>
          <cell r="BH184">
            <v>10</v>
          </cell>
          <cell r="BI184" t="str">
            <v>2728462</v>
          </cell>
          <cell r="BJ184" t="str">
            <v>임승근　　</v>
          </cell>
          <cell r="BK184" t="str">
            <v>02</v>
          </cell>
          <cell r="BL184" t="str">
            <v>20</v>
          </cell>
          <cell r="BM184">
            <v>47</v>
          </cell>
          <cell r="BN184">
            <v>51.22</v>
          </cell>
          <cell r="BO184">
            <v>10</v>
          </cell>
          <cell r="BP184" t="b">
            <v>0</v>
          </cell>
          <cell r="BQ184">
            <v>0</v>
          </cell>
          <cell r="BR184">
            <v>56.17</v>
          </cell>
          <cell r="BS184">
            <v>1061</v>
          </cell>
          <cell r="BT184">
            <v>73.099999999999994</v>
          </cell>
          <cell r="BU184" t="str">
            <v>D</v>
          </cell>
          <cell r="BV184" t="str">
            <v>08</v>
          </cell>
          <cell r="BW184">
            <v>52</v>
          </cell>
          <cell r="BX184" t="str">
            <v>19950101</v>
          </cell>
          <cell r="BZ184" t="str">
            <v>D</v>
          </cell>
          <cell r="CA184" t="str">
            <v>09</v>
          </cell>
          <cell r="CB184" t="str">
            <v>C</v>
          </cell>
          <cell r="CC184" t="str">
            <v>06</v>
          </cell>
          <cell r="CD184" t="str">
            <v>D</v>
          </cell>
          <cell r="CE184" t="str">
            <v>10</v>
          </cell>
        </row>
        <row r="185">
          <cell r="A185" t="str">
            <v>2692592</v>
          </cell>
          <cell r="B185" t="str">
            <v>30</v>
          </cell>
          <cell r="C185" t="str">
            <v>4갑</v>
          </cell>
          <cell r="D185" t="str">
            <v>소성삼　　</v>
          </cell>
          <cell r="E185" t="str">
            <v>C</v>
          </cell>
          <cell r="G185">
            <v>1</v>
          </cell>
          <cell r="H185" t="str">
            <v>KO**</v>
          </cell>
          <cell r="I185" t="str">
            <v>KPCA</v>
          </cell>
          <cell r="J185" t="str">
            <v>구동부품개발업무팀　</v>
          </cell>
          <cell r="K185" t="str">
            <v>KPAB</v>
          </cell>
          <cell r="L185" t="str">
            <v>승용샤시부품개발팀　</v>
          </cell>
          <cell r="O185" t="str">
            <v>KPAB</v>
          </cell>
          <cell r="R185" t="str">
            <v>4</v>
          </cell>
          <cell r="V185" t="str">
            <v>5</v>
          </cell>
          <cell r="W185" t="str">
            <v>1</v>
          </cell>
          <cell r="X185" t="str">
            <v>3</v>
          </cell>
          <cell r="Y185" t="str">
            <v>O</v>
          </cell>
          <cell r="Z185" t="str">
            <v>7428982</v>
          </cell>
          <cell r="AA185" t="str">
            <v>최재현　　</v>
          </cell>
          <cell r="AB185" t="str">
            <v>24</v>
          </cell>
          <cell r="AC185" t="str">
            <v>43</v>
          </cell>
          <cell r="AD185">
            <v>65</v>
          </cell>
          <cell r="AE185">
            <v>55.05</v>
          </cell>
          <cell r="AF185">
            <v>30</v>
          </cell>
          <cell r="AG185" t="str">
            <v>7151374</v>
          </cell>
          <cell r="AH185" t="str">
            <v>고승환　　</v>
          </cell>
          <cell r="AI185" t="str">
            <v>20</v>
          </cell>
          <cell r="AJ185" t="str">
            <v>32</v>
          </cell>
          <cell r="AK185">
            <v>72</v>
          </cell>
          <cell r="AL185">
            <v>60.18</v>
          </cell>
          <cell r="AM185">
            <v>20</v>
          </cell>
          <cell r="AN185" t="str">
            <v>7043317</v>
          </cell>
          <cell r="AO185" t="str">
            <v>박승하　　</v>
          </cell>
          <cell r="AP185" t="str">
            <v>04</v>
          </cell>
          <cell r="AQ185" t="str">
            <v>30</v>
          </cell>
          <cell r="AR185">
            <v>51</v>
          </cell>
          <cell r="AS185">
            <v>50.8</v>
          </cell>
          <cell r="AT185">
            <v>20</v>
          </cell>
          <cell r="AU185" t="str">
            <v>2008268</v>
          </cell>
          <cell r="AV185" t="str">
            <v>이용도　　</v>
          </cell>
          <cell r="AW185" t="str">
            <v>02</v>
          </cell>
          <cell r="AX185" t="str">
            <v>20</v>
          </cell>
          <cell r="AY185">
            <v>64</v>
          </cell>
          <cell r="AZ185">
            <v>55.79</v>
          </cell>
          <cell r="BA185">
            <v>10</v>
          </cell>
          <cell r="BF185">
            <v>0</v>
          </cell>
          <cell r="BG185">
            <v>0</v>
          </cell>
          <cell r="BH185">
            <v>0</v>
          </cell>
          <cell r="BM185">
            <v>0</v>
          </cell>
          <cell r="BN185">
            <v>0</v>
          </cell>
          <cell r="BO185">
            <v>0</v>
          </cell>
          <cell r="BP185" t="b">
            <v>0</v>
          </cell>
          <cell r="BQ185">
            <v>0</v>
          </cell>
          <cell r="BR185">
            <v>55.36</v>
          </cell>
          <cell r="BS185">
            <v>1121</v>
          </cell>
          <cell r="BT185">
            <v>77.3</v>
          </cell>
          <cell r="BU185" t="str">
            <v>D</v>
          </cell>
          <cell r="BV185" t="str">
            <v>09</v>
          </cell>
          <cell r="BW185">
            <v>48</v>
          </cell>
          <cell r="BX185" t="str">
            <v>19961216</v>
          </cell>
          <cell r="BZ185" t="str">
            <v>D</v>
          </cell>
          <cell r="CA185" t="str">
            <v>09</v>
          </cell>
          <cell r="CB185" t="str">
            <v>D</v>
          </cell>
          <cell r="CC185" t="str">
            <v>10</v>
          </cell>
        </row>
        <row r="186">
          <cell r="A186" t="str">
            <v>2696688</v>
          </cell>
          <cell r="B186" t="str">
            <v>30</v>
          </cell>
          <cell r="C186" t="str">
            <v>4갑</v>
          </cell>
          <cell r="D186" t="str">
            <v>이헌정　　</v>
          </cell>
          <cell r="E186" t="str">
            <v>C</v>
          </cell>
          <cell r="G186">
            <v>1</v>
          </cell>
          <cell r="H186" t="str">
            <v>KQ**</v>
          </cell>
          <cell r="I186" t="str">
            <v>KRDB</v>
          </cell>
          <cell r="J186" t="str">
            <v>엔진생기팀　　　　　</v>
          </cell>
          <cell r="K186" t="str">
            <v>KTFG</v>
          </cell>
          <cell r="L186" t="str">
            <v>화）품질관리２부　　</v>
          </cell>
          <cell r="O186" t="str">
            <v>KTFGA</v>
          </cell>
          <cell r="R186" t="str">
            <v>5</v>
          </cell>
          <cell r="V186" t="str">
            <v>5</v>
          </cell>
          <cell r="W186" t="str">
            <v>2</v>
          </cell>
          <cell r="X186" t="str">
            <v>3</v>
          </cell>
          <cell r="Y186" t="str">
            <v>O</v>
          </cell>
          <cell r="Z186" t="str">
            <v>2230214</v>
          </cell>
          <cell r="AA186" t="str">
            <v>윤여섭　　</v>
          </cell>
          <cell r="AB186" t="str">
            <v>26</v>
          </cell>
          <cell r="AC186" t="str">
            <v>50</v>
          </cell>
          <cell r="AD186">
            <v>47</v>
          </cell>
          <cell r="AE186">
            <v>52.62</v>
          </cell>
          <cell r="AF186">
            <v>20</v>
          </cell>
          <cell r="AG186" t="str">
            <v>2094656</v>
          </cell>
          <cell r="AH186" t="str">
            <v>정상희　　</v>
          </cell>
          <cell r="AI186" t="str">
            <v>26</v>
          </cell>
          <cell r="AJ186" t="str">
            <v>40</v>
          </cell>
          <cell r="AK186">
            <v>47</v>
          </cell>
          <cell r="AL186">
            <v>51.89</v>
          </cell>
          <cell r="AM186">
            <v>30</v>
          </cell>
          <cell r="AN186" t="str">
            <v>7019858</v>
          </cell>
          <cell r="AO186" t="str">
            <v>홍석종　　</v>
          </cell>
          <cell r="AP186" t="str">
            <v>04</v>
          </cell>
          <cell r="AQ186" t="str">
            <v>31</v>
          </cell>
          <cell r="AR186">
            <v>47</v>
          </cell>
          <cell r="AS186">
            <v>51.52</v>
          </cell>
          <cell r="AT186">
            <v>10</v>
          </cell>
          <cell r="AU186" t="str">
            <v>2100100</v>
          </cell>
          <cell r="AV186" t="str">
            <v>김무일　　</v>
          </cell>
          <cell r="AW186" t="str">
            <v>02</v>
          </cell>
          <cell r="AX186" t="str">
            <v>30</v>
          </cell>
          <cell r="AY186">
            <v>70</v>
          </cell>
          <cell r="AZ186">
            <v>60.22</v>
          </cell>
          <cell r="BA186">
            <v>10</v>
          </cell>
          <cell r="BB186" t="str">
            <v>2728462</v>
          </cell>
          <cell r="BC186" t="str">
            <v>임승근　　</v>
          </cell>
          <cell r="BD186" t="str">
            <v>02</v>
          </cell>
          <cell r="BE186" t="str">
            <v>20</v>
          </cell>
          <cell r="BF186">
            <v>70</v>
          </cell>
          <cell r="BG186">
            <v>59.82</v>
          </cell>
          <cell r="BH186">
            <v>10</v>
          </cell>
          <cell r="BM186">
            <v>0</v>
          </cell>
          <cell r="BN186">
            <v>0</v>
          </cell>
          <cell r="BO186">
            <v>0</v>
          </cell>
          <cell r="BP186" t="b">
            <v>0</v>
          </cell>
          <cell r="BQ186">
            <v>0</v>
          </cell>
          <cell r="BR186">
            <v>54.06</v>
          </cell>
          <cell r="BS186">
            <v>1206</v>
          </cell>
          <cell r="BT186">
            <v>83.1</v>
          </cell>
          <cell r="BU186" t="str">
            <v>D</v>
          </cell>
          <cell r="BV186" t="str">
            <v>09</v>
          </cell>
          <cell r="BW186">
            <v>48</v>
          </cell>
          <cell r="BX186" t="str">
            <v>19970106</v>
          </cell>
          <cell r="BZ186" t="str">
            <v>D</v>
          </cell>
          <cell r="CA186" t="str">
            <v>09</v>
          </cell>
          <cell r="CB186" t="str">
            <v>E</v>
          </cell>
          <cell r="CC186" t="str">
            <v>10</v>
          </cell>
        </row>
        <row r="187">
          <cell r="A187" t="str">
            <v>2125561</v>
          </cell>
          <cell r="B187" t="str">
            <v>30</v>
          </cell>
          <cell r="C187" t="str">
            <v>4갑</v>
          </cell>
          <cell r="D187" t="str">
            <v>서병은　　</v>
          </cell>
          <cell r="E187" t="str">
            <v>C</v>
          </cell>
          <cell r="G187">
            <v>1</v>
          </cell>
          <cell r="H187" t="str">
            <v>KH**</v>
          </cell>
          <cell r="I187" t="str">
            <v>KHEG</v>
          </cell>
          <cell r="J187" t="str">
            <v>동부）상계지점　　　</v>
          </cell>
          <cell r="K187" t="str">
            <v>KHED</v>
          </cell>
          <cell r="L187" t="str">
            <v>동부）성수지점　　　</v>
          </cell>
          <cell r="O187" t="str">
            <v>KHEDA</v>
          </cell>
          <cell r="R187" t="str">
            <v>2</v>
          </cell>
          <cell r="V187" t="str">
            <v>5</v>
          </cell>
          <cell r="W187" t="str">
            <v>3</v>
          </cell>
          <cell r="X187" t="str">
            <v>3</v>
          </cell>
          <cell r="Y187" t="str">
            <v>S</v>
          </cell>
          <cell r="Z187" t="str">
            <v>2096283</v>
          </cell>
          <cell r="AA187" t="str">
            <v>김상덕　　</v>
          </cell>
          <cell r="AB187" t="str">
            <v>28</v>
          </cell>
          <cell r="AC187" t="str">
            <v>50</v>
          </cell>
          <cell r="AD187">
            <v>77</v>
          </cell>
          <cell r="AE187">
            <v>60</v>
          </cell>
          <cell r="AF187">
            <v>10</v>
          </cell>
          <cell r="AG187" t="str">
            <v>2074323</v>
          </cell>
          <cell r="AH187" t="str">
            <v>이병채　　</v>
          </cell>
          <cell r="AI187" t="str">
            <v>24</v>
          </cell>
          <cell r="AJ187" t="str">
            <v>44</v>
          </cell>
          <cell r="AK187">
            <v>77</v>
          </cell>
          <cell r="AL187">
            <v>55.29</v>
          </cell>
          <cell r="AM187">
            <v>40</v>
          </cell>
          <cell r="AN187" t="str">
            <v>2718162</v>
          </cell>
          <cell r="AO187" t="str">
            <v>박광인　　</v>
          </cell>
          <cell r="AP187" t="str">
            <v>03</v>
          </cell>
          <cell r="AQ187" t="str">
            <v>32</v>
          </cell>
          <cell r="AR187">
            <v>70</v>
          </cell>
          <cell r="AS187">
            <v>58.23</v>
          </cell>
          <cell r="AT187">
            <v>30</v>
          </cell>
          <cell r="AU187" t="str">
            <v>2059744</v>
          </cell>
          <cell r="AV187" t="str">
            <v>김도영　　</v>
          </cell>
          <cell r="AW187" t="str">
            <v>02</v>
          </cell>
          <cell r="AX187" t="str">
            <v>20</v>
          </cell>
          <cell r="AY187">
            <v>70</v>
          </cell>
          <cell r="AZ187">
            <v>59.89</v>
          </cell>
          <cell r="BA187">
            <v>10</v>
          </cell>
          <cell r="BF187">
            <v>0</v>
          </cell>
          <cell r="BG187">
            <v>0</v>
          </cell>
          <cell r="BH187">
            <v>0</v>
          </cell>
          <cell r="BM187">
            <v>0</v>
          </cell>
          <cell r="BN187">
            <v>0</v>
          </cell>
          <cell r="BO187">
            <v>0</v>
          </cell>
          <cell r="BP187" t="b">
            <v>0</v>
          </cell>
          <cell r="BQ187">
            <v>0</v>
          </cell>
          <cell r="BR187">
            <v>57.3</v>
          </cell>
          <cell r="BS187">
            <v>960</v>
          </cell>
          <cell r="BT187">
            <v>66.2</v>
          </cell>
          <cell r="BU187" t="str">
            <v>C</v>
          </cell>
          <cell r="BV187" t="str">
            <v>08</v>
          </cell>
          <cell r="BW187">
            <v>52</v>
          </cell>
          <cell r="BX187" t="str">
            <v>19910101</v>
          </cell>
          <cell r="BZ187" t="str">
            <v>C</v>
          </cell>
          <cell r="CA187" t="str">
            <v>08</v>
          </cell>
          <cell r="CB187" t="str">
            <v>D</v>
          </cell>
          <cell r="CC187" t="str">
            <v>08</v>
          </cell>
          <cell r="CD187" t="str">
            <v>E</v>
          </cell>
          <cell r="CE187" t="str">
            <v>10</v>
          </cell>
        </row>
        <row r="188">
          <cell r="A188" t="str">
            <v>2592873</v>
          </cell>
          <cell r="B188" t="str">
            <v>32</v>
          </cell>
          <cell r="C188" t="str">
            <v>4을</v>
          </cell>
          <cell r="D188" t="str">
            <v>국형곤　　</v>
          </cell>
          <cell r="E188" t="str">
            <v>C</v>
          </cell>
          <cell r="G188">
            <v>1</v>
          </cell>
          <cell r="H188" t="str">
            <v>KH**</v>
          </cell>
          <cell r="I188" t="str">
            <v>KHQJ</v>
          </cell>
          <cell r="J188" t="str">
            <v>광주）신안지점　　　</v>
          </cell>
          <cell r="K188" t="str">
            <v>KHQA</v>
          </cell>
          <cell r="L188" t="str">
            <v>광주）광주지점　　　</v>
          </cell>
          <cell r="O188" t="str">
            <v>KHQAA</v>
          </cell>
          <cell r="R188" t="str">
            <v>2</v>
          </cell>
          <cell r="V188" t="str">
            <v>6</v>
          </cell>
          <cell r="W188" t="str">
            <v>3</v>
          </cell>
          <cell r="X188" t="str">
            <v>4</v>
          </cell>
          <cell r="Y188" t="str">
            <v>O</v>
          </cell>
          <cell r="Z188" t="str">
            <v>2285005</v>
          </cell>
          <cell r="AA188" t="str">
            <v>강성준　　</v>
          </cell>
          <cell r="AB188" t="str">
            <v>28</v>
          </cell>
          <cell r="AC188" t="str">
            <v>50</v>
          </cell>
          <cell r="AD188">
            <v>71</v>
          </cell>
          <cell r="AE188">
            <v>59.15</v>
          </cell>
          <cell r="AF188">
            <v>10</v>
          </cell>
          <cell r="AG188" t="str">
            <v>2129196</v>
          </cell>
          <cell r="AH188" t="str">
            <v>양창열　　</v>
          </cell>
          <cell r="AI188" t="str">
            <v>24</v>
          </cell>
          <cell r="AJ188" t="str">
            <v>44</v>
          </cell>
          <cell r="AK188">
            <v>66</v>
          </cell>
          <cell r="AL188">
            <v>57.51</v>
          </cell>
          <cell r="AM188">
            <v>50</v>
          </cell>
          <cell r="AN188" t="str">
            <v>2020506</v>
          </cell>
          <cell r="AO188" t="str">
            <v>한용근　　</v>
          </cell>
          <cell r="AP188" t="str">
            <v>22</v>
          </cell>
          <cell r="AQ188" t="str">
            <v>32</v>
          </cell>
          <cell r="AR188">
            <v>77</v>
          </cell>
          <cell r="AS188">
            <v>58.64</v>
          </cell>
          <cell r="AT188">
            <v>30</v>
          </cell>
          <cell r="AY188">
            <v>0</v>
          </cell>
          <cell r="AZ188">
            <v>0</v>
          </cell>
          <cell r="BA188">
            <v>0</v>
          </cell>
          <cell r="BF188">
            <v>0</v>
          </cell>
          <cell r="BG188">
            <v>0</v>
          </cell>
          <cell r="BH188">
            <v>0</v>
          </cell>
          <cell r="BM188">
            <v>0</v>
          </cell>
          <cell r="BN188">
            <v>0</v>
          </cell>
          <cell r="BO188">
            <v>0</v>
          </cell>
          <cell r="BP188" t="b">
            <v>0</v>
          </cell>
          <cell r="BQ188">
            <v>0</v>
          </cell>
          <cell r="BR188">
            <v>58.07</v>
          </cell>
          <cell r="BS188">
            <v>460</v>
          </cell>
          <cell r="BT188">
            <v>66</v>
          </cell>
          <cell r="BU188" t="str">
            <v>C</v>
          </cell>
          <cell r="BV188" t="str">
            <v>08</v>
          </cell>
          <cell r="BW188">
            <v>52</v>
          </cell>
          <cell r="BX188" t="str">
            <v>19970101</v>
          </cell>
          <cell r="BZ188" t="str">
            <v>E</v>
          </cell>
          <cell r="CA188" t="str">
            <v>11</v>
          </cell>
          <cell r="CB188" t="str">
            <v>D</v>
          </cell>
          <cell r="CC188" t="str">
            <v>09</v>
          </cell>
          <cell r="CD188" t="str">
            <v>C</v>
          </cell>
          <cell r="CE188" t="str">
            <v>06</v>
          </cell>
        </row>
        <row r="189">
          <cell r="A189" t="str">
            <v>2288431</v>
          </cell>
          <cell r="B189" t="str">
            <v>32</v>
          </cell>
          <cell r="C189" t="str">
            <v>4을</v>
          </cell>
          <cell r="D189" t="str">
            <v>원혜영　　</v>
          </cell>
          <cell r="E189" t="str">
            <v>C</v>
          </cell>
          <cell r="G189">
            <v>1</v>
          </cell>
          <cell r="H189" t="str">
            <v>KF**</v>
          </cell>
          <cell r="I189" t="str">
            <v>KHJG</v>
          </cell>
          <cell r="J189" t="str">
            <v>경기）평촌지점　　　</v>
          </cell>
          <cell r="K189" t="str">
            <v>KSBE</v>
          </cell>
          <cell r="L189" t="str">
            <v>소）경리팀　　　　　</v>
          </cell>
          <cell r="O189" t="str">
            <v>KSBE</v>
          </cell>
          <cell r="R189" t="str">
            <v>4</v>
          </cell>
          <cell r="V189" t="str">
            <v>6</v>
          </cell>
          <cell r="W189" t="str">
            <v>2</v>
          </cell>
          <cell r="X189" t="str">
            <v>4</v>
          </cell>
          <cell r="Y189" t="str">
            <v>S</v>
          </cell>
          <cell r="Z189" t="str">
            <v>2064551</v>
          </cell>
          <cell r="AA189" t="str">
            <v>안준호　　</v>
          </cell>
          <cell r="AB189" t="str">
            <v>24</v>
          </cell>
          <cell r="AC189" t="str">
            <v>43</v>
          </cell>
          <cell r="AD189">
            <v>70</v>
          </cell>
          <cell r="AE189">
            <v>58.15</v>
          </cell>
          <cell r="AF189">
            <v>50</v>
          </cell>
          <cell r="AG189" t="str">
            <v>7043674</v>
          </cell>
          <cell r="AH189" t="str">
            <v>홍순택　　</v>
          </cell>
          <cell r="AI189" t="str">
            <v>05</v>
          </cell>
          <cell r="AJ189" t="str">
            <v>32</v>
          </cell>
          <cell r="AK189">
            <v>77</v>
          </cell>
          <cell r="AL189">
            <v>57.38</v>
          </cell>
          <cell r="AM189">
            <v>30</v>
          </cell>
          <cell r="AR189">
            <v>0</v>
          </cell>
          <cell r="AS189">
            <v>0</v>
          </cell>
          <cell r="AT189">
            <v>0</v>
          </cell>
          <cell r="AY189">
            <v>0</v>
          </cell>
          <cell r="AZ189">
            <v>0</v>
          </cell>
          <cell r="BA189">
            <v>0</v>
          </cell>
          <cell r="BF189">
            <v>0</v>
          </cell>
          <cell r="BG189">
            <v>0</v>
          </cell>
          <cell r="BH189">
            <v>0</v>
          </cell>
          <cell r="BM189">
            <v>0</v>
          </cell>
          <cell r="BN189">
            <v>0</v>
          </cell>
          <cell r="BO189">
            <v>0</v>
          </cell>
          <cell r="BP189" t="b">
            <v>0</v>
          </cell>
          <cell r="BQ189">
            <v>0</v>
          </cell>
          <cell r="BR189">
            <v>57.86</v>
          </cell>
          <cell r="BS189">
            <v>469</v>
          </cell>
          <cell r="BT189">
            <v>67.3</v>
          </cell>
          <cell r="BU189" t="str">
            <v>C</v>
          </cell>
          <cell r="BV189" t="str">
            <v>08</v>
          </cell>
          <cell r="BW189">
            <v>52</v>
          </cell>
          <cell r="BX189" t="str">
            <v>19950101</v>
          </cell>
          <cell r="BZ189" t="str">
            <v>D</v>
          </cell>
          <cell r="CA189" t="str">
            <v>09</v>
          </cell>
          <cell r="CB189" t="str">
            <v>C</v>
          </cell>
          <cell r="CC189" t="str">
            <v>07</v>
          </cell>
          <cell r="CD189" t="str">
            <v>D</v>
          </cell>
          <cell r="CE189" t="str">
            <v>10</v>
          </cell>
        </row>
        <row r="190">
          <cell r="A190" t="str">
            <v>2505213</v>
          </cell>
          <cell r="B190" t="str">
            <v>32</v>
          </cell>
          <cell r="C190" t="str">
            <v>4을</v>
          </cell>
          <cell r="D190" t="str">
            <v>박규정　　</v>
          </cell>
          <cell r="E190" t="str">
            <v>C</v>
          </cell>
          <cell r="G190">
            <v>1</v>
          </cell>
          <cell r="H190" t="str">
            <v>KH**</v>
          </cell>
          <cell r="I190" t="str">
            <v>KHUM</v>
          </cell>
          <cell r="J190" t="str">
            <v>대구）반야월지점　　</v>
          </cell>
          <cell r="K190" t="str">
            <v>KHUB</v>
          </cell>
          <cell r="L190" t="str">
            <v>대구）동대구지점　　</v>
          </cell>
          <cell r="O190" t="str">
            <v>KHUBA</v>
          </cell>
          <cell r="R190" t="str">
            <v>2</v>
          </cell>
          <cell r="V190" t="str">
            <v>6</v>
          </cell>
          <cell r="W190" t="str">
            <v>3</v>
          </cell>
          <cell r="X190" t="str">
            <v>4</v>
          </cell>
          <cell r="Y190" t="str">
            <v>S</v>
          </cell>
          <cell r="Z190" t="str">
            <v>2156713</v>
          </cell>
          <cell r="AA190" t="str">
            <v>정원영　　</v>
          </cell>
          <cell r="AB190" t="str">
            <v>28</v>
          </cell>
          <cell r="AC190" t="str">
            <v>50</v>
          </cell>
          <cell r="AD190">
            <v>95</v>
          </cell>
          <cell r="AE190">
            <v>68.11</v>
          </cell>
          <cell r="AF190">
            <v>10</v>
          </cell>
          <cell r="AG190" t="str">
            <v>2028436</v>
          </cell>
          <cell r="AH190" t="str">
            <v>김정대　　</v>
          </cell>
          <cell r="AI190" t="str">
            <v>24</v>
          </cell>
          <cell r="AJ190" t="str">
            <v>44</v>
          </cell>
          <cell r="AK190">
            <v>95</v>
          </cell>
          <cell r="AL190">
            <v>65.84</v>
          </cell>
          <cell r="AM190">
            <v>50</v>
          </cell>
          <cell r="AN190" t="str">
            <v>2018769</v>
          </cell>
          <cell r="AO190" t="str">
            <v>이문식　　</v>
          </cell>
          <cell r="AP190" t="str">
            <v>20</v>
          </cell>
          <cell r="AQ190" t="str">
            <v>32</v>
          </cell>
          <cell r="AR190">
            <v>86</v>
          </cell>
          <cell r="AS190">
            <v>66.78</v>
          </cell>
          <cell r="AT190">
            <v>30</v>
          </cell>
          <cell r="AY190">
            <v>0</v>
          </cell>
          <cell r="AZ190">
            <v>0</v>
          </cell>
          <cell r="BA190">
            <v>0</v>
          </cell>
          <cell r="BF190">
            <v>0</v>
          </cell>
          <cell r="BG190">
            <v>0</v>
          </cell>
          <cell r="BH190">
            <v>0</v>
          </cell>
          <cell r="BM190">
            <v>0</v>
          </cell>
          <cell r="BN190">
            <v>0</v>
          </cell>
          <cell r="BO190">
            <v>0</v>
          </cell>
          <cell r="BP190" t="b">
            <v>0</v>
          </cell>
          <cell r="BQ190">
            <v>0</v>
          </cell>
          <cell r="BR190">
            <v>66.41</v>
          </cell>
          <cell r="BS190">
            <v>91</v>
          </cell>
          <cell r="BT190">
            <v>13.1</v>
          </cell>
          <cell r="BU190" t="str">
            <v>B</v>
          </cell>
          <cell r="BV190" t="str">
            <v>02</v>
          </cell>
          <cell r="BW190">
            <v>76</v>
          </cell>
          <cell r="BX190" t="str">
            <v>19931129</v>
          </cell>
          <cell r="BZ190" t="str">
            <v>B</v>
          </cell>
          <cell r="CA190" t="str">
            <v>03</v>
          </cell>
          <cell r="CB190" t="str">
            <v>B</v>
          </cell>
          <cell r="CC190" t="str">
            <v>03</v>
          </cell>
          <cell r="CD190" t="str">
            <v>B</v>
          </cell>
          <cell r="CE190" t="str">
            <v>02</v>
          </cell>
        </row>
        <row r="191">
          <cell r="A191" t="str">
            <v>2448009</v>
          </cell>
          <cell r="B191" t="str">
            <v>32</v>
          </cell>
          <cell r="C191" t="str">
            <v>4을</v>
          </cell>
          <cell r="D191" t="str">
            <v>이성신　　</v>
          </cell>
          <cell r="E191" t="str">
            <v>C</v>
          </cell>
          <cell r="G191">
            <v>1</v>
          </cell>
          <cell r="H191" t="str">
            <v>KH**</v>
          </cell>
          <cell r="I191" t="str">
            <v>KHG1</v>
          </cell>
          <cell r="J191" t="str">
            <v>남부）경기광주지점　</v>
          </cell>
          <cell r="K191" t="str">
            <v>KHGK</v>
          </cell>
          <cell r="L191" t="str">
            <v>남부）길동지점　　　</v>
          </cell>
          <cell r="O191" t="str">
            <v>KHGKA</v>
          </cell>
          <cell r="R191" t="str">
            <v>2</v>
          </cell>
          <cell r="V191" t="str">
            <v>6</v>
          </cell>
          <cell r="W191" t="str">
            <v>3</v>
          </cell>
          <cell r="X191" t="str">
            <v>4</v>
          </cell>
          <cell r="Y191" t="str">
            <v>O</v>
          </cell>
          <cell r="Z191" t="str">
            <v>2065971</v>
          </cell>
          <cell r="AA191" t="str">
            <v>최병만　　</v>
          </cell>
          <cell r="AB191" t="str">
            <v>26</v>
          </cell>
          <cell r="AC191" t="str">
            <v>44</v>
          </cell>
          <cell r="AD191">
            <v>85</v>
          </cell>
          <cell r="AE191">
            <v>60</v>
          </cell>
          <cell r="AF191">
            <v>60</v>
          </cell>
          <cell r="AG191" t="str">
            <v>2013194</v>
          </cell>
          <cell r="AH191" t="str">
            <v>박종호　　</v>
          </cell>
          <cell r="AI191" t="str">
            <v>05</v>
          </cell>
          <cell r="AJ191" t="str">
            <v>32</v>
          </cell>
          <cell r="AK191">
            <v>58</v>
          </cell>
          <cell r="AL191">
            <v>54.72</v>
          </cell>
          <cell r="AM191">
            <v>30</v>
          </cell>
          <cell r="AR191">
            <v>0</v>
          </cell>
          <cell r="AS191">
            <v>0</v>
          </cell>
          <cell r="AT191">
            <v>0</v>
          </cell>
          <cell r="AY191">
            <v>0</v>
          </cell>
          <cell r="AZ191">
            <v>0</v>
          </cell>
          <cell r="BA191">
            <v>0</v>
          </cell>
          <cell r="BF191">
            <v>0</v>
          </cell>
          <cell r="BG191">
            <v>0</v>
          </cell>
          <cell r="BH191">
            <v>0</v>
          </cell>
          <cell r="BM191">
            <v>0</v>
          </cell>
          <cell r="BN191">
            <v>0</v>
          </cell>
          <cell r="BO191">
            <v>0</v>
          </cell>
          <cell r="BP191" t="b">
            <v>0</v>
          </cell>
          <cell r="BQ191">
            <v>0</v>
          </cell>
          <cell r="BR191">
            <v>58.24</v>
          </cell>
          <cell r="BS191">
            <v>450</v>
          </cell>
          <cell r="BT191">
            <v>64.599999999999994</v>
          </cell>
          <cell r="BU191" t="str">
            <v>C</v>
          </cell>
          <cell r="BV191" t="str">
            <v>07</v>
          </cell>
          <cell r="BW191">
            <v>56</v>
          </cell>
          <cell r="BX191" t="str">
            <v>19980101</v>
          </cell>
          <cell r="BZ191" t="str">
            <v>D</v>
          </cell>
          <cell r="CA191" t="str">
            <v>08</v>
          </cell>
          <cell r="CB191" t="str">
            <v>C</v>
          </cell>
          <cell r="CC191" t="str">
            <v>06</v>
          </cell>
          <cell r="CD191" t="str">
            <v>D</v>
          </cell>
          <cell r="CE191" t="str">
            <v>09</v>
          </cell>
        </row>
        <row r="192">
          <cell r="A192" t="str">
            <v>2538879</v>
          </cell>
          <cell r="B192" t="str">
            <v>30</v>
          </cell>
          <cell r="C192" t="str">
            <v>4갑</v>
          </cell>
          <cell r="D192" t="str">
            <v>이창한　　</v>
          </cell>
          <cell r="E192" t="str">
            <v>C</v>
          </cell>
          <cell r="G192">
            <v>1</v>
          </cell>
          <cell r="H192" t="str">
            <v>KH**</v>
          </cell>
          <cell r="I192" t="str">
            <v>KHSQ</v>
          </cell>
          <cell r="J192" t="str">
            <v>부산）장림지점　　　</v>
          </cell>
          <cell r="K192" t="str">
            <v>KHSN</v>
          </cell>
          <cell r="L192" t="str">
            <v>부산）안락지점　　　</v>
          </cell>
          <cell r="O192" t="str">
            <v>KHSNA</v>
          </cell>
          <cell r="R192" t="str">
            <v>2</v>
          </cell>
          <cell r="V192" t="str">
            <v>5</v>
          </cell>
          <cell r="W192" t="str">
            <v>3</v>
          </cell>
          <cell r="X192" t="str">
            <v>3</v>
          </cell>
          <cell r="Y192" t="str">
            <v>S</v>
          </cell>
          <cell r="Z192" t="str">
            <v>2717494</v>
          </cell>
          <cell r="AA192" t="str">
            <v>임성구　　</v>
          </cell>
          <cell r="AB192" t="str">
            <v>28</v>
          </cell>
          <cell r="AC192" t="str">
            <v>50</v>
          </cell>
          <cell r="AD192">
            <v>87</v>
          </cell>
          <cell r="AE192">
            <v>60</v>
          </cell>
          <cell r="AF192">
            <v>10</v>
          </cell>
          <cell r="AG192" t="str">
            <v>2717411</v>
          </cell>
          <cell r="AH192" t="str">
            <v>심동주　　</v>
          </cell>
          <cell r="AI192" t="str">
            <v>26</v>
          </cell>
          <cell r="AJ192" t="str">
            <v>44</v>
          </cell>
          <cell r="AK192">
            <v>73</v>
          </cell>
          <cell r="AL192">
            <v>55.29</v>
          </cell>
          <cell r="AM192">
            <v>40</v>
          </cell>
          <cell r="AN192" t="str">
            <v>2718178</v>
          </cell>
          <cell r="AO192" t="str">
            <v>박환　　　</v>
          </cell>
          <cell r="AP192" t="str">
            <v>20</v>
          </cell>
          <cell r="AQ192" t="str">
            <v>32</v>
          </cell>
          <cell r="AR192">
            <v>76</v>
          </cell>
          <cell r="AS192">
            <v>60.39</v>
          </cell>
          <cell r="AT192">
            <v>30</v>
          </cell>
          <cell r="AU192" t="str">
            <v>2059744</v>
          </cell>
          <cell r="AV192" t="str">
            <v>김도영　　</v>
          </cell>
          <cell r="AW192" t="str">
            <v>02</v>
          </cell>
          <cell r="AX192" t="str">
            <v>20</v>
          </cell>
          <cell r="AY192">
            <v>77</v>
          </cell>
          <cell r="AZ192">
            <v>62.39</v>
          </cell>
          <cell r="BA192">
            <v>10</v>
          </cell>
          <cell r="BF192">
            <v>0</v>
          </cell>
          <cell r="BG192">
            <v>0</v>
          </cell>
          <cell r="BH192">
            <v>0</v>
          </cell>
          <cell r="BM192">
            <v>0</v>
          </cell>
          <cell r="BN192">
            <v>0</v>
          </cell>
          <cell r="BO192">
            <v>0</v>
          </cell>
          <cell r="BP192" t="b">
            <v>0</v>
          </cell>
          <cell r="BQ192">
            <v>0</v>
          </cell>
          <cell r="BR192">
            <v>58.3</v>
          </cell>
          <cell r="BS192">
            <v>868</v>
          </cell>
          <cell r="BT192">
            <v>59.8</v>
          </cell>
          <cell r="BU192" t="str">
            <v>C</v>
          </cell>
          <cell r="BV192" t="str">
            <v>07</v>
          </cell>
          <cell r="BW192">
            <v>56</v>
          </cell>
          <cell r="BX192" t="str">
            <v>19940304</v>
          </cell>
          <cell r="BZ192" t="str">
            <v>D</v>
          </cell>
          <cell r="CA192" t="str">
            <v>10</v>
          </cell>
          <cell r="CB192" t="str">
            <v>A</v>
          </cell>
          <cell r="CC192" t="str">
            <v>02</v>
          </cell>
          <cell r="CD192" t="str">
            <v>E</v>
          </cell>
          <cell r="CE192" t="str">
            <v>11</v>
          </cell>
        </row>
        <row r="193">
          <cell r="A193" t="str">
            <v>2551987</v>
          </cell>
          <cell r="B193" t="str">
            <v>32</v>
          </cell>
          <cell r="C193" t="str">
            <v>4을</v>
          </cell>
          <cell r="D193" t="str">
            <v>이부형　　</v>
          </cell>
          <cell r="E193" t="str">
            <v>C</v>
          </cell>
          <cell r="G193">
            <v>1</v>
          </cell>
          <cell r="H193" t="str">
            <v>KH**</v>
          </cell>
          <cell r="I193" t="str">
            <v>KHRC</v>
          </cell>
          <cell r="J193" t="str">
            <v>제주）서귀포지점　　</v>
          </cell>
          <cell r="K193" t="str">
            <v>KHRD</v>
          </cell>
          <cell r="L193" t="str">
            <v>제주）동제주지점　　</v>
          </cell>
          <cell r="O193" t="str">
            <v>KHRDA</v>
          </cell>
          <cell r="R193" t="str">
            <v>2</v>
          </cell>
          <cell r="V193" t="str">
            <v>6</v>
          </cell>
          <cell r="W193" t="str">
            <v>3</v>
          </cell>
          <cell r="X193" t="str">
            <v>4</v>
          </cell>
          <cell r="Y193" t="str">
            <v>O</v>
          </cell>
          <cell r="Z193" t="str">
            <v>2161707</v>
          </cell>
          <cell r="AA193" t="str">
            <v>김계담　　</v>
          </cell>
          <cell r="AB193" t="str">
            <v>26</v>
          </cell>
          <cell r="AC193" t="str">
            <v>44</v>
          </cell>
          <cell r="AD193">
            <v>96</v>
          </cell>
          <cell r="AE193">
            <v>64.72</v>
          </cell>
          <cell r="AF193">
            <v>60</v>
          </cell>
          <cell r="AG193" t="str">
            <v>0288117</v>
          </cell>
          <cell r="AH193" t="str">
            <v>김창희　　</v>
          </cell>
          <cell r="AI193" t="str">
            <v>04</v>
          </cell>
          <cell r="AJ193" t="str">
            <v>32</v>
          </cell>
          <cell r="AK193">
            <v>89</v>
          </cell>
          <cell r="AL193">
            <v>60.39</v>
          </cell>
          <cell r="AM193">
            <v>30</v>
          </cell>
          <cell r="AR193">
            <v>0</v>
          </cell>
          <cell r="AS193">
            <v>0</v>
          </cell>
          <cell r="AT193">
            <v>0</v>
          </cell>
          <cell r="AY193">
            <v>0</v>
          </cell>
          <cell r="AZ193">
            <v>0</v>
          </cell>
          <cell r="BA193">
            <v>0</v>
          </cell>
          <cell r="BF193">
            <v>0</v>
          </cell>
          <cell r="BG193">
            <v>0</v>
          </cell>
          <cell r="BH193">
            <v>0</v>
          </cell>
          <cell r="BM193">
            <v>0</v>
          </cell>
          <cell r="BN193">
            <v>0</v>
          </cell>
          <cell r="BO193">
            <v>0</v>
          </cell>
          <cell r="BP193" t="b">
            <v>0</v>
          </cell>
          <cell r="BQ193">
            <v>0</v>
          </cell>
          <cell r="BR193">
            <v>63.28</v>
          </cell>
          <cell r="BS193">
            <v>210</v>
          </cell>
          <cell r="BT193">
            <v>30.1</v>
          </cell>
          <cell r="BU193" t="str">
            <v>C</v>
          </cell>
          <cell r="BV193" t="str">
            <v>04</v>
          </cell>
          <cell r="BW193">
            <v>68</v>
          </cell>
          <cell r="BX193" t="str">
            <v>19970101</v>
          </cell>
          <cell r="BZ193" t="str">
            <v>C</v>
          </cell>
          <cell r="CA193" t="str">
            <v>07</v>
          </cell>
          <cell r="CB193" t="str">
            <v>C</v>
          </cell>
          <cell r="CC193" t="str">
            <v>06</v>
          </cell>
          <cell r="CD193" t="str">
            <v>A</v>
          </cell>
          <cell r="CE193" t="str">
            <v>01</v>
          </cell>
        </row>
        <row r="194">
          <cell r="A194" t="str">
            <v>2493934</v>
          </cell>
          <cell r="B194" t="str">
            <v>32</v>
          </cell>
          <cell r="C194" t="str">
            <v>4을</v>
          </cell>
          <cell r="D194" t="str">
            <v>사계자　　</v>
          </cell>
          <cell r="E194" t="str">
            <v>C</v>
          </cell>
          <cell r="G194">
            <v>1</v>
          </cell>
          <cell r="H194" t="str">
            <v>KH**</v>
          </cell>
          <cell r="I194" t="str">
            <v>KHE*</v>
          </cell>
          <cell r="J194" t="str">
            <v>동부지역본부　　　　</v>
          </cell>
          <cell r="K194" t="str">
            <v>KHEO</v>
          </cell>
          <cell r="L194" t="str">
            <v>동부）광진지점　　　</v>
          </cell>
          <cell r="O194" t="str">
            <v>KHEOA</v>
          </cell>
          <cell r="R194" t="str">
            <v>2</v>
          </cell>
          <cell r="V194" t="str">
            <v>6</v>
          </cell>
          <cell r="W194" t="str">
            <v>3</v>
          </cell>
          <cell r="X194" t="str">
            <v>4</v>
          </cell>
          <cell r="Y194" t="str">
            <v>O</v>
          </cell>
          <cell r="Z194" t="str">
            <v>2085292</v>
          </cell>
          <cell r="AA194" t="str">
            <v>박기창　　</v>
          </cell>
          <cell r="AB194" t="str">
            <v>26</v>
          </cell>
          <cell r="AC194" t="str">
            <v>44</v>
          </cell>
          <cell r="AD194">
            <v>89</v>
          </cell>
          <cell r="AE194">
            <v>52.34</v>
          </cell>
          <cell r="AF194">
            <v>60</v>
          </cell>
          <cell r="AG194" t="str">
            <v>2718162</v>
          </cell>
          <cell r="AH194" t="str">
            <v>박광인　　</v>
          </cell>
          <cell r="AI194" t="str">
            <v>03</v>
          </cell>
          <cell r="AJ194" t="str">
            <v>32</v>
          </cell>
          <cell r="AK194">
            <v>67</v>
          </cell>
          <cell r="AL194">
            <v>58.06</v>
          </cell>
          <cell r="AM194">
            <v>30</v>
          </cell>
          <cell r="AR194">
            <v>0</v>
          </cell>
          <cell r="AS194">
            <v>0</v>
          </cell>
          <cell r="AT194">
            <v>0</v>
          </cell>
          <cell r="AY194">
            <v>0</v>
          </cell>
          <cell r="AZ194">
            <v>0</v>
          </cell>
          <cell r="BA194">
            <v>0</v>
          </cell>
          <cell r="BF194">
            <v>0</v>
          </cell>
          <cell r="BG194">
            <v>0</v>
          </cell>
          <cell r="BH194">
            <v>0</v>
          </cell>
          <cell r="BM194">
            <v>0</v>
          </cell>
          <cell r="BN194">
            <v>0</v>
          </cell>
          <cell r="BO194">
            <v>0</v>
          </cell>
          <cell r="BP194" t="b">
            <v>0</v>
          </cell>
          <cell r="BQ194">
            <v>0</v>
          </cell>
          <cell r="BR194">
            <v>54.25</v>
          </cell>
          <cell r="BS194">
            <v>626</v>
          </cell>
          <cell r="BT194">
            <v>89.8</v>
          </cell>
          <cell r="BU194" t="str">
            <v>D</v>
          </cell>
          <cell r="BV194" t="str">
            <v>10</v>
          </cell>
          <cell r="BW194">
            <v>44</v>
          </cell>
          <cell r="BX194" t="str">
            <v>19931001</v>
          </cell>
          <cell r="BZ194" t="str">
            <v>E</v>
          </cell>
          <cell r="CA194" t="str">
            <v>11</v>
          </cell>
          <cell r="CB194" t="str">
            <v>E</v>
          </cell>
          <cell r="CC194" t="str">
            <v>11</v>
          </cell>
          <cell r="CD194" t="str">
            <v>E</v>
          </cell>
          <cell r="CE194" t="str">
            <v>11</v>
          </cell>
        </row>
        <row r="195">
          <cell r="A195" t="str">
            <v>2177342</v>
          </cell>
          <cell r="B195" t="str">
            <v>32</v>
          </cell>
          <cell r="C195" t="str">
            <v>4을</v>
          </cell>
          <cell r="D195" t="str">
            <v>이순　　　</v>
          </cell>
          <cell r="E195" t="str">
            <v>C</v>
          </cell>
          <cell r="G195">
            <v>1</v>
          </cell>
          <cell r="H195" t="str">
            <v>KQ**</v>
          </cell>
          <cell r="I195" t="str">
            <v>KUCD</v>
          </cell>
          <cell r="J195" t="str">
            <v>광）버스제조부　　　</v>
          </cell>
          <cell r="K195" t="str">
            <v>KUCA</v>
          </cell>
          <cell r="L195" t="str">
            <v>광）제조관리１부　　</v>
          </cell>
          <cell r="O195" t="str">
            <v>KUCAA</v>
          </cell>
          <cell r="R195" t="str">
            <v>6</v>
          </cell>
          <cell r="V195" t="str">
            <v>6</v>
          </cell>
          <cell r="W195" t="str">
            <v>2</v>
          </cell>
          <cell r="X195" t="str">
            <v>4</v>
          </cell>
          <cell r="Y195" t="str">
            <v>S</v>
          </cell>
          <cell r="Z195" t="str">
            <v>2298731</v>
          </cell>
          <cell r="AA195" t="str">
            <v>이동진　　</v>
          </cell>
          <cell r="AB195" t="str">
            <v>26</v>
          </cell>
          <cell r="AC195" t="str">
            <v>50</v>
          </cell>
          <cell r="AD195">
            <v>49</v>
          </cell>
          <cell r="AE195">
            <v>60</v>
          </cell>
          <cell r="AF195">
            <v>20</v>
          </cell>
          <cell r="AG195" t="str">
            <v>2051309</v>
          </cell>
          <cell r="AH195" t="str">
            <v>김종환　　</v>
          </cell>
          <cell r="AI195" t="str">
            <v>24</v>
          </cell>
          <cell r="AJ195" t="str">
            <v>40</v>
          </cell>
          <cell r="AK195">
            <v>57</v>
          </cell>
          <cell r="AL195">
            <v>53.19</v>
          </cell>
          <cell r="AM195">
            <v>30</v>
          </cell>
          <cell r="AN195" t="str">
            <v>2034693</v>
          </cell>
          <cell r="AO195" t="str">
            <v>김홍수　　</v>
          </cell>
          <cell r="AP195" t="str">
            <v>20</v>
          </cell>
          <cell r="AQ195" t="str">
            <v>32</v>
          </cell>
          <cell r="AR195">
            <v>47</v>
          </cell>
          <cell r="AS195">
            <v>52.77</v>
          </cell>
          <cell r="AT195">
            <v>10</v>
          </cell>
          <cell r="AU195" t="str">
            <v>2024118</v>
          </cell>
          <cell r="AV195" t="str">
            <v>정정규　　</v>
          </cell>
          <cell r="AW195" t="str">
            <v>20</v>
          </cell>
          <cell r="AX195" t="str">
            <v>31</v>
          </cell>
          <cell r="AY195">
            <v>49</v>
          </cell>
          <cell r="AZ195">
            <v>49.05</v>
          </cell>
          <cell r="BA195">
            <v>10</v>
          </cell>
          <cell r="BB195" t="str">
            <v>2026563</v>
          </cell>
          <cell r="BC195" t="str">
            <v>전천수　　</v>
          </cell>
          <cell r="BD195" t="str">
            <v>03</v>
          </cell>
          <cell r="BE195" t="str">
            <v>30</v>
          </cell>
          <cell r="BF195">
            <v>58</v>
          </cell>
          <cell r="BG195">
            <v>55.83</v>
          </cell>
          <cell r="BH195">
            <v>10</v>
          </cell>
          <cell r="BM195">
            <v>0</v>
          </cell>
          <cell r="BN195">
            <v>0</v>
          </cell>
          <cell r="BO195">
            <v>0</v>
          </cell>
          <cell r="BP195" t="b">
            <v>0</v>
          </cell>
          <cell r="BQ195">
            <v>0</v>
          </cell>
          <cell r="BR195">
            <v>54.65</v>
          </cell>
          <cell r="BS195">
            <v>613</v>
          </cell>
          <cell r="BT195">
            <v>87.9</v>
          </cell>
          <cell r="BU195" t="str">
            <v>D</v>
          </cell>
          <cell r="BV195" t="str">
            <v>10</v>
          </cell>
          <cell r="BW195">
            <v>44</v>
          </cell>
          <cell r="BX195" t="str">
            <v>19930101</v>
          </cell>
          <cell r="BZ195" t="str">
            <v>E</v>
          </cell>
          <cell r="CA195" t="str">
            <v>11</v>
          </cell>
          <cell r="CB195" t="str">
            <v>E</v>
          </cell>
          <cell r="CC195" t="str">
            <v>11</v>
          </cell>
          <cell r="CD195" t="str">
            <v>E</v>
          </cell>
          <cell r="CE195" t="str">
            <v>11</v>
          </cell>
        </row>
        <row r="196">
          <cell r="A196" t="str">
            <v>2682776</v>
          </cell>
          <cell r="B196" t="str">
            <v>33</v>
          </cell>
          <cell r="C196" t="str">
            <v>5급</v>
          </cell>
          <cell r="D196" t="str">
            <v>이혜경　　</v>
          </cell>
          <cell r="E196" t="str">
            <v>C</v>
          </cell>
          <cell r="G196">
            <v>1</v>
          </cell>
          <cell r="H196" t="str">
            <v>KH**</v>
          </cell>
          <cell r="I196" t="str">
            <v>KHIC</v>
          </cell>
          <cell r="J196" t="str">
            <v>인천）구월지점　　　</v>
          </cell>
          <cell r="K196" t="str">
            <v>KHIK</v>
          </cell>
          <cell r="L196" t="str">
            <v>인천）주안지점　　　</v>
          </cell>
          <cell r="O196" t="str">
            <v>KHIKA</v>
          </cell>
          <cell r="R196" t="str">
            <v>2</v>
          </cell>
          <cell r="V196" t="str">
            <v>7</v>
          </cell>
          <cell r="W196" t="str">
            <v>3</v>
          </cell>
          <cell r="X196" t="str">
            <v>4</v>
          </cell>
          <cell r="Y196" t="str">
            <v>O</v>
          </cell>
          <cell r="Z196" t="str">
            <v>2073484</v>
          </cell>
          <cell r="AA196" t="str">
            <v>김현호　　</v>
          </cell>
          <cell r="AB196" t="str">
            <v>26</v>
          </cell>
          <cell r="AC196" t="str">
            <v>44</v>
          </cell>
          <cell r="AD196">
            <v>70</v>
          </cell>
          <cell r="AE196">
            <v>55.29</v>
          </cell>
          <cell r="AF196">
            <v>60</v>
          </cell>
          <cell r="AG196" t="str">
            <v>2718155</v>
          </cell>
          <cell r="AH196" t="str">
            <v>김한수　　</v>
          </cell>
          <cell r="AI196" t="str">
            <v>05</v>
          </cell>
          <cell r="AJ196" t="str">
            <v>32</v>
          </cell>
          <cell r="AK196">
            <v>56</v>
          </cell>
          <cell r="AL196">
            <v>53.55</v>
          </cell>
          <cell r="AM196">
            <v>30</v>
          </cell>
          <cell r="AR196">
            <v>0</v>
          </cell>
          <cell r="AS196">
            <v>0</v>
          </cell>
          <cell r="AT196">
            <v>0</v>
          </cell>
          <cell r="AY196">
            <v>0</v>
          </cell>
          <cell r="AZ196">
            <v>0</v>
          </cell>
          <cell r="BA196">
            <v>0</v>
          </cell>
          <cell r="BF196">
            <v>0</v>
          </cell>
          <cell r="BG196">
            <v>0</v>
          </cell>
          <cell r="BH196">
            <v>0</v>
          </cell>
          <cell r="BM196">
            <v>0</v>
          </cell>
          <cell r="BN196">
            <v>0</v>
          </cell>
          <cell r="BO196">
            <v>0</v>
          </cell>
          <cell r="BP196" t="b">
            <v>0</v>
          </cell>
          <cell r="BQ196">
            <v>0</v>
          </cell>
          <cell r="BR196">
            <v>54.71</v>
          </cell>
          <cell r="BS196">
            <v>575</v>
          </cell>
          <cell r="BT196">
            <v>83.9</v>
          </cell>
          <cell r="BU196" t="str">
            <v>D</v>
          </cell>
          <cell r="BV196" t="str">
            <v>09</v>
          </cell>
          <cell r="BW196">
            <v>48</v>
          </cell>
          <cell r="BX196" t="str">
            <v>19960916</v>
          </cell>
          <cell r="BZ196" t="str">
            <v>E</v>
          </cell>
          <cell r="CA196" t="str">
            <v>10</v>
          </cell>
          <cell r="CB196" t="str">
            <v>E</v>
          </cell>
          <cell r="CC196" t="str">
            <v>10</v>
          </cell>
        </row>
        <row r="197">
          <cell r="A197" t="str">
            <v>2707283</v>
          </cell>
          <cell r="B197" t="str">
            <v>33</v>
          </cell>
          <cell r="C197" t="str">
            <v>5급</v>
          </cell>
          <cell r="D197" t="str">
            <v>김영미　　</v>
          </cell>
          <cell r="E197" t="str">
            <v>C</v>
          </cell>
          <cell r="G197">
            <v>1</v>
          </cell>
          <cell r="H197" t="str">
            <v>KM**</v>
          </cell>
          <cell r="I197" t="str">
            <v>KMD*</v>
          </cell>
          <cell r="J197" t="str">
            <v>대구직매점</v>
          </cell>
          <cell r="K197" t="str">
            <v>KMID</v>
          </cell>
          <cell r="L197" t="str">
            <v>대구부품사업소　　　</v>
          </cell>
          <cell r="O197" t="str">
            <v>KMIDB</v>
          </cell>
          <cell r="R197" t="str">
            <v>2</v>
          </cell>
          <cell r="V197" t="str">
            <v>7</v>
          </cell>
          <cell r="W197" t="str">
            <v>4</v>
          </cell>
          <cell r="X197" t="str">
            <v>4</v>
          </cell>
          <cell r="Y197" t="str">
            <v>O</v>
          </cell>
          <cell r="Z197" t="str">
            <v>2127055</v>
          </cell>
          <cell r="AA197" t="str">
            <v>박병화　　</v>
          </cell>
          <cell r="AB197" t="str">
            <v>28</v>
          </cell>
          <cell r="AC197" t="str">
            <v>50</v>
          </cell>
          <cell r="AD197">
            <v>53</v>
          </cell>
          <cell r="AE197">
            <v>54.86</v>
          </cell>
          <cell r="AF197">
            <v>40</v>
          </cell>
          <cell r="AG197" t="str">
            <v>2011112</v>
          </cell>
          <cell r="AH197" t="str">
            <v>백원량　　</v>
          </cell>
          <cell r="AI197" t="str">
            <v>22</v>
          </cell>
          <cell r="AJ197" t="str">
            <v>43</v>
          </cell>
          <cell r="AK197">
            <v>52</v>
          </cell>
          <cell r="AL197">
            <v>55.89</v>
          </cell>
          <cell r="AM197">
            <v>50</v>
          </cell>
          <cell r="AR197">
            <v>0</v>
          </cell>
          <cell r="AS197">
            <v>0</v>
          </cell>
          <cell r="AT197">
            <v>0</v>
          </cell>
          <cell r="AY197">
            <v>0</v>
          </cell>
          <cell r="AZ197">
            <v>0</v>
          </cell>
          <cell r="BA197">
            <v>0</v>
          </cell>
          <cell r="BF197">
            <v>0</v>
          </cell>
          <cell r="BG197">
            <v>0</v>
          </cell>
          <cell r="BH197">
            <v>0</v>
          </cell>
          <cell r="BM197">
            <v>0</v>
          </cell>
          <cell r="BN197">
            <v>0</v>
          </cell>
          <cell r="BO197">
            <v>0</v>
          </cell>
          <cell r="BP197" t="b">
            <v>0</v>
          </cell>
          <cell r="BQ197">
            <v>0</v>
          </cell>
          <cell r="BR197">
            <v>55.43</v>
          </cell>
          <cell r="BS197">
            <v>541</v>
          </cell>
          <cell r="BT197">
            <v>79</v>
          </cell>
          <cell r="BU197" t="str">
            <v>D</v>
          </cell>
          <cell r="BV197" t="str">
            <v>09</v>
          </cell>
          <cell r="BW197">
            <v>48</v>
          </cell>
          <cell r="BX197" t="str">
            <v>19970513</v>
          </cell>
          <cell r="BZ197" t="str">
            <v>D</v>
          </cell>
          <cell r="CA197" t="str">
            <v>09</v>
          </cell>
          <cell r="CB197" t="str">
            <v>E</v>
          </cell>
          <cell r="CC197" t="str">
            <v>11</v>
          </cell>
        </row>
        <row r="198">
          <cell r="A198" t="str">
            <v>2454668</v>
          </cell>
          <cell r="B198" t="str">
            <v>33</v>
          </cell>
          <cell r="C198" t="str">
            <v>5급</v>
          </cell>
          <cell r="D198" t="str">
            <v>정영진　　</v>
          </cell>
          <cell r="E198" t="str">
            <v>C</v>
          </cell>
          <cell r="G198">
            <v>1</v>
          </cell>
          <cell r="H198" t="str">
            <v>KH**</v>
          </cell>
          <cell r="I198" t="str">
            <v>KHSV</v>
          </cell>
          <cell r="J198" t="str">
            <v>부산）양정지점　　　</v>
          </cell>
          <cell r="K198" t="str">
            <v>KHSC</v>
          </cell>
          <cell r="L198" t="str">
            <v>부산）금정지점　　　</v>
          </cell>
          <cell r="O198" t="str">
            <v>KHSCA</v>
          </cell>
          <cell r="R198" t="str">
            <v>2</v>
          </cell>
          <cell r="V198" t="str">
            <v>7</v>
          </cell>
          <cell r="W198" t="str">
            <v>3</v>
          </cell>
          <cell r="X198" t="str">
            <v>4</v>
          </cell>
          <cell r="Y198" t="str">
            <v>S</v>
          </cell>
          <cell r="Z198" t="str">
            <v>2227756</v>
          </cell>
          <cell r="AA198" t="str">
            <v>김봉태　　</v>
          </cell>
          <cell r="AB198" t="str">
            <v>26</v>
          </cell>
          <cell r="AC198" t="str">
            <v>50</v>
          </cell>
          <cell r="AD198">
            <v>88</v>
          </cell>
          <cell r="AE198">
            <v>60</v>
          </cell>
          <cell r="AF198">
            <v>10</v>
          </cell>
          <cell r="AG198" t="str">
            <v>2717523</v>
          </cell>
          <cell r="AH198" t="str">
            <v>조남석　　</v>
          </cell>
          <cell r="AI198" t="str">
            <v>26</v>
          </cell>
          <cell r="AJ198" t="str">
            <v>44</v>
          </cell>
          <cell r="AK198">
            <v>88</v>
          </cell>
          <cell r="AL198">
            <v>60</v>
          </cell>
          <cell r="AM198">
            <v>50</v>
          </cell>
          <cell r="AN198" t="str">
            <v>2718178</v>
          </cell>
          <cell r="AO198" t="str">
            <v>박환　　　</v>
          </cell>
          <cell r="AP198" t="str">
            <v>20</v>
          </cell>
          <cell r="AQ198" t="str">
            <v>32</v>
          </cell>
          <cell r="AR198">
            <v>65</v>
          </cell>
          <cell r="AS198">
            <v>51.74</v>
          </cell>
          <cell r="AT198">
            <v>30</v>
          </cell>
          <cell r="AY198">
            <v>0</v>
          </cell>
          <cell r="AZ198">
            <v>0</v>
          </cell>
          <cell r="BA198">
            <v>0</v>
          </cell>
          <cell r="BF198">
            <v>0</v>
          </cell>
          <cell r="BG198">
            <v>0</v>
          </cell>
          <cell r="BH198">
            <v>0</v>
          </cell>
          <cell r="BM198">
            <v>0</v>
          </cell>
          <cell r="BN198">
            <v>0</v>
          </cell>
          <cell r="BO198">
            <v>0</v>
          </cell>
          <cell r="BP198" t="b">
            <v>0</v>
          </cell>
          <cell r="BQ198">
            <v>0</v>
          </cell>
          <cell r="BR198">
            <v>57.25</v>
          </cell>
          <cell r="BS198">
            <v>450</v>
          </cell>
          <cell r="BT198">
            <v>65.7</v>
          </cell>
          <cell r="BU198" t="str">
            <v>C</v>
          </cell>
          <cell r="BV198" t="str">
            <v>08</v>
          </cell>
          <cell r="BW198">
            <v>52</v>
          </cell>
          <cell r="BX198" t="str">
            <v>19930208</v>
          </cell>
          <cell r="BZ198" t="str">
            <v>D</v>
          </cell>
          <cell r="CA198" t="str">
            <v>10</v>
          </cell>
          <cell r="CB198" t="str">
            <v>C</v>
          </cell>
          <cell r="CC198" t="str">
            <v>07</v>
          </cell>
          <cell r="CD198" t="str">
            <v>E</v>
          </cell>
          <cell r="CE198" t="str">
            <v>10</v>
          </cell>
        </row>
        <row r="199">
          <cell r="A199" t="str">
            <v>2607349</v>
          </cell>
          <cell r="B199" t="str">
            <v>30</v>
          </cell>
          <cell r="C199" t="str">
            <v>4갑</v>
          </cell>
          <cell r="D199" t="str">
            <v>이원일　　</v>
          </cell>
          <cell r="E199" t="str">
            <v>C</v>
          </cell>
          <cell r="G199">
            <v>1</v>
          </cell>
          <cell r="H199" t="str">
            <v>KH**</v>
          </cell>
          <cell r="I199" t="str">
            <v>KHKA</v>
          </cell>
          <cell r="J199" t="str">
            <v>강원）춘천지점　　　</v>
          </cell>
          <cell r="K199" t="str">
            <v>KHKF</v>
          </cell>
          <cell r="L199" t="str">
            <v>강원）홍천지점　　　</v>
          </cell>
          <cell r="O199" t="str">
            <v>KHKFA</v>
          </cell>
          <cell r="R199" t="str">
            <v>2</v>
          </cell>
          <cell r="V199" t="str">
            <v>5</v>
          </cell>
          <cell r="W199" t="str">
            <v>3</v>
          </cell>
          <cell r="X199" t="str">
            <v>3</v>
          </cell>
          <cell r="Y199" t="str">
            <v>O</v>
          </cell>
          <cell r="Z199" t="str">
            <v>2096886</v>
          </cell>
          <cell r="AA199" t="str">
            <v>임광혁　　</v>
          </cell>
          <cell r="AB199" t="str">
            <v>28</v>
          </cell>
          <cell r="AC199" t="str">
            <v>44</v>
          </cell>
          <cell r="AD199">
            <v>77</v>
          </cell>
          <cell r="AE199">
            <v>60</v>
          </cell>
          <cell r="AF199">
            <v>50</v>
          </cell>
          <cell r="AG199" t="str">
            <v>2032367</v>
          </cell>
          <cell r="AH199" t="str">
            <v>최진　　　</v>
          </cell>
          <cell r="AI199" t="str">
            <v>22</v>
          </cell>
          <cell r="AJ199" t="str">
            <v>32</v>
          </cell>
          <cell r="AK199">
            <v>69</v>
          </cell>
          <cell r="AL199">
            <v>52.93</v>
          </cell>
          <cell r="AM199">
            <v>30</v>
          </cell>
          <cell r="AN199" t="str">
            <v>2059744</v>
          </cell>
          <cell r="AO199" t="str">
            <v>김도영　　</v>
          </cell>
          <cell r="AP199" t="str">
            <v>02</v>
          </cell>
          <cell r="AQ199" t="str">
            <v>20</v>
          </cell>
          <cell r="AR199">
            <v>100</v>
          </cell>
          <cell r="AS199">
            <v>70.58</v>
          </cell>
          <cell r="AT199">
            <v>10</v>
          </cell>
          <cell r="AY199">
            <v>0</v>
          </cell>
          <cell r="AZ199">
            <v>0</v>
          </cell>
          <cell r="BA199">
            <v>0</v>
          </cell>
          <cell r="BF199">
            <v>0</v>
          </cell>
          <cell r="BG199">
            <v>0</v>
          </cell>
          <cell r="BH199">
            <v>0</v>
          </cell>
          <cell r="BM199">
            <v>0</v>
          </cell>
          <cell r="BN199">
            <v>0</v>
          </cell>
          <cell r="BO199">
            <v>0</v>
          </cell>
          <cell r="BP199" t="b">
            <v>0</v>
          </cell>
          <cell r="BQ199">
            <v>0</v>
          </cell>
          <cell r="BR199">
            <v>58.82</v>
          </cell>
          <cell r="BS199">
            <v>812</v>
          </cell>
          <cell r="BT199">
            <v>56</v>
          </cell>
          <cell r="BU199" t="str">
            <v>C</v>
          </cell>
          <cell r="BV199" t="str">
            <v>07</v>
          </cell>
          <cell r="BW199">
            <v>56</v>
          </cell>
          <cell r="BX199" t="str">
            <v>19950123</v>
          </cell>
          <cell r="BZ199" t="str">
            <v>C</v>
          </cell>
          <cell r="CA199" t="str">
            <v>05</v>
          </cell>
          <cell r="CB199" t="str">
            <v>D</v>
          </cell>
          <cell r="CC199" t="str">
            <v>09</v>
          </cell>
          <cell r="CD199" t="str">
            <v>D</v>
          </cell>
          <cell r="CE199" t="str">
            <v>10</v>
          </cell>
        </row>
        <row r="200">
          <cell r="A200" t="str">
            <v>2692898</v>
          </cell>
          <cell r="B200" t="str">
            <v>30</v>
          </cell>
          <cell r="C200" t="str">
            <v>4갑</v>
          </cell>
          <cell r="D200" t="str">
            <v>양재동　　</v>
          </cell>
          <cell r="E200" t="str">
            <v>C</v>
          </cell>
          <cell r="G200">
            <v>1</v>
          </cell>
          <cell r="H200" t="str">
            <v>KK**</v>
          </cell>
          <cell r="I200" t="str">
            <v>KJAB</v>
          </cell>
          <cell r="J200" t="str">
            <v>특수수출팀　　　　　</v>
          </cell>
          <cell r="K200" t="str">
            <v>KLCE</v>
          </cell>
          <cell r="L200" t="str">
            <v>상용특장수출팀　　　</v>
          </cell>
          <cell r="O200" t="str">
            <v>KLCE</v>
          </cell>
          <cell r="R200" t="str">
            <v>1</v>
          </cell>
          <cell r="V200" t="str">
            <v>5</v>
          </cell>
          <cell r="W200" t="str">
            <v>1</v>
          </cell>
          <cell r="X200" t="str">
            <v>3</v>
          </cell>
          <cell r="Y200" t="str">
            <v>O</v>
          </cell>
          <cell r="Z200" t="str">
            <v>2013104</v>
          </cell>
          <cell r="AA200" t="str">
            <v>김남중　　</v>
          </cell>
          <cell r="AB200" t="str">
            <v>20</v>
          </cell>
          <cell r="AC200" t="str">
            <v>43</v>
          </cell>
          <cell r="AD200">
            <v>62</v>
          </cell>
          <cell r="AE200">
            <v>56.34</v>
          </cell>
          <cell r="AF200">
            <v>40</v>
          </cell>
          <cell r="AG200" t="str">
            <v>2002024</v>
          </cell>
          <cell r="AH200" t="str">
            <v>이덕규　　</v>
          </cell>
          <cell r="AI200" t="str">
            <v>04</v>
          </cell>
          <cell r="AJ200" t="str">
            <v>30</v>
          </cell>
          <cell r="AK200">
            <v>70</v>
          </cell>
          <cell r="AL200">
            <v>59.14</v>
          </cell>
          <cell r="AM200">
            <v>30</v>
          </cell>
          <cell r="AN200" t="str">
            <v>2005295</v>
          </cell>
          <cell r="AO200" t="str">
            <v>박성도　　</v>
          </cell>
          <cell r="AP200" t="str">
            <v>02</v>
          </cell>
          <cell r="AQ200" t="str">
            <v>20</v>
          </cell>
          <cell r="AR200">
            <v>70</v>
          </cell>
          <cell r="AS200">
            <v>58.77</v>
          </cell>
          <cell r="AT200">
            <v>10</v>
          </cell>
          <cell r="AY200">
            <v>0</v>
          </cell>
          <cell r="AZ200">
            <v>0</v>
          </cell>
          <cell r="BA200">
            <v>0</v>
          </cell>
          <cell r="BF200">
            <v>0</v>
          </cell>
          <cell r="BG200">
            <v>0</v>
          </cell>
          <cell r="BH200">
            <v>0</v>
          </cell>
          <cell r="BM200">
            <v>0</v>
          </cell>
          <cell r="BN200">
            <v>0</v>
          </cell>
          <cell r="BO200">
            <v>0</v>
          </cell>
          <cell r="BP200" t="b">
            <v>0</v>
          </cell>
          <cell r="BQ200">
            <v>0</v>
          </cell>
          <cell r="BR200">
            <v>57.69</v>
          </cell>
          <cell r="BS200">
            <v>925</v>
          </cell>
          <cell r="BT200">
            <v>63.7</v>
          </cell>
          <cell r="BU200" t="str">
            <v>C</v>
          </cell>
          <cell r="BV200" t="str">
            <v>07</v>
          </cell>
          <cell r="BW200">
            <v>56</v>
          </cell>
          <cell r="BX200" t="str">
            <v>19961216</v>
          </cell>
          <cell r="BZ200" t="str">
            <v>C</v>
          </cell>
          <cell r="CA200" t="str">
            <v>07</v>
          </cell>
          <cell r="CB200" t="str">
            <v>D</v>
          </cell>
          <cell r="CC200" t="str">
            <v>09</v>
          </cell>
        </row>
        <row r="201">
          <cell r="A201" t="str">
            <v>2648651</v>
          </cell>
          <cell r="B201" t="str">
            <v>30</v>
          </cell>
          <cell r="C201" t="str">
            <v>4갑</v>
          </cell>
          <cell r="D201" t="str">
            <v>김영준　　</v>
          </cell>
          <cell r="E201" t="str">
            <v>C</v>
          </cell>
          <cell r="G201">
            <v>1</v>
          </cell>
          <cell r="H201" t="str">
            <v>KK**</v>
          </cell>
          <cell r="I201" t="str">
            <v>KLDA</v>
          </cell>
          <cell r="J201" t="str">
            <v>써비스기획팀　　　　</v>
          </cell>
          <cell r="K201" t="str">
            <v>KLDC</v>
          </cell>
          <cell r="L201" t="str">
            <v>해외써비스팀　　　　</v>
          </cell>
          <cell r="O201" t="str">
            <v>KLDC</v>
          </cell>
          <cell r="R201" t="str">
            <v>4</v>
          </cell>
          <cell r="V201" t="str">
            <v>5</v>
          </cell>
          <cell r="W201" t="str">
            <v>1</v>
          </cell>
          <cell r="X201" t="str">
            <v>3</v>
          </cell>
          <cell r="Y201" t="str">
            <v>O</v>
          </cell>
          <cell r="Z201" t="str">
            <v>7253025</v>
          </cell>
          <cell r="AA201" t="str">
            <v>김종민　　</v>
          </cell>
          <cell r="AB201" t="str">
            <v>24</v>
          </cell>
          <cell r="AC201" t="str">
            <v>43</v>
          </cell>
          <cell r="AD201">
            <v>69</v>
          </cell>
          <cell r="AE201">
            <v>56.51</v>
          </cell>
          <cell r="AF201">
            <v>30</v>
          </cell>
          <cell r="AG201" t="str">
            <v>7043258</v>
          </cell>
          <cell r="AH201" t="str">
            <v>박상근　　</v>
          </cell>
          <cell r="AI201" t="str">
            <v>05</v>
          </cell>
          <cell r="AJ201" t="str">
            <v>32</v>
          </cell>
          <cell r="AK201">
            <v>84</v>
          </cell>
          <cell r="AL201">
            <v>62.63</v>
          </cell>
          <cell r="AM201">
            <v>20</v>
          </cell>
          <cell r="AN201" t="str">
            <v>2002024</v>
          </cell>
          <cell r="AO201" t="str">
            <v>이덕규　　</v>
          </cell>
          <cell r="AP201" t="str">
            <v>04</v>
          </cell>
          <cell r="AQ201" t="str">
            <v>30</v>
          </cell>
          <cell r="AR201">
            <v>68</v>
          </cell>
          <cell r="AS201">
            <v>58.32</v>
          </cell>
          <cell r="AT201">
            <v>20</v>
          </cell>
          <cell r="AU201" t="str">
            <v>2005295</v>
          </cell>
          <cell r="AV201" t="str">
            <v>박성도　　</v>
          </cell>
          <cell r="AW201" t="str">
            <v>02</v>
          </cell>
          <cell r="AX201" t="str">
            <v>20</v>
          </cell>
          <cell r="AY201">
            <v>70</v>
          </cell>
          <cell r="AZ201">
            <v>58.77</v>
          </cell>
          <cell r="BA201">
            <v>10</v>
          </cell>
          <cell r="BF201">
            <v>0</v>
          </cell>
          <cell r="BG201">
            <v>0</v>
          </cell>
          <cell r="BH201">
            <v>0</v>
          </cell>
          <cell r="BM201">
            <v>0</v>
          </cell>
          <cell r="BN201">
            <v>0</v>
          </cell>
          <cell r="BO201">
            <v>0</v>
          </cell>
          <cell r="BP201" t="b">
            <v>0</v>
          </cell>
          <cell r="BQ201">
            <v>0</v>
          </cell>
          <cell r="BR201">
            <v>58.78</v>
          </cell>
          <cell r="BS201">
            <v>817</v>
          </cell>
          <cell r="BT201">
            <v>56.3</v>
          </cell>
          <cell r="BU201" t="str">
            <v>C</v>
          </cell>
          <cell r="BV201" t="str">
            <v>07</v>
          </cell>
          <cell r="BW201">
            <v>56</v>
          </cell>
          <cell r="BX201" t="str">
            <v>19951211</v>
          </cell>
          <cell r="BZ201" t="str">
            <v>D</v>
          </cell>
          <cell r="CA201" t="str">
            <v>09</v>
          </cell>
          <cell r="CB201" t="str">
            <v>D</v>
          </cell>
          <cell r="CC201" t="str">
            <v>10</v>
          </cell>
          <cell r="CD201" t="str">
            <v>C</v>
          </cell>
          <cell r="CE201" t="str">
            <v>05</v>
          </cell>
        </row>
        <row r="202">
          <cell r="A202" t="str">
            <v>2184938</v>
          </cell>
          <cell r="B202" t="str">
            <v>32</v>
          </cell>
          <cell r="C202" t="str">
            <v>4을</v>
          </cell>
          <cell r="D202" t="str">
            <v>강미영　　</v>
          </cell>
          <cell r="E202" t="str">
            <v>C</v>
          </cell>
          <cell r="G202">
            <v>1</v>
          </cell>
          <cell r="H202" t="str">
            <v>KH**</v>
          </cell>
          <cell r="I202" t="str">
            <v>KHGT</v>
          </cell>
          <cell r="J202" t="str">
            <v>남부）방배지점　　　</v>
          </cell>
          <cell r="K202" t="str">
            <v>KHHF</v>
          </cell>
          <cell r="L202" t="str">
            <v>북부）은평지점　　　</v>
          </cell>
          <cell r="O202" t="str">
            <v>KHHFA</v>
          </cell>
          <cell r="R202" t="str">
            <v>2</v>
          </cell>
          <cell r="V202" t="str">
            <v>6</v>
          </cell>
          <cell r="W202" t="str">
            <v>3</v>
          </cell>
          <cell r="X202" t="str">
            <v>4</v>
          </cell>
          <cell r="Y202" t="str">
            <v>S</v>
          </cell>
          <cell r="Z202" t="str">
            <v>2079378</v>
          </cell>
          <cell r="AA202" t="str">
            <v>오수원　　</v>
          </cell>
          <cell r="AB202" t="str">
            <v>28</v>
          </cell>
          <cell r="AC202" t="str">
            <v>50</v>
          </cell>
          <cell r="AD202">
            <v>86</v>
          </cell>
          <cell r="AE202">
            <v>60</v>
          </cell>
          <cell r="AF202">
            <v>10</v>
          </cell>
          <cell r="AG202" t="str">
            <v>2072994</v>
          </cell>
          <cell r="AH202" t="str">
            <v>권우영　　</v>
          </cell>
          <cell r="AI202" t="str">
            <v>26</v>
          </cell>
          <cell r="AJ202" t="str">
            <v>44</v>
          </cell>
          <cell r="AK202">
            <v>86</v>
          </cell>
          <cell r="AL202">
            <v>60</v>
          </cell>
          <cell r="AM202">
            <v>50</v>
          </cell>
          <cell r="AN202" t="str">
            <v>2006008</v>
          </cell>
          <cell r="AO202" t="str">
            <v>이덕준　　</v>
          </cell>
          <cell r="AP202" t="str">
            <v>03</v>
          </cell>
          <cell r="AQ202" t="str">
            <v>32</v>
          </cell>
          <cell r="AR202">
            <v>75</v>
          </cell>
          <cell r="AS202">
            <v>60.57</v>
          </cell>
          <cell r="AT202">
            <v>30</v>
          </cell>
          <cell r="AY202">
            <v>0</v>
          </cell>
          <cell r="AZ202">
            <v>0</v>
          </cell>
          <cell r="BA202">
            <v>0</v>
          </cell>
          <cell r="BF202">
            <v>0</v>
          </cell>
          <cell r="BG202">
            <v>0</v>
          </cell>
          <cell r="BH202">
            <v>0</v>
          </cell>
          <cell r="BM202">
            <v>0</v>
          </cell>
          <cell r="BN202">
            <v>0</v>
          </cell>
          <cell r="BO202">
            <v>0</v>
          </cell>
          <cell r="BP202" t="b">
            <v>0</v>
          </cell>
          <cell r="BQ202">
            <v>0</v>
          </cell>
          <cell r="BR202">
            <v>60.19</v>
          </cell>
          <cell r="BS202">
            <v>352</v>
          </cell>
          <cell r="BT202">
            <v>50.5</v>
          </cell>
          <cell r="BU202" t="str">
            <v>C</v>
          </cell>
          <cell r="BV202" t="str">
            <v>06</v>
          </cell>
          <cell r="BW202">
            <v>60</v>
          </cell>
          <cell r="BX202" t="str">
            <v>19940101</v>
          </cell>
          <cell r="BZ202" t="str">
            <v>C</v>
          </cell>
          <cell r="CA202" t="str">
            <v>04</v>
          </cell>
          <cell r="CB202" t="str">
            <v>C</v>
          </cell>
          <cell r="CC202" t="str">
            <v>08</v>
          </cell>
          <cell r="CD202" t="str">
            <v>D</v>
          </cell>
          <cell r="CE202" t="str">
            <v>09</v>
          </cell>
        </row>
        <row r="203">
          <cell r="A203" t="str">
            <v>2697326</v>
          </cell>
          <cell r="B203" t="str">
            <v>30</v>
          </cell>
          <cell r="C203" t="str">
            <v>4갑</v>
          </cell>
          <cell r="D203" t="str">
            <v>황동환　　</v>
          </cell>
          <cell r="E203" t="str">
            <v>C</v>
          </cell>
          <cell r="G203">
            <v>1</v>
          </cell>
          <cell r="H203" t="str">
            <v>KK**</v>
          </cell>
          <cell r="I203" t="str">
            <v>ZA10</v>
          </cell>
          <cell r="J203" t="str">
            <v>현대자동차（주）　　</v>
          </cell>
          <cell r="K203" t="str">
            <v>KLDC</v>
          </cell>
          <cell r="L203" t="str">
            <v>해외써비스팀　　　　</v>
          </cell>
          <cell r="O203" t="str">
            <v>KLDC</v>
          </cell>
          <cell r="R203" t="str">
            <v>1</v>
          </cell>
          <cell r="V203" t="str">
            <v>5</v>
          </cell>
          <cell r="W203" t="str">
            <v>1</v>
          </cell>
          <cell r="X203" t="str">
            <v>3</v>
          </cell>
          <cell r="Y203" t="str">
            <v>O</v>
          </cell>
          <cell r="Z203" t="str">
            <v>7253025</v>
          </cell>
          <cell r="AA203" t="str">
            <v>김종민　　</v>
          </cell>
          <cell r="AB203" t="str">
            <v>24</v>
          </cell>
          <cell r="AC203" t="str">
            <v>43</v>
          </cell>
          <cell r="AD203">
            <v>70</v>
          </cell>
          <cell r="AE203">
            <v>57.16</v>
          </cell>
          <cell r="AF203">
            <v>30</v>
          </cell>
          <cell r="AG203" t="str">
            <v>7043258</v>
          </cell>
          <cell r="AH203" t="str">
            <v>박상근　　</v>
          </cell>
          <cell r="AI203" t="str">
            <v>05</v>
          </cell>
          <cell r="AJ203" t="str">
            <v>32</v>
          </cell>
          <cell r="AK203">
            <v>85</v>
          </cell>
          <cell r="AL203">
            <v>63.05</v>
          </cell>
          <cell r="AM203">
            <v>20</v>
          </cell>
          <cell r="AN203" t="str">
            <v>2002024</v>
          </cell>
          <cell r="AO203" t="str">
            <v>이덕규　　</v>
          </cell>
          <cell r="AP203" t="str">
            <v>04</v>
          </cell>
          <cell r="AQ203" t="str">
            <v>30</v>
          </cell>
          <cell r="AR203">
            <v>70</v>
          </cell>
          <cell r="AS203">
            <v>59.14</v>
          </cell>
          <cell r="AT203">
            <v>20</v>
          </cell>
          <cell r="AU203" t="str">
            <v>2005295</v>
          </cell>
          <cell r="AV203" t="str">
            <v>박성도　　</v>
          </cell>
          <cell r="AW203" t="str">
            <v>02</v>
          </cell>
          <cell r="AX203" t="str">
            <v>20</v>
          </cell>
          <cell r="AY203">
            <v>77</v>
          </cell>
          <cell r="AZ203">
            <v>61.7</v>
          </cell>
          <cell r="BA203">
            <v>10</v>
          </cell>
          <cell r="BF203">
            <v>0</v>
          </cell>
          <cell r="BG203">
            <v>0</v>
          </cell>
          <cell r="BH203">
            <v>0</v>
          </cell>
          <cell r="BM203">
            <v>0</v>
          </cell>
          <cell r="BN203">
            <v>0</v>
          </cell>
          <cell r="BO203">
            <v>0</v>
          </cell>
          <cell r="BP203" t="b">
            <v>0</v>
          </cell>
          <cell r="BQ203">
            <v>0</v>
          </cell>
          <cell r="BR203">
            <v>59.7</v>
          </cell>
          <cell r="BS203">
            <v>713</v>
          </cell>
          <cell r="BT203">
            <v>49.1</v>
          </cell>
          <cell r="BU203" t="str">
            <v>C</v>
          </cell>
          <cell r="BV203" t="str">
            <v>06</v>
          </cell>
          <cell r="BW203">
            <v>60</v>
          </cell>
          <cell r="BX203" t="str">
            <v>19970106</v>
          </cell>
          <cell r="BZ203" t="str">
            <v>C</v>
          </cell>
          <cell r="CA203" t="str">
            <v>06</v>
          </cell>
          <cell r="CB203" t="str">
            <v>D</v>
          </cell>
          <cell r="CC203" t="str">
            <v>08</v>
          </cell>
        </row>
        <row r="204">
          <cell r="A204" t="str">
            <v>2053583</v>
          </cell>
          <cell r="B204" t="str">
            <v>28</v>
          </cell>
          <cell r="C204" t="str">
            <v>대리</v>
          </cell>
          <cell r="D204" t="str">
            <v>홍중식　　</v>
          </cell>
          <cell r="E204" t="str">
            <v>C</v>
          </cell>
          <cell r="G204">
            <v>1</v>
          </cell>
          <cell r="H204" t="str">
            <v>KH**</v>
          </cell>
          <cell r="I204" t="str">
            <v>KHFM</v>
          </cell>
          <cell r="J204" t="str">
            <v>서부）서여의도지점　</v>
          </cell>
          <cell r="K204" t="str">
            <v>KHFB</v>
          </cell>
          <cell r="L204" t="str">
            <v>서부）여의도지점　　</v>
          </cell>
          <cell r="O204" t="str">
            <v>KHFBA</v>
          </cell>
          <cell r="R204" t="str">
            <v>2</v>
          </cell>
          <cell r="T204" t="str">
            <v>50</v>
          </cell>
          <cell r="U204" t="str">
            <v>과장</v>
          </cell>
          <cell r="V204" t="str">
            <v>4</v>
          </cell>
          <cell r="W204" t="str">
            <v>3</v>
          </cell>
          <cell r="X204" t="str">
            <v>2</v>
          </cell>
          <cell r="Y204" t="str">
            <v>S</v>
          </cell>
          <cell r="Z204" t="str">
            <v>2069516</v>
          </cell>
          <cell r="AA204" t="str">
            <v>김도일　　</v>
          </cell>
          <cell r="AB204" t="str">
            <v>26</v>
          </cell>
          <cell r="AC204" t="str">
            <v>44</v>
          </cell>
          <cell r="AD204">
            <v>86</v>
          </cell>
          <cell r="AE204">
            <v>60</v>
          </cell>
          <cell r="AF204">
            <v>50</v>
          </cell>
          <cell r="AG204" t="str">
            <v>7120125</v>
          </cell>
          <cell r="AH204" t="str">
            <v>송만섭　　</v>
          </cell>
          <cell r="AI204" t="str">
            <v>22</v>
          </cell>
          <cell r="AJ204" t="str">
            <v>32</v>
          </cell>
          <cell r="AK204">
            <v>78</v>
          </cell>
          <cell r="AL204">
            <v>60.89</v>
          </cell>
          <cell r="AM204">
            <v>30</v>
          </cell>
          <cell r="AN204" t="str">
            <v>2059744</v>
          </cell>
          <cell r="AO204" t="str">
            <v>김도영　　</v>
          </cell>
          <cell r="AP204" t="str">
            <v>02</v>
          </cell>
          <cell r="AQ204" t="str">
            <v>20</v>
          </cell>
          <cell r="AR204">
            <v>100</v>
          </cell>
          <cell r="AS204">
            <v>70.650000000000006</v>
          </cell>
          <cell r="AT204">
            <v>10</v>
          </cell>
          <cell r="AY204">
            <v>0</v>
          </cell>
          <cell r="AZ204">
            <v>0</v>
          </cell>
          <cell r="BA204">
            <v>0</v>
          </cell>
          <cell r="BF204">
            <v>0</v>
          </cell>
          <cell r="BG204">
            <v>0</v>
          </cell>
          <cell r="BH204">
            <v>0</v>
          </cell>
          <cell r="BM204">
            <v>0</v>
          </cell>
          <cell r="BN204">
            <v>0</v>
          </cell>
          <cell r="BO204">
            <v>0</v>
          </cell>
          <cell r="BP204" t="b">
            <v>0</v>
          </cell>
          <cell r="BQ204">
            <v>0</v>
          </cell>
          <cell r="BR204">
            <v>61.48</v>
          </cell>
          <cell r="BS204">
            <v>677</v>
          </cell>
          <cell r="BT204">
            <v>40.4</v>
          </cell>
          <cell r="BU204" t="str">
            <v>C</v>
          </cell>
          <cell r="BV204" t="str">
            <v>05</v>
          </cell>
          <cell r="BW204">
            <v>64</v>
          </cell>
          <cell r="BX204" t="str">
            <v>19950101</v>
          </cell>
          <cell r="BZ204" t="str">
            <v>C</v>
          </cell>
          <cell r="CA204" t="str">
            <v>08</v>
          </cell>
          <cell r="CB204" t="str">
            <v>B</v>
          </cell>
          <cell r="CC204" t="str">
            <v>04</v>
          </cell>
          <cell r="CD204" t="str">
            <v>C</v>
          </cell>
          <cell r="CE204" t="str">
            <v>06</v>
          </cell>
        </row>
        <row r="205">
          <cell r="A205" t="str">
            <v>2075535</v>
          </cell>
          <cell r="B205" t="str">
            <v>28</v>
          </cell>
          <cell r="C205" t="str">
            <v>대리</v>
          </cell>
          <cell r="D205" t="str">
            <v>양상균　　</v>
          </cell>
          <cell r="E205" t="str">
            <v>C</v>
          </cell>
          <cell r="G205">
            <v>1</v>
          </cell>
          <cell r="H205" t="str">
            <v>KH**</v>
          </cell>
          <cell r="I205" t="str">
            <v>KHCB</v>
          </cell>
          <cell r="J205" t="str">
            <v>특판팀　　　　　　　</v>
          </cell>
          <cell r="K205" t="str">
            <v>KHG*</v>
          </cell>
          <cell r="L205" t="str">
            <v>남부지역본부　　　　</v>
          </cell>
          <cell r="O205" t="str">
            <v>KHG*2</v>
          </cell>
          <cell r="R205" t="str">
            <v>2</v>
          </cell>
          <cell r="V205" t="str">
            <v>4</v>
          </cell>
          <cell r="W205" t="str">
            <v>3</v>
          </cell>
          <cell r="X205" t="str">
            <v>3</v>
          </cell>
          <cell r="Y205" t="str">
            <v>O</v>
          </cell>
          <cell r="Z205" t="str">
            <v>2160964</v>
          </cell>
          <cell r="AA205" t="str">
            <v>최인호　　</v>
          </cell>
          <cell r="AB205" t="str">
            <v>26</v>
          </cell>
          <cell r="AC205" t="str">
            <v>50</v>
          </cell>
          <cell r="AD205">
            <v>87</v>
          </cell>
          <cell r="AE205">
            <v>63.79</v>
          </cell>
          <cell r="AF205">
            <v>40</v>
          </cell>
          <cell r="AG205" t="str">
            <v>2013194</v>
          </cell>
          <cell r="AH205" t="str">
            <v>박종호　　</v>
          </cell>
          <cell r="AI205" t="str">
            <v>05</v>
          </cell>
          <cell r="AJ205" t="str">
            <v>32</v>
          </cell>
          <cell r="AK205">
            <v>75</v>
          </cell>
          <cell r="AL205">
            <v>61.15</v>
          </cell>
          <cell r="AM205">
            <v>40</v>
          </cell>
          <cell r="AN205" t="str">
            <v>2059744</v>
          </cell>
          <cell r="AO205" t="str">
            <v>김도영　　</v>
          </cell>
          <cell r="AP205" t="str">
            <v>02</v>
          </cell>
          <cell r="AQ205" t="str">
            <v>20</v>
          </cell>
          <cell r="AR205">
            <v>47</v>
          </cell>
          <cell r="AS205">
            <v>51.64</v>
          </cell>
          <cell r="AT205">
            <v>10</v>
          </cell>
          <cell r="AY205">
            <v>0</v>
          </cell>
          <cell r="AZ205">
            <v>0</v>
          </cell>
          <cell r="BA205">
            <v>0</v>
          </cell>
          <cell r="BF205">
            <v>0</v>
          </cell>
          <cell r="BG205">
            <v>0</v>
          </cell>
          <cell r="BH205">
            <v>0</v>
          </cell>
          <cell r="BM205">
            <v>0</v>
          </cell>
          <cell r="BN205">
            <v>0</v>
          </cell>
          <cell r="BO205">
            <v>0</v>
          </cell>
          <cell r="BP205" t="b">
            <v>0</v>
          </cell>
          <cell r="BQ205">
            <v>0</v>
          </cell>
          <cell r="BR205">
            <v>61.27</v>
          </cell>
          <cell r="BS205">
            <v>696</v>
          </cell>
          <cell r="BT205">
            <v>41.6</v>
          </cell>
          <cell r="BU205" t="str">
            <v>C</v>
          </cell>
          <cell r="BV205" t="str">
            <v>05</v>
          </cell>
          <cell r="BW205">
            <v>64</v>
          </cell>
          <cell r="BX205" t="str">
            <v>19980101</v>
          </cell>
          <cell r="BZ205" t="str">
            <v>E</v>
          </cell>
          <cell r="CA205" t="str">
            <v>10</v>
          </cell>
          <cell r="CB205" t="str">
            <v>B</v>
          </cell>
          <cell r="CC205" t="str">
            <v>03</v>
          </cell>
          <cell r="CD205" t="str">
            <v>C</v>
          </cell>
          <cell r="CE205" t="str">
            <v>05</v>
          </cell>
        </row>
        <row r="206">
          <cell r="A206" t="str">
            <v>2605476</v>
          </cell>
          <cell r="B206" t="str">
            <v>30</v>
          </cell>
          <cell r="C206" t="str">
            <v>4갑</v>
          </cell>
          <cell r="D206" t="str">
            <v>임춘우　　</v>
          </cell>
          <cell r="E206" t="str">
            <v>C</v>
          </cell>
          <cell r="G206">
            <v>1</v>
          </cell>
          <cell r="H206" t="str">
            <v>KH**</v>
          </cell>
          <cell r="I206" t="str">
            <v>KHWE</v>
          </cell>
          <cell r="J206" t="str">
            <v>경남서부）하동지점　</v>
          </cell>
          <cell r="K206" t="str">
            <v>KHWL</v>
          </cell>
          <cell r="L206" t="str">
            <v>경남서부）사천지점　</v>
          </cell>
          <cell r="O206" t="str">
            <v>KHWLA</v>
          </cell>
          <cell r="R206" t="str">
            <v>2</v>
          </cell>
          <cell r="V206" t="str">
            <v>5</v>
          </cell>
          <cell r="W206" t="str">
            <v>3</v>
          </cell>
          <cell r="X206" t="str">
            <v>3</v>
          </cell>
          <cell r="Y206" t="str">
            <v>S</v>
          </cell>
          <cell r="Z206" t="str">
            <v>2165036</v>
          </cell>
          <cell r="AA206" t="str">
            <v>전성영　　</v>
          </cell>
          <cell r="AB206" t="str">
            <v>28</v>
          </cell>
          <cell r="AC206" t="str">
            <v>44</v>
          </cell>
          <cell r="AD206">
            <v>95</v>
          </cell>
          <cell r="AE206">
            <v>60</v>
          </cell>
          <cell r="AF206">
            <v>50</v>
          </cell>
          <cell r="AG206" t="str">
            <v>7116633</v>
          </cell>
          <cell r="AH206" t="str">
            <v>이병기　　</v>
          </cell>
          <cell r="AI206" t="str">
            <v>22</v>
          </cell>
          <cell r="AJ206" t="str">
            <v>32</v>
          </cell>
          <cell r="AK206">
            <v>83</v>
          </cell>
          <cell r="AL206">
            <v>66.17</v>
          </cell>
          <cell r="AM206">
            <v>30</v>
          </cell>
          <cell r="AN206" t="str">
            <v>2059744</v>
          </cell>
          <cell r="AO206" t="str">
            <v>김도영　　</v>
          </cell>
          <cell r="AP206" t="str">
            <v>02</v>
          </cell>
          <cell r="AQ206" t="str">
            <v>20</v>
          </cell>
          <cell r="AR206">
            <v>40</v>
          </cell>
          <cell r="AS206">
            <v>49.21</v>
          </cell>
          <cell r="AT206">
            <v>10</v>
          </cell>
          <cell r="AY206">
            <v>0</v>
          </cell>
          <cell r="AZ206">
            <v>0</v>
          </cell>
          <cell r="BA206">
            <v>0</v>
          </cell>
          <cell r="BF206">
            <v>0</v>
          </cell>
          <cell r="BG206">
            <v>0</v>
          </cell>
          <cell r="BH206">
            <v>0</v>
          </cell>
          <cell r="BM206">
            <v>0</v>
          </cell>
          <cell r="BN206">
            <v>0</v>
          </cell>
          <cell r="BO206">
            <v>0</v>
          </cell>
          <cell r="BP206" t="b">
            <v>0</v>
          </cell>
          <cell r="BQ206">
            <v>0</v>
          </cell>
          <cell r="BR206">
            <v>60.86</v>
          </cell>
          <cell r="BS206">
            <v>606</v>
          </cell>
          <cell r="BT206">
            <v>41.8</v>
          </cell>
          <cell r="BU206" t="str">
            <v>C</v>
          </cell>
          <cell r="BV206" t="str">
            <v>05</v>
          </cell>
          <cell r="BW206">
            <v>64</v>
          </cell>
          <cell r="BX206" t="str">
            <v>19950116</v>
          </cell>
          <cell r="BZ206" t="str">
            <v>C</v>
          </cell>
          <cell r="CA206" t="str">
            <v>06</v>
          </cell>
          <cell r="CB206" t="str">
            <v>E</v>
          </cell>
          <cell r="CC206" t="str">
            <v>10</v>
          </cell>
          <cell r="CD206" t="str">
            <v>A</v>
          </cell>
          <cell r="CE206" t="str">
            <v>02</v>
          </cell>
        </row>
        <row r="207">
          <cell r="A207" t="str">
            <v>2596069</v>
          </cell>
          <cell r="B207" t="str">
            <v>32</v>
          </cell>
          <cell r="C207" t="str">
            <v>4을</v>
          </cell>
          <cell r="D207" t="str">
            <v>김남훈　　</v>
          </cell>
          <cell r="E207" t="str">
            <v>C</v>
          </cell>
          <cell r="G207">
            <v>1</v>
          </cell>
          <cell r="H207" t="str">
            <v>KM**</v>
          </cell>
          <cell r="I207" t="str">
            <v>KMJN</v>
          </cell>
          <cell r="J207" t="str">
            <v>광주사업소　　　　　</v>
          </cell>
          <cell r="K207" t="str">
            <v>KMD*</v>
          </cell>
          <cell r="L207" t="str">
            <v>목포직매점</v>
          </cell>
          <cell r="O207" t="str">
            <v>KMDN</v>
          </cell>
          <cell r="R207" t="str">
            <v>2</v>
          </cell>
          <cell r="V207" t="str">
            <v>6</v>
          </cell>
          <cell r="W207" t="str">
            <v>4</v>
          </cell>
          <cell r="X207" t="str">
            <v>4</v>
          </cell>
          <cell r="Y207" t="str">
            <v>O</v>
          </cell>
          <cell r="Z207" t="str">
            <v>2083203</v>
          </cell>
          <cell r="AA207" t="str">
            <v>김동진　　</v>
          </cell>
          <cell r="AB207" t="str">
            <v>26</v>
          </cell>
          <cell r="AC207" t="str">
            <v>50</v>
          </cell>
          <cell r="AD207">
            <v>87</v>
          </cell>
          <cell r="AE207">
            <v>63.83</v>
          </cell>
          <cell r="AF207">
            <v>50</v>
          </cell>
          <cell r="AG207" t="str">
            <v>0043652</v>
          </cell>
          <cell r="AH207" t="str">
            <v>정남기　　</v>
          </cell>
          <cell r="AI207" t="str">
            <v>05</v>
          </cell>
          <cell r="AJ207" t="str">
            <v>32</v>
          </cell>
          <cell r="AK207">
            <v>69</v>
          </cell>
          <cell r="AL207">
            <v>60.13</v>
          </cell>
          <cell r="AM207">
            <v>40</v>
          </cell>
          <cell r="AR207">
            <v>0</v>
          </cell>
          <cell r="AS207">
            <v>0</v>
          </cell>
          <cell r="AT207">
            <v>0</v>
          </cell>
          <cell r="AY207">
            <v>0</v>
          </cell>
          <cell r="AZ207">
            <v>0</v>
          </cell>
          <cell r="BA207">
            <v>0</v>
          </cell>
          <cell r="BF207">
            <v>0</v>
          </cell>
          <cell r="BG207">
            <v>0</v>
          </cell>
          <cell r="BH207">
            <v>0</v>
          </cell>
          <cell r="BM207">
            <v>0</v>
          </cell>
          <cell r="BN207">
            <v>0</v>
          </cell>
          <cell r="BO207">
            <v>0</v>
          </cell>
          <cell r="BP207" t="b">
            <v>0</v>
          </cell>
          <cell r="BQ207">
            <v>0</v>
          </cell>
          <cell r="BR207">
            <v>62.19</v>
          </cell>
          <cell r="BS207">
            <v>263</v>
          </cell>
          <cell r="BT207">
            <v>37.700000000000003</v>
          </cell>
          <cell r="BU207" t="str">
            <v>C</v>
          </cell>
          <cell r="BV207" t="str">
            <v>05</v>
          </cell>
          <cell r="BW207">
            <v>64</v>
          </cell>
          <cell r="BX207" t="str">
            <v>19970101</v>
          </cell>
          <cell r="BZ207" t="str">
            <v>D</v>
          </cell>
          <cell r="CA207" t="str">
            <v>08</v>
          </cell>
          <cell r="CB207" t="str">
            <v>C</v>
          </cell>
          <cell r="CC207" t="str">
            <v>06</v>
          </cell>
          <cell r="CD207" t="str">
            <v>B</v>
          </cell>
          <cell r="CE207" t="str">
            <v>04</v>
          </cell>
        </row>
        <row r="208">
          <cell r="A208" t="str">
            <v>2505177</v>
          </cell>
          <cell r="B208" t="str">
            <v>32</v>
          </cell>
          <cell r="C208" t="str">
            <v>4을</v>
          </cell>
          <cell r="D208" t="str">
            <v>문희　　　</v>
          </cell>
          <cell r="E208" t="str">
            <v>C</v>
          </cell>
          <cell r="G208">
            <v>1</v>
          </cell>
          <cell r="H208" t="str">
            <v>KH**</v>
          </cell>
          <cell r="I208" t="str">
            <v>KHKP</v>
          </cell>
          <cell r="J208" t="str">
            <v>강원）삼척지점　　　</v>
          </cell>
          <cell r="K208" t="str">
            <v>KHKO</v>
          </cell>
          <cell r="L208" t="str">
            <v>강원）신원주지점　　</v>
          </cell>
          <cell r="O208" t="str">
            <v>KHKOA</v>
          </cell>
          <cell r="R208" t="str">
            <v>2</v>
          </cell>
          <cell r="V208" t="str">
            <v>6</v>
          </cell>
          <cell r="W208" t="str">
            <v>3</v>
          </cell>
          <cell r="X208" t="str">
            <v>4</v>
          </cell>
          <cell r="Y208" t="str">
            <v>S</v>
          </cell>
          <cell r="Z208" t="str">
            <v>2538484</v>
          </cell>
          <cell r="AA208" t="str">
            <v>김수옥　　</v>
          </cell>
          <cell r="AB208" t="str">
            <v>28</v>
          </cell>
          <cell r="AC208" t="str">
            <v>50</v>
          </cell>
          <cell r="AD208">
            <v>98</v>
          </cell>
          <cell r="AE208">
            <v>60</v>
          </cell>
          <cell r="AF208">
            <v>10</v>
          </cell>
          <cell r="AG208" t="str">
            <v>2103542</v>
          </cell>
          <cell r="AH208" t="str">
            <v>이상대　　</v>
          </cell>
          <cell r="AI208" t="str">
            <v>26</v>
          </cell>
          <cell r="AJ208" t="str">
            <v>44</v>
          </cell>
          <cell r="AK208">
            <v>97</v>
          </cell>
          <cell r="AL208">
            <v>60</v>
          </cell>
          <cell r="AM208">
            <v>50</v>
          </cell>
          <cell r="AN208" t="str">
            <v>2032367</v>
          </cell>
          <cell r="AO208" t="str">
            <v>최진　　　</v>
          </cell>
          <cell r="AP208" t="str">
            <v>22</v>
          </cell>
          <cell r="AQ208" t="str">
            <v>32</v>
          </cell>
          <cell r="AR208">
            <v>86</v>
          </cell>
          <cell r="AS208">
            <v>68.31</v>
          </cell>
          <cell r="AT208">
            <v>30</v>
          </cell>
          <cell r="AY208">
            <v>0</v>
          </cell>
          <cell r="AZ208">
            <v>0</v>
          </cell>
          <cell r="BA208">
            <v>0</v>
          </cell>
          <cell r="BF208">
            <v>0</v>
          </cell>
          <cell r="BG208">
            <v>0</v>
          </cell>
          <cell r="BH208">
            <v>0</v>
          </cell>
          <cell r="BM208">
            <v>0</v>
          </cell>
          <cell r="BN208">
            <v>0</v>
          </cell>
          <cell r="BO208">
            <v>0</v>
          </cell>
          <cell r="BP208" t="b">
            <v>0</v>
          </cell>
          <cell r="BQ208">
            <v>0</v>
          </cell>
          <cell r="BR208">
            <v>62.77</v>
          </cell>
          <cell r="BS208">
            <v>236</v>
          </cell>
          <cell r="BT208">
            <v>33.9</v>
          </cell>
          <cell r="BU208" t="str">
            <v>C</v>
          </cell>
          <cell r="BV208" t="str">
            <v>04</v>
          </cell>
          <cell r="BW208">
            <v>68</v>
          </cell>
          <cell r="BX208" t="str">
            <v>19931129</v>
          </cell>
          <cell r="BZ208" t="str">
            <v>C</v>
          </cell>
          <cell r="CA208" t="str">
            <v>05</v>
          </cell>
          <cell r="CB208" t="str">
            <v>C</v>
          </cell>
          <cell r="CC208" t="str">
            <v>07</v>
          </cell>
          <cell r="CD208" t="str">
            <v>B</v>
          </cell>
          <cell r="CE208" t="str">
            <v>03</v>
          </cell>
        </row>
        <row r="209">
          <cell r="A209" t="str">
            <v>2279581</v>
          </cell>
          <cell r="B209" t="str">
            <v>30</v>
          </cell>
          <cell r="C209" t="str">
            <v>4갑</v>
          </cell>
          <cell r="D209" t="str">
            <v>봉재환　　</v>
          </cell>
          <cell r="E209" t="str">
            <v>C</v>
          </cell>
          <cell r="G209">
            <v>1</v>
          </cell>
          <cell r="H209" t="str">
            <v>KH**</v>
          </cell>
          <cell r="I209" t="str">
            <v>KHBA</v>
          </cell>
          <cell r="J209" t="str">
            <v>채권관리팀　　　　　</v>
          </cell>
          <cell r="K209" t="str">
            <v>KHUD</v>
          </cell>
          <cell r="L209" t="str">
            <v>대구）달서지점　　　</v>
          </cell>
          <cell r="O209" t="str">
            <v>KHUDA</v>
          </cell>
          <cell r="R209" t="str">
            <v>2</v>
          </cell>
          <cell r="V209" t="str">
            <v>5</v>
          </cell>
          <cell r="W209" t="str">
            <v>3</v>
          </cell>
          <cell r="X209" t="str">
            <v>3</v>
          </cell>
          <cell r="Y209" t="str">
            <v>S</v>
          </cell>
          <cell r="Z209" t="str">
            <v>2179067</v>
          </cell>
          <cell r="AA209" t="str">
            <v>배병우　　</v>
          </cell>
          <cell r="AB209" t="str">
            <v>28</v>
          </cell>
          <cell r="AC209" t="str">
            <v>50</v>
          </cell>
          <cell r="AD209">
            <v>96</v>
          </cell>
          <cell r="AE209">
            <v>64.709999999999994</v>
          </cell>
          <cell r="AF209">
            <v>10</v>
          </cell>
          <cell r="AG209" t="str">
            <v>2063876</v>
          </cell>
          <cell r="AH209" t="str">
            <v>김진원　　</v>
          </cell>
          <cell r="AI209" t="str">
            <v>24</v>
          </cell>
          <cell r="AJ209" t="str">
            <v>44</v>
          </cell>
          <cell r="AK209">
            <v>99</v>
          </cell>
          <cell r="AL209">
            <v>67.099999999999994</v>
          </cell>
          <cell r="AM209">
            <v>40</v>
          </cell>
          <cell r="AN209" t="str">
            <v>2018769</v>
          </cell>
          <cell r="AO209" t="str">
            <v>이문식　　</v>
          </cell>
          <cell r="AP209" t="str">
            <v>20</v>
          </cell>
          <cell r="AQ209" t="str">
            <v>32</v>
          </cell>
          <cell r="AR209">
            <v>83</v>
          </cell>
          <cell r="AS209">
            <v>63.54</v>
          </cell>
          <cell r="AT209">
            <v>30</v>
          </cell>
          <cell r="AU209" t="str">
            <v>2059744</v>
          </cell>
          <cell r="AV209" t="str">
            <v>김도영　　</v>
          </cell>
          <cell r="AW209" t="str">
            <v>02</v>
          </cell>
          <cell r="AX209" t="str">
            <v>20</v>
          </cell>
          <cell r="AY209">
            <v>47</v>
          </cell>
          <cell r="AZ209">
            <v>51.7</v>
          </cell>
          <cell r="BA209">
            <v>10</v>
          </cell>
          <cell r="BF209">
            <v>0</v>
          </cell>
          <cell r="BG209">
            <v>0</v>
          </cell>
          <cell r="BH209">
            <v>0</v>
          </cell>
          <cell r="BM209">
            <v>0</v>
          </cell>
          <cell r="BN209">
            <v>0</v>
          </cell>
          <cell r="BO209">
            <v>0</v>
          </cell>
          <cell r="BP209" t="b">
            <v>0</v>
          </cell>
          <cell r="BQ209">
            <v>0</v>
          </cell>
          <cell r="BR209">
            <v>63.94</v>
          </cell>
          <cell r="BS209">
            <v>376</v>
          </cell>
          <cell r="BT209">
            <v>25.9</v>
          </cell>
          <cell r="BU209" t="str">
            <v>B</v>
          </cell>
          <cell r="BV209" t="str">
            <v>04</v>
          </cell>
          <cell r="BW209">
            <v>68</v>
          </cell>
          <cell r="BX209" t="str">
            <v>19930101</v>
          </cell>
          <cell r="BZ209" t="str">
            <v>E</v>
          </cell>
          <cell r="CA209" t="str">
            <v>10</v>
          </cell>
          <cell r="CB209" t="str">
            <v>A</v>
          </cell>
          <cell r="CC209" t="str">
            <v>01</v>
          </cell>
          <cell r="CD209" t="str">
            <v>B</v>
          </cell>
          <cell r="CE209" t="str">
            <v>04</v>
          </cell>
        </row>
        <row r="210">
          <cell r="A210" t="str">
            <v>2111249</v>
          </cell>
          <cell r="B210" t="str">
            <v>26</v>
          </cell>
          <cell r="C210" t="str">
            <v>과장</v>
          </cell>
          <cell r="D210" t="str">
            <v>유관형　　</v>
          </cell>
          <cell r="E210" t="str">
            <v>C</v>
          </cell>
          <cell r="G210">
            <v>1</v>
          </cell>
          <cell r="H210" t="str">
            <v>KQ**</v>
          </cell>
          <cell r="I210" t="str">
            <v>KTED</v>
          </cell>
          <cell r="J210" t="str">
            <v>화）조립３부　　　　</v>
          </cell>
          <cell r="K210" t="str">
            <v>KTFI</v>
          </cell>
          <cell r="L210" t="str">
            <v>화）경합금주조부　　</v>
          </cell>
          <cell r="O210" t="str">
            <v>KTFIA</v>
          </cell>
          <cell r="R210" t="str">
            <v>5</v>
          </cell>
          <cell r="T210" t="str">
            <v>50</v>
          </cell>
          <cell r="U210" t="str">
            <v>과장</v>
          </cell>
          <cell r="V210" t="str">
            <v>3</v>
          </cell>
          <cell r="W210" t="str">
            <v>2</v>
          </cell>
          <cell r="X210" t="str">
            <v>2</v>
          </cell>
          <cell r="Y210" t="str">
            <v>S</v>
          </cell>
          <cell r="Z210" t="str">
            <v>2069896</v>
          </cell>
          <cell r="AA210" t="str">
            <v>이봉태　　</v>
          </cell>
          <cell r="AB210" t="str">
            <v>26</v>
          </cell>
          <cell r="AC210" t="str">
            <v>40</v>
          </cell>
          <cell r="AD210">
            <v>95</v>
          </cell>
          <cell r="AE210">
            <v>64.709999999999994</v>
          </cell>
          <cell r="AF210">
            <v>30</v>
          </cell>
          <cell r="AG210" t="str">
            <v>2718795</v>
          </cell>
          <cell r="AH210" t="str">
            <v>최경순　　</v>
          </cell>
          <cell r="AI210" t="str">
            <v>20</v>
          </cell>
          <cell r="AJ210" t="str">
            <v>35</v>
          </cell>
          <cell r="AK210">
            <v>76</v>
          </cell>
          <cell r="AL210">
            <v>60</v>
          </cell>
          <cell r="AM210">
            <v>20</v>
          </cell>
          <cell r="AN210" t="str">
            <v>7019858</v>
          </cell>
          <cell r="AO210" t="str">
            <v>홍석종　　</v>
          </cell>
          <cell r="AP210" t="str">
            <v>04</v>
          </cell>
          <cell r="AQ210" t="str">
            <v>31</v>
          </cell>
          <cell r="AR210">
            <v>100</v>
          </cell>
          <cell r="AS210">
            <v>71.849999999999994</v>
          </cell>
          <cell r="AT210">
            <v>10</v>
          </cell>
          <cell r="AU210" t="str">
            <v>2100100</v>
          </cell>
          <cell r="AV210" t="str">
            <v>김무일　　</v>
          </cell>
          <cell r="AW210" t="str">
            <v>02</v>
          </cell>
          <cell r="AX210" t="str">
            <v>30</v>
          </cell>
          <cell r="AY210">
            <v>94</v>
          </cell>
          <cell r="AZ210">
            <v>66.150000000000006</v>
          </cell>
          <cell r="BA210">
            <v>10</v>
          </cell>
          <cell r="BB210" t="str">
            <v>2728462</v>
          </cell>
          <cell r="BC210" t="str">
            <v>임승근　　</v>
          </cell>
          <cell r="BD210" t="str">
            <v>02</v>
          </cell>
          <cell r="BE210" t="str">
            <v>20</v>
          </cell>
          <cell r="BF210">
            <v>70</v>
          </cell>
          <cell r="BG210">
            <v>59.97</v>
          </cell>
          <cell r="BH210">
            <v>10</v>
          </cell>
          <cell r="BM210">
            <v>0</v>
          </cell>
          <cell r="BN210">
            <v>0</v>
          </cell>
          <cell r="BO210">
            <v>0</v>
          </cell>
          <cell r="BP210" t="b">
            <v>0</v>
          </cell>
          <cell r="BQ210">
            <v>0</v>
          </cell>
          <cell r="BR210">
            <v>64.010000000000005</v>
          </cell>
          <cell r="BS210">
            <v>303</v>
          </cell>
          <cell r="BT210">
            <v>26.7</v>
          </cell>
          <cell r="BU210" t="str">
            <v>B</v>
          </cell>
          <cell r="BV210" t="str">
            <v>04</v>
          </cell>
          <cell r="BW210">
            <v>68</v>
          </cell>
          <cell r="BX210" t="str">
            <v>19950101</v>
          </cell>
          <cell r="BZ210" t="str">
            <v>B</v>
          </cell>
          <cell r="CA210" t="str">
            <v>03</v>
          </cell>
          <cell r="CB210" t="str">
            <v>C</v>
          </cell>
          <cell r="CC210" t="str">
            <v>05</v>
          </cell>
          <cell r="CD210" t="str">
            <v>C</v>
          </cell>
          <cell r="CE210" t="str">
            <v>07</v>
          </cell>
        </row>
        <row r="211">
          <cell r="A211" t="str">
            <v>2505794</v>
          </cell>
          <cell r="B211" t="str">
            <v>32</v>
          </cell>
          <cell r="C211" t="str">
            <v>4을</v>
          </cell>
          <cell r="D211" t="str">
            <v>이경준　　</v>
          </cell>
          <cell r="E211" t="str">
            <v>C</v>
          </cell>
          <cell r="G211">
            <v>1</v>
          </cell>
          <cell r="H211" t="str">
            <v>KO**</v>
          </cell>
          <cell r="I211" t="str">
            <v>KHEF</v>
          </cell>
          <cell r="J211" t="str">
            <v>동부）도봉지점　　　</v>
          </cell>
          <cell r="K211" t="str">
            <v>KODD</v>
          </cell>
          <cell r="L211" t="str">
            <v>수입２팀　　　　　　</v>
          </cell>
          <cell r="O211" t="str">
            <v>KODD</v>
          </cell>
          <cell r="R211" t="str">
            <v>2</v>
          </cell>
          <cell r="V211" t="str">
            <v>6</v>
          </cell>
          <cell r="W211" t="str">
            <v>1</v>
          </cell>
          <cell r="X211" t="str">
            <v>4</v>
          </cell>
          <cell r="Y211" t="str">
            <v>S</v>
          </cell>
          <cell r="Z211" t="str">
            <v>2067778</v>
          </cell>
          <cell r="AA211" t="str">
            <v>송시용　　</v>
          </cell>
          <cell r="AB211" t="str">
            <v>22</v>
          </cell>
          <cell r="AC211" t="str">
            <v>32</v>
          </cell>
          <cell r="AD211">
            <v>85</v>
          </cell>
          <cell r="AE211">
            <v>65.31</v>
          </cell>
          <cell r="AF211">
            <v>80</v>
          </cell>
          <cell r="AK211">
            <v>0</v>
          </cell>
          <cell r="AL211">
            <v>0</v>
          </cell>
          <cell r="AM211">
            <v>0</v>
          </cell>
          <cell r="AR211">
            <v>0</v>
          </cell>
          <cell r="AS211">
            <v>0</v>
          </cell>
          <cell r="AT211">
            <v>0</v>
          </cell>
          <cell r="AY211">
            <v>0</v>
          </cell>
          <cell r="AZ211">
            <v>0</v>
          </cell>
          <cell r="BA211">
            <v>0</v>
          </cell>
          <cell r="BF211">
            <v>0</v>
          </cell>
          <cell r="BG211">
            <v>0</v>
          </cell>
          <cell r="BH211">
            <v>0</v>
          </cell>
          <cell r="BM211">
            <v>0</v>
          </cell>
          <cell r="BN211">
            <v>0</v>
          </cell>
          <cell r="BO211">
            <v>0</v>
          </cell>
          <cell r="BP211" t="b">
            <v>0</v>
          </cell>
          <cell r="BQ211">
            <v>0</v>
          </cell>
          <cell r="BR211">
            <v>65.31</v>
          </cell>
          <cell r="BS211">
            <v>131</v>
          </cell>
          <cell r="BT211">
            <v>18.8</v>
          </cell>
          <cell r="BU211" t="str">
            <v>B</v>
          </cell>
          <cell r="BV211" t="str">
            <v>03</v>
          </cell>
          <cell r="BW211">
            <v>72</v>
          </cell>
          <cell r="BX211" t="str">
            <v>19931129</v>
          </cell>
          <cell r="BZ211" t="str">
            <v>C</v>
          </cell>
          <cell r="CA211" t="str">
            <v>06</v>
          </cell>
          <cell r="CB211" t="str">
            <v>B</v>
          </cell>
          <cell r="CC211" t="str">
            <v>04</v>
          </cell>
          <cell r="CD211" t="str">
            <v>B</v>
          </cell>
          <cell r="CE211" t="str">
            <v>02</v>
          </cell>
        </row>
        <row r="212">
          <cell r="A212" t="str">
            <v>2088361</v>
          </cell>
          <cell r="B212" t="str">
            <v>26</v>
          </cell>
          <cell r="C212" t="str">
            <v>과장</v>
          </cell>
          <cell r="D212" t="str">
            <v>이재화　　</v>
          </cell>
          <cell r="E212" t="str">
            <v>C</v>
          </cell>
          <cell r="G212">
            <v>1</v>
          </cell>
          <cell r="H212" t="str">
            <v>KQ**</v>
          </cell>
          <cell r="I212" t="str">
            <v>KTFE</v>
          </cell>
          <cell r="J212" t="str">
            <v>화）구동부　　　　　</v>
          </cell>
          <cell r="K212" t="str">
            <v>KTFA</v>
          </cell>
          <cell r="L212" t="str">
            <v>화）엔진변속기제조관</v>
          </cell>
          <cell r="O212" t="str">
            <v>KTFAF</v>
          </cell>
          <cell r="R212" t="str">
            <v>5</v>
          </cell>
          <cell r="T212" t="str">
            <v>50</v>
          </cell>
          <cell r="U212" t="str">
            <v>과장</v>
          </cell>
          <cell r="V212" t="str">
            <v>3</v>
          </cell>
          <cell r="W212" t="str">
            <v>2</v>
          </cell>
          <cell r="X212" t="str">
            <v>2</v>
          </cell>
          <cell r="Y212" t="str">
            <v>S</v>
          </cell>
          <cell r="Z212" t="str">
            <v>2065868</v>
          </cell>
          <cell r="AA212" t="str">
            <v>김종웅　　</v>
          </cell>
          <cell r="AB212" t="str">
            <v>24</v>
          </cell>
          <cell r="AC212" t="str">
            <v>40</v>
          </cell>
          <cell r="AD212">
            <v>90</v>
          </cell>
          <cell r="AE212">
            <v>67.39</v>
          </cell>
          <cell r="AF212">
            <v>40</v>
          </cell>
          <cell r="AG212" t="str">
            <v>7019858</v>
          </cell>
          <cell r="AH212" t="str">
            <v>홍석종　　</v>
          </cell>
          <cell r="AI212" t="str">
            <v>04</v>
          </cell>
          <cell r="AJ212" t="str">
            <v>31</v>
          </cell>
          <cell r="AK212">
            <v>94</v>
          </cell>
          <cell r="AL212">
            <v>69.08</v>
          </cell>
          <cell r="AM212">
            <v>20</v>
          </cell>
          <cell r="AN212" t="str">
            <v>2100100</v>
          </cell>
          <cell r="AO212" t="str">
            <v>김무일　　</v>
          </cell>
          <cell r="AP212" t="str">
            <v>02</v>
          </cell>
          <cell r="AQ212" t="str">
            <v>30</v>
          </cell>
          <cell r="AR212">
            <v>94</v>
          </cell>
          <cell r="AS212">
            <v>66.150000000000006</v>
          </cell>
          <cell r="AT212">
            <v>10</v>
          </cell>
          <cell r="AU212" t="str">
            <v>2728462</v>
          </cell>
          <cell r="AV212" t="str">
            <v>임승근　　</v>
          </cell>
          <cell r="AW212" t="str">
            <v>02</v>
          </cell>
          <cell r="AX212" t="str">
            <v>20</v>
          </cell>
          <cell r="AY212">
            <v>93</v>
          </cell>
          <cell r="AZ212">
            <v>68.58</v>
          </cell>
          <cell r="BA212">
            <v>10</v>
          </cell>
          <cell r="BF212">
            <v>0</v>
          </cell>
          <cell r="BG212">
            <v>0</v>
          </cell>
          <cell r="BH212">
            <v>0</v>
          </cell>
          <cell r="BM212">
            <v>0</v>
          </cell>
          <cell r="BN212">
            <v>0</v>
          </cell>
          <cell r="BO212">
            <v>0</v>
          </cell>
          <cell r="BP212" t="b">
            <v>0</v>
          </cell>
          <cell r="BQ212">
            <v>0</v>
          </cell>
          <cell r="BR212">
            <v>67.81</v>
          </cell>
          <cell r="BS212">
            <v>104</v>
          </cell>
          <cell r="BT212">
            <v>9.1999999999999993</v>
          </cell>
          <cell r="BU212" t="str">
            <v>A</v>
          </cell>
          <cell r="BV212" t="str">
            <v>02</v>
          </cell>
          <cell r="BW212">
            <v>76</v>
          </cell>
          <cell r="BX212" t="str">
            <v>19930101</v>
          </cell>
          <cell r="BZ212" t="str">
            <v>C</v>
          </cell>
          <cell r="CA212" t="str">
            <v>04</v>
          </cell>
          <cell r="CB212" t="str">
            <v>C</v>
          </cell>
          <cell r="CC212" t="str">
            <v>04</v>
          </cell>
          <cell r="CD212" t="str">
            <v>A</v>
          </cell>
          <cell r="CE212" t="str">
            <v>01</v>
          </cell>
        </row>
        <row r="213">
          <cell r="A213" t="str">
            <v>2538721</v>
          </cell>
          <cell r="B213" t="str">
            <v>30</v>
          </cell>
          <cell r="C213" t="str">
            <v>4갑</v>
          </cell>
          <cell r="D213" t="str">
            <v>여경식　　</v>
          </cell>
          <cell r="E213" t="str">
            <v>C</v>
          </cell>
          <cell r="G213">
            <v>1</v>
          </cell>
          <cell r="H213" t="str">
            <v>KH**</v>
          </cell>
          <cell r="I213" t="str">
            <v>KHXC</v>
          </cell>
          <cell r="J213" t="str">
            <v>택시판매）강동택시지</v>
          </cell>
          <cell r="K213" t="str">
            <v>KHXA</v>
          </cell>
          <cell r="L213" t="str">
            <v>택시판매）중부택시지</v>
          </cell>
          <cell r="O213" t="str">
            <v>KHXA</v>
          </cell>
          <cell r="R213" t="str">
            <v>2</v>
          </cell>
          <cell r="V213" t="str">
            <v>5</v>
          </cell>
          <cell r="W213" t="str">
            <v>3</v>
          </cell>
          <cell r="X213" t="str">
            <v>3</v>
          </cell>
          <cell r="Y213" t="str">
            <v>S</v>
          </cell>
          <cell r="Z213" t="str">
            <v>2028927</v>
          </cell>
          <cell r="AA213" t="str">
            <v>이창희　　</v>
          </cell>
          <cell r="AB213" t="str">
            <v>20</v>
          </cell>
          <cell r="AC213" t="str">
            <v>44</v>
          </cell>
          <cell r="AD213">
            <v>77</v>
          </cell>
          <cell r="AE213">
            <v>57.41</v>
          </cell>
          <cell r="AF213">
            <v>50</v>
          </cell>
          <cell r="AG213" t="str">
            <v>7117941</v>
          </cell>
          <cell r="AH213" t="str">
            <v>박명용　　</v>
          </cell>
          <cell r="AI213" t="str">
            <v>20</v>
          </cell>
          <cell r="AJ213" t="str">
            <v>32</v>
          </cell>
          <cell r="AK213">
            <v>70</v>
          </cell>
          <cell r="AL213">
            <v>60.13</v>
          </cell>
          <cell r="AM213">
            <v>30</v>
          </cell>
          <cell r="AN213" t="str">
            <v>2059744</v>
          </cell>
          <cell r="AO213" t="str">
            <v>김도영　　</v>
          </cell>
          <cell r="AP213" t="str">
            <v>02</v>
          </cell>
          <cell r="AQ213" t="str">
            <v>20</v>
          </cell>
          <cell r="AR213">
            <v>93</v>
          </cell>
          <cell r="AS213">
            <v>68.08</v>
          </cell>
          <cell r="AT213">
            <v>10</v>
          </cell>
          <cell r="AY213">
            <v>0</v>
          </cell>
          <cell r="AZ213">
            <v>0</v>
          </cell>
          <cell r="BA213">
            <v>0</v>
          </cell>
          <cell r="BF213">
            <v>0</v>
          </cell>
          <cell r="BG213">
            <v>0</v>
          </cell>
          <cell r="BH213">
            <v>0</v>
          </cell>
          <cell r="BM213">
            <v>0</v>
          </cell>
          <cell r="BN213">
            <v>0</v>
          </cell>
          <cell r="BO213">
            <v>0</v>
          </cell>
          <cell r="BP213" t="b">
            <v>0</v>
          </cell>
          <cell r="BQ213">
            <v>0</v>
          </cell>
          <cell r="BR213">
            <v>59.5</v>
          </cell>
          <cell r="BS213">
            <v>741</v>
          </cell>
          <cell r="BT213">
            <v>51.1</v>
          </cell>
          <cell r="BU213" t="str">
            <v>C</v>
          </cell>
          <cell r="BV213" t="str">
            <v>06</v>
          </cell>
          <cell r="BW213">
            <v>60</v>
          </cell>
          <cell r="BX213" t="str">
            <v>19940304</v>
          </cell>
          <cell r="BZ213" t="str">
            <v>D</v>
          </cell>
          <cell r="CA213" t="str">
            <v>09</v>
          </cell>
          <cell r="CB213" t="str">
            <v>E</v>
          </cell>
          <cell r="CC213" t="str">
            <v>11</v>
          </cell>
          <cell r="CD213" t="str">
            <v>A</v>
          </cell>
          <cell r="CE213" t="str">
            <v>02</v>
          </cell>
        </row>
        <row r="214">
          <cell r="A214" t="str">
            <v>2257139</v>
          </cell>
          <cell r="B214" t="str">
            <v>28</v>
          </cell>
          <cell r="C214" t="str">
            <v>대리</v>
          </cell>
          <cell r="D214" t="str">
            <v>조한구　　</v>
          </cell>
          <cell r="E214" t="str">
            <v>C</v>
          </cell>
          <cell r="G214">
            <v>1</v>
          </cell>
          <cell r="H214" t="str">
            <v>KM**</v>
          </cell>
          <cell r="I214" t="str">
            <v>KMEB</v>
          </cell>
          <cell r="J214" t="str">
            <v>부품물류팀　　　　　</v>
          </cell>
          <cell r="K214" t="str">
            <v>KMEA</v>
          </cell>
          <cell r="L214" t="str">
            <v>부품조달팀　　　　　</v>
          </cell>
          <cell r="O214" t="str">
            <v>KMEA</v>
          </cell>
          <cell r="R214" t="str">
            <v>5</v>
          </cell>
          <cell r="V214" t="str">
            <v>4</v>
          </cell>
          <cell r="W214" t="str">
            <v>1</v>
          </cell>
          <cell r="X214" t="str">
            <v>3</v>
          </cell>
          <cell r="Y214" t="str">
            <v>S</v>
          </cell>
          <cell r="Z214" t="str">
            <v>0032631</v>
          </cell>
          <cell r="AA214" t="str">
            <v>조병덕　　</v>
          </cell>
          <cell r="AB214" t="str">
            <v>22</v>
          </cell>
          <cell r="AC214" t="str">
            <v>43</v>
          </cell>
          <cell r="AD214">
            <v>89</v>
          </cell>
          <cell r="AE214">
            <v>62.13</v>
          </cell>
          <cell r="AF214">
            <v>40</v>
          </cell>
          <cell r="AG214" t="str">
            <v>0043652</v>
          </cell>
          <cell r="AH214" t="str">
            <v>정남기　　</v>
          </cell>
          <cell r="AI214" t="str">
            <v>05</v>
          </cell>
          <cell r="AJ214" t="str">
            <v>32</v>
          </cell>
          <cell r="AK214">
            <v>70</v>
          </cell>
          <cell r="AL214">
            <v>58.12</v>
          </cell>
          <cell r="AM214">
            <v>30</v>
          </cell>
          <cell r="AN214" t="str">
            <v>2001319</v>
          </cell>
          <cell r="AO214" t="str">
            <v>차정식　　</v>
          </cell>
          <cell r="AP214" t="str">
            <v>02</v>
          </cell>
          <cell r="AQ214" t="str">
            <v>20</v>
          </cell>
          <cell r="AR214">
            <v>63</v>
          </cell>
          <cell r="AS214">
            <v>57.31</v>
          </cell>
          <cell r="AT214">
            <v>10</v>
          </cell>
          <cell r="AY214">
            <v>0</v>
          </cell>
          <cell r="AZ214">
            <v>0</v>
          </cell>
          <cell r="BA214">
            <v>0</v>
          </cell>
          <cell r="BF214">
            <v>0</v>
          </cell>
          <cell r="BG214">
            <v>0</v>
          </cell>
          <cell r="BH214">
            <v>0</v>
          </cell>
          <cell r="BM214">
            <v>0</v>
          </cell>
          <cell r="BN214">
            <v>0</v>
          </cell>
          <cell r="BO214">
            <v>0</v>
          </cell>
          <cell r="BP214" t="b">
            <v>0</v>
          </cell>
          <cell r="BQ214">
            <v>0</v>
          </cell>
          <cell r="BR214">
            <v>60.02</v>
          </cell>
          <cell r="BS214">
            <v>814</v>
          </cell>
          <cell r="BT214">
            <v>48.6</v>
          </cell>
          <cell r="BU214" t="str">
            <v>C</v>
          </cell>
          <cell r="BV214" t="str">
            <v>06</v>
          </cell>
          <cell r="BW214">
            <v>60</v>
          </cell>
          <cell r="BX214" t="str">
            <v>19950101</v>
          </cell>
          <cell r="BZ214" t="str">
            <v>D</v>
          </cell>
          <cell r="CA214" t="str">
            <v>08</v>
          </cell>
          <cell r="CB214" t="str">
            <v>D</v>
          </cell>
          <cell r="CC214" t="str">
            <v>10</v>
          </cell>
          <cell r="CD214" t="str">
            <v>C</v>
          </cell>
          <cell r="CE214" t="str">
            <v>04</v>
          </cell>
        </row>
        <row r="215">
          <cell r="A215" t="str">
            <v>2124447</v>
          </cell>
          <cell r="B215" t="str">
            <v>30</v>
          </cell>
          <cell r="C215" t="str">
            <v>4갑</v>
          </cell>
          <cell r="D215" t="str">
            <v>박진헌　　</v>
          </cell>
          <cell r="E215" t="str">
            <v>C</v>
          </cell>
          <cell r="G215">
            <v>1</v>
          </cell>
          <cell r="H215" t="str">
            <v>KH**</v>
          </cell>
          <cell r="I215" t="str">
            <v>KHUR</v>
          </cell>
          <cell r="J215" t="str">
            <v>대구）대구강북지점　</v>
          </cell>
          <cell r="K215" t="str">
            <v>KHUN</v>
          </cell>
          <cell r="L215" t="str">
            <v>대구）성서지점　　　</v>
          </cell>
          <cell r="O215" t="str">
            <v>KHUNA</v>
          </cell>
          <cell r="R215" t="str">
            <v>2</v>
          </cell>
          <cell r="V215" t="str">
            <v>5</v>
          </cell>
          <cell r="W215" t="str">
            <v>3</v>
          </cell>
          <cell r="X215" t="str">
            <v>3</v>
          </cell>
          <cell r="Y215" t="str">
            <v>S</v>
          </cell>
          <cell r="Z215" t="str">
            <v>2228045</v>
          </cell>
          <cell r="AA215" t="str">
            <v>문의태　　</v>
          </cell>
          <cell r="AB215" t="str">
            <v>26</v>
          </cell>
          <cell r="AC215" t="str">
            <v>44</v>
          </cell>
          <cell r="AD215">
            <v>96</v>
          </cell>
          <cell r="AE215">
            <v>60</v>
          </cell>
          <cell r="AF215">
            <v>50</v>
          </cell>
          <cell r="AG215" t="str">
            <v>2018769</v>
          </cell>
          <cell r="AH215" t="str">
            <v>이문식　　</v>
          </cell>
          <cell r="AI215" t="str">
            <v>20</v>
          </cell>
          <cell r="AJ215" t="str">
            <v>32</v>
          </cell>
          <cell r="AK215">
            <v>86</v>
          </cell>
          <cell r="AL215">
            <v>66.17</v>
          </cell>
          <cell r="AM215">
            <v>30</v>
          </cell>
          <cell r="AN215" t="str">
            <v>2059744</v>
          </cell>
          <cell r="AO215" t="str">
            <v>김도영　　</v>
          </cell>
          <cell r="AP215" t="str">
            <v>02</v>
          </cell>
          <cell r="AQ215" t="str">
            <v>20</v>
          </cell>
          <cell r="AR215">
            <v>63</v>
          </cell>
          <cell r="AS215">
            <v>57.4</v>
          </cell>
          <cell r="AT215">
            <v>10</v>
          </cell>
          <cell r="AY215">
            <v>0</v>
          </cell>
          <cell r="AZ215">
            <v>0</v>
          </cell>
          <cell r="BA215">
            <v>0</v>
          </cell>
          <cell r="BF215">
            <v>0</v>
          </cell>
          <cell r="BG215">
            <v>0</v>
          </cell>
          <cell r="BH215">
            <v>0</v>
          </cell>
          <cell r="BM215">
            <v>0</v>
          </cell>
          <cell r="BN215">
            <v>0</v>
          </cell>
          <cell r="BO215">
            <v>0</v>
          </cell>
          <cell r="BP215" t="b">
            <v>0</v>
          </cell>
          <cell r="BQ215">
            <v>0</v>
          </cell>
          <cell r="BR215">
            <v>61.77</v>
          </cell>
          <cell r="BS215">
            <v>527</v>
          </cell>
          <cell r="BT215">
            <v>36.299999999999997</v>
          </cell>
          <cell r="BU215" t="str">
            <v>C</v>
          </cell>
          <cell r="BV215" t="str">
            <v>05</v>
          </cell>
          <cell r="BW215">
            <v>64</v>
          </cell>
          <cell r="BX215" t="str">
            <v>19930101</v>
          </cell>
          <cell r="BZ215" t="str">
            <v>D</v>
          </cell>
          <cell r="CA215" t="str">
            <v>09</v>
          </cell>
          <cell r="CB215" t="str">
            <v>A</v>
          </cell>
          <cell r="CC215" t="str">
            <v>02</v>
          </cell>
          <cell r="CD215" t="str">
            <v>C</v>
          </cell>
          <cell r="CE215" t="str">
            <v>08</v>
          </cell>
        </row>
        <row r="216">
          <cell r="A216" t="str">
            <v>2345592</v>
          </cell>
          <cell r="B216" t="str">
            <v>30</v>
          </cell>
          <cell r="C216" t="str">
            <v>4갑</v>
          </cell>
          <cell r="D216" t="str">
            <v>안무근　　</v>
          </cell>
          <cell r="E216" t="str">
            <v>C</v>
          </cell>
          <cell r="G216">
            <v>1</v>
          </cell>
          <cell r="H216" t="str">
            <v>KH**</v>
          </cell>
          <cell r="I216" t="str">
            <v>KHUH</v>
          </cell>
          <cell r="J216" t="str">
            <v>대구）대구중앙지점　</v>
          </cell>
          <cell r="K216" t="str">
            <v>KHUQ</v>
          </cell>
          <cell r="L216" t="str">
            <v>대구）만평지점　　　</v>
          </cell>
          <cell r="O216" t="str">
            <v>KHUQA</v>
          </cell>
          <cell r="R216" t="str">
            <v>2</v>
          </cell>
          <cell r="V216" t="str">
            <v>5</v>
          </cell>
          <cell r="W216" t="str">
            <v>3</v>
          </cell>
          <cell r="X216" t="str">
            <v>3</v>
          </cell>
          <cell r="Y216" t="str">
            <v>O</v>
          </cell>
          <cell r="Z216" t="str">
            <v>2171018</v>
          </cell>
          <cell r="AA216" t="str">
            <v>장부일　　</v>
          </cell>
          <cell r="AB216" t="str">
            <v>28</v>
          </cell>
          <cell r="AC216" t="str">
            <v>50</v>
          </cell>
          <cell r="AD216">
            <v>84</v>
          </cell>
          <cell r="AE216">
            <v>64.709999999999994</v>
          </cell>
          <cell r="AF216">
            <v>10</v>
          </cell>
          <cell r="AG216" t="str">
            <v>2290705</v>
          </cell>
          <cell r="AH216" t="str">
            <v>장진영　　</v>
          </cell>
          <cell r="AI216" t="str">
            <v>26</v>
          </cell>
          <cell r="AJ216" t="str">
            <v>44</v>
          </cell>
          <cell r="AK216">
            <v>92</v>
          </cell>
          <cell r="AL216">
            <v>65.12</v>
          </cell>
          <cell r="AM216">
            <v>40</v>
          </cell>
          <cell r="AN216" t="str">
            <v>2018769</v>
          </cell>
          <cell r="AO216" t="str">
            <v>이문식　　</v>
          </cell>
          <cell r="AP216" t="str">
            <v>20</v>
          </cell>
          <cell r="AQ216" t="str">
            <v>32</v>
          </cell>
          <cell r="AR216">
            <v>75</v>
          </cell>
          <cell r="AS216">
            <v>56.53</v>
          </cell>
          <cell r="AT216">
            <v>30</v>
          </cell>
          <cell r="AU216" t="str">
            <v>2059744</v>
          </cell>
          <cell r="AV216" t="str">
            <v>김도영　　</v>
          </cell>
          <cell r="AW216" t="str">
            <v>02</v>
          </cell>
          <cell r="AX216" t="str">
            <v>20</v>
          </cell>
          <cell r="AY216">
            <v>40</v>
          </cell>
          <cell r="AZ216">
            <v>49.21</v>
          </cell>
          <cell r="BA216">
            <v>10</v>
          </cell>
          <cell r="BF216">
            <v>0</v>
          </cell>
          <cell r="BG216">
            <v>0</v>
          </cell>
          <cell r="BH216">
            <v>0</v>
          </cell>
          <cell r="BM216">
            <v>0</v>
          </cell>
          <cell r="BN216">
            <v>0</v>
          </cell>
          <cell r="BO216">
            <v>0</v>
          </cell>
          <cell r="BP216" t="b">
            <v>0</v>
          </cell>
          <cell r="BQ216">
            <v>0</v>
          </cell>
          <cell r="BR216">
            <v>60.44</v>
          </cell>
          <cell r="BS216">
            <v>642</v>
          </cell>
          <cell r="BT216">
            <v>44.2</v>
          </cell>
          <cell r="BU216" t="str">
            <v>C</v>
          </cell>
          <cell r="BV216" t="str">
            <v>05</v>
          </cell>
          <cell r="BW216">
            <v>64</v>
          </cell>
          <cell r="BX216" t="str">
            <v>19940101</v>
          </cell>
          <cell r="BZ216" t="str">
            <v>D</v>
          </cell>
          <cell r="CA216" t="str">
            <v>10</v>
          </cell>
          <cell r="CB216" t="str">
            <v>A</v>
          </cell>
          <cell r="CC216" t="str">
            <v>02</v>
          </cell>
          <cell r="CD216" t="str">
            <v>C</v>
          </cell>
          <cell r="CE216" t="str">
            <v>07</v>
          </cell>
        </row>
        <row r="217">
          <cell r="A217" t="str">
            <v>2159627</v>
          </cell>
          <cell r="B217" t="str">
            <v>26</v>
          </cell>
          <cell r="C217" t="str">
            <v>과장</v>
          </cell>
          <cell r="D217" t="str">
            <v>강계윤　　</v>
          </cell>
          <cell r="E217" t="str">
            <v>C</v>
          </cell>
          <cell r="G217">
            <v>1</v>
          </cell>
          <cell r="H217" t="str">
            <v>KH**</v>
          </cell>
          <cell r="I217" t="str">
            <v>KHV*</v>
          </cell>
          <cell r="J217" t="str">
            <v>경남동부지역본부　　</v>
          </cell>
          <cell r="K217" t="str">
            <v>KHVA</v>
          </cell>
          <cell r="L217" t="str">
            <v>경남동부）마산지점　</v>
          </cell>
          <cell r="O217" t="str">
            <v>KHVAA</v>
          </cell>
          <cell r="R217" t="str">
            <v>2</v>
          </cell>
          <cell r="T217" t="str">
            <v>50</v>
          </cell>
          <cell r="U217" t="str">
            <v>과장</v>
          </cell>
          <cell r="V217" t="str">
            <v>3</v>
          </cell>
          <cell r="W217" t="str">
            <v>3</v>
          </cell>
          <cell r="X217" t="str">
            <v>2</v>
          </cell>
          <cell r="Y217" t="str">
            <v>O</v>
          </cell>
          <cell r="Z217" t="str">
            <v>2041224</v>
          </cell>
          <cell r="AA217" t="str">
            <v>박승규　　</v>
          </cell>
          <cell r="AB217" t="str">
            <v>22</v>
          </cell>
          <cell r="AC217" t="str">
            <v>44</v>
          </cell>
          <cell r="AD217">
            <v>80</v>
          </cell>
          <cell r="AE217">
            <v>64.709999999999994</v>
          </cell>
          <cell r="AF217">
            <v>50</v>
          </cell>
          <cell r="AG217" t="str">
            <v>2029104</v>
          </cell>
          <cell r="AH217" t="str">
            <v>제철　　　</v>
          </cell>
          <cell r="AI217" t="str">
            <v>05</v>
          </cell>
          <cell r="AJ217" t="str">
            <v>32</v>
          </cell>
          <cell r="AK217">
            <v>70</v>
          </cell>
          <cell r="AL217">
            <v>59.01</v>
          </cell>
          <cell r="AM217">
            <v>30</v>
          </cell>
          <cell r="AN217" t="str">
            <v>2059744</v>
          </cell>
          <cell r="AO217" t="str">
            <v>김도영　　</v>
          </cell>
          <cell r="AP217" t="str">
            <v>02</v>
          </cell>
          <cell r="AQ217" t="str">
            <v>20</v>
          </cell>
          <cell r="AR217">
            <v>86</v>
          </cell>
          <cell r="AS217">
            <v>65.739999999999995</v>
          </cell>
          <cell r="AT217">
            <v>10</v>
          </cell>
          <cell r="AY217">
            <v>0</v>
          </cell>
          <cell r="AZ217">
            <v>0</v>
          </cell>
          <cell r="BA217">
            <v>0</v>
          </cell>
          <cell r="BF217">
            <v>0</v>
          </cell>
          <cell r="BG217">
            <v>0</v>
          </cell>
          <cell r="BH217">
            <v>0</v>
          </cell>
          <cell r="BM217">
            <v>0</v>
          </cell>
          <cell r="BN217">
            <v>0</v>
          </cell>
          <cell r="BO217">
            <v>0</v>
          </cell>
          <cell r="BP217" t="b">
            <v>0</v>
          </cell>
          <cell r="BQ217">
            <v>0</v>
          </cell>
          <cell r="BR217">
            <v>62.92</v>
          </cell>
          <cell r="BS217">
            <v>360</v>
          </cell>
          <cell r="BT217">
            <v>31.7</v>
          </cell>
          <cell r="BU217" t="str">
            <v>C</v>
          </cell>
          <cell r="BV217" t="str">
            <v>04</v>
          </cell>
          <cell r="BW217">
            <v>68</v>
          </cell>
          <cell r="BX217" t="str">
            <v>19970101</v>
          </cell>
          <cell r="BZ217" t="str">
            <v>C</v>
          </cell>
          <cell r="CA217" t="str">
            <v>05</v>
          </cell>
          <cell r="CB217" t="str">
            <v>D</v>
          </cell>
          <cell r="CC217" t="str">
            <v>10</v>
          </cell>
          <cell r="CD217" t="str">
            <v>A</v>
          </cell>
          <cell r="CE217" t="str">
            <v>01</v>
          </cell>
        </row>
        <row r="218">
          <cell r="A218" t="str">
            <v>2033191</v>
          </cell>
          <cell r="B218" t="str">
            <v>28</v>
          </cell>
          <cell r="C218" t="str">
            <v>대리</v>
          </cell>
          <cell r="D218" t="str">
            <v>이기동　　</v>
          </cell>
          <cell r="E218" t="str">
            <v>C</v>
          </cell>
          <cell r="G218">
            <v>1</v>
          </cell>
          <cell r="H218" t="str">
            <v>KQ**</v>
          </cell>
          <cell r="I218" t="str">
            <v>KSBD</v>
          </cell>
          <cell r="J218" t="str">
            <v>생산교육팀　　　　　</v>
          </cell>
          <cell r="K218" t="str">
            <v>KTBB</v>
          </cell>
          <cell r="L218" t="str">
            <v>화）인력관리팀　　　</v>
          </cell>
          <cell r="O218" t="str">
            <v>KTBB</v>
          </cell>
          <cell r="R218" t="str">
            <v>5</v>
          </cell>
          <cell r="V218" t="str">
            <v>4</v>
          </cell>
          <cell r="W218" t="str">
            <v>2</v>
          </cell>
          <cell r="X218" t="str">
            <v>3</v>
          </cell>
          <cell r="Y218" t="str">
            <v>S</v>
          </cell>
          <cell r="Z218" t="str">
            <v>2029596</v>
          </cell>
          <cell r="AA218" t="str">
            <v>김효진　　</v>
          </cell>
          <cell r="AB218" t="str">
            <v>22</v>
          </cell>
          <cell r="AC218" t="str">
            <v>43</v>
          </cell>
          <cell r="AD218">
            <v>70</v>
          </cell>
          <cell r="AE218">
            <v>58.6</v>
          </cell>
          <cell r="AF218">
            <v>30</v>
          </cell>
          <cell r="AG218" t="str">
            <v>2043797</v>
          </cell>
          <cell r="AH218" t="str">
            <v>김영호　　</v>
          </cell>
          <cell r="AI218" t="str">
            <v>20</v>
          </cell>
          <cell r="AJ218" t="str">
            <v>32</v>
          </cell>
          <cell r="AK218">
            <v>89</v>
          </cell>
          <cell r="AL218">
            <v>63.05</v>
          </cell>
          <cell r="AM218">
            <v>20</v>
          </cell>
          <cell r="AN218" t="str">
            <v>2100100</v>
          </cell>
          <cell r="AO218" t="str">
            <v>김무일　　</v>
          </cell>
          <cell r="AP218" t="str">
            <v>02</v>
          </cell>
          <cell r="AQ218" t="str">
            <v>30</v>
          </cell>
          <cell r="AR218">
            <v>93</v>
          </cell>
          <cell r="AS218">
            <v>66.73</v>
          </cell>
          <cell r="AT218">
            <v>20</v>
          </cell>
          <cell r="AU218" t="str">
            <v>2728462</v>
          </cell>
          <cell r="AV218" t="str">
            <v>임승근　　</v>
          </cell>
          <cell r="AW218" t="str">
            <v>02</v>
          </cell>
          <cell r="AX218" t="str">
            <v>20</v>
          </cell>
          <cell r="AY218">
            <v>93</v>
          </cell>
          <cell r="AZ218">
            <v>68.52</v>
          </cell>
          <cell r="BA218">
            <v>10</v>
          </cell>
          <cell r="BF218">
            <v>0</v>
          </cell>
          <cell r="BG218">
            <v>0</v>
          </cell>
          <cell r="BH218">
            <v>0</v>
          </cell>
          <cell r="BM218">
            <v>0</v>
          </cell>
          <cell r="BN218">
            <v>0</v>
          </cell>
          <cell r="BO218">
            <v>0</v>
          </cell>
          <cell r="BP218" t="b">
            <v>0</v>
          </cell>
          <cell r="BQ218">
            <v>0</v>
          </cell>
          <cell r="BR218">
            <v>62.99</v>
          </cell>
          <cell r="BS218">
            <v>550</v>
          </cell>
          <cell r="BT218">
            <v>32.9</v>
          </cell>
          <cell r="BU218" t="str">
            <v>C</v>
          </cell>
          <cell r="BV218" t="str">
            <v>04</v>
          </cell>
          <cell r="BW218">
            <v>68</v>
          </cell>
          <cell r="BX218" t="str">
            <v>19940101</v>
          </cell>
          <cell r="BZ218" t="str">
            <v>B</v>
          </cell>
          <cell r="CA218" t="str">
            <v>03</v>
          </cell>
          <cell r="CB218" t="str">
            <v>C</v>
          </cell>
          <cell r="CC218" t="str">
            <v>05</v>
          </cell>
          <cell r="CD218" t="str">
            <v>C</v>
          </cell>
          <cell r="CE218" t="str">
            <v>08</v>
          </cell>
        </row>
        <row r="219">
          <cell r="A219" t="str">
            <v>2605624</v>
          </cell>
          <cell r="B219" t="str">
            <v>30</v>
          </cell>
          <cell r="C219" t="str">
            <v>4갑</v>
          </cell>
          <cell r="D219" t="str">
            <v>장종호　　</v>
          </cell>
          <cell r="E219" t="str">
            <v>C</v>
          </cell>
          <cell r="G219">
            <v>1</v>
          </cell>
          <cell r="H219" t="str">
            <v>KO**</v>
          </cell>
          <cell r="I219" t="str">
            <v>KOCA</v>
          </cell>
          <cell r="J219" t="str">
            <v>업체협력１팀　　　　</v>
          </cell>
          <cell r="K219" t="str">
            <v>KPAB</v>
          </cell>
          <cell r="L219" t="str">
            <v>승용샤시부품개발팀　</v>
          </cell>
          <cell r="O219" t="str">
            <v>KPAB</v>
          </cell>
          <cell r="R219" t="str">
            <v>4</v>
          </cell>
          <cell r="V219" t="str">
            <v>5</v>
          </cell>
          <cell r="W219" t="str">
            <v>1</v>
          </cell>
          <cell r="X219" t="str">
            <v>3</v>
          </cell>
          <cell r="Y219" t="str">
            <v>S</v>
          </cell>
          <cell r="Z219" t="str">
            <v>7428982</v>
          </cell>
          <cell r="AA219" t="str">
            <v>최재현　　</v>
          </cell>
          <cell r="AB219" t="str">
            <v>24</v>
          </cell>
          <cell r="AC219" t="str">
            <v>43</v>
          </cell>
          <cell r="AD219">
            <v>78</v>
          </cell>
          <cell r="AE219">
            <v>67.91</v>
          </cell>
          <cell r="AF219">
            <v>30</v>
          </cell>
          <cell r="AG219" t="str">
            <v>7151374</v>
          </cell>
          <cell r="AH219" t="str">
            <v>고승환　　</v>
          </cell>
          <cell r="AI219" t="str">
            <v>20</v>
          </cell>
          <cell r="AJ219" t="str">
            <v>32</v>
          </cell>
          <cell r="AK219">
            <v>83</v>
          </cell>
          <cell r="AL219">
            <v>66.64</v>
          </cell>
          <cell r="AM219">
            <v>20</v>
          </cell>
          <cell r="AN219" t="str">
            <v>7043317</v>
          </cell>
          <cell r="AO219" t="str">
            <v>박승하　　</v>
          </cell>
          <cell r="AP219" t="str">
            <v>04</v>
          </cell>
          <cell r="AQ219" t="str">
            <v>30</v>
          </cell>
          <cell r="AR219">
            <v>96</v>
          </cell>
          <cell r="AS219">
            <v>68.319999999999993</v>
          </cell>
          <cell r="AT219">
            <v>20</v>
          </cell>
          <cell r="AU219" t="str">
            <v>2008268</v>
          </cell>
          <cell r="AV219" t="str">
            <v>이용도　　</v>
          </cell>
          <cell r="AW219" t="str">
            <v>02</v>
          </cell>
          <cell r="AX219" t="str">
            <v>20</v>
          </cell>
          <cell r="AY219">
            <v>79</v>
          </cell>
          <cell r="AZ219">
            <v>62.7</v>
          </cell>
          <cell r="BA219">
            <v>10</v>
          </cell>
          <cell r="BF219">
            <v>0</v>
          </cell>
          <cell r="BG219">
            <v>0</v>
          </cell>
          <cell r="BH219">
            <v>0</v>
          </cell>
          <cell r="BM219">
            <v>0</v>
          </cell>
          <cell r="BN219">
            <v>0</v>
          </cell>
          <cell r="BO219">
            <v>0</v>
          </cell>
          <cell r="BP219" t="b">
            <v>0</v>
          </cell>
          <cell r="BQ219">
            <v>0</v>
          </cell>
          <cell r="BR219">
            <v>67.040000000000006</v>
          </cell>
          <cell r="BS219">
            <v>171</v>
          </cell>
          <cell r="BT219">
            <v>11.8</v>
          </cell>
          <cell r="BU219" t="str">
            <v>B</v>
          </cell>
          <cell r="BV219" t="str">
            <v>02</v>
          </cell>
          <cell r="BW219">
            <v>76</v>
          </cell>
          <cell r="BX219" t="str">
            <v>19950116</v>
          </cell>
          <cell r="BZ219" t="str">
            <v>C</v>
          </cell>
          <cell r="CA219" t="str">
            <v>04</v>
          </cell>
          <cell r="CB219" t="str">
            <v>B</v>
          </cell>
          <cell r="CC219" t="str">
            <v>03</v>
          </cell>
          <cell r="CD219" t="str">
            <v>B</v>
          </cell>
          <cell r="CE219" t="str">
            <v>03</v>
          </cell>
        </row>
        <row r="220">
          <cell r="A220" t="str">
            <v>2550128</v>
          </cell>
          <cell r="B220" t="str">
            <v>33</v>
          </cell>
          <cell r="C220" t="str">
            <v>5급</v>
          </cell>
          <cell r="D220" t="str">
            <v>김정희　　</v>
          </cell>
          <cell r="E220" t="str">
            <v>C</v>
          </cell>
          <cell r="G220">
            <v>1</v>
          </cell>
          <cell r="H220" t="str">
            <v>KO**</v>
          </cell>
          <cell r="I220" t="str">
            <v>KSBA</v>
          </cell>
          <cell r="J220" t="str">
            <v>소）총무팀　　　　　</v>
          </cell>
          <cell r="K220" t="str">
            <v>KOEA</v>
          </cell>
          <cell r="L220" t="str">
            <v>부품개발관리팀　　　</v>
          </cell>
          <cell r="O220" t="str">
            <v>KOEA</v>
          </cell>
          <cell r="R220" t="str">
            <v>4</v>
          </cell>
          <cell r="V220" t="str">
            <v>7</v>
          </cell>
          <cell r="W220" t="str">
            <v>1</v>
          </cell>
          <cell r="X220" t="str">
            <v>4</v>
          </cell>
          <cell r="Y220" t="str">
            <v>S</v>
          </cell>
          <cell r="Z220" t="str">
            <v>2073692</v>
          </cell>
          <cell r="AA220" t="str">
            <v>박영환　　</v>
          </cell>
          <cell r="AB220" t="str">
            <v>24</v>
          </cell>
          <cell r="AC220" t="str">
            <v>43</v>
          </cell>
          <cell r="AD220">
            <v>57</v>
          </cell>
          <cell r="AE220">
            <v>55.29</v>
          </cell>
          <cell r="AF220">
            <v>80</v>
          </cell>
          <cell r="AK220">
            <v>0</v>
          </cell>
          <cell r="AL220">
            <v>0</v>
          </cell>
          <cell r="AM220">
            <v>0</v>
          </cell>
          <cell r="AR220">
            <v>0</v>
          </cell>
          <cell r="AS220">
            <v>0</v>
          </cell>
          <cell r="AT220">
            <v>0</v>
          </cell>
          <cell r="AY220">
            <v>0</v>
          </cell>
          <cell r="AZ220">
            <v>0</v>
          </cell>
          <cell r="BA220">
            <v>0</v>
          </cell>
          <cell r="BF220">
            <v>0</v>
          </cell>
          <cell r="BG220">
            <v>0</v>
          </cell>
          <cell r="BH220">
            <v>0</v>
          </cell>
          <cell r="BM220">
            <v>0</v>
          </cell>
          <cell r="BN220">
            <v>0</v>
          </cell>
          <cell r="BO220">
            <v>0</v>
          </cell>
          <cell r="BP220" t="b">
            <v>0</v>
          </cell>
          <cell r="BQ220">
            <v>0</v>
          </cell>
          <cell r="BR220">
            <v>55.29</v>
          </cell>
          <cell r="BS220">
            <v>550</v>
          </cell>
          <cell r="BT220">
            <v>80.3</v>
          </cell>
          <cell r="BU220" t="str">
            <v>D</v>
          </cell>
          <cell r="BV220" t="str">
            <v>09</v>
          </cell>
          <cell r="BW220">
            <v>48</v>
          </cell>
          <cell r="BX220" t="str">
            <v>19940411</v>
          </cell>
          <cell r="BZ220" t="str">
            <v>E</v>
          </cell>
          <cell r="CA220" t="str">
            <v>10</v>
          </cell>
          <cell r="CB220" t="str">
            <v>D</v>
          </cell>
          <cell r="CC220" t="str">
            <v>10</v>
          </cell>
          <cell r="CD220" t="str">
            <v>E</v>
          </cell>
          <cell r="CE220" t="str">
            <v>11</v>
          </cell>
        </row>
        <row r="221">
          <cell r="A221" t="str">
            <v>2692875</v>
          </cell>
          <cell r="B221" t="str">
            <v>30</v>
          </cell>
          <cell r="C221" t="str">
            <v>4갑</v>
          </cell>
          <cell r="D221" t="str">
            <v>양승백　　</v>
          </cell>
          <cell r="E221" t="str">
            <v>C</v>
          </cell>
          <cell r="G221">
            <v>1</v>
          </cell>
          <cell r="H221" t="str">
            <v>KM**</v>
          </cell>
          <cell r="I221" t="str">
            <v>KMJE</v>
          </cell>
          <cell r="J221" t="str">
            <v>안양사업소　　　　　</v>
          </cell>
          <cell r="K221" t="str">
            <v>KMGA</v>
          </cell>
          <cell r="L221" t="str">
            <v>정비운영팀　　　　　</v>
          </cell>
          <cell r="O221" t="str">
            <v>KMGA</v>
          </cell>
          <cell r="R221" t="str">
            <v>1</v>
          </cell>
          <cell r="V221" t="str">
            <v>5</v>
          </cell>
          <cell r="W221" t="str">
            <v>1</v>
          </cell>
          <cell r="X221" t="str">
            <v>3</v>
          </cell>
          <cell r="Y221" t="str">
            <v>O</v>
          </cell>
          <cell r="Z221" t="str">
            <v>2090516</v>
          </cell>
          <cell r="AA221" t="str">
            <v>김경태　　</v>
          </cell>
          <cell r="AB221" t="str">
            <v>24</v>
          </cell>
          <cell r="AC221" t="str">
            <v>43</v>
          </cell>
          <cell r="AD221">
            <v>80</v>
          </cell>
          <cell r="AE221">
            <v>53.18</v>
          </cell>
          <cell r="AF221">
            <v>40</v>
          </cell>
          <cell r="AG221" t="str">
            <v>2718118</v>
          </cell>
          <cell r="AH221" t="str">
            <v>김규섭　　</v>
          </cell>
          <cell r="AI221" t="str">
            <v>05</v>
          </cell>
          <cell r="AJ221" t="str">
            <v>32</v>
          </cell>
          <cell r="AK221">
            <v>81</v>
          </cell>
          <cell r="AL221">
            <v>62.55</v>
          </cell>
          <cell r="AM221">
            <v>30</v>
          </cell>
          <cell r="AN221" t="str">
            <v>2001319</v>
          </cell>
          <cell r="AO221" t="str">
            <v>차정식　　</v>
          </cell>
          <cell r="AP221" t="str">
            <v>02</v>
          </cell>
          <cell r="AQ221" t="str">
            <v>20</v>
          </cell>
          <cell r="AR221">
            <v>77</v>
          </cell>
          <cell r="AS221">
            <v>62.26</v>
          </cell>
          <cell r="AT221">
            <v>10</v>
          </cell>
          <cell r="AY221">
            <v>0</v>
          </cell>
          <cell r="AZ221">
            <v>0</v>
          </cell>
          <cell r="BA221">
            <v>0</v>
          </cell>
          <cell r="BF221">
            <v>0</v>
          </cell>
          <cell r="BG221">
            <v>0</v>
          </cell>
          <cell r="BH221">
            <v>0</v>
          </cell>
          <cell r="BM221">
            <v>0</v>
          </cell>
          <cell r="BN221">
            <v>0</v>
          </cell>
          <cell r="BO221">
            <v>0</v>
          </cell>
          <cell r="BP221" t="b">
            <v>0</v>
          </cell>
          <cell r="BQ221">
            <v>0</v>
          </cell>
          <cell r="BR221">
            <v>57.83</v>
          </cell>
          <cell r="BS221">
            <v>910</v>
          </cell>
          <cell r="BT221">
            <v>62.7</v>
          </cell>
          <cell r="BU221" t="str">
            <v>C</v>
          </cell>
          <cell r="BV221" t="str">
            <v>07</v>
          </cell>
          <cell r="BW221">
            <v>56</v>
          </cell>
          <cell r="BX221" t="str">
            <v>19961216</v>
          </cell>
          <cell r="BZ221" t="str">
            <v>C</v>
          </cell>
          <cell r="CA221" t="str">
            <v>08</v>
          </cell>
          <cell r="CB221" t="str">
            <v>D</v>
          </cell>
          <cell r="CC221" t="str">
            <v>09</v>
          </cell>
        </row>
        <row r="222">
          <cell r="A222" t="str">
            <v>2522342</v>
          </cell>
          <cell r="B222" t="str">
            <v>33</v>
          </cell>
          <cell r="C222" t="str">
            <v>5급</v>
          </cell>
          <cell r="D222" t="str">
            <v>이광희　　</v>
          </cell>
          <cell r="E222" t="str">
            <v>C</v>
          </cell>
          <cell r="G222">
            <v>1</v>
          </cell>
          <cell r="H222" t="str">
            <v>KO**</v>
          </cell>
          <cell r="I222" t="str">
            <v>KPBD</v>
          </cell>
          <cell r="J222" t="str">
            <v>상용의장부품개발팀　</v>
          </cell>
          <cell r="K222" t="str">
            <v>KPAB</v>
          </cell>
          <cell r="L222" t="str">
            <v>승용샤시부품개발팀　</v>
          </cell>
          <cell r="O222" t="str">
            <v>KPAB</v>
          </cell>
          <cell r="R222" t="str">
            <v>4</v>
          </cell>
          <cell r="V222" t="str">
            <v>7</v>
          </cell>
          <cell r="W222" t="str">
            <v>1</v>
          </cell>
          <cell r="X222" t="str">
            <v>4</v>
          </cell>
          <cell r="Y222" t="str">
            <v>S</v>
          </cell>
          <cell r="Z222" t="str">
            <v>7428982</v>
          </cell>
          <cell r="AA222" t="str">
            <v>최재현　　</v>
          </cell>
          <cell r="AB222" t="str">
            <v>24</v>
          </cell>
          <cell r="AC222" t="str">
            <v>43</v>
          </cell>
          <cell r="AD222">
            <v>67</v>
          </cell>
          <cell r="AE222">
            <v>56.91</v>
          </cell>
          <cell r="AF222">
            <v>40</v>
          </cell>
          <cell r="AG222" t="str">
            <v>7151374</v>
          </cell>
          <cell r="AH222" t="str">
            <v>고승환　　</v>
          </cell>
          <cell r="AI222" t="str">
            <v>20</v>
          </cell>
          <cell r="AJ222" t="str">
            <v>32</v>
          </cell>
          <cell r="AK222">
            <v>66</v>
          </cell>
          <cell r="AL222">
            <v>59.05</v>
          </cell>
          <cell r="AM222">
            <v>20</v>
          </cell>
          <cell r="AN222" t="str">
            <v>7043317</v>
          </cell>
          <cell r="AO222" t="str">
            <v>박승하　　</v>
          </cell>
          <cell r="AP222" t="str">
            <v>04</v>
          </cell>
          <cell r="AQ222" t="str">
            <v>30</v>
          </cell>
          <cell r="AR222">
            <v>77</v>
          </cell>
          <cell r="AS222">
            <v>64.84</v>
          </cell>
          <cell r="AT222">
            <v>20</v>
          </cell>
          <cell r="AY222">
            <v>0</v>
          </cell>
          <cell r="AZ222">
            <v>0</v>
          </cell>
          <cell r="BA222">
            <v>0</v>
          </cell>
          <cell r="BF222">
            <v>0</v>
          </cell>
          <cell r="BG222">
            <v>0</v>
          </cell>
          <cell r="BH222">
            <v>0</v>
          </cell>
          <cell r="BM222">
            <v>0</v>
          </cell>
          <cell r="BN222">
            <v>0</v>
          </cell>
          <cell r="BO222">
            <v>0</v>
          </cell>
          <cell r="BP222" t="b">
            <v>0</v>
          </cell>
          <cell r="BQ222">
            <v>0</v>
          </cell>
          <cell r="BR222">
            <v>59.43</v>
          </cell>
          <cell r="BS222">
            <v>356</v>
          </cell>
          <cell r="BT222">
            <v>52</v>
          </cell>
          <cell r="BU222" t="str">
            <v>C</v>
          </cell>
          <cell r="BV222" t="str">
            <v>06</v>
          </cell>
          <cell r="BW222">
            <v>60</v>
          </cell>
          <cell r="BX222" t="str">
            <v>19970310</v>
          </cell>
          <cell r="BZ222" t="str">
            <v>C</v>
          </cell>
          <cell r="CA222" t="str">
            <v>06</v>
          </cell>
          <cell r="CB222" t="str">
            <v>D</v>
          </cell>
          <cell r="CC222" t="str">
            <v>09</v>
          </cell>
        </row>
        <row r="223">
          <cell r="A223" t="str">
            <v>2596039</v>
          </cell>
          <cell r="B223" t="str">
            <v>33</v>
          </cell>
          <cell r="C223" t="str">
            <v>5급</v>
          </cell>
          <cell r="D223" t="str">
            <v>피선자　　</v>
          </cell>
          <cell r="E223" t="str">
            <v>C</v>
          </cell>
          <cell r="G223">
            <v>1</v>
          </cell>
          <cell r="H223" t="str">
            <v>KO**</v>
          </cell>
          <cell r="I223" t="str">
            <v>KPAD</v>
          </cell>
          <cell r="J223" t="str">
            <v>승용의장부품개발팀　</v>
          </cell>
          <cell r="K223" t="str">
            <v>KPAB</v>
          </cell>
          <cell r="L223" t="str">
            <v>승용샤시부품개발팀　</v>
          </cell>
          <cell r="O223" t="str">
            <v>KPAB</v>
          </cell>
          <cell r="R223" t="str">
            <v>4</v>
          </cell>
          <cell r="V223" t="str">
            <v>7</v>
          </cell>
          <cell r="W223" t="str">
            <v>1</v>
          </cell>
          <cell r="X223" t="str">
            <v>4</v>
          </cell>
          <cell r="Y223" t="str">
            <v>S</v>
          </cell>
          <cell r="Z223" t="str">
            <v>7428982</v>
          </cell>
          <cell r="AA223" t="str">
            <v>최재현　　</v>
          </cell>
          <cell r="AB223" t="str">
            <v>24</v>
          </cell>
          <cell r="AC223" t="str">
            <v>43</v>
          </cell>
          <cell r="AD223">
            <v>63</v>
          </cell>
          <cell r="AE223">
            <v>52.8</v>
          </cell>
          <cell r="AF223">
            <v>40</v>
          </cell>
          <cell r="AG223" t="str">
            <v>7151374</v>
          </cell>
          <cell r="AH223" t="str">
            <v>고승환　　</v>
          </cell>
          <cell r="AI223" t="str">
            <v>20</v>
          </cell>
          <cell r="AJ223" t="str">
            <v>32</v>
          </cell>
          <cell r="AK223">
            <v>77</v>
          </cell>
          <cell r="AL223">
            <v>67.41</v>
          </cell>
          <cell r="AM223">
            <v>20</v>
          </cell>
          <cell r="AN223" t="str">
            <v>7043317</v>
          </cell>
          <cell r="AO223" t="str">
            <v>박승하　　</v>
          </cell>
          <cell r="AP223" t="str">
            <v>04</v>
          </cell>
          <cell r="AQ223" t="str">
            <v>30</v>
          </cell>
          <cell r="AR223">
            <v>53</v>
          </cell>
          <cell r="AS223">
            <v>50.32</v>
          </cell>
          <cell r="AT223">
            <v>20</v>
          </cell>
          <cell r="AY223">
            <v>0</v>
          </cell>
          <cell r="AZ223">
            <v>0</v>
          </cell>
          <cell r="BA223">
            <v>0</v>
          </cell>
          <cell r="BF223">
            <v>0</v>
          </cell>
          <cell r="BG223">
            <v>0</v>
          </cell>
          <cell r="BH223">
            <v>0</v>
          </cell>
          <cell r="BM223">
            <v>0</v>
          </cell>
          <cell r="BN223">
            <v>0</v>
          </cell>
          <cell r="BO223">
            <v>0</v>
          </cell>
          <cell r="BP223" t="b">
            <v>0</v>
          </cell>
          <cell r="BQ223">
            <v>0</v>
          </cell>
          <cell r="BR223">
            <v>55.83</v>
          </cell>
          <cell r="BS223">
            <v>526</v>
          </cell>
          <cell r="BT223">
            <v>76.8</v>
          </cell>
          <cell r="BU223" t="str">
            <v>D</v>
          </cell>
          <cell r="BV223" t="str">
            <v>09</v>
          </cell>
          <cell r="BW223">
            <v>48</v>
          </cell>
          <cell r="BX223" t="str">
            <v>19941212</v>
          </cell>
          <cell r="BZ223" t="str">
            <v>E</v>
          </cell>
          <cell r="CA223" t="str">
            <v>11</v>
          </cell>
          <cell r="CB223" t="str">
            <v>E</v>
          </cell>
          <cell r="CC223" t="str">
            <v>11</v>
          </cell>
          <cell r="CD223" t="str">
            <v>D</v>
          </cell>
          <cell r="CE223" t="str">
            <v>10</v>
          </cell>
        </row>
        <row r="224">
          <cell r="A224" t="str">
            <v>2383685</v>
          </cell>
          <cell r="B224" t="str">
            <v>33</v>
          </cell>
          <cell r="C224" t="str">
            <v>5급</v>
          </cell>
          <cell r="D224" t="str">
            <v>곽순　　　</v>
          </cell>
          <cell r="E224" t="str">
            <v>C</v>
          </cell>
          <cell r="G224">
            <v>1</v>
          </cell>
          <cell r="H224" t="str">
            <v>KQ**</v>
          </cell>
          <cell r="I224" t="str">
            <v>KUGA</v>
          </cell>
          <cell r="J224" t="str">
            <v>광）품질관리부　　　</v>
          </cell>
          <cell r="K224" t="str">
            <v>KUEA</v>
          </cell>
          <cell r="L224" t="str">
            <v>광）엔진변속기제조관</v>
          </cell>
          <cell r="O224" t="str">
            <v>KUEAG</v>
          </cell>
          <cell r="R224" t="str">
            <v>6</v>
          </cell>
          <cell r="V224" t="str">
            <v>7</v>
          </cell>
          <cell r="W224" t="str">
            <v>2</v>
          </cell>
          <cell r="X224" t="str">
            <v>4</v>
          </cell>
          <cell r="Y224" t="str">
            <v>S</v>
          </cell>
          <cell r="Z224" t="str">
            <v>2081696</v>
          </cell>
          <cell r="AA224" t="str">
            <v>양광철　　</v>
          </cell>
          <cell r="AB224" t="str">
            <v>26</v>
          </cell>
          <cell r="AC224" t="str">
            <v>40</v>
          </cell>
          <cell r="AD224">
            <v>54</v>
          </cell>
          <cell r="AE224">
            <v>55.29</v>
          </cell>
          <cell r="AF224">
            <v>40</v>
          </cell>
          <cell r="AG224" t="str">
            <v>2024118</v>
          </cell>
          <cell r="AH224" t="str">
            <v>정정규　　</v>
          </cell>
          <cell r="AI224" t="str">
            <v>20</v>
          </cell>
          <cell r="AJ224" t="str">
            <v>31</v>
          </cell>
          <cell r="AK224">
            <v>61</v>
          </cell>
          <cell r="AL224">
            <v>56.5</v>
          </cell>
          <cell r="AM224">
            <v>20</v>
          </cell>
          <cell r="AN224" t="str">
            <v>2026563</v>
          </cell>
          <cell r="AO224" t="str">
            <v>전천수　　</v>
          </cell>
          <cell r="AP224" t="str">
            <v>03</v>
          </cell>
          <cell r="AQ224" t="str">
            <v>30</v>
          </cell>
          <cell r="AR224">
            <v>56</v>
          </cell>
          <cell r="AS224">
            <v>56.24</v>
          </cell>
          <cell r="AT224">
            <v>20</v>
          </cell>
          <cell r="AY224">
            <v>0</v>
          </cell>
          <cell r="AZ224">
            <v>0</v>
          </cell>
          <cell r="BA224">
            <v>0</v>
          </cell>
          <cell r="BF224">
            <v>0</v>
          </cell>
          <cell r="BG224">
            <v>0</v>
          </cell>
          <cell r="BH224">
            <v>0</v>
          </cell>
          <cell r="BM224">
            <v>0</v>
          </cell>
          <cell r="BN224">
            <v>0</v>
          </cell>
          <cell r="BO224">
            <v>0</v>
          </cell>
          <cell r="BP224" t="b">
            <v>0</v>
          </cell>
          <cell r="BQ224">
            <v>0</v>
          </cell>
          <cell r="BR224">
            <v>55.83</v>
          </cell>
          <cell r="BS224">
            <v>526</v>
          </cell>
          <cell r="BT224">
            <v>76.8</v>
          </cell>
          <cell r="BU224" t="str">
            <v>D</v>
          </cell>
          <cell r="BV224" t="str">
            <v>09</v>
          </cell>
          <cell r="BW224">
            <v>48</v>
          </cell>
          <cell r="BX224" t="str">
            <v>19960208</v>
          </cell>
          <cell r="BZ224" t="str">
            <v>D</v>
          </cell>
          <cell r="CA224" t="str">
            <v>10</v>
          </cell>
          <cell r="CB224" t="str">
            <v>E</v>
          </cell>
          <cell r="CC224" t="str">
            <v>11</v>
          </cell>
          <cell r="CD224" t="str">
            <v>E</v>
          </cell>
          <cell r="CE224" t="str">
            <v>11</v>
          </cell>
        </row>
        <row r="225">
          <cell r="A225" t="str">
            <v>2662786</v>
          </cell>
          <cell r="B225" t="str">
            <v>33</v>
          </cell>
          <cell r="C225" t="str">
            <v>5급</v>
          </cell>
          <cell r="D225" t="str">
            <v>이미선　　</v>
          </cell>
          <cell r="E225" t="str">
            <v>C</v>
          </cell>
          <cell r="G225">
            <v>1</v>
          </cell>
          <cell r="H225" t="str">
            <v>KF**</v>
          </cell>
          <cell r="I225" t="str">
            <v>KFBA</v>
          </cell>
          <cell r="J225" t="str">
            <v>재정팀　　　　　　　</v>
          </cell>
          <cell r="K225" t="str">
            <v>KFBB</v>
          </cell>
          <cell r="L225" t="str">
            <v>국제금융팀　　　　　</v>
          </cell>
          <cell r="O225" t="str">
            <v>KFBB</v>
          </cell>
          <cell r="R225" t="str">
            <v>1</v>
          </cell>
          <cell r="V225" t="str">
            <v>7</v>
          </cell>
          <cell r="W225" t="str">
            <v>1</v>
          </cell>
          <cell r="X225" t="str">
            <v>4</v>
          </cell>
          <cell r="Y225" t="str">
            <v>O</v>
          </cell>
          <cell r="Z225" t="str">
            <v>2070124</v>
          </cell>
          <cell r="AA225" t="str">
            <v>한창균　　</v>
          </cell>
          <cell r="AB225" t="str">
            <v>24</v>
          </cell>
          <cell r="AC225" t="str">
            <v>43</v>
          </cell>
          <cell r="AD225">
            <v>84</v>
          </cell>
          <cell r="AE225">
            <v>55.29</v>
          </cell>
          <cell r="AF225">
            <v>50</v>
          </cell>
          <cell r="AG225" t="str">
            <v>2023777</v>
          </cell>
          <cell r="AH225" t="str">
            <v>구태환　　</v>
          </cell>
          <cell r="AI225" t="str">
            <v>20</v>
          </cell>
          <cell r="AJ225" t="str">
            <v>32</v>
          </cell>
          <cell r="AK225">
            <v>89</v>
          </cell>
          <cell r="AL225">
            <v>60.24</v>
          </cell>
          <cell r="AM225">
            <v>30</v>
          </cell>
          <cell r="AR225">
            <v>0</v>
          </cell>
          <cell r="AS225">
            <v>0</v>
          </cell>
          <cell r="AT225">
            <v>0</v>
          </cell>
          <cell r="AY225">
            <v>0</v>
          </cell>
          <cell r="AZ225">
            <v>0</v>
          </cell>
          <cell r="BA225">
            <v>0</v>
          </cell>
          <cell r="BF225">
            <v>0</v>
          </cell>
          <cell r="BG225">
            <v>0</v>
          </cell>
          <cell r="BH225">
            <v>0</v>
          </cell>
          <cell r="BM225">
            <v>0</v>
          </cell>
          <cell r="BN225">
            <v>0</v>
          </cell>
          <cell r="BO225">
            <v>0</v>
          </cell>
          <cell r="BP225" t="b">
            <v>0</v>
          </cell>
          <cell r="BQ225">
            <v>0</v>
          </cell>
          <cell r="BR225">
            <v>57.15</v>
          </cell>
          <cell r="BS225">
            <v>457</v>
          </cell>
          <cell r="BT225">
            <v>66.7</v>
          </cell>
          <cell r="BU225" t="str">
            <v>C</v>
          </cell>
          <cell r="BV225" t="str">
            <v>08</v>
          </cell>
          <cell r="BW225">
            <v>52</v>
          </cell>
          <cell r="BX225" t="str">
            <v>19960222</v>
          </cell>
          <cell r="BZ225" t="str">
            <v>C</v>
          </cell>
          <cell r="CA225" t="str">
            <v>07</v>
          </cell>
          <cell r="CB225" t="str">
            <v>E</v>
          </cell>
          <cell r="CC225" t="str">
            <v>11</v>
          </cell>
          <cell r="CD225" t="str">
            <v>E</v>
          </cell>
          <cell r="CE225" t="str">
            <v>11</v>
          </cell>
        </row>
        <row r="226">
          <cell r="A226" t="str">
            <v>2395723</v>
          </cell>
          <cell r="B226" t="str">
            <v>33</v>
          </cell>
          <cell r="C226" t="str">
            <v>5급</v>
          </cell>
          <cell r="D226" t="str">
            <v>박미희　　</v>
          </cell>
          <cell r="E226" t="str">
            <v>C</v>
          </cell>
          <cell r="G226">
            <v>1</v>
          </cell>
          <cell r="H226" t="str">
            <v>KQ**</v>
          </cell>
          <cell r="I226" t="str">
            <v>KUBB</v>
          </cell>
          <cell r="J226" t="str">
            <v>광）인력관리팀　　　</v>
          </cell>
          <cell r="K226" t="str">
            <v>KUGA</v>
          </cell>
          <cell r="L226" t="str">
            <v>광）품질관리부　　　</v>
          </cell>
          <cell r="O226" t="str">
            <v>KUGAA</v>
          </cell>
          <cell r="R226" t="str">
            <v>6</v>
          </cell>
          <cell r="V226" t="str">
            <v>7</v>
          </cell>
          <cell r="W226" t="str">
            <v>2</v>
          </cell>
          <cell r="X226" t="str">
            <v>4</v>
          </cell>
          <cell r="Y226" t="str">
            <v>S</v>
          </cell>
          <cell r="Z226" t="str">
            <v>2314603</v>
          </cell>
          <cell r="AA226" t="str">
            <v>장삼재　　</v>
          </cell>
          <cell r="AB226" t="str">
            <v>26</v>
          </cell>
          <cell r="AC226" t="str">
            <v>50</v>
          </cell>
          <cell r="AD226">
            <v>65</v>
          </cell>
          <cell r="AE226">
            <v>60</v>
          </cell>
          <cell r="AF226">
            <v>30</v>
          </cell>
          <cell r="AG226" t="str">
            <v>2434573</v>
          </cell>
          <cell r="AH226" t="str">
            <v>김제복　　</v>
          </cell>
          <cell r="AI226" t="str">
            <v>26</v>
          </cell>
          <cell r="AJ226" t="str">
            <v>40</v>
          </cell>
          <cell r="AK226">
            <v>65</v>
          </cell>
          <cell r="AL226">
            <v>58.79</v>
          </cell>
          <cell r="AM226">
            <v>30</v>
          </cell>
          <cell r="AN226" t="str">
            <v>2024118</v>
          </cell>
          <cell r="AO226" t="str">
            <v>정정규　　</v>
          </cell>
          <cell r="AP226" t="str">
            <v>20</v>
          </cell>
          <cell r="AQ226" t="str">
            <v>31</v>
          </cell>
          <cell r="AR226">
            <v>47</v>
          </cell>
          <cell r="AS226">
            <v>51.86</v>
          </cell>
          <cell r="AT226">
            <v>10</v>
          </cell>
          <cell r="AU226" t="str">
            <v>2026563</v>
          </cell>
          <cell r="AV226" t="str">
            <v>전천수　　</v>
          </cell>
          <cell r="AW226" t="str">
            <v>03</v>
          </cell>
          <cell r="AX226" t="str">
            <v>30</v>
          </cell>
          <cell r="AY226">
            <v>45</v>
          </cell>
          <cell r="AZ226">
            <v>52.22</v>
          </cell>
          <cell r="BA226">
            <v>10</v>
          </cell>
          <cell r="BF226">
            <v>0</v>
          </cell>
          <cell r="BG226">
            <v>0</v>
          </cell>
          <cell r="BH226">
            <v>0</v>
          </cell>
          <cell r="BM226">
            <v>0</v>
          </cell>
          <cell r="BN226">
            <v>0</v>
          </cell>
          <cell r="BO226">
            <v>0</v>
          </cell>
          <cell r="BP226" t="b">
            <v>0</v>
          </cell>
          <cell r="BQ226">
            <v>0</v>
          </cell>
          <cell r="BR226">
            <v>57.56</v>
          </cell>
          <cell r="BS226">
            <v>434</v>
          </cell>
          <cell r="BT226">
            <v>63.4</v>
          </cell>
          <cell r="BU226" t="str">
            <v>C</v>
          </cell>
          <cell r="BV226" t="str">
            <v>07</v>
          </cell>
          <cell r="BW226">
            <v>56</v>
          </cell>
          <cell r="BX226" t="str">
            <v>19960208</v>
          </cell>
          <cell r="BZ226" t="str">
            <v>E</v>
          </cell>
          <cell r="CA226" t="str">
            <v>11</v>
          </cell>
          <cell r="CB226" t="str">
            <v>E</v>
          </cell>
          <cell r="CC226" t="str">
            <v>10</v>
          </cell>
          <cell r="CD226" t="str">
            <v>C</v>
          </cell>
          <cell r="CE226" t="str">
            <v>05</v>
          </cell>
        </row>
        <row r="227">
          <cell r="A227" t="str">
            <v>2654373</v>
          </cell>
          <cell r="B227" t="str">
            <v>30</v>
          </cell>
          <cell r="C227" t="str">
            <v>4갑</v>
          </cell>
          <cell r="D227" t="str">
            <v>김인욱　　</v>
          </cell>
          <cell r="E227" t="str">
            <v>C</v>
          </cell>
          <cell r="G227">
            <v>1</v>
          </cell>
          <cell r="H227" t="str">
            <v>KH**</v>
          </cell>
          <cell r="I227" t="str">
            <v>KHDC</v>
          </cell>
          <cell r="J227" t="str">
            <v>대상판촉팀　　　　　</v>
          </cell>
          <cell r="K227" t="str">
            <v>KHZA</v>
          </cell>
          <cell r="L227" t="str">
            <v>ＲＶ판촉팀　　　　　</v>
          </cell>
          <cell r="O227" t="str">
            <v>KHZA</v>
          </cell>
          <cell r="R227" t="str">
            <v>1</v>
          </cell>
          <cell r="V227" t="str">
            <v>5</v>
          </cell>
          <cell r="W227" t="str">
            <v>1</v>
          </cell>
          <cell r="X227" t="str">
            <v>3</v>
          </cell>
          <cell r="Y227" t="str">
            <v>S</v>
          </cell>
          <cell r="Z227" t="str">
            <v>2718214</v>
          </cell>
          <cell r="AA227" t="str">
            <v>이지원　　</v>
          </cell>
          <cell r="AB227" t="str">
            <v>04</v>
          </cell>
          <cell r="AC227" t="str">
            <v>32</v>
          </cell>
          <cell r="AD227">
            <v>70</v>
          </cell>
          <cell r="AE227">
            <v>60.05</v>
          </cell>
          <cell r="AF227">
            <v>60</v>
          </cell>
          <cell r="AG227" t="str">
            <v>2059744</v>
          </cell>
          <cell r="AH227" t="str">
            <v>김도영　　</v>
          </cell>
          <cell r="AI227" t="str">
            <v>02</v>
          </cell>
          <cell r="AJ227" t="str">
            <v>20</v>
          </cell>
          <cell r="AK227">
            <v>70</v>
          </cell>
          <cell r="AL227">
            <v>59.89</v>
          </cell>
          <cell r="AM227">
            <v>20</v>
          </cell>
          <cell r="AR227">
            <v>0</v>
          </cell>
          <cell r="AS227">
            <v>0</v>
          </cell>
          <cell r="AT227">
            <v>0</v>
          </cell>
          <cell r="AY227">
            <v>0</v>
          </cell>
          <cell r="AZ227">
            <v>0</v>
          </cell>
          <cell r="BA227">
            <v>0</v>
          </cell>
          <cell r="BF227">
            <v>0</v>
          </cell>
          <cell r="BG227">
            <v>0</v>
          </cell>
          <cell r="BH227">
            <v>0</v>
          </cell>
          <cell r="BM227">
            <v>0</v>
          </cell>
          <cell r="BN227">
            <v>0</v>
          </cell>
          <cell r="BO227">
            <v>0</v>
          </cell>
          <cell r="BP227" t="b">
            <v>0</v>
          </cell>
          <cell r="BQ227">
            <v>0</v>
          </cell>
          <cell r="BR227">
            <v>60.01</v>
          </cell>
          <cell r="BS227">
            <v>680</v>
          </cell>
          <cell r="BT227">
            <v>46.9</v>
          </cell>
          <cell r="BU227" t="str">
            <v>C</v>
          </cell>
          <cell r="BV227" t="str">
            <v>06</v>
          </cell>
          <cell r="BW227">
            <v>60</v>
          </cell>
          <cell r="BX227" t="str">
            <v>19960104</v>
          </cell>
          <cell r="BZ227" t="str">
            <v>B</v>
          </cell>
          <cell r="CA227" t="str">
            <v>03</v>
          </cell>
          <cell r="CB227" t="str">
            <v>D</v>
          </cell>
          <cell r="CC227" t="str">
            <v>10</v>
          </cell>
          <cell r="CD227" t="str">
            <v>D</v>
          </cell>
          <cell r="CE227" t="str">
            <v>10</v>
          </cell>
        </row>
        <row r="228">
          <cell r="A228" t="str">
            <v>2281119</v>
          </cell>
          <cell r="B228" t="str">
            <v>30</v>
          </cell>
          <cell r="C228" t="str">
            <v>4갑</v>
          </cell>
          <cell r="D228" t="str">
            <v>이훈　　　</v>
          </cell>
          <cell r="E228" t="str">
            <v>C</v>
          </cell>
          <cell r="G228">
            <v>1</v>
          </cell>
          <cell r="H228" t="str">
            <v>KM**</v>
          </cell>
          <cell r="I228" t="str">
            <v>KMIB</v>
          </cell>
          <cell r="J228" t="str">
            <v>강남부품사업소　　　</v>
          </cell>
          <cell r="K228" t="str">
            <v>KMIG</v>
          </cell>
          <cell r="L228" t="str">
            <v>대형부품사업소　　　</v>
          </cell>
          <cell r="O228" t="str">
            <v>KMIGB</v>
          </cell>
          <cell r="R228" t="str">
            <v>2</v>
          </cell>
          <cell r="V228" t="str">
            <v>5</v>
          </cell>
          <cell r="W228" t="str">
            <v>4</v>
          </cell>
          <cell r="X228" t="str">
            <v>3</v>
          </cell>
          <cell r="Y228" t="str">
            <v>O</v>
          </cell>
          <cell r="Z228" t="str">
            <v>2165884</v>
          </cell>
          <cell r="AA228" t="str">
            <v>김병규　　</v>
          </cell>
          <cell r="AB228" t="str">
            <v>28</v>
          </cell>
          <cell r="AC228" t="str">
            <v>50</v>
          </cell>
          <cell r="AD228">
            <v>90</v>
          </cell>
          <cell r="AE228">
            <v>64.709999999999994</v>
          </cell>
          <cell r="AF228">
            <v>40</v>
          </cell>
          <cell r="AG228" t="str">
            <v>2161447</v>
          </cell>
          <cell r="AH228" t="str">
            <v>윤재희　　</v>
          </cell>
          <cell r="AI228" t="str">
            <v>26</v>
          </cell>
          <cell r="AJ228" t="str">
            <v>43</v>
          </cell>
          <cell r="AK228">
            <v>75</v>
          </cell>
          <cell r="AL228">
            <v>56.28</v>
          </cell>
          <cell r="AM228">
            <v>40</v>
          </cell>
          <cell r="AN228" t="str">
            <v>2001319</v>
          </cell>
          <cell r="AO228" t="str">
            <v>차정식　　</v>
          </cell>
          <cell r="AP228" t="str">
            <v>02</v>
          </cell>
          <cell r="AQ228" t="str">
            <v>20</v>
          </cell>
          <cell r="AR228">
            <v>63</v>
          </cell>
          <cell r="AS228">
            <v>57.28</v>
          </cell>
          <cell r="AT228">
            <v>10</v>
          </cell>
          <cell r="AY228">
            <v>0</v>
          </cell>
          <cell r="AZ228">
            <v>0</v>
          </cell>
          <cell r="BA228">
            <v>0</v>
          </cell>
          <cell r="BF228">
            <v>0</v>
          </cell>
          <cell r="BG228">
            <v>0</v>
          </cell>
          <cell r="BH228">
            <v>0</v>
          </cell>
          <cell r="BM228">
            <v>0</v>
          </cell>
          <cell r="BN228">
            <v>0</v>
          </cell>
          <cell r="BO228">
            <v>0</v>
          </cell>
          <cell r="BP228" t="b">
            <v>0</v>
          </cell>
          <cell r="BQ228">
            <v>0</v>
          </cell>
          <cell r="BR228">
            <v>60.14</v>
          </cell>
          <cell r="BS228">
            <v>669</v>
          </cell>
          <cell r="BT228">
            <v>46.1</v>
          </cell>
          <cell r="BU228" t="str">
            <v>C</v>
          </cell>
          <cell r="BV228" t="str">
            <v>06</v>
          </cell>
          <cell r="BW228">
            <v>60</v>
          </cell>
          <cell r="BX228" t="str">
            <v>19940101</v>
          </cell>
          <cell r="BZ228" t="str">
            <v>D</v>
          </cell>
          <cell r="CA228" t="str">
            <v>08</v>
          </cell>
          <cell r="CB228" t="str">
            <v>C</v>
          </cell>
          <cell r="CC228" t="str">
            <v>08</v>
          </cell>
          <cell r="CD228" t="str">
            <v>C</v>
          </cell>
          <cell r="CE228" t="str">
            <v>07</v>
          </cell>
        </row>
        <row r="229">
          <cell r="A229" t="str">
            <v>2553926</v>
          </cell>
          <cell r="B229" t="str">
            <v>32</v>
          </cell>
          <cell r="C229" t="str">
            <v>4을</v>
          </cell>
          <cell r="D229" t="str">
            <v>한희홍　　</v>
          </cell>
          <cell r="E229" t="str">
            <v>C</v>
          </cell>
          <cell r="G229">
            <v>1</v>
          </cell>
          <cell r="H229" t="str">
            <v>KH**</v>
          </cell>
          <cell r="I229" t="str">
            <v>KHEL</v>
          </cell>
          <cell r="J229" t="str">
            <v>동부）삼선교지점　　</v>
          </cell>
          <cell r="K229" t="str">
            <v>KHEF</v>
          </cell>
          <cell r="L229" t="str">
            <v>동부）도봉지점　　　</v>
          </cell>
          <cell r="O229" t="str">
            <v>KHEFA</v>
          </cell>
          <cell r="R229" t="str">
            <v>2</v>
          </cell>
          <cell r="V229" t="str">
            <v>6</v>
          </cell>
          <cell r="W229" t="str">
            <v>3</v>
          </cell>
          <cell r="X229" t="str">
            <v>4</v>
          </cell>
          <cell r="Y229" t="str">
            <v>O</v>
          </cell>
          <cell r="Z229" t="str">
            <v>2014547</v>
          </cell>
          <cell r="AA229" t="str">
            <v>송수이　　</v>
          </cell>
          <cell r="AB229" t="str">
            <v>24</v>
          </cell>
          <cell r="AC229" t="str">
            <v>44</v>
          </cell>
          <cell r="AD229">
            <v>60</v>
          </cell>
          <cell r="AE229">
            <v>60</v>
          </cell>
          <cell r="AF229">
            <v>60</v>
          </cell>
          <cell r="AG229" t="str">
            <v>2718162</v>
          </cell>
          <cell r="AH229" t="str">
            <v>박광인　　</v>
          </cell>
          <cell r="AI229" t="str">
            <v>03</v>
          </cell>
          <cell r="AJ229" t="str">
            <v>32</v>
          </cell>
          <cell r="AK229">
            <v>89</v>
          </cell>
          <cell r="AL229">
            <v>66.599999999999994</v>
          </cell>
          <cell r="AM229">
            <v>30</v>
          </cell>
          <cell r="AR229">
            <v>0</v>
          </cell>
          <cell r="AS229">
            <v>0</v>
          </cell>
          <cell r="AT229">
            <v>0</v>
          </cell>
          <cell r="AY229">
            <v>0</v>
          </cell>
          <cell r="AZ229">
            <v>0</v>
          </cell>
          <cell r="BA229">
            <v>0</v>
          </cell>
          <cell r="BF229">
            <v>0</v>
          </cell>
          <cell r="BG229">
            <v>0</v>
          </cell>
          <cell r="BH229">
            <v>0</v>
          </cell>
          <cell r="BM229">
            <v>0</v>
          </cell>
          <cell r="BN229">
            <v>0</v>
          </cell>
          <cell r="BO229">
            <v>0</v>
          </cell>
          <cell r="BP229" t="b">
            <v>0</v>
          </cell>
          <cell r="BQ229">
            <v>0</v>
          </cell>
          <cell r="BR229">
            <v>62.2</v>
          </cell>
          <cell r="BS229">
            <v>261</v>
          </cell>
          <cell r="BT229">
            <v>37.4</v>
          </cell>
          <cell r="BU229" t="str">
            <v>C</v>
          </cell>
          <cell r="BV229" t="str">
            <v>05</v>
          </cell>
          <cell r="BW229">
            <v>64</v>
          </cell>
          <cell r="BX229" t="str">
            <v>19980101</v>
          </cell>
          <cell r="BZ229" t="str">
            <v>D</v>
          </cell>
          <cell r="CA229" t="str">
            <v>08</v>
          </cell>
          <cell r="CB229" t="str">
            <v>C</v>
          </cell>
          <cell r="CC229" t="str">
            <v>06</v>
          </cell>
          <cell r="CD229" t="str">
            <v>C</v>
          </cell>
          <cell r="CE229" t="str">
            <v>06</v>
          </cell>
        </row>
        <row r="230">
          <cell r="A230" t="str">
            <v>2367448</v>
          </cell>
          <cell r="B230" t="str">
            <v>28</v>
          </cell>
          <cell r="C230" t="str">
            <v>대리</v>
          </cell>
          <cell r="D230" t="str">
            <v>진수범　　</v>
          </cell>
          <cell r="E230" t="str">
            <v>C</v>
          </cell>
          <cell r="G230">
            <v>1</v>
          </cell>
          <cell r="H230" t="str">
            <v>KQ**</v>
          </cell>
          <cell r="I230" t="str">
            <v>KUGA</v>
          </cell>
          <cell r="J230" t="str">
            <v>광）품질관리부　　　</v>
          </cell>
          <cell r="K230" t="str">
            <v>KUCC</v>
          </cell>
          <cell r="L230" t="str">
            <v>광）특장제조부　　　</v>
          </cell>
          <cell r="O230" t="str">
            <v>KUCCA</v>
          </cell>
          <cell r="R230" t="str">
            <v>6</v>
          </cell>
          <cell r="V230" t="str">
            <v>4</v>
          </cell>
          <cell r="W230" t="str">
            <v>2</v>
          </cell>
          <cell r="X230" t="str">
            <v>3</v>
          </cell>
          <cell r="Y230" t="str">
            <v>S</v>
          </cell>
          <cell r="Z230" t="str">
            <v>2096372</v>
          </cell>
          <cell r="AA230" t="str">
            <v>김종성　　</v>
          </cell>
          <cell r="AB230" t="str">
            <v>26</v>
          </cell>
          <cell r="AC230" t="str">
            <v>50</v>
          </cell>
          <cell r="AD230">
            <v>94</v>
          </cell>
          <cell r="AE230">
            <v>62.94</v>
          </cell>
          <cell r="AF230">
            <v>30</v>
          </cell>
          <cell r="AG230" t="str">
            <v>2388627</v>
          </cell>
          <cell r="AH230" t="str">
            <v>장성환　　</v>
          </cell>
          <cell r="AI230" t="str">
            <v>22</v>
          </cell>
          <cell r="AJ230" t="str">
            <v>40</v>
          </cell>
          <cell r="AK230">
            <v>77</v>
          </cell>
          <cell r="AL230">
            <v>60.7</v>
          </cell>
          <cell r="AM230">
            <v>30</v>
          </cell>
          <cell r="AN230" t="str">
            <v>2026563</v>
          </cell>
          <cell r="AO230" t="str">
            <v>전천수　　</v>
          </cell>
          <cell r="AP230" t="str">
            <v>03</v>
          </cell>
          <cell r="AQ230" t="str">
            <v>30</v>
          </cell>
          <cell r="AR230">
            <v>60</v>
          </cell>
          <cell r="AS230">
            <v>57.02</v>
          </cell>
          <cell r="AT230">
            <v>10</v>
          </cell>
          <cell r="AU230" t="str">
            <v>2728462</v>
          </cell>
          <cell r="AV230" t="str">
            <v>임승근　　</v>
          </cell>
          <cell r="AW230" t="str">
            <v>02</v>
          </cell>
          <cell r="AX230" t="str">
            <v>20</v>
          </cell>
          <cell r="AY230">
            <v>70</v>
          </cell>
          <cell r="AZ230">
            <v>60.01</v>
          </cell>
          <cell r="BA230">
            <v>10</v>
          </cell>
          <cell r="BF230">
            <v>0</v>
          </cell>
          <cell r="BG230">
            <v>0</v>
          </cell>
          <cell r="BH230">
            <v>0</v>
          </cell>
          <cell r="BM230">
            <v>0</v>
          </cell>
          <cell r="BN230">
            <v>0</v>
          </cell>
          <cell r="BO230">
            <v>0</v>
          </cell>
          <cell r="BP230" t="b">
            <v>0</v>
          </cell>
          <cell r="BQ230">
            <v>0</v>
          </cell>
          <cell r="BR230">
            <v>60.99</v>
          </cell>
          <cell r="BS230">
            <v>724</v>
          </cell>
          <cell r="BT230">
            <v>43.2</v>
          </cell>
          <cell r="BU230" t="str">
            <v>C</v>
          </cell>
          <cell r="BV230" t="str">
            <v>05</v>
          </cell>
          <cell r="BW230">
            <v>64</v>
          </cell>
          <cell r="BX230" t="str">
            <v>19960101</v>
          </cell>
          <cell r="BZ230" t="str">
            <v>D</v>
          </cell>
          <cell r="CA230" t="str">
            <v>09</v>
          </cell>
          <cell r="CB230" t="str">
            <v>C</v>
          </cell>
          <cell r="CC230" t="str">
            <v>05</v>
          </cell>
          <cell r="CD230" t="str">
            <v>C</v>
          </cell>
          <cell r="CE230" t="str">
            <v>06</v>
          </cell>
        </row>
        <row r="231">
          <cell r="A231" t="str">
            <v>2538648</v>
          </cell>
          <cell r="B231" t="str">
            <v>30</v>
          </cell>
          <cell r="C231" t="str">
            <v>4갑</v>
          </cell>
          <cell r="D231" t="str">
            <v>배기행　　</v>
          </cell>
          <cell r="E231" t="str">
            <v>C</v>
          </cell>
          <cell r="G231">
            <v>1</v>
          </cell>
          <cell r="H231" t="str">
            <v>KH**</v>
          </cell>
          <cell r="I231" t="str">
            <v>KHSD</v>
          </cell>
          <cell r="J231" t="str">
            <v>부산）사상지점　　　</v>
          </cell>
          <cell r="K231" t="str">
            <v>KHST</v>
          </cell>
          <cell r="L231" t="str">
            <v>부산）영도지점　　　</v>
          </cell>
          <cell r="O231" t="str">
            <v>KHSTA</v>
          </cell>
          <cell r="R231" t="str">
            <v>2</v>
          </cell>
          <cell r="V231" t="str">
            <v>5</v>
          </cell>
          <cell r="W231" t="str">
            <v>3</v>
          </cell>
          <cell r="X231" t="str">
            <v>3</v>
          </cell>
          <cell r="Y231" t="str">
            <v>S</v>
          </cell>
          <cell r="Z231" t="str">
            <v>2178629</v>
          </cell>
          <cell r="AA231" t="str">
            <v>김덕호　　</v>
          </cell>
          <cell r="AB231" t="str">
            <v>28</v>
          </cell>
          <cell r="AC231" t="str">
            <v>50</v>
          </cell>
          <cell r="AD231">
            <v>91</v>
          </cell>
          <cell r="AE231">
            <v>60</v>
          </cell>
          <cell r="AF231">
            <v>10</v>
          </cell>
          <cell r="AG231" t="str">
            <v>2071462</v>
          </cell>
          <cell r="AH231" t="str">
            <v>김도훈　　</v>
          </cell>
          <cell r="AI231" t="str">
            <v>28</v>
          </cell>
          <cell r="AJ231" t="str">
            <v>44</v>
          </cell>
          <cell r="AK231">
            <v>97</v>
          </cell>
          <cell r="AL231">
            <v>64.72</v>
          </cell>
          <cell r="AM231">
            <v>40</v>
          </cell>
          <cell r="AN231" t="str">
            <v>2718178</v>
          </cell>
          <cell r="AO231" t="str">
            <v>박환　　　</v>
          </cell>
          <cell r="AP231" t="str">
            <v>20</v>
          </cell>
          <cell r="AQ231" t="str">
            <v>32</v>
          </cell>
          <cell r="AR231">
            <v>80</v>
          </cell>
          <cell r="AS231">
            <v>63.02</v>
          </cell>
          <cell r="AT231">
            <v>30</v>
          </cell>
          <cell r="AU231" t="str">
            <v>2059744</v>
          </cell>
          <cell r="AV231" t="str">
            <v>김도영　　</v>
          </cell>
          <cell r="AW231" t="str">
            <v>02</v>
          </cell>
          <cell r="AX231" t="str">
            <v>20</v>
          </cell>
          <cell r="AY231">
            <v>63</v>
          </cell>
          <cell r="AZ231">
            <v>57.4</v>
          </cell>
          <cell r="BA231">
            <v>10</v>
          </cell>
          <cell r="BF231">
            <v>0</v>
          </cell>
          <cell r="BG231">
            <v>0</v>
          </cell>
          <cell r="BH231">
            <v>0</v>
          </cell>
          <cell r="BM231">
            <v>0</v>
          </cell>
          <cell r="BN231">
            <v>0</v>
          </cell>
          <cell r="BO231">
            <v>0</v>
          </cell>
          <cell r="BP231" t="b">
            <v>0</v>
          </cell>
          <cell r="BQ231">
            <v>0</v>
          </cell>
          <cell r="BR231">
            <v>62.82</v>
          </cell>
          <cell r="BS231">
            <v>448</v>
          </cell>
          <cell r="BT231">
            <v>30.9</v>
          </cell>
          <cell r="BU231" t="str">
            <v>C</v>
          </cell>
          <cell r="BV231" t="str">
            <v>04</v>
          </cell>
          <cell r="BW231">
            <v>68</v>
          </cell>
          <cell r="BX231" t="str">
            <v>19940304</v>
          </cell>
          <cell r="BZ231" t="str">
            <v>C</v>
          </cell>
          <cell r="CA231" t="str">
            <v>06</v>
          </cell>
          <cell r="CB231" t="str">
            <v>D</v>
          </cell>
          <cell r="CC231" t="str">
            <v>09</v>
          </cell>
          <cell r="CD231" t="str">
            <v>B</v>
          </cell>
          <cell r="CE231" t="str">
            <v>02</v>
          </cell>
        </row>
        <row r="232">
          <cell r="A232" t="str">
            <v>2211548</v>
          </cell>
          <cell r="B232" t="str">
            <v>28</v>
          </cell>
          <cell r="C232" t="str">
            <v>대리</v>
          </cell>
          <cell r="D232" t="str">
            <v>박정의　　</v>
          </cell>
          <cell r="E232" t="str">
            <v>C</v>
          </cell>
          <cell r="G232">
            <v>1</v>
          </cell>
          <cell r="H232" t="str">
            <v>KK**</v>
          </cell>
          <cell r="I232" t="str">
            <v>KUDDC</v>
          </cell>
          <cell r="J232" t="str">
            <v>차체품질과　　　　　</v>
          </cell>
          <cell r="K232" t="str">
            <v>ZA59</v>
          </cell>
          <cell r="L232" t="str">
            <v>기아염성　　　　　　</v>
          </cell>
          <cell r="O232" t="str">
            <v>ZA59</v>
          </cell>
          <cell r="R232" t="str">
            <v>3</v>
          </cell>
          <cell r="V232" t="str">
            <v>4</v>
          </cell>
          <cell r="W232" t="str">
            <v>5</v>
          </cell>
          <cell r="X232" t="str">
            <v>3</v>
          </cell>
          <cell r="Y232" t="str">
            <v>S</v>
          </cell>
          <cell r="Z232" t="str">
            <v>2018709</v>
          </cell>
          <cell r="AA232" t="str">
            <v>안봉균　　</v>
          </cell>
          <cell r="AB232" t="str">
            <v>20</v>
          </cell>
          <cell r="AC232" t="str">
            <v>43</v>
          </cell>
          <cell r="AD232">
            <v>90</v>
          </cell>
          <cell r="AE232">
            <v>64.72</v>
          </cell>
          <cell r="AF232">
            <v>60</v>
          </cell>
          <cell r="AG232" t="str">
            <v>2005295</v>
          </cell>
          <cell r="AH232" t="str">
            <v>박성도　　</v>
          </cell>
          <cell r="AI232" t="str">
            <v>02</v>
          </cell>
          <cell r="AJ232" t="str">
            <v>20</v>
          </cell>
          <cell r="AK232">
            <v>70</v>
          </cell>
          <cell r="AL232">
            <v>59.54</v>
          </cell>
          <cell r="AM232">
            <v>20</v>
          </cell>
          <cell r="AR232">
            <v>0</v>
          </cell>
          <cell r="AS232">
            <v>0</v>
          </cell>
          <cell r="AT232">
            <v>0</v>
          </cell>
          <cell r="AY232">
            <v>0</v>
          </cell>
          <cell r="AZ232">
            <v>0</v>
          </cell>
          <cell r="BA232">
            <v>0</v>
          </cell>
          <cell r="BF232">
            <v>0</v>
          </cell>
          <cell r="BG232">
            <v>0</v>
          </cell>
          <cell r="BH232">
            <v>0</v>
          </cell>
          <cell r="BM232">
            <v>0</v>
          </cell>
          <cell r="BN232">
            <v>0</v>
          </cell>
          <cell r="BO232">
            <v>0</v>
          </cell>
          <cell r="BP232" t="b">
            <v>0</v>
          </cell>
          <cell r="BQ232">
            <v>0</v>
          </cell>
          <cell r="BR232">
            <v>63.43</v>
          </cell>
          <cell r="BS232">
            <v>518</v>
          </cell>
          <cell r="BT232">
            <v>30.9</v>
          </cell>
          <cell r="BU232" t="str">
            <v>C</v>
          </cell>
          <cell r="BV232" t="str">
            <v>04</v>
          </cell>
          <cell r="BW232">
            <v>68</v>
          </cell>
          <cell r="BX232" t="str">
            <v>19930101</v>
          </cell>
          <cell r="BZ232" t="str">
            <v>D</v>
          </cell>
          <cell r="CA232" t="str">
            <v>10</v>
          </cell>
          <cell r="CB232" t="str">
            <v>B</v>
          </cell>
          <cell r="CC232" t="str">
            <v>02</v>
          </cell>
          <cell r="CD232" t="str">
            <v>C</v>
          </cell>
          <cell r="CE232" t="str">
            <v>05</v>
          </cell>
        </row>
        <row r="233">
          <cell r="A233" t="str">
            <v>2553227</v>
          </cell>
          <cell r="B233" t="str">
            <v>32</v>
          </cell>
          <cell r="C233" t="str">
            <v>4을</v>
          </cell>
          <cell r="D233" t="str">
            <v>정종현　　</v>
          </cell>
          <cell r="E233" t="str">
            <v>C</v>
          </cell>
          <cell r="G233">
            <v>1</v>
          </cell>
          <cell r="H233" t="str">
            <v>KH**</v>
          </cell>
          <cell r="I233" t="str">
            <v>KHIG</v>
          </cell>
          <cell r="J233" t="str">
            <v>인천）부천지점　　　</v>
          </cell>
          <cell r="K233" t="str">
            <v>KHIQ</v>
          </cell>
          <cell r="L233" t="str">
            <v>인천）중동지점　　　</v>
          </cell>
          <cell r="O233" t="str">
            <v>KHIQA</v>
          </cell>
          <cell r="R233" t="str">
            <v>2</v>
          </cell>
          <cell r="V233" t="str">
            <v>6</v>
          </cell>
          <cell r="W233" t="str">
            <v>3</v>
          </cell>
          <cell r="X233" t="str">
            <v>4</v>
          </cell>
          <cell r="Y233" t="str">
            <v>S</v>
          </cell>
          <cell r="Z233" t="str">
            <v>2314336</v>
          </cell>
          <cell r="AA233" t="str">
            <v>남기춘　　</v>
          </cell>
          <cell r="AB233" t="str">
            <v>28</v>
          </cell>
          <cell r="AC233" t="str">
            <v>50</v>
          </cell>
          <cell r="AD233">
            <v>74</v>
          </cell>
          <cell r="AE233">
            <v>55.29</v>
          </cell>
          <cell r="AF233">
            <v>10</v>
          </cell>
          <cell r="AG233" t="str">
            <v>2133163</v>
          </cell>
          <cell r="AH233" t="str">
            <v>박상대　　</v>
          </cell>
          <cell r="AI233" t="str">
            <v>26</v>
          </cell>
          <cell r="AJ233" t="str">
            <v>44</v>
          </cell>
          <cell r="AK233">
            <v>95</v>
          </cell>
          <cell r="AL233">
            <v>64.709999999999994</v>
          </cell>
          <cell r="AM233">
            <v>50</v>
          </cell>
          <cell r="AN233" t="str">
            <v>2718155</v>
          </cell>
          <cell r="AO233" t="str">
            <v>김한수　　</v>
          </cell>
          <cell r="AP233" t="str">
            <v>05</v>
          </cell>
          <cell r="AQ233" t="str">
            <v>32</v>
          </cell>
          <cell r="AR233">
            <v>93</v>
          </cell>
          <cell r="AS233">
            <v>69.83</v>
          </cell>
          <cell r="AT233">
            <v>30</v>
          </cell>
          <cell r="AY233">
            <v>0</v>
          </cell>
          <cell r="AZ233">
            <v>0</v>
          </cell>
          <cell r="BA233">
            <v>0</v>
          </cell>
          <cell r="BF233">
            <v>0</v>
          </cell>
          <cell r="BG233">
            <v>0</v>
          </cell>
          <cell r="BH233">
            <v>0</v>
          </cell>
          <cell r="BM233">
            <v>0</v>
          </cell>
          <cell r="BN233">
            <v>0</v>
          </cell>
          <cell r="BO233">
            <v>0</v>
          </cell>
          <cell r="BP233" t="b">
            <v>0</v>
          </cell>
          <cell r="BQ233">
            <v>0</v>
          </cell>
          <cell r="BR233">
            <v>65.37</v>
          </cell>
          <cell r="BS233">
            <v>128</v>
          </cell>
          <cell r="BT233">
            <v>18.399999999999999</v>
          </cell>
          <cell r="BU233" t="str">
            <v>B</v>
          </cell>
          <cell r="BV233" t="str">
            <v>03</v>
          </cell>
          <cell r="BW233">
            <v>72</v>
          </cell>
          <cell r="BX233" t="str">
            <v>19940411</v>
          </cell>
          <cell r="BZ233" t="str">
            <v>C</v>
          </cell>
          <cell r="CA233" t="str">
            <v>07</v>
          </cell>
          <cell r="CB233" t="str">
            <v>B</v>
          </cell>
          <cell r="CC233" t="str">
            <v>03</v>
          </cell>
          <cell r="CD233" t="str">
            <v>B</v>
          </cell>
          <cell r="CE233" t="str">
            <v>04</v>
          </cell>
        </row>
        <row r="234">
          <cell r="A234" t="str">
            <v>2470384</v>
          </cell>
          <cell r="B234" t="str">
            <v>33</v>
          </cell>
          <cell r="C234" t="str">
            <v>5급</v>
          </cell>
          <cell r="D234" t="str">
            <v>서영미　　</v>
          </cell>
          <cell r="E234" t="str">
            <v>C</v>
          </cell>
          <cell r="G234">
            <v>1</v>
          </cell>
          <cell r="H234" t="str">
            <v>KQ**</v>
          </cell>
          <cell r="I234" t="str">
            <v>KUCG</v>
          </cell>
          <cell r="J234" t="str">
            <v>광）트럭조립부　　　</v>
          </cell>
          <cell r="K234" t="str">
            <v>KUDA</v>
          </cell>
          <cell r="L234" t="str">
            <v>광）제조관리２부　　</v>
          </cell>
          <cell r="O234" t="str">
            <v>KUDAA</v>
          </cell>
          <cell r="R234" t="str">
            <v>6</v>
          </cell>
          <cell r="V234" t="str">
            <v>7</v>
          </cell>
          <cell r="W234" t="str">
            <v>2</v>
          </cell>
          <cell r="X234" t="str">
            <v>4</v>
          </cell>
          <cell r="Y234" t="str">
            <v>S</v>
          </cell>
          <cell r="Z234" t="str">
            <v>2315361</v>
          </cell>
          <cell r="AA234" t="str">
            <v>김석　　　</v>
          </cell>
          <cell r="AB234" t="str">
            <v>26</v>
          </cell>
          <cell r="AC234" t="str">
            <v>50</v>
          </cell>
          <cell r="AD234">
            <v>40</v>
          </cell>
          <cell r="AE234">
            <v>60</v>
          </cell>
          <cell r="AF234">
            <v>20</v>
          </cell>
          <cell r="AG234" t="str">
            <v>2111464</v>
          </cell>
          <cell r="AH234" t="str">
            <v>이병현　　</v>
          </cell>
          <cell r="AI234" t="str">
            <v>24</v>
          </cell>
          <cell r="AJ234" t="str">
            <v>40</v>
          </cell>
          <cell r="AK234">
            <v>41</v>
          </cell>
          <cell r="AL234">
            <v>55.29</v>
          </cell>
          <cell r="AM234">
            <v>30</v>
          </cell>
          <cell r="AN234" t="str">
            <v>2023375</v>
          </cell>
          <cell r="AO234" t="str">
            <v>정진모　　</v>
          </cell>
          <cell r="AP234" t="str">
            <v>20</v>
          </cell>
          <cell r="AQ234" t="str">
            <v>32</v>
          </cell>
          <cell r="AR234">
            <v>47</v>
          </cell>
          <cell r="AS234">
            <v>60</v>
          </cell>
          <cell r="AT234">
            <v>10</v>
          </cell>
          <cell r="AU234" t="str">
            <v>2024118</v>
          </cell>
          <cell r="AV234" t="str">
            <v>정정규　　</v>
          </cell>
          <cell r="AW234" t="str">
            <v>20</v>
          </cell>
          <cell r="AX234" t="str">
            <v>31</v>
          </cell>
          <cell r="AY234">
            <v>47</v>
          </cell>
          <cell r="AZ234">
            <v>51.86</v>
          </cell>
          <cell r="BA234">
            <v>10</v>
          </cell>
          <cell r="BB234" t="str">
            <v>2026563</v>
          </cell>
          <cell r="BC234" t="str">
            <v>전천수　　</v>
          </cell>
          <cell r="BD234" t="str">
            <v>03</v>
          </cell>
          <cell r="BE234" t="str">
            <v>30</v>
          </cell>
          <cell r="BF234">
            <v>40</v>
          </cell>
          <cell r="BG234">
            <v>50.39</v>
          </cell>
          <cell r="BH234">
            <v>10</v>
          </cell>
          <cell r="BM234">
            <v>0</v>
          </cell>
          <cell r="BN234">
            <v>0</v>
          </cell>
          <cell r="BO234">
            <v>0</v>
          </cell>
          <cell r="BP234" t="b">
            <v>0</v>
          </cell>
          <cell r="BQ234">
            <v>0</v>
          </cell>
          <cell r="BR234">
            <v>56.02</v>
          </cell>
          <cell r="BS234">
            <v>518</v>
          </cell>
          <cell r="BT234">
            <v>75.599999999999994</v>
          </cell>
          <cell r="BU234" t="str">
            <v>D</v>
          </cell>
          <cell r="BV234" t="str">
            <v>09</v>
          </cell>
          <cell r="BW234">
            <v>48</v>
          </cell>
          <cell r="BX234" t="str">
            <v>19960208</v>
          </cell>
          <cell r="BZ234" t="str">
            <v>E</v>
          </cell>
          <cell r="CA234" t="str">
            <v>11</v>
          </cell>
          <cell r="CB234" t="str">
            <v>E</v>
          </cell>
          <cell r="CC234" t="str">
            <v>11</v>
          </cell>
          <cell r="CD234" t="str">
            <v>E</v>
          </cell>
          <cell r="CE234" t="str">
            <v>11</v>
          </cell>
        </row>
        <row r="235">
          <cell r="A235" t="str">
            <v>2186967</v>
          </cell>
          <cell r="B235" t="str">
            <v>26</v>
          </cell>
          <cell r="C235" t="str">
            <v>과장</v>
          </cell>
          <cell r="D235" t="str">
            <v>오인덕　　</v>
          </cell>
          <cell r="E235" t="str">
            <v>C</v>
          </cell>
          <cell r="G235">
            <v>1</v>
          </cell>
          <cell r="H235" t="str">
            <v>KO**</v>
          </cell>
          <cell r="I235" t="str">
            <v>KPCA</v>
          </cell>
          <cell r="J235" t="str">
            <v>구동부품개발업무팀　</v>
          </cell>
          <cell r="K235" t="str">
            <v>KPCB</v>
          </cell>
          <cell r="L235" t="str">
            <v>승용구동부품개발팀　</v>
          </cell>
          <cell r="O235" t="str">
            <v>KPCB</v>
          </cell>
          <cell r="R235" t="str">
            <v>4</v>
          </cell>
          <cell r="V235" t="str">
            <v>3</v>
          </cell>
          <cell r="W235" t="str">
            <v>1</v>
          </cell>
          <cell r="X235" t="str">
            <v>3</v>
          </cell>
          <cell r="Y235" t="str">
            <v>O</v>
          </cell>
          <cell r="Z235" t="str">
            <v>7342966</v>
          </cell>
          <cell r="AA235" t="str">
            <v>황윤철　　</v>
          </cell>
          <cell r="AB235" t="str">
            <v>24</v>
          </cell>
          <cell r="AC235" t="str">
            <v>43</v>
          </cell>
          <cell r="AD235">
            <v>73</v>
          </cell>
          <cell r="AE235">
            <v>63.56</v>
          </cell>
          <cell r="AF235">
            <v>30</v>
          </cell>
          <cell r="AG235" t="str">
            <v>7151374</v>
          </cell>
          <cell r="AH235" t="str">
            <v>고승환　　</v>
          </cell>
          <cell r="AI235" t="str">
            <v>20</v>
          </cell>
          <cell r="AJ235" t="str">
            <v>32</v>
          </cell>
          <cell r="AK235">
            <v>51</v>
          </cell>
          <cell r="AL235">
            <v>51.53</v>
          </cell>
          <cell r="AM235">
            <v>20</v>
          </cell>
          <cell r="AN235" t="str">
            <v>7043317</v>
          </cell>
          <cell r="AO235" t="str">
            <v>박승하　　</v>
          </cell>
          <cell r="AP235" t="str">
            <v>04</v>
          </cell>
          <cell r="AQ235" t="str">
            <v>30</v>
          </cell>
          <cell r="AR235">
            <v>75</v>
          </cell>
          <cell r="AS235">
            <v>60.36</v>
          </cell>
          <cell r="AT235">
            <v>20</v>
          </cell>
          <cell r="AU235" t="str">
            <v>2008268</v>
          </cell>
          <cell r="AV235" t="str">
            <v>이용도　　</v>
          </cell>
          <cell r="AW235" t="str">
            <v>02</v>
          </cell>
          <cell r="AX235" t="str">
            <v>20</v>
          </cell>
          <cell r="AY235">
            <v>80</v>
          </cell>
          <cell r="AZ235">
            <v>63.76</v>
          </cell>
          <cell r="BA235">
            <v>10</v>
          </cell>
          <cell r="BF235">
            <v>0</v>
          </cell>
          <cell r="BG235">
            <v>0</v>
          </cell>
          <cell r="BH235">
            <v>0</v>
          </cell>
          <cell r="BM235">
            <v>0</v>
          </cell>
          <cell r="BN235">
            <v>0</v>
          </cell>
          <cell r="BO235">
            <v>0</v>
          </cell>
          <cell r="BP235" t="b">
            <v>0</v>
          </cell>
          <cell r="BQ235">
            <v>0</v>
          </cell>
          <cell r="BR235">
            <v>59.78</v>
          </cell>
          <cell r="BS235">
            <v>561</v>
          </cell>
          <cell r="BT235">
            <v>49.4</v>
          </cell>
          <cell r="BU235" t="str">
            <v>C</v>
          </cell>
          <cell r="BV235" t="str">
            <v>06</v>
          </cell>
          <cell r="BW235">
            <v>60</v>
          </cell>
          <cell r="BX235" t="str">
            <v>19960101</v>
          </cell>
          <cell r="BZ235" t="str">
            <v>D</v>
          </cell>
          <cell r="CA235" t="str">
            <v>08</v>
          </cell>
          <cell r="CB235" t="str">
            <v>D</v>
          </cell>
          <cell r="CC235" t="str">
            <v>09</v>
          </cell>
          <cell r="CD235" t="str">
            <v>C</v>
          </cell>
          <cell r="CE235" t="str">
            <v>07</v>
          </cell>
        </row>
        <row r="236">
          <cell r="A236" t="str">
            <v>2212335</v>
          </cell>
          <cell r="B236" t="str">
            <v>32</v>
          </cell>
          <cell r="C236" t="str">
            <v>4을</v>
          </cell>
          <cell r="D236" t="str">
            <v>유현숙　　</v>
          </cell>
          <cell r="E236" t="str">
            <v>C</v>
          </cell>
          <cell r="G236">
            <v>1</v>
          </cell>
          <cell r="H236" t="str">
            <v>KQ**</v>
          </cell>
          <cell r="I236" t="str">
            <v>KLAB</v>
          </cell>
          <cell r="J236" t="str">
            <v>수출업무팀　　　　　</v>
          </cell>
          <cell r="K236" t="str">
            <v>KSED</v>
          </cell>
          <cell r="L236" t="str">
            <v>소）구동부　　　　　</v>
          </cell>
          <cell r="O236" t="str">
            <v>KSEDD</v>
          </cell>
          <cell r="R236" t="str">
            <v>4</v>
          </cell>
          <cell r="V236" t="str">
            <v>6</v>
          </cell>
          <cell r="W236" t="str">
            <v>2</v>
          </cell>
          <cell r="X236" t="str">
            <v>4</v>
          </cell>
          <cell r="Y236" t="str">
            <v>S</v>
          </cell>
          <cell r="Z236" t="str">
            <v>2229435</v>
          </cell>
          <cell r="AA236" t="str">
            <v>김만환　　</v>
          </cell>
          <cell r="AB236" t="str">
            <v>26</v>
          </cell>
          <cell r="AC236" t="str">
            <v>50</v>
          </cell>
          <cell r="AD236">
            <v>75</v>
          </cell>
          <cell r="AE236">
            <v>60</v>
          </cell>
          <cell r="AF236">
            <v>20</v>
          </cell>
          <cell r="AG236" t="str">
            <v>2074561</v>
          </cell>
          <cell r="AH236" t="str">
            <v>임재국　　</v>
          </cell>
          <cell r="AI236" t="str">
            <v>24</v>
          </cell>
          <cell r="AJ236" t="str">
            <v>40</v>
          </cell>
          <cell r="AK236">
            <v>70</v>
          </cell>
          <cell r="AL236">
            <v>60</v>
          </cell>
          <cell r="AM236">
            <v>30</v>
          </cell>
          <cell r="AN236" t="str">
            <v>2022238</v>
          </cell>
          <cell r="AO236" t="str">
            <v>백종원　　</v>
          </cell>
          <cell r="AP236" t="str">
            <v>22</v>
          </cell>
          <cell r="AQ236" t="str">
            <v>32</v>
          </cell>
          <cell r="AR236">
            <v>59</v>
          </cell>
          <cell r="AS236">
            <v>60</v>
          </cell>
          <cell r="AT236">
            <v>10</v>
          </cell>
          <cell r="AU236" t="str">
            <v>2014814</v>
          </cell>
          <cell r="AV236" t="str">
            <v>박근성　　</v>
          </cell>
          <cell r="AW236" t="str">
            <v>20</v>
          </cell>
          <cell r="AX236" t="str">
            <v>31</v>
          </cell>
          <cell r="AY236">
            <v>63</v>
          </cell>
          <cell r="AZ236">
            <v>56.98</v>
          </cell>
          <cell r="BA236">
            <v>10</v>
          </cell>
          <cell r="BB236" t="str">
            <v>2060576</v>
          </cell>
          <cell r="BC236" t="str">
            <v>이동룡　　</v>
          </cell>
          <cell r="BD236" t="str">
            <v>02</v>
          </cell>
          <cell r="BE236" t="str">
            <v>30</v>
          </cell>
          <cell r="BF236">
            <v>77</v>
          </cell>
          <cell r="BG236">
            <v>61.77</v>
          </cell>
          <cell r="BH236">
            <v>10</v>
          </cell>
          <cell r="BM236">
            <v>0</v>
          </cell>
          <cell r="BN236">
            <v>0</v>
          </cell>
          <cell r="BO236">
            <v>0</v>
          </cell>
          <cell r="BP236" t="b">
            <v>0</v>
          </cell>
          <cell r="BQ236">
            <v>0</v>
          </cell>
          <cell r="BR236">
            <v>59.84</v>
          </cell>
          <cell r="BS236">
            <v>371</v>
          </cell>
          <cell r="BT236">
            <v>53.2</v>
          </cell>
          <cell r="BU236" t="str">
            <v>C</v>
          </cell>
          <cell r="BV236" t="str">
            <v>06</v>
          </cell>
          <cell r="BW236">
            <v>60</v>
          </cell>
          <cell r="BX236" t="str">
            <v>19940101</v>
          </cell>
          <cell r="BZ236" t="str">
            <v>B</v>
          </cell>
          <cell r="CA236" t="str">
            <v>04</v>
          </cell>
          <cell r="CB236" t="str">
            <v>D</v>
          </cell>
          <cell r="CC236" t="str">
            <v>10</v>
          </cell>
          <cell r="CD236" t="str">
            <v>D</v>
          </cell>
          <cell r="CE236" t="str">
            <v>10</v>
          </cell>
        </row>
        <row r="237">
          <cell r="A237" t="str">
            <v>2606085</v>
          </cell>
          <cell r="B237" t="str">
            <v>30</v>
          </cell>
          <cell r="C237" t="str">
            <v>4갑</v>
          </cell>
          <cell r="D237" t="str">
            <v>조효래　　</v>
          </cell>
          <cell r="E237" t="str">
            <v>C</v>
          </cell>
          <cell r="G237">
            <v>1</v>
          </cell>
          <cell r="H237" t="str">
            <v>KK**</v>
          </cell>
          <cell r="I237" t="str">
            <v>KLDA</v>
          </cell>
          <cell r="J237" t="str">
            <v>써비스기획팀　　　　</v>
          </cell>
          <cell r="K237" t="str">
            <v>KLDC</v>
          </cell>
          <cell r="L237" t="str">
            <v>해외써비스팀　　　　</v>
          </cell>
          <cell r="O237" t="str">
            <v>KLDC</v>
          </cell>
          <cell r="R237" t="str">
            <v>4</v>
          </cell>
          <cell r="V237" t="str">
            <v>5</v>
          </cell>
          <cell r="W237" t="str">
            <v>1</v>
          </cell>
          <cell r="X237" t="str">
            <v>3</v>
          </cell>
          <cell r="Y237" t="str">
            <v>S</v>
          </cell>
          <cell r="Z237" t="str">
            <v>7253025</v>
          </cell>
          <cell r="AA237" t="str">
            <v>김종민　　</v>
          </cell>
          <cell r="AB237" t="str">
            <v>24</v>
          </cell>
          <cell r="AC237" t="str">
            <v>43</v>
          </cell>
          <cell r="AD237">
            <v>80</v>
          </cell>
          <cell r="AE237">
            <v>63.68</v>
          </cell>
          <cell r="AF237">
            <v>30</v>
          </cell>
          <cell r="AG237" t="str">
            <v>7043258</v>
          </cell>
          <cell r="AH237" t="str">
            <v>박상근　　</v>
          </cell>
          <cell r="AI237" t="str">
            <v>05</v>
          </cell>
          <cell r="AJ237" t="str">
            <v>32</v>
          </cell>
          <cell r="AK237">
            <v>91</v>
          </cell>
          <cell r="AL237">
            <v>65.59</v>
          </cell>
          <cell r="AM237">
            <v>20</v>
          </cell>
          <cell r="AN237" t="str">
            <v>2002024</v>
          </cell>
          <cell r="AO237" t="str">
            <v>이덕규　　</v>
          </cell>
          <cell r="AP237" t="str">
            <v>04</v>
          </cell>
          <cell r="AQ237" t="str">
            <v>30</v>
          </cell>
          <cell r="AR237">
            <v>70</v>
          </cell>
          <cell r="AS237">
            <v>59.14</v>
          </cell>
          <cell r="AT237">
            <v>20</v>
          </cell>
          <cell r="AU237" t="str">
            <v>2005295</v>
          </cell>
          <cell r="AV237" t="str">
            <v>박성도　　</v>
          </cell>
          <cell r="AW237" t="str">
            <v>02</v>
          </cell>
          <cell r="AX237" t="str">
            <v>20</v>
          </cell>
          <cell r="AY237">
            <v>70</v>
          </cell>
          <cell r="AZ237">
            <v>58.77</v>
          </cell>
          <cell r="BA237">
            <v>10</v>
          </cell>
          <cell r="BF237">
            <v>0</v>
          </cell>
          <cell r="BG237">
            <v>0</v>
          </cell>
          <cell r="BH237">
            <v>0</v>
          </cell>
          <cell r="BM237">
            <v>0</v>
          </cell>
          <cell r="BN237">
            <v>0</v>
          </cell>
          <cell r="BO237">
            <v>0</v>
          </cell>
          <cell r="BP237" t="b">
            <v>0</v>
          </cell>
          <cell r="BQ237">
            <v>0</v>
          </cell>
          <cell r="BR237">
            <v>62.41</v>
          </cell>
          <cell r="BS237">
            <v>475</v>
          </cell>
          <cell r="BT237">
            <v>32.700000000000003</v>
          </cell>
          <cell r="BU237" t="str">
            <v>C</v>
          </cell>
          <cell r="BV237" t="str">
            <v>04</v>
          </cell>
          <cell r="BW237">
            <v>68</v>
          </cell>
          <cell r="BX237" t="str">
            <v>19950116</v>
          </cell>
          <cell r="BZ237" t="str">
            <v>B</v>
          </cell>
          <cell r="CA237" t="str">
            <v>04</v>
          </cell>
          <cell r="CB237" t="str">
            <v>C</v>
          </cell>
          <cell r="CC237" t="str">
            <v>07</v>
          </cell>
          <cell r="CD237" t="str">
            <v>C</v>
          </cell>
          <cell r="CE237" t="str">
            <v>07</v>
          </cell>
        </row>
        <row r="238">
          <cell r="A238" t="str">
            <v>2227651</v>
          </cell>
          <cell r="B238" t="str">
            <v>26</v>
          </cell>
          <cell r="C238" t="str">
            <v>과장</v>
          </cell>
          <cell r="D238" t="str">
            <v>김기조　　</v>
          </cell>
          <cell r="E238" t="str">
            <v>C</v>
          </cell>
          <cell r="G238">
            <v>1</v>
          </cell>
          <cell r="H238" t="str">
            <v>KM**</v>
          </cell>
          <cell r="I238" t="str">
            <v>KHL*</v>
          </cell>
          <cell r="J238" t="str">
            <v>대전지역본부　　　　</v>
          </cell>
          <cell r="K238" t="str">
            <v>KMAA</v>
          </cell>
          <cell r="L238" t="str">
            <v>Ａ／Ｓ기획팀　　　　</v>
          </cell>
          <cell r="O238" t="str">
            <v>KMAA</v>
          </cell>
          <cell r="R238" t="str">
            <v>1</v>
          </cell>
          <cell r="V238" t="str">
            <v>3</v>
          </cell>
          <cell r="W238" t="str">
            <v>1</v>
          </cell>
          <cell r="X238" t="str">
            <v>3</v>
          </cell>
          <cell r="Y238" t="str">
            <v>O</v>
          </cell>
          <cell r="Z238" t="str">
            <v>2068021</v>
          </cell>
          <cell r="AA238" t="str">
            <v>김우택　　</v>
          </cell>
          <cell r="AB238" t="str">
            <v>24</v>
          </cell>
          <cell r="AC238" t="str">
            <v>43</v>
          </cell>
          <cell r="AD238">
            <v>100</v>
          </cell>
          <cell r="AE238">
            <v>60</v>
          </cell>
          <cell r="AF238">
            <v>50</v>
          </cell>
          <cell r="AG238" t="str">
            <v>2001319</v>
          </cell>
          <cell r="AH238" t="str">
            <v>차정식　　</v>
          </cell>
          <cell r="AI238" t="str">
            <v>02</v>
          </cell>
          <cell r="AJ238" t="str">
            <v>20</v>
          </cell>
          <cell r="AK238">
            <v>100</v>
          </cell>
          <cell r="AL238">
            <v>69.86</v>
          </cell>
          <cell r="AM238">
            <v>30</v>
          </cell>
          <cell r="AR238">
            <v>0</v>
          </cell>
          <cell r="AS238">
            <v>0</v>
          </cell>
          <cell r="AT238">
            <v>0</v>
          </cell>
          <cell r="AY238">
            <v>0</v>
          </cell>
          <cell r="AZ238">
            <v>0</v>
          </cell>
          <cell r="BA238">
            <v>0</v>
          </cell>
          <cell r="BF238">
            <v>0</v>
          </cell>
          <cell r="BG238">
            <v>0</v>
          </cell>
          <cell r="BH238">
            <v>0</v>
          </cell>
          <cell r="BM238">
            <v>0</v>
          </cell>
          <cell r="BN238">
            <v>0</v>
          </cell>
          <cell r="BO238">
            <v>0</v>
          </cell>
          <cell r="BP238" t="b">
            <v>0</v>
          </cell>
          <cell r="BQ238">
            <v>0</v>
          </cell>
          <cell r="BR238">
            <v>63.7</v>
          </cell>
          <cell r="BS238">
            <v>313</v>
          </cell>
          <cell r="BT238">
            <v>27.6</v>
          </cell>
          <cell r="BU238" t="str">
            <v>B</v>
          </cell>
          <cell r="BV238" t="str">
            <v>04</v>
          </cell>
          <cell r="BW238">
            <v>68</v>
          </cell>
          <cell r="BX238" t="str">
            <v>19980101</v>
          </cell>
          <cell r="BZ238" t="str">
            <v>C</v>
          </cell>
          <cell r="CA238" t="str">
            <v>06</v>
          </cell>
          <cell r="CB238" t="str">
            <v>C</v>
          </cell>
          <cell r="CC238" t="str">
            <v>06</v>
          </cell>
          <cell r="CD238" t="str">
            <v>C</v>
          </cell>
          <cell r="CE238" t="str">
            <v>06</v>
          </cell>
        </row>
        <row r="239">
          <cell r="A239" t="str">
            <v>2662443</v>
          </cell>
          <cell r="B239" t="str">
            <v>33</v>
          </cell>
          <cell r="C239" t="str">
            <v>5급</v>
          </cell>
          <cell r="D239" t="str">
            <v>이상우　　</v>
          </cell>
          <cell r="E239" t="str">
            <v>C</v>
          </cell>
          <cell r="G239">
            <v>1</v>
          </cell>
          <cell r="H239" t="str">
            <v>KM**</v>
          </cell>
          <cell r="I239" t="str">
            <v>KMD*</v>
          </cell>
          <cell r="J239" t="str">
            <v>대전직매점</v>
          </cell>
          <cell r="K239" t="str">
            <v>KMJK</v>
          </cell>
          <cell r="L239" t="str">
            <v>대전사업소　　　　　</v>
          </cell>
          <cell r="O239" t="str">
            <v>KMJKD</v>
          </cell>
          <cell r="R239" t="str">
            <v>2</v>
          </cell>
          <cell r="V239" t="str">
            <v>7</v>
          </cell>
          <cell r="W239" t="str">
            <v>4</v>
          </cell>
          <cell r="X239" t="str">
            <v>4</v>
          </cell>
          <cell r="Y239" t="str">
            <v>S</v>
          </cell>
          <cell r="Z239" t="str">
            <v>2211904</v>
          </cell>
          <cell r="AA239" t="str">
            <v>이은행　　</v>
          </cell>
          <cell r="AB239" t="str">
            <v>26</v>
          </cell>
          <cell r="AC239" t="str">
            <v>50</v>
          </cell>
          <cell r="AD239">
            <v>95</v>
          </cell>
          <cell r="AE239">
            <v>68.06</v>
          </cell>
          <cell r="AF239">
            <v>40</v>
          </cell>
          <cell r="AG239" t="str">
            <v>2054207</v>
          </cell>
          <cell r="AH239" t="str">
            <v>안경순　　</v>
          </cell>
          <cell r="AI239" t="str">
            <v>22</v>
          </cell>
          <cell r="AJ239" t="str">
            <v>43</v>
          </cell>
          <cell r="AK239">
            <v>80</v>
          </cell>
          <cell r="AL239">
            <v>57.85</v>
          </cell>
          <cell r="AM239">
            <v>50</v>
          </cell>
          <cell r="AR239">
            <v>0</v>
          </cell>
          <cell r="AS239">
            <v>0</v>
          </cell>
          <cell r="AT239">
            <v>0</v>
          </cell>
          <cell r="AY239">
            <v>0</v>
          </cell>
          <cell r="AZ239">
            <v>0</v>
          </cell>
          <cell r="BA239">
            <v>0</v>
          </cell>
          <cell r="BF239">
            <v>0</v>
          </cell>
          <cell r="BG239">
            <v>0</v>
          </cell>
          <cell r="BH239">
            <v>0</v>
          </cell>
          <cell r="BM239">
            <v>0</v>
          </cell>
          <cell r="BN239">
            <v>0</v>
          </cell>
          <cell r="BO239">
            <v>0</v>
          </cell>
          <cell r="BP239" t="b">
            <v>0</v>
          </cell>
          <cell r="BQ239">
            <v>0</v>
          </cell>
          <cell r="BR239">
            <v>62.39</v>
          </cell>
          <cell r="BS239">
            <v>194</v>
          </cell>
          <cell r="BT239">
            <v>28.3</v>
          </cell>
          <cell r="BU239" t="str">
            <v>B</v>
          </cell>
          <cell r="BV239" t="str">
            <v>04</v>
          </cell>
          <cell r="BW239">
            <v>68</v>
          </cell>
          <cell r="BX239" t="str">
            <v>19960207</v>
          </cell>
          <cell r="BZ239" t="str">
            <v>A</v>
          </cell>
          <cell r="CA239" t="str">
            <v>01</v>
          </cell>
          <cell r="CB239" t="str">
            <v>C</v>
          </cell>
          <cell r="CC239" t="str">
            <v>07</v>
          </cell>
          <cell r="CD239" t="str">
            <v>D</v>
          </cell>
          <cell r="CE239" t="str">
            <v>10</v>
          </cell>
        </row>
        <row r="240">
          <cell r="A240" t="str">
            <v>2551964</v>
          </cell>
          <cell r="B240" t="str">
            <v>32</v>
          </cell>
          <cell r="C240" t="str">
            <v>4을</v>
          </cell>
          <cell r="D240" t="str">
            <v>이봉원　　</v>
          </cell>
          <cell r="E240" t="str">
            <v>C</v>
          </cell>
          <cell r="G240">
            <v>1</v>
          </cell>
          <cell r="H240" t="str">
            <v>KH**</v>
          </cell>
          <cell r="I240" t="str">
            <v>KHV*</v>
          </cell>
          <cell r="J240" t="str">
            <v>경남동부지역본부　　</v>
          </cell>
          <cell r="K240" t="str">
            <v>KHVQ</v>
          </cell>
          <cell r="L240" t="str">
            <v>경남동부）신마산지점</v>
          </cell>
          <cell r="O240" t="str">
            <v>KHVQA</v>
          </cell>
          <cell r="R240" t="str">
            <v>2</v>
          </cell>
          <cell r="V240" t="str">
            <v>6</v>
          </cell>
          <cell r="W240" t="str">
            <v>3</v>
          </cell>
          <cell r="X240" t="str">
            <v>4</v>
          </cell>
          <cell r="Y240" t="str">
            <v>O</v>
          </cell>
          <cell r="Z240" t="str">
            <v>2376157</v>
          </cell>
          <cell r="AA240" t="str">
            <v>신부정　　</v>
          </cell>
          <cell r="AB240" t="str">
            <v>28</v>
          </cell>
          <cell r="AC240" t="str">
            <v>50</v>
          </cell>
          <cell r="AD240">
            <v>90</v>
          </cell>
          <cell r="AE240">
            <v>65.78</v>
          </cell>
          <cell r="AF240">
            <v>10</v>
          </cell>
          <cell r="AG240" t="str">
            <v>2057745</v>
          </cell>
          <cell r="AH240" t="str">
            <v>나원형　　</v>
          </cell>
          <cell r="AI240" t="str">
            <v>24</v>
          </cell>
          <cell r="AJ240" t="str">
            <v>44</v>
          </cell>
          <cell r="AK240">
            <v>85</v>
          </cell>
          <cell r="AL240">
            <v>66.23</v>
          </cell>
          <cell r="AM240">
            <v>50</v>
          </cell>
          <cell r="AN240" t="str">
            <v>2029104</v>
          </cell>
          <cell r="AO240" t="str">
            <v>제철　　　</v>
          </cell>
          <cell r="AP240" t="str">
            <v>05</v>
          </cell>
          <cell r="AQ240" t="str">
            <v>32</v>
          </cell>
          <cell r="AR240">
            <v>73</v>
          </cell>
          <cell r="AS240">
            <v>61.34</v>
          </cell>
          <cell r="AT240">
            <v>30</v>
          </cell>
          <cell r="AY240">
            <v>0</v>
          </cell>
          <cell r="AZ240">
            <v>0</v>
          </cell>
          <cell r="BA240">
            <v>0</v>
          </cell>
          <cell r="BF240">
            <v>0</v>
          </cell>
          <cell r="BG240">
            <v>0</v>
          </cell>
          <cell r="BH240">
            <v>0</v>
          </cell>
          <cell r="BM240">
            <v>0</v>
          </cell>
          <cell r="BN240">
            <v>0</v>
          </cell>
          <cell r="BO240">
            <v>0</v>
          </cell>
          <cell r="BP240" t="b">
            <v>0</v>
          </cell>
          <cell r="BQ240">
            <v>0</v>
          </cell>
          <cell r="BR240">
            <v>64.55</v>
          </cell>
          <cell r="BS240">
            <v>157</v>
          </cell>
          <cell r="BT240">
            <v>22.5</v>
          </cell>
          <cell r="BU240" t="str">
            <v>B</v>
          </cell>
          <cell r="BV240" t="str">
            <v>03</v>
          </cell>
          <cell r="BW240">
            <v>72</v>
          </cell>
          <cell r="BX240" t="str">
            <v>19970101</v>
          </cell>
          <cell r="BZ240" t="str">
            <v>C</v>
          </cell>
          <cell r="CA240" t="str">
            <v>06</v>
          </cell>
          <cell r="CB240" t="str">
            <v>C</v>
          </cell>
          <cell r="CC240" t="str">
            <v>05</v>
          </cell>
          <cell r="CD240" t="str">
            <v>C</v>
          </cell>
          <cell r="CE240" t="str">
            <v>04</v>
          </cell>
        </row>
        <row r="241">
          <cell r="A241" t="str">
            <v>2083509</v>
          </cell>
          <cell r="B241" t="str">
            <v>26</v>
          </cell>
          <cell r="C241" t="str">
            <v>과장</v>
          </cell>
          <cell r="D241" t="str">
            <v>장재명　　</v>
          </cell>
          <cell r="E241" t="str">
            <v>C</v>
          </cell>
          <cell r="G241">
            <v>1</v>
          </cell>
          <cell r="H241" t="str">
            <v>KM**</v>
          </cell>
          <cell r="I241" t="str">
            <v>KMJS</v>
          </cell>
          <cell r="J241" t="str">
            <v>부산북부사업소　　　</v>
          </cell>
          <cell r="K241" t="str">
            <v>KMJR</v>
          </cell>
          <cell r="L241" t="str">
            <v>부산사업소　　　　　</v>
          </cell>
          <cell r="O241" t="str">
            <v>KMJRB</v>
          </cell>
          <cell r="R241" t="str">
            <v>2</v>
          </cell>
          <cell r="T241" t="str">
            <v>50</v>
          </cell>
          <cell r="U241" t="str">
            <v>과장</v>
          </cell>
          <cell r="V241" t="str">
            <v>3</v>
          </cell>
          <cell r="W241" t="str">
            <v>4</v>
          </cell>
          <cell r="X241" t="str">
            <v>2</v>
          </cell>
          <cell r="Y241" t="str">
            <v>S</v>
          </cell>
          <cell r="Z241" t="str">
            <v>2026355</v>
          </cell>
          <cell r="AA241" t="str">
            <v>유원홍　　</v>
          </cell>
          <cell r="AB241" t="str">
            <v>24</v>
          </cell>
          <cell r="AC241" t="str">
            <v>43</v>
          </cell>
          <cell r="AD241">
            <v>99</v>
          </cell>
          <cell r="AE241">
            <v>67.62</v>
          </cell>
          <cell r="AF241">
            <v>60</v>
          </cell>
          <cell r="AG241" t="str">
            <v>2001319</v>
          </cell>
          <cell r="AH241" t="str">
            <v>차정식　　</v>
          </cell>
          <cell r="AI241" t="str">
            <v>02</v>
          </cell>
          <cell r="AJ241" t="str">
            <v>20</v>
          </cell>
          <cell r="AK241">
            <v>93</v>
          </cell>
          <cell r="AL241">
            <v>67.39</v>
          </cell>
          <cell r="AM241">
            <v>20</v>
          </cell>
          <cell r="AR241">
            <v>0</v>
          </cell>
          <cell r="AS241">
            <v>0</v>
          </cell>
          <cell r="AT241">
            <v>0</v>
          </cell>
          <cell r="AY241">
            <v>0</v>
          </cell>
          <cell r="AZ241">
            <v>0</v>
          </cell>
          <cell r="BA241">
            <v>0</v>
          </cell>
          <cell r="BF241">
            <v>0</v>
          </cell>
          <cell r="BG241">
            <v>0</v>
          </cell>
          <cell r="BH241">
            <v>0</v>
          </cell>
          <cell r="BM241">
            <v>0</v>
          </cell>
          <cell r="BN241">
            <v>0</v>
          </cell>
          <cell r="BO241">
            <v>0</v>
          </cell>
          <cell r="BP241" t="b">
            <v>1</v>
          </cell>
          <cell r="BQ241">
            <v>7</v>
          </cell>
          <cell r="BR241">
            <v>66.12</v>
          </cell>
          <cell r="BS241">
            <v>191</v>
          </cell>
          <cell r="BT241">
            <v>16.8</v>
          </cell>
          <cell r="BU241" t="str">
            <v>B</v>
          </cell>
          <cell r="BV241" t="str">
            <v>03</v>
          </cell>
          <cell r="BW241">
            <v>72</v>
          </cell>
          <cell r="BX241" t="str">
            <v>19950101</v>
          </cell>
          <cell r="BZ241" t="str">
            <v>B</v>
          </cell>
          <cell r="CA241" t="str">
            <v>04</v>
          </cell>
          <cell r="CB241" t="str">
            <v>D</v>
          </cell>
          <cell r="CC241" t="str">
            <v>08</v>
          </cell>
          <cell r="CD241" t="str">
            <v>B</v>
          </cell>
          <cell r="CE241" t="str">
            <v>03</v>
          </cell>
        </row>
        <row r="242">
          <cell r="A242" t="str">
            <v>2081264</v>
          </cell>
          <cell r="B242" t="str">
            <v>26</v>
          </cell>
          <cell r="C242" t="str">
            <v>과장</v>
          </cell>
          <cell r="D242" t="str">
            <v>류종현　　</v>
          </cell>
          <cell r="E242" t="str">
            <v>C</v>
          </cell>
          <cell r="G242">
            <v>1</v>
          </cell>
          <cell r="H242" t="str">
            <v>KF**</v>
          </cell>
          <cell r="I242" t="str">
            <v>ZB03</v>
          </cell>
          <cell r="J242" t="str">
            <v>HMC 영업환경개선팀</v>
          </cell>
          <cell r="K242" t="str">
            <v>KFAA</v>
          </cell>
          <cell r="L242" t="str">
            <v>회계팀　　　　　　　</v>
          </cell>
          <cell r="O242" t="str">
            <v>KFAA</v>
          </cell>
          <cell r="R242" t="str">
            <v>1</v>
          </cell>
          <cell r="V242" t="str">
            <v>3</v>
          </cell>
          <cell r="W242" t="str">
            <v>1</v>
          </cell>
          <cell r="X242" t="str">
            <v>3</v>
          </cell>
          <cell r="Y242" t="str">
            <v>S</v>
          </cell>
          <cell r="Z242" t="str">
            <v>2073312</v>
          </cell>
          <cell r="AA242" t="str">
            <v>김장식　　</v>
          </cell>
          <cell r="AB242" t="str">
            <v>22</v>
          </cell>
          <cell r="AC242" t="str">
            <v>43</v>
          </cell>
          <cell r="AD242">
            <v>99</v>
          </cell>
          <cell r="AE242">
            <v>66.37</v>
          </cell>
          <cell r="AF242">
            <v>40</v>
          </cell>
          <cell r="AG242" t="str">
            <v>7043674</v>
          </cell>
          <cell r="AH242" t="str">
            <v>홍순택　　</v>
          </cell>
          <cell r="AI242" t="str">
            <v>05</v>
          </cell>
          <cell r="AJ242" t="str">
            <v>32</v>
          </cell>
          <cell r="AK242">
            <v>95</v>
          </cell>
          <cell r="AL242">
            <v>69.13</v>
          </cell>
          <cell r="AM242">
            <v>30</v>
          </cell>
          <cell r="AN242" t="str">
            <v>2011581</v>
          </cell>
          <cell r="AO242" t="str">
            <v>정학진　　</v>
          </cell>
          <cell r="AP242" t="str">
            <v>02</v>
          </cell>
          <cell r="AQ242" t="str">
            <v>20</v>
          </cell>
          <cell r="AR242">
            <v>77</v>
          </cell>
          <cell r="AS242">
            <v>66.36</v>
          </cell>
          <cell r="AT242">
            <v>10</v>
          </cell>
          <cell r="AY242">
            <v>0</v>
          </cell>
          <cell r="AZ242">
            <v>0</v>
          </cell>
          <cell r="BA242">
            <v>0</v>
          </cell>
          <cell r="BF242">
            <v>0</v>
          </cell>
          <cell r="BG242">
            <v>0</v>
          </cell>
          <cell r="BH242">
            <v>0</v>
          </cell>
          <cell r="BM242">
            <v>0</v>
          </cell>
          <cell r="BN242">
            <v>0</v>
          </cell>
          <cell r="BO242">
            <v>0</v>
          </cell>
          <cell r="BP242" t="b">
            <v>0</v>
          </cell>
          <cell r="BQ242">
            <v>0</v>
          </cell>
          <cell r="BR242">
            <v>67.400000000000006</v>
          </cell>
          <cell r="BS242">
            <v>120</v>
          </cell>
          <cell r="BT242">
            <v>10.6</v>
          </cell>
          <cell r="BU242" t="str">
            <v>B</v>
          </cell>
          <cell r="BV242" t="str">
            <v>02</v>
          </cell>
          <cell r="BW242">
            <v>76</v>
          </cell>
          <cell r="BX242" t="str">
            <v>19940101</v>
          </cell>
          <cell r="BZ242" t="str">
            <v>B</v>
          </cell>
          <cell r="CA242" t="str">
            <v>04</v>
          </cell>
          <cell r="CB242" t="str">
            <v>C</v>
          </cell>
          <cell r="CC242" t="str">
            <v>04</v>
          </cell>
        </row>
        <row r="243">
          <cell r="A243" t="str">
            <v>2476776</v>
          </cell>
          <cell r="B243" t="str">
            <v>32</v>
          </cell>
          <cell r="C243" t="str">
            <v>4을</v>
          </cell>
          <cell r="D243" t="str">
            <v>강관수　　</v>
          </cell>
          <cell r="E243" t="str">
            <v>C</v>
          </cell>
          <cell r="G243">
            <v>1</v>
          </cell>
          <cell r="H243" t="str">
            <v>KH**</v>
          </cell>
          <cell r="I243" t="str">
            <v>KHQB</v>
          </cell>
          <cell r="J243" t="str">
            <v>광주）서광주지점　　</v>
          </cell>
          <cell r="K243" t="str">
            <v>KHQH</v>
          </cell>
          <cell r="L243" t="str">
            <v>광주）일곡지점　　　</v>
          </cell>
          <cell r="O243" t="str">
            <v>KHQHA</v>
          </cell>
          <cell r="R243" t="str">
            <v>2</v>
          </cell>
          <cell r="V243" t="str">
            <v>6</v>
          </cell>
          <cell r="W243" t="str">
            <v>3</v>
          </cell>
          <cell r="X243" t="str">
            <v>4</v>
          </cell>
          <cell r="Y243" t="str">
            <v>S</v>
          </cell>
          <cell r="Z243" t="str">
            <v>2156252</v>
          </cell>
          <cell r="AA243" t="str">
            <v>김필준　　</v>
          </cell>
          <cell r="AB243" t="str">
            <v>28</v>
          </cell>
          <cell r="AC243" t="str">
            <v>50</v>
          </cell>
          <cell r="AD243">
            <v>84</v>
          </cell>
          <cell r="AE243">
            <v>64.709999999999994</v>
          </cell>
          <cell r="AF243">
            <v>10</v>
          </cell>
          <cell r="AG243" t="str">
            <v>2304379</v>
          </cell>
          <cell r="AH243" t="str">
            <v>이동렬　　</v>
          </cell>
          <cell r="AI243" t="str">
            <v>26</v>
          </cell>
          <cell r="AJ243" t="str">
            <v>44</v>
          </cell>
          <cell r="AK243">
            <v>97</v>
          </cell>
          <cell r="AL243">
            <v>64.709999999999994</v>
          </cell>
          <cell r="AM243">
            <v>50</v>
          </cell>
          <cell r="AN243" t="str">
            <v>2020506</v>
          </cell>
          <cell r="AO243" t="str">
            <v>한용근　　</v>
          </cell>
          <cell r="AP243" t="str">
            <v>22</v>
          </cell>
          <cell r="AQ243" t="str">
            <v>32</v>
          </cell>
          <cell r="AR243">
            <v>98</v>
          </cell>
          <cell r="AS243">
            <v>71.69</v>
          </cell>
          <cell r="AT243">
            <v>30</v>
          </cell>
          <cell r="AY243">
            <v>0</v>
          </cell>
          <cell r="AZ243">
            <v>0</v>
          </cell>
          <cell r="BA243">
            <v>0</v>
          </cell>
          <cell r="BF243">
            <v>0</v>
          </cell>
          <cell r="BG243">
            <v>0</v>
          </cell>
          <cell r="BH243">
            <v>0</v>
          </cell>
          <cell r="BM243">
            <v>0</v>
          </cell>
          <cell r="BN243">
            <v>0</v>
          </cell>
          <cell r="BO243">
            <v>0</v>
          </cell>
          <cell r="BP243" t="b">
            <v>0</v>
          </cell>
          <cell r="BQ243">
            <v>0</v>
          </cell>
          <cell r="BR243">
            <v>67.040000000000006</v>
          </cell>
          <cell r="BS243">
            <v>71</v>
          </cell>
          <cell r="BT243">
            <v>10.199999999999999</v>
          </cell>
          <cell r="BU243" t="str">
            <v>B</v>
          </cell>
          <cell r="BV243" t="str">
            <v>02</v>
          </cell>
          <cell r="BW243">
            <v>76</v>
          </cell>
          <cell r="BX243" t="str">
            <v>19930619</v>
          </cell>
          <cell r="BZ243" t="str">
            <v>C</v>
          </cell>
          <cell r="CA243" t="str">
            <v>06</v>
          </cell>
          <cell r="CB243" t="str">
            <v>C</v>
          </cell>
          <cell r="CC243" t="str">
            <v>04</v>
          </cell>
          <cell r="CD243" t="str">
            <v>A</v>
          </cell>
          <cell r="CE243" t="str">
            <v>02</v>
          </cell>
        </row>
        <row r="244">
          <cell r="A244" t="str">
            <v>2393167</v>
          </cell>
          <cell r="B244" t="str">
            <v>28</v>
          </cell>
          <cell r="C244" t="str">
            <v>대리</v>
          </cell>
          <cell r="D244" t="str">
            <v>서진봉　　</v>
          </cell>
          <cell r="E244" t="str">
            <v>C</v>
          </cell>
          <cell r="G244">
            <v>1</v>
          </cell>
          <cell r="H244" t="str">
            <v>KH**</v>
          </cell>
          <cell r="I244" t="str">
            <v>KHBA</v>
          </cell>
          <cell r="J244" t="str">
            <v>채권관리팀　　　　　</v>
          </cell>
          <cell r="K244" t="str">
            <v>KHW*</v>
          </cell>
          <cell r="L244" t="str">
            <v>경남서부지역본부　　</v>
          </cell>
          <cell r="O244" t="str">
            <v>KHW*</v>
          </cell>
          <cell r="R244" t="str">
            <v>2</v>
          </cell>
          <cell r="V244" t="str">
            <v>4</v>
          </cell>
          <cell r="W244" t="str">
            <v>3</v>
          </cell>
          <cell r="X244" t="str">
            <v>3</v>
          </cell>
          <cell r="Y244" t="str">
            <v>O</v>
          </cell>
          <cell r="Z244" t="str">
            <v>7116633</v>
          </cell>
          <cell r="AA244" t="str">
            <v>이병기　　</v>
          </cell>
          <cell r="AB244" t="str">
            <v>22</v>
          </cell>
          <cell r="AC244" t="str">
            <v>32</v>
          </cell>
          <cell r="AD244">
            <v>77</v>
          </cell>
          <cell r="AE244">
            <v>59.72</v>
          </cell>
          <cell r="AF244">
            <v>70</v>
          </cell>
          <cell r="AG244" t="str">
            <v>2059744</v>
          </cell>
          <cell r="AH244" t="str">
            <v>김도영　　</v>
          </cell>
          <cell r="AI244" t="str">
            <v>02</v>
          </cell>
          <cell r="AJ244" t="str">
            <v>20</v>
          </cell>
          <cell r="AK244">
            <v>86</v>
          </cell>
          <cell r="AL244">
            <v>65.63</v>
          </cell>
          <cell r="AM244">
            <v>20</v>
          </cell>
          <cell r="AR244">
            <v>0</v>
          </cell>
          <cell r="AS244">
            <v>0</v>
          </cell>
          <cell r="AT244">
            <v>0</v>
          </cell>
          <cell r="AY244">
            <v>0</v>
          </cell>
          <cell r="AZ244">
            <v>0</v>
          </cell>
          <cell r="BA244">
            <v>0</v>
          </cell>
          <cell r="BF244">
            <v>0</v>
          </cell>
          <cell r="BG244">
            <v>0</v>
          </cell>
          <cell r="BH244">
            <v>0</v>
          </cell>
          <cell r="BM244">
            <v>0</v>
          </cell>
          <cell r="BN244">
            <v>0</v>
          </cell>
          <cell r="BO244">
            <v>0</v>
          </cell>
          <cell r="BP244" t="b">
            <v>0</v>
          </cell>
          <cell r="BQ244">
            <v>0</v>
          </cell>
          <cell r="BR244">
            <v>61.03</v>
          </cell>
          <cell r="BS244">
            <v>720</v>
          </cell>
          <cell r="BT244">
            <v>43</v>
          </cell>
          <cell r="BU244" t="str">
            <v>C</v>
          </cell>
          <cell r="BV244" t="str">
            <v>05</v>
          </cell>
          <cell r="BW244">
            <v>64</v>
          </cell>
          <cell r="BX244" t="str">
            <v>19960101</v>
          </cell>
          <cell r="BZ244" t="str">
            <v>C</v>
          </cell>
          <cell r="CA244" t="str">
            <v>06</v>
          </cell>
          <cell r="CB244" t="str">
            <v>E</v>
          </cell>
          <cell r="CC244" t="str">
            <v>11</v>
          </cell>
          <cell r="CD244" t="str">
            <v>C</v>
          </cell>
          <cell r="CE244" t="str">
            <v>05</v>
          </cell>
        </row>
        <row r="245">
          <cell r="A245" t="str">
            <v>2281416</v>
          </cell>
          <cell r="B245" t="str">
            <v>30</v>
          </cell>
          <cell r="C245" t="str">
            <v>4갑</v>
          </cell>
          <cell r="D245" t="str">
            <v>황진철　　</v>
          </cell>
          <cell r="E245" t="str">
            <v>C</v>
          </cell>
          <cell r="G245">
            <v>1</v>
          </cell>
          <cell r="H245" t="str">
            <v>KO**</v>
          </cell>
          <cell r="I245" t="str">
            <v>KPCB</v>
          </cell>
          <cell r="J245" t="str">
            <v>승용구동부품개발팀　</v>
          </cell>
          <cell r="K245" t="str">
            <v>KPAE</v>
          </cell>
          <cell r="L245" t="str">
            <v>승용전장부품개발팀　</v>
          </cell>
          <cell r="O245" t="str">
            <v>KPAE</v>
          </cell>
          <cell r="R245" t="str">
            <v>4</v>
          </cell>
          <cell r="V245" t="str">
            <v>5</v>
          </cell>
          <cell r="W245" t="str">
            <v>1</v>
          </cell>
          <cell r="X245" t="str">
            <v>3</v>
          </cell>
          <cell r="Y245" t="str">
            <v>S</v>
          </cell>
          <cell r="Z245" t="str">
            <v>2064686</v>
          </cell>
          <cell r="AA245" t="str">
            <v>윤강한　　</v>
          </cell>
          <cell r="AB245" t="str">
            <v>24</v>
          </cell>
          <cell r="AC245" t="str">
            <v>43</v>
          </cell>
          <cell r="AD245">
            <v>75</v>
          </cell>
          <cell r="AE245">
            <v>63.51</v>
          </cell>
          <cell r="AF245">
            <v>30</v>
          </cell>
          <cell r="AG245" t="str">
            <v>7151374</v>
          </cell>
          <cell r="AH245" t="str">
            <v>고승환　　</v>
          </cell>
          <cell r="AI245" t="str">
            <v>20</v>
          </cell>
          <cell r="AJ245" t="str">
            <v>32</v>
          </cell>
          <cell r="AK245">
            <v>75</v>
          </cell>
          <cell r="AL245">
            <v>61.94</v>
          </cell>
          <cell r="AM245">
            <v>20</v>
          </cell>
          <cell r="AN245" t="str">
            <v>7043317</v>
          </cell>
          <cell r="AO245" t="str">
            <v>박승하　　</v>
          </cell>
          <cell r="AP245" t="str">
            <v>04</v>
          </cell>
          <cell r="AQ245" t="str">
            <v>30</v>
          </cell>
          <cell r="AR245">
            <v>74</v>
          </cell>
          <cell r="AS245">
            <v>59.75</v>
          </cell>
          <cell r="AT245">
            <v>20</v>
          </cell>
          <cell r="AU245" t="str">
            <v>2008268</v>
          </cell>
          <cell r="AV245" t="str">
            <v>이용도　　</v>
          </cell>
          <cell r="AW245" t="str">
            <v>02</v>
          </cell>
          <cell r="AX245" t="str">
            <v>20</v>
          </cell>
          <cell r="AY245">
            <v>74</v>
          </cell>
          <cell r="AZ245">
            <v>60.4</v>
          </cell>
          <cell r="BA245">
            <v>10</v>
          </cell>
          <cell r="BF245">
            <v>0</v>
          </cell>
          <cell r="BG245">
            <v>0</v>
          </cell>
          <cell r="BH245">
            <v>0</v>
          </cell>
          <cell r="BM245">
            <v>0</v>
          </cell>
          <cell r="BN245">
            <v>0</v>
          </cell>
          <cell r="BO245">
            <v>0</v>
          </cell>
          <cell r="BP245" t="b">
            <v>0</v>
          </cell>
          <cell r="BQ245">
            <v>0</v>
          </cell>
          <cell r="BR245">
            <v>61.79</v>
          </cell>
          <cell r="BS245">
            <v>524</v>
          </cell>
          <cell r="BT245">
            <v>36.1</v>
          </cell>
          <cell r="BU245" t="str">
            <v>C</v>
          </cell>
          <cell r="BV245" t="str">
            <v>05</v>
          </cell>
          <cell r="BW245">
            <v>64</v>
          </cell>
          <cell r="BX245" t="str">
            <v>19930101</v>
          </cell>
          <cell r="BZ245" t="str">
            <v>C</v>
          </cell>
          <cell r="CA245" t="str">
            <v>05</v>
          </cell>
          <cell r="CB245" t="str">
            <v>D</v>
          </cell>
          <cell r="CC245" t="str">
            <v>09</v>
          </cell>
          <cell r="CD245" t="str">
            <v>D</v>
          </cell>
          <cell r="CE245" t="str">
            <v>08</v>
          </cell>
        </row>
        <row r="246">
          <cell r="A246" t="str">
            <v>2279953</v>
          </cell>
          <cell r="B246" t="str">
            <v>30</v>
          </cell>
          <cell r="C246" t="str">
            <v>4갑</v>
          </cell>
          <cell r="D246" t="str">
            <v>정화국　　</v>
          </cell>
          <cell r="E246" t="str">
            <v>C</v>
          </cell>
          <cell r="G246">
            <v>1</v>
          </cell>
          <cell r="H246" t="str">
            <v>KH**</v>
          </cell>
          <cell r="I246" t="str">
            <v>KHSB</v>
          </cell>
          <cell r="J246" t="str">
            <v>부산）동래지점　　　</v>
          </cell>
          <cell r="K246" t="str">
            <v>KHSC</v>
          </cell>
          <cell r="L246" t="str">
            <v>부산）금정지점　　　</v>
          </cell>
          <cell r="O246" t="str">
            <v>KHSCA</v>
          </cell>
          <cell r="R246" t="str">
            <v>2</v>
          </cell>
          <cell r="V246" t="str">
            <v>5</v>
          </cell>
          <cell r="W246" t="str">
            <v>3</v>
          </cell>
          <cell r="X246" t="str">
            <v>3</v>
          </cell>
          <cell r="Y246" t="str">
            <v>S</v>
          </cell>
          <cell r="Z246" t="str">
            <v>2227756</v>
          </cell>
          <cell r="AA246" t="str">
            <v>김봉태　　</v>
          </cell>
          <cell r="AB246" t="str">
            <v>26</v>
          </cell>
          <cell r="AC246" t="str">
            <v>50</v>
          </cell>
          <cell r="AD246">
            <v>95</v>
          </cell>
          <cell r="AE246">
            <v>64.709999999999994</v>
          </cell>
          <cell r="AF246">
            <v>10</v>
          </cell>
          <cell r="AG246" t="str">
            <v>2717523</v>
          </cell>
          <cell r="AH246" t="str">
            <v>조남석　　</v>
          </cell>
          <cell r="AI246" t="str">
            <v>26</v>
          </cell>
          <cell r="AJ246" t="str">
            <v>44</v>
          </cell>
          <cell r="AK246">
            <v>94</v>
          </cell>
          <cell r="AL246">
            <v>64.709999999999994</v>
          </cell>
          <cell r="AM246">
            <v>40</v>
          </cell>
          <cell r="AN246" t="str">
            <v>2718178</v>
          </cell>
          <cell r="AO246" t="str">
            <v>박환　　　</v>
          </cell>
          <cell r="AP246" t="str">
            <v>20</v>
          </cell>
          <cell r="AQ246" t="str">
            <v>32</v>
          </cell>
          <cell r="AR246">
            <v>84</v>
          </cell>
          <cell r="AS246">
            <v>65.650000000000006</v>
          </cell>
          <cell r="AT246">
            <v>30</v>
          </cell>
          <cell r="AU246" t="str">
            <v>2059744</v>
          </cell>
          <cell r="AV246" t="str">
            <v>김도영　　</v>
          </cell>
          <cell r="AW246" t="str">
            <v>02</v>
          </cell>
          <cell r="AX246" t="str">
            <v>20</v>
          </cell>
          <cell r="AY246">
            <v>70</v>
          </cell>
          <cell r="AZ246">
            <v>59.89</v>
          </cell>
          <cell r="BA246">
            <v>10</v>
          </cell>
          <cell r="BF246">
            <v>0</v>
          </cell>
          <cell r="BG246">
            <v>0</v>
          </cell>
          <cell r="BH246">
            <v>0</v>
          </cell>
          <cell r="BM246">
            <v>0</v>
          </cell>
          <cell r="BN246">
            <v>0</v>
          </cell>
          <cell r="BO246">
            <v>0</v>
          </cell>
          <cell r="BP246" t="b">
            <v>0</v>
          </cell>
          <cell r="BQ246">
            <v>0</v>
          </cell>
          <cell r="BR246">
            <v>64.489999999999995</v>
          </cell>
          <cell r="BS246">
            <v>334</v>
          </cell>
          <cell r="BT246">
            <v>23</v>
          </cell>
          <cell r="BU246" t="str">
            <v>B</v>
          </cell>
          <cell r="BV246" t="str">
            <v>03</v>
          </cell>
          <cell r="BW246">
            <v>72</v>
          </cell>
          <cell r="BX246" t="str">
            <v>19930101</v>
          </cell>
          <cell r="BZ246" t="str">
            <v>C</v>
          </cell>
          <cell r="CA246" t="str">
            <v>06</v>
          </cell>
          <cell r="CB246" t="str">
            <v>B</v>
          </cell>
          <cell r="CC246" t="str">
            <v>03</v>
          </cell>
          <cell r="CD246" t="str">
            <v>C</v>
          </cell>
          <cell r="CE246" t="str">
            <v>07</v>
          </cell>
        </row>
        <row r="247">
          <cell r="A247" t="str">
            <v>2373348</v>
          </cell>
          <cell r="B247" t="str">
            <v>26</v>
          </cell>
          <cell r="C247" t="str">
            <v>과장</v>
          </cell>
          <cell r="D247" t="str">
            <v>고명수　　</v>
          </cell>
          <cell r="E247" t="str">
            <v>C</v>
          </cell>
          <cell r="G247">
            <v>1</v>
          </cell>
          <cell r="H247" t="str">
            <v>KM**</v>
          </cell>
          <cell r="I247" t="str">
            <v>KMD*</v>
          </cell>
          <cell r="J247" t="str">
            <v>광주직매점</v>
          </cell>
          <cell r="K247" t="str">
            <v>KMJN</v>
          </cell>
          <cell r="L247" t="str">
            <v>광주사업소　　　　　</v>
          </cell>
          <cell r="O247" t="str">
            <v>KMJND</v>
          </cell>
          <cell r="R247" t="str">
            <v>2</v>
          </cell>
          <cell r="T247" t="str">
            <v>50</v>
          </cell>
          <cell r="U247" t="str">
            <v>과장</v>
          </cell>
          <cell r="V247" t="str">
            <v>3</v>
          </cell>
          <cell r="W247" t="str">
            <v>4</v>
          </cell>
          <cell r="X247" t="str">
            <v>2</v>
          </cell>
          <cell r="Y247" t="str">
            <v>O</v>
          </cell>
          <cell r="Z247" t="str">
            <v>2718244</v>
          </cell>
          <cell r="AA247" t="str">
            <v>성요한　　</v>
          </cell>
          <cell r="AB247" t="str">
            <v>05</v>
          </cell>
          <cell r="AC247" t="str">
            <v>43</v>
          </cell>
          <cell r="AD247">
            <v>93</v>
          </cell>
          <cell r="AE247">
            <v>62.85</v>
          </cell>
          <cell r="AF247">
            <v>60</v>
          </cell>
          <cell r="AG247" t="str">
            <v>2001319</v>
          </cell>
          <cell r="AH247" t="str">
            <v>차정식　　</v>
          </cell>
          <cell r="AI247" t="str">
            <v>02</v>
          </cell>
          <cell r="AJ247" t="str">
            <v>20</v>
          </cell>
          <cell r="AK247">
            <v>100</v>
          </cell>
          <cell r="AL247">
            <v>69.86</v>
          </cell>
          <cell r="AM247">
            <v>20</v>
          </cell>
          <cell r="AR247">
            <v>0</v>
          </cell>
          <cell r="AS247">
            <v>0</v>
          </cell>
          <cell r="AT247">
            <v>0</v>
          </cell>
          <cell r="AY247">
            <v>0</v>
          </cell>
          <cell r="AZ247">
            <v>0</v>
          </cell>
          <cell r="BA247">
            <v>0</v>
          </cell>
          <cell r="BF247">
            <v>0</v>
          </cell>
          <cell r="BG247">
            <v>0</v>
          </cell>
          <cell r="BH247">
            <v>0</v>
          </cell>
          <cell r="BM247">
            <v>0</v>
          </cell>
          <cell r="BN247">
            <v>0</v>
          </cell>
          <cell r="BO247">
            <v>0</v>
          </cell>
          <cell r="BP247" t="b">
            <v>1</v>
          </cell>
          <cell r="BQ247">
            <v>8</v>
          </cell>
          <cell r="BR247">
            <v>64.53</v>
          </cell>
          <cell r="BS247">
            <v>269</v>
          </cell>
          <cell r="BT247">
            <v>23.7</v>
          </cell>
          <cell r="BU247" t="str">
            <v>B</v>
          </cell>
          <cell r="BV247" t="str">
            <v>03</v>
          </cell>
          <cell r="BW247">
            <v>72</v>
          </cell>
          <cell r="BX247" t="str">
            <v>19960101</v>
          </cell>
          <cell r="BZ247" t="str">
            <v>C</v>
          </cell>
          <cell r="CA247" t="str">
            <v>07</v>
          </cell>
          <cell r="CB247" t="str">
            <v>C</v>
          </cell>
          <cell r="CC247" t="str">
            <v>06</v>
          </cell>
          <cell r="CD247" t="str">
            <v>B</v>
          </cell>
          <cell r="CE247" t="str">
            <v>03</v>
          </cell>
        </row>
        <row r="248">
          <cell r="A248" t="str">
            <v>2595332</v>
          </cell>
          <cell r="B248" t="str">
            <v>33</v>
          </cell>
          <cell r="C248" t="str">
            <v>5급</v>
          </cell>
          <cell r="D248" t="str">
            <v>장은경　　</v>
          </cell>
          <cell r="E248" t="str">
            <v>C</v>
          </cell>
          <cell r="G248">
            <v>1</v>
          </cell>
          <cell r="H248" t="str">
            <v>KQ**</v>
          </cell>
          <cell r="I248" t="str">
            <v>KUDA</v>
          </cell>
          <cell r="J248" t="str">
            <v>광）제조관리２부　　</v>
          </cell>
          <cell r="K248" t="str">
            <v>KQBA</v>
          </cell>
          <cell r="L248" t="str">
            <v>품질계획팀　　　　　</v>
          </cell>
          <cell r="O248" t="str">
            <v>KQBA</v>
          </cell>
          <cell r="R248" t="str">
            <v>6</v>
          </cell>
          <cell r="V248" t="str">
            <v>7</v>
          </cell>
          <cell r="W248" t="str">
            <v>2</v>
          </cell>
          <cell r="X248" t="str">
            <v>4</v>
          </cell>
          <cell r="Y248" t="str">
            <v>S</v>
          </cell>
          <cell r="Z248" t="str">
            <v>2082654</v>
          </cell>
          <cell r="AA248" t="str">
            <v>홍재수　　</v>
          </cell>
          <cell r="AB248" t="str">
            <v>24</v>
          </cell>
          <cell r="AC248" t="str">
            <v>43</v>
          </cell>
          <cell r="AD248">
            <v>66</v>
          </cell>
          <cell r="AE248">
            <v>55.29</v>
          </cell>
          <cell r="AF248">
            <v>50</v>
          </cell>
          <cell r="AG248" t="str">
            <v>2008044</v>
          </cell>
          <cell r="AH248" t="str">
            <v>곽동창　　</v>
          </cell>
          <cell r="AI248" t="str">
            <v>05</v>
          </cell>
          <cell r="AJ248" t="str">
            <v>32</v>
          </cell>
          <cell r="AK248">
            <v>77</v>
          </cell>
          <cell r="AL248">
            <v>60</v>
          </cell>
          <cell r="AM248">
            <v>30</v>
          </cell>
          <cell r="AR248">
            <v>0</v>
          </cell>
          <cell r="AS248">
            <v>0</v>
          </cell>
          <cell r="AT248">
            <v>0</v>
          </cell>
          <cell r="AY248">
            <v>0</v>
          </cell>
          <cell r="AZ248">
            <v>0</v>
          </cell>
          <cell r="BA248">
            <v>0</v>
          </cell>
          <cell r="BF248">
            <v>0</v>
          </cell>
          <cell r="BG248">
            <v>0</v>
          </cell>
          <cell r="BH248">
            <v>0</v>
          </cell>
          <cell r="BM248">
            <v>0</v>
          </cell>
          <cell r="BN248">
            <v>0</v>
          </cell>
          <cell r="BO248">
            <v>0</v>
          </cell>
          <cell r="BP248" t="b">
            <v>0</v>
          </cell>
          <cell r="BQ248">
            <v>0</v>
          </cell>
          <cell r="BR248">
            <v>57.06</v>
          </cell>
          <cell r="BS248">
            <v>463</v>
          </cell>
          <cell r="BT248">
            <v>67.599999999999994</v>
          </cell>
          <cell r="BU248" t="str">
            <v>C</v>
          </cell>
          <cell r="BV248" t="str">
            <v>08</v>
          </cell>
          <cell r="BW248">
            <v>52</v>
          </cell>
          <cell r="BX248" t="str">
            <v>19960208</v>
          </cell>
          <cell r="BZ248" t="str">
            <v>E</v>
          </cell>
          <cell r="CA248" t="str">
            <v>10</v>
          </cell>
          <cell r="CB248" t="str">
            <v>E</v>
          </cell>
          <cell r="CC248" t="str">
            <v>11</v>
          </cell>
          <cell r="CD248" t="str">
            <v>D</v>
          </cell>
          <cell r="CE248" t="str">
            <v>10</v>
          </cell>
        </row>
        <row r="249">
          <cell r="A249" t="str">
            <v>2612179</v>
          </cell>
          <cell r="B249" t="str">
            <v>33</v>
          </cell>
          <cell r="C249" t="str">
            <v>5급</v>
          </cell>
          <cell r="D249" t="str">
            <v>정인순　　</v>
          </cell>
          <cell r="E249" t="str">
            <v>C</v>
          </cell>
          <cell r="G249">
            <v>1</v>
          </cell>
          <cell r="H249" t="str">
            <v>KQ**</v>
          </cell>
          <cell r="I249" t="str">
            <v>KUAA</v>
          </cell>
          <cell r="J249" t="str">
            <v>광）생산관리팀　　　</v>
          </cell>
          <cell r="K249" t="str">
            <v>KUCD</v>
          </cell>
          <cell r="L249" t="str">
            <v>광）버스제조부　　　</v>
          </cell>
          <cell r="O249" t="str">
            <v>KUCDD</v>
          </cell>
          <cell r="R249" t="str">
            <v>6</v>
          </cell>
          <cell r="V249" t="str">
            <v>7</v>
          </cell>
          <cell r="W249" t="str">
            <v>2</v>
          </cell>
          <cell r="X249" t="str">
            <v>4</v>
          </cell>
          <cell r="Y249" t="str">
            <v>O</v>
          </cell>
          <cell r="Z249" t="str">
            <v>2341096</v>
          </cell>
          <cell r="AA249" t="str">
            <v>김남곤　　</v>
          </cell>
          <cell r="AB249" t="str">
            <v>26</v>
          </cell>
          <cell r="AC249" t="str">
            <v>50</v>
          </cell>
          <cell r="AD249">
            <v>72</v>
          </cell>
          <cell r="AE249">
            <v>60</v>
          </cell>
          <cell r="AF249">
            <v>20</v>
          </cell>
          <cell r="AG249" t="str">
            <v>2367804</v>
          </cell>
          <cell r="AH249" t="str">
            <v>정찬규　　</v>
          </cell>
          <cell r="AI249" t="str">
            <v>22</v>
          </cell>
          <cell r="AJ249" t="str">
            <v>40</v>
          </cell>
          <cell r="AK249">
            <v>75</v>
          </cell>
          <cell r="AL249">
            <v>55.29</v>
          </cell>
          <cell r="AM249">
            <v>30</v>
          </cell>
          <cell r="AN249" t="str">
            <v>2034693</v>
          </cell>
          <cell r="AO249" t="str">
            <v>김홍수　　</v>
          </cell>
          <cell r="AP249" t="str">
            <v>20</v>
          </cell>
          <cell r="AQ249" t="str">
            <v>32</v>
          </cell>
          <cell r="AR249">
            <v>47</v>
          </cell>
          <cell r="AS249">
            <v>53.99</v>
          </cell>
          <cell r="AT249">
            <v>10</v>
          </cell>
          <cell r="AU249" t="str">
            <v>2024118</v>
          </cell>
          <cell r="AV249" t="str">
            <v>정정규　　</v>
          </cell>
          <cell r="AW249" t="str">
            <v>20</v>
          </cell>
          <cell r="AX249" t="str">
            <v>31</v>
          </cell>
          <cell r="AY249">
            <v>53</v>
          </cell>
          <cell r="AZ249">
            <v>53.85</v>
          </cell>
          <cell r="BA249">
            <v>10</v>
          </cell>
          <cell r="BB249" t="str">
            <v>2026563</v>
          </cell>
          <cell r="BC249" t="str">
            <v>전천수　　</v>
          </cell>
          <cell r="BD249" t="str">
            <v>03</v>
          </cell>
          <cell r="BE249" t="str">
            <v>30</v>
          </cell>
          <cell r="BF249">
            <v>72</v>
          </cell>
          <cell r="BG249">
            <v>62.08</v>
          </cell>
          <cell r="BH249">
            <v>10</v>
          </cell>
          <cell r="BM249">
            <v>0</v>
          </cell>
          <cell r="BN249">
            <v>0</v>
          </cell>
          <cell r="BO249">
            <v>0</v>
          </cell>
          <cell r="BP249" t="b">
            <v>0</v>
          </cell>
          <cell r="BQ249">
            <v>0</v>
          </cell>
          <cell r="BR249">
            <v>56.97</v>
          </cell>
          <cell r="BS249">
            <v>471</v>
          </cell>
          <cell r="BT249">
            <v>68.8</v>
          </cell>
          <cell r="BU249" t="str">
            <v>C</v>
          </cell>
          <cell r="BV249" t="str">
            <v>08</v>
          </cell>
          <cell r="BW249">
            <v>52</v>
          </cell>
          <cell r="BX249" t="str">
            <v>19960208</v>
          </cell>
          <cell r="BZ249" t="str">
            <v>E</v>
          </cell>
          <cell r="CA249" t="str">
            <v>11</v>
          </cell>
          <cell r="CB249" t="str">
            <v>D</v>
          </cell>
          <cell r="CC249" t="str">
            <v>09</v>
          </cell>
          <cell r="CD249" t="str">
            <v>E</v>
          </cell>
          <cell r="CE249" t="str">
            <v>11</v>
          </cell>
        </row>
        <row r="250">
          <cell r="A250" t="str">
            <v>2505823</v>
          </cell>
          <cell r="B250" t="str">
            <v>32</v>
          </cell>
          <cell r="C250" t="str">
            <v>4을</v>
          </cell>
          <cell r="D250" t="str">
            <v>이동수　　</v>
          </cell>
          <cell r="E250" t="str">
            <v>C</v>
          </cell>
          <cell r="G250">
            <v>1</v>
          </cell>
          <cell r="H250" t="str">
            <v>KH**</v>
          </cell>
          <cell r="I250" t="str">
            <v>KHQ*</v>
          </cell>
          <cell r="J250" t="str">
            <v>광주지역본부　　　　</v>
          </cell>
          <cell r="K250" t="str">
            <v>KHOQ</v>
          </cell>
          <cell r="L250" t="str">
            <v>전북）고창지점　　　</v>
          </cell>
          <cell r="O250" t="str">
            <v>KHOQA</v>
          </cell>
          <cell r="R250" t="str">
            <v>2</v>
          </cell>
          <cell r="V250" t="str">
            <v>6</v>
          </cell>
          <cell r="W250" t="str">
            <v>3</v>
          </cell>
          <cell r="X250" t="str">
            <v>4</v>
          </cell>
          <cell r="Y250" t="str">
            <v>S</v>
          </cell>
          <cell r="Z250" t="str">
            <v>2240649</v>
          </cell>
          <cell r="AA250" t="str">
            <v>육달수　　</v>
          </cell>
          <cell r="AB250" t="str">
            <v>28</v>
          </cell>
          <cell r="AC250" t="str">
            <v>44</v>
          </cell>
          <cell r="AD250">
            <v>86</v>
          </cell>
          <cell r="AE250">
            <v>55.28</v>
          </cell>
          <cell r="AF250">
            <v>60</v>
          </cell>
          <cell r="AG250" t="str">
            <v>2718148</v>
          </cell>
          <cell r="AH250" t="str">
            <v>김춘원　　</v>
          </cell>
          <cell r="AI250" t="str">
            <v>05</v>
          </cell>
          <cell r="AJ250" t="str">
            <v>32</v>
          </cell>
          <cell r="AK250">
            <v>93</v>
          </cell>
          <cell r="AL250">
            <v>67.98</v>
          </cell>
          <cell r="AM250">
            <v>30</v>
          </cell>
          <cell r="AR250">
            <v>0</v>
          </cell>
          <cell r="AS250">
            <v>0</v>
          </cell>
          <cell r="AT250">
            <v>0</v>
          </cell>
          <cell r="AY250">
            <v>0</v>
          </cell>
          <cell r="AZ250">
            <v>0</v>
          </cell>
          <cell r="BA250">
            <v>0</v>
          </cell>
          <cell r="BF250">
            <v>0</v>
          </cell>
          <cell r="BG250">
            <v>0</v>
          </cell>
          <cell r="BH250">
            <v>0</v>
          </cell>
          <cell r="BM250">
            <v>0</v>
          </cell>
          <cell r="BN250">
            <v>0</v>
          </cell>
          <cell r="BO250">
            <v>0</v>
          </cell>
          <cell r="BP250" t="b">
            <v>0</v>
          </cell>
          <cell r="BQ250">
            <v>0</v>
          </cell>
          <cell r="BR250">
            <v>59.51</v>
          </cell>
          <cell r="BS250">
            <v>392</v>
          </cell>
          <cell r="BT250">
            <v>56.2</v>
          </cell>
          <cell r="BU250" t="str">
            <v>C</v>
          </cell>
          <cell r="BV250" t="str">
            <v>07</v>
          </cell>
          <cell r="BW250">
            <v>56</v>
          </cell>
          <cell r="BX250" t="str">
            <v>19931129</v>
          </cell>
          <cell r="BZ250" t="str">
            <v>D</v>
          </cell>
          <cell r="CA250" t="str">
            <v>10</v>
          </cell>
          <cell r="CB250" t="str">
            <v>D</v>
          </cell>
          <cell r="CC250" t="str">
            <v>08</v>
          </cell>
          <cell r="CD250" t="str">
            <v>E</v>
          </cell>
          <cell r="CE250" t="str">
            <v>10</v>
          </cell>
        </row>
        <row r="251">
          <cell r="A251" t="str">
            <v>2651676</v>
          </cell>
          <cell r="B251" t="str">
            <v>30</v>
          </cell>
          <cell r="C251" t="str">
            <v>4갑</v>
          </cell>
          <cell r="D251" t="str">
            <v>정운식　　</v>
          </cell>
          <cell r="E251" t="str">
            <v>C</v>
          </cell>
          <cell r="G251">
            <v>1</v>
          </cell>
          <cell r="H251" t="str">
            <v>KO**</v>
          </cell>
          <cell r="I251" t="str">
            <v>KODA</v>
          </cell>
          <cell r="J251" t="str">
            <v>일반구매팀　　　　　</v>
          </cell>
          <cell r="K251" t="str">
            <v>KOBA</v>
          </cell>
          <cell r="L251" t="str">
            <v>구매원가팀　　　　　</v>
          </cell>
          <cell r="O251" t="str">
            <v>KOBA</v>
          </cell>
          <cell r="R251" t="str">
            <v>4</v>
          </cell>
          <cell r="V251" t="str">
            <v>5</v>
          </cell>
          <cell r="W251" t="str">
            <v>1</v>
          </cell>
          <cell r="X251" t="str">
            <v>3</v>
          </cell>
          <cell r="Y251" t="str">
            <v>O</v>
          </cell>
          <cell r="Z251" t="str">
            <v>2032307</v>
          </cell>
          <cell r="AA251" t="str">
            <v>이형하　　</v>
          </cell>
          <cell r="AB251" t="str">
            <v>22</v>
          </cell>
          <cell r="AC251" t="str">
            <v>43</v>
          </cell>
          <cell r="AD251">
            <v>82</v>
          </cell>
          <cell r="AE251">
            <v>55.56</v>
          </cell>
          <cell r="AF251">
            <v>50</v>
          </cell>
          <cell r="AG251" t="str">
            <v>2008268</v>
          </cell>
          <cell r="AH251" t="str">
            <v>이용도　　</v>
          </cell>
          <cell r="AI251" t="str">
            <v>02</v>
          </cell>
          <cell r="AJ251" t="str">
            <v>20</v>
          </cell>
          <cell r="AK251">
            <v>82</v>
          </cell>
          <cell r="AL251">
            <v>64.08</v>
          </cell>
          <cell r="AM251">
            <v>30</v>
          </cell>
          <cell r="AR251">
            <v>0</v>
          </cell>
          <cell r="AS251">
            <v>0</v>
          </cell>
          <cell r="AT251">
            <v>0</v>
          </cell>
          <cell r="AY251">
            <v>0</v>
          </cell>
          <cell r="AZ251">
            <v>0</v>
          </cell>
          <cell r="BA251">
            <v>0</v>
          </cell>
          <cell r="BF251">
            <v>0</v>
          </cell>
          <cell r="BG251">
            <v>0</v>
          </cell>
          <cell r="BH251">
            <v>0</v>
          </cell>
          <cell r="BM251">
            <v>0</v>
          </cell>
          <cell r="BN251">
            <v>0</v>
          </cell>
          <cell r="BO251">
            <v>0</v>
          </cell>
          <cell r="BP251" t="b">
            <v>0</v>
          </cell>
          <cell r="BQ251">
            <v>0</v>
          </cell>
          <cell r="BR251">
            <v>58.76</v>
          </cell>
          <cell r="BS251">
            <v>820</v>
          </cell>
          <cell r="BT251">
            <v>56.5</v>
          </cell>
          <cell r="BU251" t="str">
            <v>C</v>
          </cell>
          <cell r="BV251" t="str">
            <v>07</v>
          </cell>
          <cell r="BW251">
            <v>56</v>
          </cell>
          <cell r="BX251" t="str">
            <v>19960101</v>
          </cell>
          <cell r="BZ251" t="str">
            <v>E</v>
          </cell>
          <cell r="CA251" t="str">
            <v>10</v>
          </cell>
          <cell r="CB251" t="str">
            <v>C</v>
          </cell>
          <cell r="CC251" t="str">
            <v>07</v>
          </cell>
          <cell r="CD251" t="str">
            <v>E</v>
          </cell>
          <cell r="CE251" t="str">
            <v>11</v>
          </cell>
        </row>
        <row r="252">
          <cell r="A252" t="str">
            <v>2597429</v>
          </cell>
          <cell r="B252" t="str">
            <v>33</v>
          </cell>
          <cell r="C252" t="str">
            <v>5급</v>
          </cell>
          <cell r="D252" t="str">
            <v>서진화　　</v>
          </cell>
          <cell r="E252" t="str">
            <v>C</v>
          </cell>
          <cell r="G252">
            <v>1</v>
          </cell>
          <cell r="H252" t="str">
            <v>KM**</v>
          </cell>
          <cell r="I252" t="str">
            <v>KMJS</v>
          </cell>
          <cell r="J252" t="str">
            <v>부산북부사업소　　　</v>
          </cell>
          <cell r="K252" t="str">
            <v>KMJR</v>
          </cell>
          <cell r="L252" t="str">
            <v>부산사업소　　　　　</v>
          </cell>
          <cell r="O252" t="str">
            <v>KMJRA</v>
          </cell>
          <cell r="R252" t="str">
            <v>2</v>
          </cell>
          <cell r="V252" t="str">
            <v>7</v>
          </cell>
          <cell r="W252" t="str">
            <v>4</v>
          </cell>
          <cell r="X252" t="str">
            <v>4</v>
          </cell>
          <cell r="Y252" t="str">
            <v>S</v>
          </cell>
          <cell r="Z252" t="str">
            <v>2288922</v>
          </cell>
          <cell r="AA252" t="str">
            <v>구민식　　</v>
          </cell>
          <cell r="AB252" t="str">
            <v>26</v>
          </cell>
          <cell r="AC252" t="str">
            <v>50</v>
          </cell>
          <cell r="AD252">
            <v>72</v>
          </cell>
          <cell r="AE252">
            <v>59.75</v>
          </cell>
          <cell r="AF252">
            <v>40</v>
          </cell>
          <cell r="AG252" t="str">
            <v>2026355</v>
          </cell>
          <cell r="AH252" t="str">
            <v>유원홍　　</v>
          </cell>
          <cell r="AI252" t="str">
            <v>24</v>
          </cell>
          <cell r="AJ252" t="str">
            <v>43</v>
          </cell>
          <cell r="AK252">
            <v>76</v>
          </cell>
          <cell r="AL252">
            <v>58.59</v>
          </cell>
          <cell r="AM252">
            <v>50</v>
          </cell>
          <cell r="AR252">
            <v>0</v>
          </cell>
          <cell r="AS252">
            <v>0</v>
          </cell>
          <cell r="AT252">
            <v>0</v>
          </cell>
          <cell r="AY252">
            <v>0</v>
          </cell>
          <cell r="AZ252">
            <v>0</v>
          </cell>
          <cell r="BA252">
            <v>0</v>
          </cell>
          <cell r="BF252">
            <v>0</v>
          </cell>
          <cell r="BG252">
            <v>0</v>
          </cell>
          <cell r="BH252">
            <v>0</v>
          </cell>
          <cell r="BM252">
            <v>0</v>
          </cell>
          <cell r="BN252">
            <v>0</v>
          </cell>
          <cell r="BO252">
            <v>0</v>
          </cell>
          <cell r="BP252" t="b">
            <v>0</v>
          </cell>
          <cell r="BQ252">
            <v>0</v>
          </cell>
          <cell r="BR252">
            <v>59.11</v>
          </cell>
          <cell r="BS252">
            <v>369</v>
          </cell>
          <cell r="BT252">
            <v>53.9</v>
          </cell>
          <cell r="BU252" t="str">
            <v>C</v>
          </cell>
          <cell r="BV252" t="str">
            <v>06</v>
          </cell>
          <cell r="BW252">
            <v>60</v>
          </cell>
          <cell r="BX252" t="str">
            <v>19960208</v>
          </cell>
          <cell r="BZ252" t="str">
            <v>D</v>
          </cell>
          <cell r="CA252" t="str">
            <v>09</v>
          </cell>
          <cell r="CB252" t="str">
            <v>C</v>
          </cell>
          <cell r="CC252" t="str">
            <v>07</v>
          </cell>
          <cell r="CD252" t="str">
            <v>D</v>
          </cell>
          <cell r="CE252" t="str">
            <v>09</v>
          </cell>
        </row>
        <row r="253">
          <cell r="A253" t="str">
            <v>2705105</v>
          </cell>
          <cell r="B253" t="str">
            <v>33</v>
          </cell>
          <cell r="C253" t="str">
            <v>5급</v>
          </cell>
          <cell r="D253" t="str">
            <v>백무옥　　</v>
          </cell>
          <cell r="E253" t="str">
            <v>C</v>
          </cell>
          <cell r="G253">
            <v>1</v>
          </cell>
          <cell r="H253" t="str">
            <v>KH**</v>
          </cell>
          <cell r="I253" t="str">
            <v>KHV*</v>
          </cell>
          <cell r="J253" t="str">
            <v>경남동부지역본부　　</v>
          </cell>
          <cell r="K253" t="str">
            <v>KHVB</v>
          </cell>
          <cell r="L253" t="str">
            <v>경남동부）창원지점　</v>
          </cell>
          <cell r="O253" t="str">
            <v>KHVBA</v>
          </cell>
          <cell r="R253" t="str">
            <v>2</v>
          </cell>
          <cell r="V253" t="str">
            <v>7</v>
          </cell>
          <cell r="W253" t="str">
            <v>3</v>
          </cell>
          <cell r="X253" t="str">
            <v>4</v>
          </cell>
          <cell r="Y253" t="str">
            <v>O</v>
          </cell>
          <cell r="Z253" t="str">
            <v>2449697</v>
          </cell>
          <cell r="AA253" t="str">
            <v>구남서　　</v>
          </cell>
          <cell r="AB253" t="str">
            <v>28</v>
          </cell>
          <cell r="AC253" t="str">
            <v>50</v>
          </cell>
          <cell r="AD253">
            <v>78</v>
          </cell>
          <cell r="AE253">
            <v>53.33</v>
          </cell>
          <cell r="AF253">
            <v>10</v>
          </cell>
          <cell r="AG253" t="str">
            <v>2044093</v>
          </cell>
          <cell r="AH253" t="str">
            <v>이석환　　</v>
          </cell>
          <cell r="AI253" t="str">
            <v>26</v>
          </cell>
          <cell r="AJ253" t="str">
            <v>44</v>
          </cell>
          <cell r="AK253">
            <v>66</v>
          </cell>
          <cell r="AL253">
            <v>54.59</v>
          </cell>
          <cell r="AM253">
            <v>50</v>
          </cell>
          <cell r="AN253" t="str">
            <v>2029104</v>
          </cell>
          <cell r="AO253" t="str">
            <v>제철　　　</v>
          </cell>
          <cell r="AP253" t="str">
            <v>05</v>
          </cell>
          <cell r="AQ253" t="str">
            <v>32</v>
          </cell>
          <cell r="AR253">
            <v>91</v>
          </cell>
          <cell r="AS253">
            <v>67.16</v>
          </cell>
          <cell r="AT253">
            <v>30</v>
          </cell>
          <cell r="AY253">
            <v>0</v>
          </cell>
          <cell r="AZ253">
            <v>0</v>
          </cell>
          <cell r="BA253">
            <v>0</v>
          </cell>
          <cell r="BF253">
            <v>0</v>
          </cell>
          <cell r="BG253">
            <v>0</v>
          </cell>
          <cell r="BH253">
            <v>0</v>
          </cell>
          <cell r="BM253">
            <v>0</v>
          </cell>
          <cell r="BN253">
            <v>0</v>
          </cell>
          <cell r="BO253">
            <v>0</v>
          </cell>
          <cell r="BP253" t="b">
            <v>0</v>
          </cell>
          <cell r="BQ253">
            <v>0</v>
          </cell>
          <cell r="BR253">
            <v>58.64</v>
          </cell>
          <cell r="BS253">
            <v>388</v>
          </cell>
          <cell r="BT253">
            <v>56.6</v>
          </cell>
          <cell r="BU253" t="str">
            <v>C</v>
          </cell>
          <cell r="BV253" t="str">
            <v>07</v>
          </cell>
          <cell r="BW253">
            <v>56</v>
          </cell>
          <cell r="BX253" t="str">
            <v>19970407</v>
          </cell>
          <cell r="BZ253" t="str">
            <v>E</v>
          </cell>
          <cell r="CA253" t="str">
            <v>10</v>
          </cell>
          <cell r="CB253" t="str">
            <v>D</v>
          </cell>
          <cell r="CC253" t="str">
            <v>09</v>
          </cell>
        </row>
        <row r="254">
          <cell r="A254" t="str">
            <v>2694792</v>
          </cell>
          <cell r="B254" t="str">
            <v>33</v>
          </cell>
          <cell r="C254" t="str">
            <v>5급</v>
          </cell>
          <cell r="D254" t="str">
            <v>정연희　　</v>
          </cell>
          <cell r="E254" t="str">
            <v>C</v>
          </cell>
          <cell r="G254">
            <v>1</v>
          </cell>
          <cell r="H254" t="str">
            <v>KH**</v>
          </cell>
          <cell r="I254" t="str">
            <v>KHSW</v>
          </cell>
          <cell r="J254" t="str">
            <v>부산）부산택시지점　</v>
          </cell>
          <cell r="K254" t="str">
            <v>KHSV</v>
          </cell>
          <cell r="L254" t="str">
            <v>부산）양정지점　　　</v>
          </cell>
          <cell r="O254" t="str">
            <v>KHSVA</v>
          </cell>
          <cell r="R254" t="str">
            <v>2</v>
          </cell>
          <cell r="V254" t="str">
            <v>7</v>
          </cell>
          <cell r="W254" t="str">
            <v>3</v>
          </cell>
          <cell r="X254" t="str">
            <v>4</v>
          </cell>
          <cell r="Y254" t="str">
            <v>O</v>
          </cell>
          <cell r="Z254" t="str">
            <v>2717398</v>
          </cell>
          <cell r="AA254" t="str">
            <v>서명철　　</v>
          </cell>
          <cell r="AB254" t="str">
            <v>28</v>
          </cell>
          <cell r="AC254" t="str">
            <v>50</v>
          </cell>
          <cell r="AD254">
            <v>61</v>
          </cell>
          <cell r="AE254">
            <v>60</v>
          </cell>
          <cell r="AF254">
            <v>10</v>
          </cell>
          <cell r="AG254" t="str">
            <v>2221691</v>
          </cell>
          <cell r="AH254" t="str">
            <v>안시현　　</v>
          </cell>
          <cell r="AI254" t="str">
            <v>26</v>
          </cell>
          <cell r="AJ254" t="str">
            <v>44</v>
          </cell>
          <cell r="AK254">
            <v>65</v>
          </cell>
          <cell r="AL254">
            <v>60</v>
          </cell>
          <cell r="AM254">
            <v>50</v>
          </cell>
          <cell r="AN254" t="str">
            <v>2718178</v>
          </cell>
          <cell r="AO254" t="str">
            <v>박환　　　</v>
          </cell>
          <cell r="AP254" t="str">
            <v>20</v>
          </cell>
          <cell r="AQ254" t="str">
            <v>32</v>
          </cell>
          <cell r="AR254">
            <v>80</v>
          </cell>
          <cell r="AS254">
            <v>61.9</v>
          </cell>
          <cell r="AT254">
            <v>30</v>
          </cell>
          <cell r="AY254">
            <v>0</v>
          </cell>
          <cell r="AZ254">
            <v>0</v>
          </cell>
          <cell r="BA254">
            <v>0</v>
          </cell>
          <cell r="BF254">
            <v>0</v>
          </cell>
          <cell r="BG254">
            <v>0</v>
          </cell>
          <cell r="BH254">
            <v>0</v>
          </cell>
          <cell r="BM254">
            <v>0</v>
          </cell>
          <cell r="BN254">
            <v>0</v>
          </cell>
          <cell r="BO254">
            <v>0</v>
          </cell>
          <cell r="BP254" t="b">
            <v>0</v>
          </cell>
          <cell r="BQ254">
            <v>0</v>
          </cell>
          <cell r="BR254">
            <v>60.63</v>
          </cell>
          <cell r="BS254">
            <v>273</v>
          </cell>
          <cell r="BT254">
            <v>39.9</v>
          </cell>
          <cell r="BU254" t="str">
            <v>C</v>
          </cell>
          <cell r="BV254" t="str">
            <v>05</v>
          </cell>
          <cell r="BW254">
            <v>64</v>
          </cell>
          <cell r="BX254" t="str">
            <v>19970101</v>
          </cell>
          <cell r="BZ254" t="str">
            <v>D</v>
          </cell>
          <cell r="CA254" t="str">
            <v>10</v>
          </cell>
          <cell r="CB254" t="str">
            <v>C</v>
          </cell>
          <cell r="CC254" t="str">
            <v>05</v>
          </cell>
        </row>
        <row r="255">
          <cell r="A255" t="str">
            <v>2538134</v>
          </cell>
          <cell r="B255" t="str">
            <v>33</v>
          </cell>
          <cell r="C255" t="str">
            <v>5급</v>
          </cell>
          <cell r="D255" t="str">
            <v>소미영　　</v>
          </cell>
          <cell r="E255" t="str">
            <v>C</v>
          </cell>
          <cell r="G255">
            <v>1</v>
          </cell>
          <cell r="H255" t="str">
            <v>KH**</v>
          </cell>
          <cell r="I255" t="str">
            <v>KHE*</v>
          </cell>
          <cell r="J255" t="str">
            <v>동부지역본부　　　　</v>
          </cell>
          <cell r="K255" t="str">
            <v>KHEA</v>
          </cell>
          <cell r="L255" t="str">
            <v>동부）동대문지점　　</v>
          </cell>
          <cell r="O255" t="str">
            <v>KHEAA</v>
          </cell>
          <cell r="R255" t="str">
            <v>2</v>
          </cell>
          <cell r="V255" t="str">
            <v>7</v>
          </cell>
          <cell r="W255" t="str">
            <v>3</v>
          </cell>
          <cell r="X255" t="str">
            <v>4</v>
          </cell>
          <cell r="Y255" t="str">
            <v>S</v>
          </cell>
          <cell r="Z255" t="str">
            <v>2290207</v>
          </cell>
          <cell r="AA255" t="str">
            <v>김재환　　</v>
          </cell>
          <cell r="AB255" t="str">
            <v>28</v>
          </cell>
          <cell r="AC255" t="str">
            <v>50</v>
          </cell>
          <cell r="AD255">
            <v>89</v>
          </cell>
          <cell r="AE255">
            <v>59.37</v>
          </cell>
          <cell r="AF255">
            <v>10</v>
          </cell>
          <cell r="AG255" t="str">
            <v>2078694</v>
          </cell>
          <cell r="AH255" t="str">
            <v>이호열　　</v>
          </cell>
          <cell r="AI255" t="str">
            <v>22</v>
          </cell>
          <cell r="AJ255" t="str">
            <v>44</v>
          </cell>
          <cell r="AK255">
            <v>85</v>
          </cell>
          <cell r="AL255">
            <v>54.37</v>
          </cell>
          <cell r="AM255">
            <v>50</v>
          </cell>
          <cell r="AN255" t="str">
            <v>2718162</v>
          </cell>
          <cell r="AO255" t="str">
            <v>박광인　　</v>
          </cell>
          <cell r="AP255" t="str">
            <v>03</v>
          </cell>
          <cell r="AQ255" t="str">
            <v>32</v>
          </cell>
          <cell r="AR255">
            <v>74</v>
          </cell>
          <cell r="AS255">
            <v>60.12</v>
          </cell>
          <cell r="AT255">
            <v>30</v>
          </cell>
          <cell r="AY255">
            <v>0</v>
          </cell>
          <cell r="AZ255">
            <v>0</v>
          </cell>
          <cell r="BA255">
            <v>0</v>
          </cell>
          <cell r="BF255">
            <v>0</v>
          </cell>
          <cell r="BG255">
            <v>0</v>
          </cell>
          <cell r="BH255">
            <v>0</v>
          </cell>
          <cell r="BM255">
            <v>0</v>
          </cell>
          <cell r="BN255">
            <v>0</v>
          </cell>
          <cell r="BO255">
            <v>0</v>
          </cell>
          <cell r="BP255" t="b">
            <v>0</v>
          </cell>
          <cell r="BQ255">
            <v>0</v>
          </cell>
          <cell r="BR255">
            <v>56.84</v>
          </cell>
          <cell r="BS255">
            <v>481</v>
          </cell>
          <cell r="BT255">
            <v>70.2</v>
          </cell>
          <cell r="BU255" t="str">
            <v>D</v>
          </cell>
          <cell r="BV255" t="str">
            <v>08</v>
          </cell>
          <cell r="BW255">
            <v>52</v>
          </cell>
          <cell r="BX255" t="str">
            <v>19940302</v>
          </cell>
          <cell r="BZ255" t="str">
            <v>E</v>
          </cell>
          <cell r="CA255" t="str">
            <v>11</v>
          </cell>
          <cell r="CB255" t="str">
            <v>E</v>
          </cell>
          <cell r="CC255" t="str">
            <v>11</v>
          </cell>
          <cell r="CD255" t="str">
            <v>E</v>
          </cell>
          <cell r="CE255" t="str">
            <v>10</v>
          </cell>
        </row>
        <row r="256">
          <cell r="A256" t="str">
            <v>2662927</v>
          </cell>
          <cell r="B256" t="str">
            <v>30</v>
          </cell>
          <cell r="C256" t="str">
            <v>4갑</v>
          </cell>
          <cell r="D256" t="str">
            <v>유동현　　</v>
          </cell>
          <cell r="E256" t="str">
            <v>C</v>
          </cell>
          <cell r="G256">
            <v>1</v>
          </cell>
          <cell r="H256" t="str">
            <v>KH**</v>
          </cell>
          <cell r="I256" t="str">
            <v>KHKJ</v>
          </cell>
          <cell r="J256" t="str">
            <v>강원）강릉대형상용지</v>
          </cell>
          <cell r="K256" t="str">
            <v>KHKD</v>
          </cell>
          <cell r="L256" t="str">
            <v>강원）동해지점　　　</v>
          </cell>
          <cell r="O256" t="str">
            <v>KHKDA</v>
          </cell>
          <cell r="R256" t="str">
            <v>2</v>
          </cell>
          <cell r="V256" t="str">
            <v>5</v>
          </cell>
          <cell r="W256" t="str">
            <v>3</v>
          </cell>
          <cell r="X256" t="str">
            <v>3</v>
          </cell>
          <cell r="Y256" t="str">
            <v>O</v>
          </cell>
          <cell r="Z256" t="str">
            <v>2069695</v>
          </cell>
          <cell r="AA256" t="str">
            <v>문광우　　</v>
          </cell>
          <cell r="AB256" t="str">
            <v>26</v>
          </cell>
          <cell r="AC256" t="str">
            <v>44</v>
          </cell>
          <cell r="AD256">
            <v>78</v>
          </cell>
          <cell r="AE256">
            <v>60</v>
          </cell>
          <cell r="AF256">
            <v>50</v>
          </cell>
          <cell r="AG256" t="str">
            <v>2032367</v>
          </cell>
          <cell r="AH256" t="str">
            <v>최진　　　</v>
          </cell>
          <cell r="AI256" t="str">
            <v>22</v>
          </cell>
          <cell r="AJ256" t="str">
            <v>32</v>
          </cell>
          <cell r="AK256">
            <v>69</v>
          </cell>
          <cell r="AL256">
            <v>52.93</v>
          </cell>
          <cell r="AM256">
            <v>30</v>
          </cell>
          <cell r="AN256" t="str">
            <v>2059744</v>
          </cell>
          <cell r="AO256" t="str">
            <v>김도영　　</v>
          </cell>
          <cell r="AP256" t="str">
            <v>02</v>
          </cell>
          <cell r="AQ256" t="str">
            <v>20</v>
          </cell>
          <cell r="AR256">
            <v>93</v>
          </cell>
          <cell r="AS256">
            <v>68.08</v>
          </cell>
          <cell r="AT256">
            <v>10</v>
          </cell>
          <cell r="AY256">
            <v>0</v>
          </cell>
          <cell r="AZ256">
            <v>0</v>
          </cell>
          <cell r="BA256">
            <v>0</v>
          </cell>
          <cell r="BF256">
            <v>0</v>
          </cell>
          <cell r="BG256">
            <v>0</v>
          </cell>
          <cell r="BH256">
            <v>0</v>
          </cell>
          <cell r="BM256">
            <v>0</v>
          </cell>
          <cell r="BN256">
            <v>0</v>
          </cell>
          <cell r="BO256">
            <v>0</v>
          </cell>
          <cell r="BP256" t="b">
            <v>0</v>
          </cell>
          <cell r="BQ256">
            <v>0</v>
          </cell>
          <cell r="BR256">
            <v>58.54</v>
          </cell>
          <cell r="BS256">
            <v>844</v>
          </cell>
          <cell r="BT256">
            <v>58.2</v>
          </cell>
          <cell r="BU256" t="str">
            <v>C</v>
          </cell>
          <cell r="BV256" t="str">
            <v>07</v>
          </cell>
          <cell r="BW256">
            <v>56</v>
          </cell>
          <cell r="BX256" t="str">
            <v>19960228</v>
          </cell>
          <cell r="BZ256" t="str">
            <v>D</v>
          </cell>
          <cell r="CA256" t="str">
            <v>10</v>
          </cell>
          <cell r="CB256" t="str">
            <v>C</v>
          </cell>
          <cell r="CC256" t="str">
            <v>08</v>
          </cell>
          <cell r="CD256" t="str">
            <v>E</v>
          </cell>
          <cell r="CE256" t="str">
            <v>11</v>
          </cell>
        </row>
        <row r="257">
          <cell r="A257" t="str">
            <v>2589857</v>
          </cell>
          <cell r="B257" t="str">
            <v>33</v>
          </cell>
          <cell r="C257" t="str">
            <v>5급</v>
          </cell>
          <cell r="D257" t="str">
            <v>양순덕　　</v>
          </cell>
          <cell r="E257" t="str">
            <v>C</v>
          </cell>
          <cell r="G257">
            <v>1</v>
          </cell>
          <cell r="H257" t="str">
            <v>KH**</v>
          </cell>
          <cell r="I257" t="str">
            <v>KHHV</v>
          </cell>
          <cell r="J257" t="str">
            <v>북부）원당지점　　　</v>
          </cell>
          <cell r="K257" t="str">
            <v>KHHH</v>
          </cell>
          <cell r="L257" t="str">
            <v>북부）일산지점　　　</v>
          </cell>
          <cell r="O257" t="str">
            <v>KHHHA</v>
          </cell>
          <cell r="R257" t="str">
            <v>2</v>
          </cell>
          <cell r="V257" t="str">
            <v>7</v>
          </cell>
          <cell r="W257" t="str">
            <v>3</v>
          </cell>
          <cell r="X257" t="str">
            <v>4</v>
          </cell>
          <cell r="Y257" t="str">
            <v>S</v>
          </cell>
          <cell r="Z257" t="str">
            <v>2210462</v>
          </cell>
          <cell r="AA257" t="str">
            <v>조동규　　</v>
          </cell>
          <cell r="AB257" t="str">
            <v>28</v>
          </cell>
          <cell r="AC257" t="str">
            <v>50</v>
          </cell>
          <cell r="AD257">
            <v>86</v>
          </cell>
          <cell r="AE257">
            <v>65.41</v>
          </cell>
          <cell r="AF257">
            <v>10</v>
          </cell>
          <cell r="AG257" t="str">
            <v>2119156</v>
          </cell>
          <cell r="AH257" t="str">
            <v>이창주　　</v>
          </cell>
          <cell r="AI257" t="str">
            <v>26</v>
          </cell>
          <cell r="AJ257" t="str">
            <v>44</v>
          </cell>
          <cell r="AK257">
            <v>71</v>
          </cell>
          <cell r="AL257">
            <v>54.18</v>
          </cell>
          <cell r="AM257">
            <v>50</v>
          </cell>
          <cell r="AN257" t="str">
            <v>2006008</v>
          </cell>
          <cell r="AO257" t="str">
            <v>이덕준　　</v>
          </cell>
          <cell r="AP257" t="str">
            <v>03</v>
          </cell>
          <cell r="AQ257" t="str">
            <v>32</v>
          </cell>
          <cell r="AR257">
            <v>90</v>
          </cell>
          <cell r="AS257">
            <v>65.69</v>
          </cell>
          <cell r="AT257">
            <v>30</v>
          </cell>
          <cell r="AY257">
            <v>0</v>
          </cell>
          <cell r="AZ257">
            <v>0</v>
          </cell>
          <cell r="BA257">
            <v>0</v>
          </cell>
          <cell r="BF257">
            <v>0</v>
          </cell>
          <cell r="BG257">
            <v>0</v>
          </cell>
          <cell r="BH257">
            <v>0</v>
          </cell>
          <cell r="BM257">
            <v>0</v>
          </cell>
          <cell r="BN257">
            <v>0</v>
          </cell>
          <cell r="BO257">
            <v>0</v>
          </cell>
          <cell r="BP257" t="b">
            <v>0</v>
          </cell>
          <cell r="BQ257">
            <v>0</v>
          </cell>
          <cell r="BR257">
            <v>59.26</v>
          </cell>
          <cell r="BS257">
            <v>363</v>
          </cell>
          <cell r="BT257">
            <v>53</v>
          </cell>
          <cell r="BU257" t="str">
            <v>C</v>
          </cell>
          <cell r="BV257" t="str">
            <v>06</v>
          </cell>
          <cell r="BW257">
            <v>60</v>
          </cell>
          <cell r="BX257" t="str">
            <v>19941018</v>
          </cell>
          <cell r="BZ257" t="str">
            <v>D</v>
          </cell>
          <cell r="CA257" t="str">
            <v>10</v>
          </cell>
          <cell r="CB257" t="str">
            <v>D</v>
          </cell>
          <cell r="CC257" t="str">
            <v>09</v>
          </cell>
          <cell r="CD257" t="str">
            <v>C</v>
          </cell>
          <cell r="CE257" t="str">
            <v>07</v>
          </cell>
        </row>
        <row r="258">
          <cell r="A258" t="str">
            <v>2304356</v>
          </cell>
          <cell r="B258" t="str">
            <v>32</v>
          </cell>
          <cell r="C258" t="str">
            <v>4을</v>
          </cell>
          <cell r="D258" t="str">
            <v>신선임　　</v>
          </cell>
          <cell r="E258" t="str">
            <v>C</v>
          </cell>
          <cell r="G258">
            <v>1</v>
          </cell>
          <cell r="H258" t="str">
            <v>KH**</v>
          </cell>
          <cell r="I258" t="str">
            <v>KHIU</v>
          </cell>
          <cell r="J258" t="str">
            <v>인천）강화지점　　　</v>
          </cell>
          <cell r="K258" t="str">
            <v>KHII</v>
          </cell>
          <cell r="L258" t="str">
            <v>인천）김포지점　　　</v>
          </cell>
          <cell r="O258" t="str">
            <v>KHII</v>
          </cell>
          <cell r="R258" t="str">
            <v>2</v>
          </cell>
          <cell r="V258" t="str">
            <v>6</v>
          </cell>
          <cell r="W258" t="str">
            <v>3</v>
          </cell>
          <cell r="X258" t="str">
            <v>4</v>
          </cell>
          <cell r="Y258" t="str">
            <v>S</v>
          </cell>
          <cell r="Z258" t="str">
            <v>2074049</v>
          </cell>
          <cell r="AA258" t="str">
            <v>안현옥　　</v>
          </cell>
          <cell r="AB258" t="str">
            <v>24</v>
          </cell>
          <cell r="AC258" t="str">
            <v>44</v>
          </cell>
          <cell r="AD258">
            <v>75</v>
          </cell>
          <cell r="AE258">
            <v>55.29</v>
          </cell>
          <cell r="AF258">
            <v>60</v>
          </cell>
          <cell r="AG258" t="str">
            <v>2718155</v>
          </cell>
          <cell r="AH258" t="str">
            <v>김한수　　</v>
          </cell>
          <cell r="AI258" t="str">
            <v>05</v>
          </cell>
          <cell r="AJ258" t="str">
            <v>32</v>
          </cell>
          <cell r="AK258">
            <v>91</v>
          </cell>
          <cell r="AL258">
            <v>68.91</v>
          </cell>
          <cell r="AM258">
            <v>30</v>
          </cell>
          <cell r="AR258">
            <v>0</v>
          </cell>
          <cell r="AS258">
            <v>0</v>
          </cell>
          <cell r="AT258">
            <v>0</v>
          </cell>
          <cell r="AY258">
            <v>0</v>
          </cell>
          <cell r="AZ258">
            <v>0</v>
          </cell>
          <cell r="BA258">
            <v>0</v>
          </cell>
          <cell r="BF258">
            <v>0</v>
          </cell>
          <cell r="BG258">
            <v>0</v>
          </cell>
          <cell r="BH258">
            <v>0</v>
          </cell>
          <cell r="BM258">
            <v>0</v>
          </cell>
          <cell r="BN258">
            <v>0</v>
          </cell>
          <cell r="BO258">
            <v>0</v>
          </cell>
          <cell r="BP258" t="b">
            <v>0</v>
          </cell>
          <cell r="BQ258">
            <v>0</v>
          </cell>
          <cell r="BR258">
            <v>59.83</v>
          </cell>
          <cell r="BS258">
            <v>372</v>
          </cell>
          <cell r="BT258">
            <v>53.4</v>
          </cell>
          <cell r="BU258" t="str">
            <v>C</v>
          </cell>
          <cell r="BV258" t="str">
            <v>06</v>
          </cell>
          <cell r="BW258">
            <v>60</v>
          </cell>
          <cell r="BX258" t="str">
            <v>19950101</v>
          </cell>
          <cell r="BZ258" t="str">
            <v>C</v>
          </cell>
          <cell r="CA258" t="str">
            <v>08</v>
          </cell>
          <cell r="CB258" t="str">
            <v>D</v>
          </cell>
          <cell r="CC258" t="str">
            <v>08</v>
          </cell>
          <cell r="CD258" t="str">
            <v>D</v>
          </cell>
          <cell r="CE258" t="str">
            <v>10</v>
          </cell>
        </row>
        <row r="259">
          <cell r="A259" t="str">
            <v>2178673</v>
          </cell>
          <cell r="B259" t="str">
            <v>30</v>
          </cell>
          <cell r="C259" t="str">
            <v>4갑</v>
          </cell>
          <cell r="D259" t="str">
            <v>김성철　　</v>
          </cell>
          <cell r="E259" t="str">
            <v>C</v>
          </cell>
          <cell r="G259">
            <v>1</v>
          </cell>
          <cell r="H259" t="str">
            <v>KH**</v>
          </cell>
          <cell r="I259" t="str">
            <v>KHH*</v>
          </cell>
          <cell r="J259" t="str">
            <v>북부지역본부　　　　</v>
          </cell>
          <cell r="K259" t="str">
            <v>KHHK</v>
          </cell>
          <cell r="L259" t="str">
            <v>북부）종로５가지점　</v>
          </cell>
          <cell r="O259" t="str">
            <v>KHHKA</v>
          </cell>
          <cell r="R259" t="str">
            <v>2</v>
          </cell>
          <cell r="V259" t="str">
            <v>5</v>
          </cell>
          <cell r="W259" t="str">
            <v>3</v>
          </cell>
          <cell r="X259" t="str">
            <v>3</v>
          </cell>
          <cell r="Y259" t="str">
            <v>S</v>
          </cell>
          <cell r="Z259" t="str">
            <v>2166552</v>
          </cell>
          <cell r="AA259" t="str">
            <v>이재훈　　</v>
          </cell>
          <cell r="AB259" t="str">
            <v>26</v>
          </cell>
          <cell r="AC259" t="str">
            <v>44</v>
          </cell>
          <cell r="AD259">
            <v>92</v>
          </cell>
          <cell r="AE259">
            <v>60</v>
          </cell>
          <cell r="AF259">
            <v>50</v>
          </cell>
          <cell r="AG259" t="str">
            <v>2006008</v>
          </cell>
          <cell r="AH259" t="str">
            <v>이덕준　　</v>
          </cell>
          <cell r="AI259" t="str">
            <v>03</v>
          </cell>
          <cell r="AJ259" t="str">
            <v>32</v>
          </cell>
          <cell r="AK259">
            <v>98</v>
          </cell>
          <cell r="AL259">
            <v>69.66</v>
          </cell>
          <cell r="AM259">
            <v>30</v>
          </cell>
          <cell r="AN259" t="str">
            <v>2059744</v>
          </cell>
          <cell r="AO259" t="str">
            <v>김도영　　</v>
          </cell>
          <cell r="AP259" t="str">
            <v>02</v>
          </cell>
          <cell r="AQ259" t="str">
            <v>20</v>
          </cell>
          <cell r="AR259">
            <v>40</v>
          </cell>
          <cell r="AS259">
            <v>49.21</v>
          </cell>
          <cell r="AT259">
            <v>10</v>
          </cell>
          <cell r="AY259">
            <v>0</v>
          </cell>
          <cell r="AZ259">
            <v>0</v>
          </cell>
          <cell r="BA259">
            <v>0</v>
          </cell>
          <cell r="BF259">
            <v>0</v>
          </cell>
          <cell r="BG259">
            <v>0</v>
          </cell>
          <cell r="BH259">
            <v>0</v>
          </cell>
          <cell r="BM259">
            <v>0</v>
          </cell>
          <cell r="BN259">
            <v>0</v>
          </cell>
          <cell r="BO259">
            <v>0</v>
          </cell>
          <cell r="BP259" t="b">
            <v>0</v>
          </cell>
          <cell r="BQ259">
            <v>0</v>
          </cell>
          <cell r="BR259">
            <v>62.02</v>
          </cell>
          <cell r="BS259">
            <v>507</v>
          </cell>
          <cell r="BT259">
            <v>34.9</v>
          </cell>
          <cell r="BU259" t="str">
            <v>C</v>
          </cell>
          <cell r="BV259" t="str">
            <v>04</v>
          </cell>
          <cell r="BW259">
            <v>68</v>
          </cell>
          <cell r="BX259" t="str">
            <v>19920101</v>
          </cell>
          <cell r="BZ259" t="str">
            <v>D</v>
          </cell>
          <cell r="CA259" t="str">
            <v>09</v>
          </cell>
          <cell r="CB259" t="str">
            <v>C</v>
          </cell>
          <cell r="CC259" t="str">
            <v>04</v>
          </cell>
          <cell r="CD259" t="str">
            <v>C</v>
          </cell>
          <cell r="CE259" t="str">
            <v>07</v>
          </cell>
        </row>
        <row r="260">
          <cell r="A260" t="str">
            <v>2355409</v>
          </cell>
          <cell r="B260" t="str">
            <v>28</v>
          </cell>
          <cell r="C260" t="str">
            <v>대리</v>
          </cell>
          <cell r="D260" t="str">
            <v>박중광　　</v>
          </cell>
          <cell r="E260" t="str">
            <v>C</v>
          </cell>
          <cell r="G260">
            <v>1</v>
          </cell>
          <cell r="H260" t="str">
            <v>KK**</v>
          </cell>
          <cell r="I260" t="str">
            <v>KJAB</v>
          </cell>
          <cell r="J260" t="str">
            <v>특수수출팀　　　　　</v>
          </cell>
          <cell r="K260" t="str">
            <v>KLCE</v>
          </cell>
          <cell r="L260" t="str">
            <v>상용특장수출팀　　　</v>
          </cell>
          <cell r="O260" t="str">
            <v>KLCE</v>
          </cell>
          <cell r="R260" t="str">
            <v>1</v>
          </cell>
          <cell r="V260" t="str">
            <v>4</v>
          </cell>
          <cell r="W260" t="str">
            <v>1</v>
          </cell>
          <cell r="X260" t="str">
            <v>3</v>
          </cell>
          <cell r="Y260" t="str">
            <v>S</v>
          </cell>
          <cell r="Z260" t="str">
            <v>2013104</v>
          </cell>
          <cell r="AA260" t="str">
            <v>김남중　　</v>
          </cell>
          <cell r="AB260" t="str">
            <v>20</v>
          </cell>
          <cell r="AC260" t="str">
            <v>43</v>
          </cell>
          <cell r="AD260">
            <v>93</v>
          </cell>
          <cell r="AE260">
            <v>69.09</v>
          </cell>
          <cell r="AF260">
            <v>40</v>
          </cell>
          <cell r="AG260" t="str">
            <v>2002024</v>
          </cell>
          <cell r="AH260" t="str">
            <v>이덕규　　</v>
          </cell>
          <cell r="AI260" t="str">
            <v>04</v>
          </cell>
          <cell r="AJ260" t="str">
            <v>30</v>
          </cell>
          <cell r="AK260">
            <v>71</v>
          </cell>
          <cell r="AL260">
            <v>59.97</v>
          </cell>
          <cell r="AM260">
            <v>30</v>
          </cell>
          <cell r="AN260" t="str">
            <v>2005295</v>
          </cell>
          <cell r="AO260" t="str">
            <v>박성도　　</v>
          </cell>
          <cell r="AP260" t="str">
            <v>02</v>
          </cell>
          <cell r="AQ260" t="str">
            <v>20</v>
          </cell>
          <cell r="AR260">
            <v>63</v>
          </cell>
          <cell r="AS260">
            <v>56.64</v>
          </cell>
          <cell r="AT260">
            <v>10</v>
          </cell>
          <cell r="AY260">
            <v>0</v>
          </cell>
          <cell r="AZ260">
            <v>0</v>
          </cell>
          <cell r="BA260">
            <v>0</v>
          </cell>
          <cell r="BF260">
            <v>0</v>
          </cell>
          <cell r="BG260">
            <v>0</v>
          </cell>
          <cell r="BH260">
            <v>0</v>
          </cell>
          <cell r="BM260">
            <v>0</v>
          </cell>
          <cell r="BN260">
            <v>0</v>
          </cell>
          <cell r="BO260">
            <v>0</v>
          </cell>
          <cell r="BP260" t="b">
            <v>0</v>
          </cell>
          <cell r="BQ260">
            <v>0</v>
          </cell>
          <cell r="BR260">
            <v>64.11</v>
          </cell>
          <cell r="BS260">
            <v>467</v>
          </cell>
          <cell r="BT260">
            <v>27.9</v>
          </cell>
          <cell r="BU260" t="str">
            <v>B</v>
          </cell>
          <cell r="BV260" t="str">
            <v>04</v>
          </cell>
          <cell r="BW260">
            <v>68</v>
          </cell>
          <cell r="BX260" t="str">
            <v>19950101</v>
          </cell>
          <cell r="BZ260" t="str">
            <v>C</v>
          </cell>
          <cell r="CA260" t="str">
            <v>07</v>
          </cell>
          <cell r="CB260" t="str">
            <v>C</v>
          </cell>
          <cell r="CC260" t="str">
            <v>06</v>
          </cell>
          <cell r="CD260" t="str">
            <v>C</v>
          </cell>
          <cell r="CE260" t="str">
            <v>07</v>
          </cell>
        </row>
        <row r="261">
          <cell r="A261" t="str">
            <v>2081792</v>
          </cell>
          <cell r="B261" t="str">
            <v>26</v>
          </cell>
          <cell r="C261" t="str">
            <v>과장</v>
          </cell>
          <cell r="D261" t="str">
            <v>윤석준　　</v>
          </cell>
          <cell r="E261" t="str">
            <v>C</v>
          </cell>
          <cell r="G261">
            <v>1</v>
          </cell>
          <cell r="H261" t="str">
            <v>KQ**</v>
          </cell>
          <cell r="I261" t="str">
            <v>KTFA</v>
          </cell>
          <cell r="J261" t="str">
            <v>화）엔진변속기제조관</v>
          </cell>
          <cell r="K261" t="str">
            <v>KTFF</v>
          </cell>
          <cell r="L261" t="str">
            <v>화）자동변속기부　　</v>
          </cell>
          <cell r="O261" t="str">
            <v>KTFF</v>
          </cell>
          <cell r="R261" t="str">
            <v>5</v>
          </cell>
          <cell r="T261" t="str">
            <v>40</v>
          </cell>
          <cell r="U261" t="str">
            <v>부서장</v>
          </cell>
          <cell r="V261" t="str">
            <v>3</v>
          </cell>
          <cell r="W261" t="str">
            <v>2</v>
          </cell>
          <cell r="X261" t="str">
            <v>1</v>
          </cell>
          <cell r="Y261" t="str">
            <v>S</v>
          </cell>
          <cell r="Z261" t="str">
            <v>2010972</v>
          </cell>
          <cell r="AA261" t="str">
            <v>박상호</v>
          </cell>
          <cell r="AB261" t="str">
            <v>20</v>
          </cell>
          <cell r="AC261" t="str">
            <v>35</v>
          </cell>
          <cell r="AD261">
            <v>96</v>
          </cell>
          <cell r="AE261">
            <v>64.709999999999994</v>
          </cell>
          <cell r="AF261">
            <v>10</v>
          </cell>
          <cell r="AG261" t="str">
            <v>7019858</v>
          </cell>
          <cell r="AH261" t="str">
            <v>홍석종　　</v>
          </cell>
          <cell r="AI261" t="str">
            <v>04</v>
          </cell>
          <cell r="AJ261" t="str">
            <v>31</v>
          </cell>
          <cell r="AK261">
            <v>63</v>
          </cell>
          <cell r="AL261">
            <v>54.77</v>
          </cell>
          <cell r="AM261">
            <v>20</v>
          </cell>
          <cell r="AN261" t="str">
            <v>2100100</v>
          </cell>
          <cell r="AO261" t="str">
            <v>김무일　　</v>
          </cell>
          <cell r="AP261" t="str">
            <v>02</v>
          </cell>
          <cell r="AQ261" t="str">
            <v>30</v>
          </cell>
          <cell r="AR261">
            <v>94</v>
          </cell>
          <cell r="AS261">
            <v>66.150000000000006</v>
          </cell>
          <cell r="AT261">
            <v>30</v>
          </cell>
          <cell r="AU261" t="str">
            <v>2728462</v>
          </cell>
          <cell r="AV261" t="str">
            <v>임승근　　</v>
          </cell>
          <cell r="AW261" t="str">
            <v>02</v>
          </cell>
          <cell r="AX261" t="str">
            <v>20</v>
          </cell>
          <cell r="AY261">
            <v>93</v>
          </cell>
          <cell r="AZ261">
            <v>68.58</v>
          </cell>
          <cell r="BA261">
            <v>10</v>
          </cell>
          <cell r="BF261">
            <v>0</v>
          </cell>
          <cell r="BG261">
            <v>0</v>
          </cell>
          <cell r="BH261">
            <v>0</v>
          </cell>
          <cell r="BM261">
            <v>0</v>
          </cell>
          <cell r="BN261">
            <v>0</v>
          </cell>
          <cell r="BO261">
            <v>0</v>
          </cell>
          <cell r="BP261" t="b">
            <v>1</v>
          </cell>
          <cell r="BQ261">
            <v>7</v>
          </cell>
          <cell r="BR261">
            <v>62.16</v>
          </cell>
          <cell r="BS261">
            <v>395</v>
          </cell>
          <cell r="BT261">
            <v>34.799999999999997</v>
          </cell>
          <cell r="BU261" t="str">
            <v>C</v>
          </cell>
          <cell r="BV261" t="str">
            <v>04</v>
          </cell>
          <cell r="BW261">
            <v>68</v>
          </cell>
          <cell r="BX261" t="str">
            <v>19940101</v>
          </cell>
          <cell r="BZ261" t="str">
            <v>C</v>
          </cell>
          <cell r="CA261" t="str">
            <v>06</v>
          </cell>
          <cell r="CB261" t="str">
            <v>C</v>
          </cell>
          <cell r="CC261" t="str">
            <v>07</v>
          </cell>
          <cell r="CD261" t="str">
            <v>C</v>
          </cell>
          <cell r="CE261" t="str">
            <v>07</v>
          </cell>
        </row>
        <row r="262">
          <cell r="A262" t="str">
            <v>2091646</v>
          </cell>
          <cell r="B262" t="str">
            <v>30</v>
          </cell>
          <cell r="C262" t="str">
            <v>4갑</v>
          </cell>
          <cell r="D262" t="str">
            <v>김남중　　</v>
          </cell>
          <cell r="E262" t="str">
            <v>C</v>
          </cell>
          <cell r="G262">
            <v>1</v>
          </cell>
          <cell r="H262" t="str">
            <v>KH**</v>
          </cell>
          <cell r="I262" t="str">
            <v>KHFB</v>
          </cell>
          <cell r="J262" t="str">
            <v>서부）여의도지점　　</v>
          </cell>
          <cell r="K262" t="str">
            <v>KHFV</v>
          </cell>
          <cell r="L262" t="str">
            <v>서부）신구로지점　　</v>
          </cell>
          <cell r="O262" t="str">
            <v>KHFVA</v>
          </cell>
          <cell r="R262" t="str">
            <v>2</v>
          </cell>
          <cell r="V262" t="str">
            <v>5</v>
          </cell>
          <cell r="W262" t="str">
            <v>3</v>
          </cell>
          <cell r="X262" t="str">
            <v>3</v>
          </cell>
          <cell r="Y262" t="str">
            <v>S</v>
          </cell>
          <cell r="Z262" t="str">
            <v>2060569</v>
          </cell>
          <cell r="AA262" t="str">
            <v>윤봉원　　</v>
          </cell>
          <cell r="AB262" t="str">
            <v>26</v>
          </cell>
          <cell r="AC262" t="str">
            <v>44</v>
          </cell>
          <cell r="AD262">
            <v>98</v>
          </cell>
          <cell r="AE262">
            <v>64.709999999999994</v>
          </cell>
          <cell r="AF262">
            <v>50</v>
          </cell>
          <cell r="AG262" t="str">
            <v>7120125</v>
          </cell>
          <cell r="AH262" t="str">
            <v>송만섭　　</v>
          </cell>
          <cell r="AI262" t="str">
            <v>22</v>
          </cell>
          <cell r="AJ262" t="str">
            <v>32</v>
          </cell>
          <cell r="AK262">
            <v>90</v>
          </cell>
          <cell r="AL262">
            <v>71.38</v>
          </cell>
          <cell r="AM262">
            <v>30</v>
          </cell>
          <cell r="AN262" t="str">
            <v>2059744</v>
          </cell>
          <cell r="AO262" t="str">
            <v>김도영　　</v>
          </cell>
          <cell r="AP262" t="str">
            <v>02</v>
          </cell>
          <cell r="AQ262" t="str">
            <v>20</v>
          </cell>
          <cell r="AR262">
            <v>93</v>
          </cell>
          <cell r="AS262">
            <v>68.08</v>
          </cell>
          <cell r="AT262">
            <v>10</v>
          </cell>
          <cell r="AY262">
            <v>0</v>
          </cell>
          <cell r="AZ262">
            <v>0</v>
          </cell>
          <cell r="BA262">
            <v>0</v>
          </cell>
          <cell r="BF262">
            <v>0</v>
          </cell>
          <cell r="BG262">
            <v>0</v>
          </cell>
          <cell r="BH262">
            <v>0</v>
          </cell>
          <cell r="BM262">
            <v>0</v>
          </cell>
          <cell r="BN262">
            <v>0</v>
          </cell>
          <cell r="BO262">
            <v>0</v>
          </cell>
          <cell r="BP262" t="b">
            <v>0</v>
          </cell>
          <cell r="BQ262">
            <v>0</v>
          </cell>
          <cell r="BR262">
            <v>67.31</v>
          </cell>
          <cell r="BS262">
            <v>156</v>
          </cell>
          <cell r="BT262">
            <v>10.8</v>
          </cell>
          <cell r="BU262" t="str">
            <v>B</v>
          </cell>
          <cell r="BV262" t="str">
            <v>02</v>
          </cell>
          <cell r="BW262">
            <v>76</v>
          </cell>
          <cell r="BX262" t="str">
            <v>19930101</v>
          </cell>
          <cell r="BZ262" t="str">
            <v>C</v>
          </cell>
          <cell r="CA262" t="str">
            <v>07</v>
          </cell>
          <cell r="CB262" t="str">
            <v>C</v>
          </cell>
          <cell r="CC262" t="str">
            <v>05</v>
          </cell>
          <cell r="CD262" t="str">
            <v>A</v>
          </cell>
          <cell r="CE262" t="str">
            <v>02</v>
          </cell>
        </row>
        <row r="263">
          <cell r="A263" t="str">
            <v>2373414</v>
          </cell>
          <cell r="B263" t="str">
            <v>24</v>
          </cell>
          <cell r="C263" t="str">
            <v>차장</v>
          </cell>
          <cell r="D263" t="str">
            <v>심재혁　　</v>
          </cell>
          <cell r="E263" t="str">
            <v>C</v>
          </cell>
          <cell r="G263">
            <v>1</v>
          </cell>
          <cell r="H263" t="str">
            <v>KK**</v>
          </cell>
          <cell r="I263" t="str">
            <v>KJAB</v>
          </cell>
          <cell r="J263" t="str">
            <v>특수수출팀　　　　　</v>
          </cell>
          <cell r="K263" t="str">
            <v>KLCE</v>
          </cell>
          <cell r="L263" t="str">
            <v>상용특장수출팀　　　</v>
          </cell>
          <cell r="O263" t="str">
            <v>KLCE</v>
          </cell>
          <cell r="R263" t="str">
            <v>1</v>
          </cell>
          <cell r="V263" t="str">
            <v>2</v>
          </cell>
          <cell r="W263" t="str">
            <v>1</v>
          </cell>
          <cell r="X263" t="str">
            <v>3</v>
          </cell>
          <cell r="Y263" t="str">
            <v>S</v>
          </cell>
          <cell r="Z263" t="str">
            <v>2013104</v>
          </cell>
          <cell r="AA263" t="str">
            <v>김남중　　</v>
          </cell>
          <cell r="AB263" t="str">
            <v>20</v>
          </cell>
          <cell r="AC263" t="str">
            <v>43</v>
          </cell>
          <cell r="AD263">
            <v>96</v>
          </cell>
          <cell r="AE263">
            <v>69.12</v>
          </cell>
          <cell r="AF263">
            <v>40</v>
          </cell>
          <cell r="AG263" t="str">
            <v>2002024</v>
          </cell>
          <cell r="AH263" t="str">
            <v>이덕규　　</v>
          </cell>
          <cell r="AI263" t="str">
            <v>04</v>
          </cell>
          <cell r="AJ263" t="str">
            <v>30</v>
          </cell>
          <cell r="AK263">
            <v>77</v>
          </cell>
          <cell r="AL263">
            <v>61.84</v>
          </cell>
          <cell r="AM263">
            <v>30</v>
          </cell>
          <cell r="AN263" t="str">
            <v>2005295</v>
          </cell>
          <cell r="AO263" t="str">
            <v>박성도　　</v>
          </cell>
          <cell r="AP263" t="str">
            <v>02</v>
          </cell>
          <cell r="AQ263" t="str">
            <v>20</v>
          </cell>
          <cell r="AR263">
            <v>93</v>
          </cell>
          <cell r="AS263">
            <v>68.22</v>
          </cell>
          <cell r="AT263">
            <v>10</v>
          </cell>
          <cell r="AY263">
            <v>0</v>
          </cell>
          <cell r="AZ263">
            <v>0</v>
          </cell>
          <cell r="BA263">
            <v>0</v>
          </cell>
          <cell r="BF263">
            <v>0</v>
          </cell>
          <cell r="BG263">
            <v>0</v>
          </cell>
          <cell r="BH263">
            <v>0</v>
          </cell>
          <cell r="BM263">
            <v>0</v>
          </cell>
          <cell r="BN263">
            <v>0</v>
          </cell>
          <cell r="BO263">
            <v>0</v>
          </cell>
          <cell r="BP263" t="b">
            <v>0</v>
          </cell>
          <cell r="BQ263">
            <v>0</v>
          </cell>
          <cell r="BR263">
            <v>66.28</v>
          </cell>
          <cell r="BS263">
            <v>27</v>
          </cell>
          <cell r="BT263">
            <v>10.4</v>
          </cell>
          <cell r="BU263" t="str">
            <v>B</v>
          </cell>
          <cell r="BV263" t="str">
            <v>02</v>
          </cell>
          <cell r="BW263">
            <v>76</v>
          </cell>
          <cell r="BX263" t="str">
            <v>19950101</v>
          </cell>
          <cell r="BZ263" t="str">
            <v>B</v>
          </cell>
          <cell r="CA263" t="str">
            <v>03</v>
          </cell>
          <cell r="CB263" t="str">
            <v>B</v>
          </cell>
          <cell r="CC263" t="str">
            <v>04</v>
          </cell>
          <cell r="CD263" t="str">
            <v>C</v>
          </cell>
          <cell r="CE263" t="str">
            <v>07</v>
          </cell>
        </row>
        <row r="264">
          <cell r="A264" t="str">
            <v>2314053</v>
          </cell>
          <cell r="B264" t="str">
            <v>28</v>
          </cell>
          <cell r="C264" t="str">
            <v>대리</v>
          </cell>
          <cell r="D264" t="str">
            <v>최동근　　</v>
          </cell>
          <cell r="E264" t="str">
            <v>C</v>
          </cell>
          <cell r="G264">
            <v>1</v>
          </cell>
          <cell r="H264" t="str">
            <v>KO**</v>
          </cell>
          <cell r="I264" t="str">
            <v>KDAA</v>
          </cell>
          <cell r="J264" t="str">
            <v>인사기획팀　　　　　</v>
          </cell>
          <cell r="K264" t="str">
            <v>KOBA</v>
          </cell>
          <cell r="L264" t="str">
            <v>구매원가팀　　　　　</v>
          </cell>
          <cell r="O264" t="str">
            <v>KOBA</v>
          </cell>
          <cell r="R264" t="str">
            <v>6</v>
          </cell>
          <cell r="V264" t="str">
            <v>4</v>
          </cell>
          <cell r="W264" t="str">
            <v>1</v>
          </cell>
          <cell r="X264" t="str">
            <v>3</v>
          </cell>
          <cell r="Y264" t="str">
            <v>S</v>
          </cell>
          <cell r="Z264" t="str">
            <v>2032307</v>
          </cell>
          <cell r="AA264" t="str">
            <v>이형하　　</v>
          </cell>
          <cell r="AB264" t="str">
            <v>22</v>
          </cell>
          <cell r="AC264" t="str">
            <v>43</v>
          </cell>
          <cell r="AD264">
            <v>90</v>
          </cell>
          <cell r="AE264">
            <v>63.62</v>
          </cell>
          <cell r="AF264">
            <v>50</v>
          </cell>
          <cell r="AG264" t="str">
            <v>2008268</v>
          </cell>
          <cell r="AH264" t="str">
            <v>이용도　　</v>
          </cell>
          <cell r="AI264" t="str">
            <v>02</v>
          </cell>
          <cell r="AJ264" t="str">
            <v>20</v>
          </cell>
          <cell r="AK264">
            <v>90</v>
          </cell>
          <cell r="AL264">
            <v>67.36</v>
          </cell>
          <cell r="AM264">
            <v>30</v>
          </cell>
          <cell r="AR264">
            <v>0</v>
          </cell>
          <cell r="AS264">
            <v>0</v>
          </cell>
          <cell r="AT264">
            <v>0</v>
          </cell>
          <cell r="AY264">
            <v>0</v>
          </cell>
          <cell r="AZ264">
            <v>0</v>
          </cell>
          <cell r="BA264">
            <v>0</v>
          </cell>
          <cell r="BF264">
            <v>0</v>
          </cell>
          <cell r="BG264">
            <v>0</v>
          </cell>
          <cell r="BH264">
            <v>0</v>
          </cell>
          <cell r="BM264">
            <v>0</v>
          </cell>
          <cell r="BN264">
            <v>0</v>
          </cell>
          <cell r="BO264">
            <v>0</v>
          </cell>
          <cell r="BP264" t="b">
            <v>0</v>
          </cell>
          <cell r="BQ264">
            <v>0</v>
          </cell>
          <cell r="BR264">
            <v>65.02</v>
          </cell>
          <cell r="BS264">
            <v>397</v>
          </cell>
          <cell r="BT264">
            <v>23.7</v>
          </cell>
          <cell r="BU264" t="str">
            <v>B</v>
          </cell>
          <cell r="BV264" t="str">
            <v>03</v>
          </cell>
          <cell r="BW264">
            <v>72</v>
          </cell>
          <cell r="BX264" t="str">
            <v>19950101</v>
          </cell>
          <cell r="BZ264" t="str">
            <v>C</v>
          </cell>
          <cell r="CA264" t="str">
            <v>06</v>
          </cell>
          <cell r="CB264" t="str">
            <v>D</v>
          </cell>
          <cell r="CC264" t="str">
            <v>08</v>
          </cell>
          <cell r="CD264" t="str">
            <v>B</v>
          </cell>
          <cell r="CE264" t="str">
            <v>04</v>
          </cell>
        </row>
        <row r="265">
          <cell r="A265" t="str">
            <v>2477421</v>
          </cell>
          <cell r="B265" t="str">
            <v>32</v>
          </cell>
          <cell r="C265" t="str">
            <v>4을</v>
          </cell>
          <cell r="D265" t="str">
            <v>노영훈　　</v>
          </cell>
          <cell r="E265" t="str">
            <v>C</v>
          </cell>
          <cell r="G265">
            <v>1</v>
          </cell>
          <cell r="H265" t="str">
            <v>KH**</v>
          </cell>
          <cell r="I265" t="str">
            <v>KHGA</v>
          </cell>
          <cell r="J265" t="str">
            <v>남부）강동지점　　　</v>
          </cell>
          <cell r="K265" t="str">
            <v>KHGE</v>
          </cell>
          <cell r="L265" t="str">
            <v>남부）서초지점　　　</v>
          </cell>
          <cell r="O265" t="str">
            <v>KHGEA</v>
          </cell>
          <cell r="R265" t="str">
            <v>2</v>
          </cell>
          <cell r="V265" t="str">
            <v>6</v>
          </cell>
          <cell r="W265" t="str">
            <v>3</v>
          </cell>
          <cell r="X265" t="str">
            <v>4</v>
          </cell>
          <cell r="Y265" t="str">
            <v>S</v>
          </cell>
          <cell r="Z265" t="str">
            <v>2338406</v>
          </cell>
          <cell r="AA265" t="str">
            <v>김창일　　</v>
          </cell>
          <cell r="AB265" t="str">
            <v>28</v>
          </cell>
          <cell r="AC265" t="str">
            <v>50</v>
          </cell>
          <cell r="AD265">
            <v>93</v>
          </cell>
          <cell r="AE265">
            <v>66.03</v>
          </cell>
          <cell r="AF265">
            <v>10</v>
          </cell>
          <cell r="AG265" t="str">
            <v>2060286</v>
          </cell>
          <cell r="AH265" t="str">
            <v>이재익　　</v>
          </cell>
          <cell r="AI265" t="str">
            <v>24</v>
          </cell>
          <cell r="AJ265" t="str">
            <v>44</v>
          </cell>
          <cell r="AK265">
            <v>94</v>
          </cell>
          <cell r="AL265">
            <v>66.260000000000005</v>
          </cell>
          <cell r="AM265">
            <v>50</v>
          </cell>
          <cell r="AN265" t="str">
            <v>2013194</v>
          </cell>
          <cell r="AO265" t="str">
            <v>박종호　　</v>
          </cell>
          <cell r="AP265" t="str">
            <v>05</v>
          </cell>
          <cell r="AQ265" t="str">
            <v>32</v>
          </cell>
          <cell r="AR265">
            <v>91</v>
          </cell>
          <cell r="AS265">
            <v>70.099999999999994</v>
          </cell>
          <cell r="AT265">
            <v>30</v>
          </cell>
          <cell r="AY265">
            <v>0</v>
          </cell>
          <cell r="AZ265">
            <v>0</v>
          </cell>
          <cell r="BA265">
            <v>0</v>
          </cell>
          <cell r="BF265">
            <v>0</v>
          </cell>
          <cell r="BG265">
            <v>0</v>
          </cell>
          <cell r="BH265">
            <v>0</v>
          </cell>
          <cell r="BM265">
            <v>0</v>
          </cell>
          <cell r="BN265">
            <v>0</v>
          </cell>
          <cell r="BO265">
            <v>0</v>
          </cell>
          <cell r="BP265" t="b">
            <v>0</v>
          </cell>
          <cell r="BQ265">
            <v>0</v>
          </cell>
          <cell r="BR265">
            <v>67.510000000000005</v>
          </cell>
          <cell r="BS265">
            <v>49</v>
          </cell>
          <cell r="BT265">
            <v>7</v>
          </cell>
          <cell r="BU265" t="str">
            <v>A</v>
          </cell>
          <cell r="BV265" t="str">
            <v>02</v>
          </cell>
          <cell r="BW265">
            <v>76</v>
          </cell>
          <cell r="BX265" t="str">
            <v>19930619</v>
          </cell>
          <cell r="BZ265" t="str">
            <v>C</v>
          </cell>
          <cell r="CA265" t="str">
            <v>05</v>
          </cell>
          <cell r="CB265" t="str">
            <v>C</v>
          </cell>
          <cell r="CC265" t="str">
            <v>05</v>
          </cell>
          <cell r="CD265" t="str">
            <v>C</v>
          </cell>
          <cell r="CE265" t="str">
            <v>05</v>
          </cell>
        </row>
        <row r="266">
          <cell r="A266" t="str">
            <v>2532992</v>
          </cell>
          <cell r="B266" t="str">
            <v>28</v>
          </cell>
          <cell r="C266" t="str">
            <v>대리</v>
          </cell>
          <cell r="D266" t="str">
            <v>서승헌　　</v>
          </cell>
          <cell r="E266" t="str">
            <v>C</v>
          </cell>
          <cell r="G266">
            <v>1</v>
          </cell>
          <cell r="H266" t="str">
            <v>KM**</v>
          </cell>
          <cell r="I266" t="str">
            <v>KMD*</v>
          </cell>
          <cell r="J266" t="str">
            <v>부산직매점</v>
          </cell>
          <cell r="K266" t="str">
            <v>KMIE</v>
          </cell>
          <cell r="L266" t="str">
            <v>부산부품사업소　　　</v>
          </cell>
          <cell r="O266" t="str">
            <v>KMIEA</v>
          </cell>
          <cell r="R266" t="str">
            <v>2</v>
          </cell>
          <cell r="T266" t="str">
            <v>50</v>
          </cell>
          <cell r="U266" t="str">
            <v>과장</v>
          </cell>
          <cell r="V266" t="str">
            <v>4</v>
          </cell>
          <cell r="W266" t="str">
            <v>4</v>
          </cell>
          <cell r="X266" t="str">
            <v>2</v>
          </cell>
          <cell r="Y266" t="str">
            <v>S</v>
          </cell>
          <cell r="Z266" t="str">
            <v>2160169</v>
          </cell>
          <cell r="AA266" t="str">
            <v>신용범　　</v>
          </cell>
          <cell r="AB266" t="str">
            <v>26</v>
          </cell>
          <cell r="AC266" t="str">
            <v>43</v>
          </cell>
          <cell r="AD266">
            <v>95</v>
          </cell>
          <cell r="AE266">
            <v>68.78</v>
          </cell>
          <cell r="AF266">
            <v>60</v>
          </cell>
          <cell r="AG266" t="str">
            <v>2001319</v>
          </cell>
          <cell r="AH266" t="str">
            <v>차정식　　</v>
          </cell>
          <cell r="AI266" t="str">
            <v>02</v>
          </cell>
          <cell r="AJ266" t="str">
            <v>20</v>
          </cell>
          <cell r="AK266">
            <v>93</v>
          </cell>
          <cell r="AL266">
            <v>67.81</v>
          </cell>
          <cell r="AM266">
            <v>20</v>
          </cell>
          <cell r="AR266">
            <v>0</v>
          </cell>
          <cell r="AS266">
            <v>0</v>
          </cell>
          <cell r="AT266">
            <v>0</v>
          </cell>
          <cell r="AY266">
            <v>0</v>
          </cell>
          <cell r="AZ266">
            <v>0</v>
          </cell>
          <cell r="BA266">
            <v>0</v>
          </cell>
          <cell r="BF266">
            <v>0</v>
          </cell>
          <cell r="BG266">
            <v>0</v>
          </cell>
          <cell r="BH266">
            <v>0</v>
          </cell>
          <cell r="BM266">
            <v>0</v>
          </cell>
          <cell r="BN266">
            <v>0</v>
          </cell>
          <cell r="BO266">
            <v>0</v>
          </cell>
          <cell r="BP266" t="b">
            <v>1</v>
          </cell>
          <cell r="BQ266">
            <v>7</v>
          </cell>
          <cell r="BR266">
            <v>66.97</v>
          </cell>
          <cell r="BS266">
            <v>255</v>
          </cell>
          <cell r="BT266">
            <v>15.2</v>
          </cell>
          <cell r="BU266" t="str">
            <v>B</v>
          </cell>
          <cell r="BV266" t="str">
            <v>03</v>
          </cell>
          <cell r="BW266">
            <v>72</v>
          </cell>
          <cell r="BX266" t="str">
            <v>19950101</v>
          </cell>
          <cell r="BZ266" t="str">
            <v>C</v>
          </cell>
          <cell r="CA266" t="str">
            <v>05</v>
          </cell>
          <cell r="CB266" t="str">
            <v>C</v>
          </cell>
          <cell r="CC266" t="str">
            <v>06</v>
          </cell>
          <cell r="CD266" t="str">
            <v>C</v>
          </cell>
          <cell r="CE266" t="str">
            <v>08</v>
          </cell>
        </row>
        <row r="267">
          <cell r="A267" t="str">
            <v>2279894</v>
          </cell>
          <cell r="B267" t="str">
            <v>30</v>
          </cell>
          <cell r="C267" t="str">
            <v>4갑</v>
          </cell>
          <cell r="D267" t="str">
            <v>이창주　　</v>
          </cell>
          <cell r="E267" t="str">
            <v>C</v>
          </cell>
          <cell r="G267">
            <v>1</v>
          </cell>
          <cell r="H267" t="str">
            <v>KO**</v>
          </cell>
          <cell r="I267" t="str">
            <v>KOAA</v>
          </cell>
          <cell r="J267" t="str">
            <v>구매계획팀　　　　　</v>
          </cell>
          <cell r="K267" t="str">
            <v>KODD</v>
          </cell>
          <cell r="L267" t="str">
            <v>수입２팀　　　　　　</v>
          </cell>
          <cell r="O267" t="str">
            <v>KODD</v>
          </cell>
          <cell r="R267" t="str">
            <v>1</v>
          </cell>
          <cell r="V267" t="str">
            <v>5</v>
          </cell>
          <cell r="W267" t="str">
            <v>1</v>
          </cell>
          <cell r="X267" t="str">
            <v>3</v>
          </cell>
          <cell r="Y267" t="str">
            <v>S</v>
          </cell>
          <cell r="Z267" t="str">
            <v>2067778</v>
          </cell>
          <cell r="AA267" t="str">
            <v>송시용　　</v>
          </cell>
          <cell r="AB267" t="str">
            <v>22</v>
          </cell>
          <cell r="AC267" t="str">
            <v>32</v>
          </cell>
          <cell r="AD267">
            <v>92</v>
          </cell>
          <cell r="AE267">
            <v>67.510000000000005</v>
          </cell>
          <cell r="AF267">
            <v>60</v>
          </cell>
          <cell r="AG267" t="str">
            <v>2008268</v>
          </cell>
          <cell r="AH267" t="str">
            <v>이용도　　</v>
          </cell>
          <cell r="AI267" t="str">
            <v>02</v>
          </cell>
          <cell r="AJ267" t="str">
            <v>20</v>
          </cell>
          <cell r="AK267">
            <v>92</v>
          </cell>
          <cell r="AL267">
            <v>68.680000000000007</v>
          </cell>
          <cell r="AM267">
            <v>20</v>
          </cell>
          <cell r="AR267">
            <v>0</v>
          </cell>
          <cell r="AS267">
            <v>0</v>
          </cell>
          <cell r="AT267">
            <v>0</v>
          </cell>
          <cell r="AY267">
            <v>0</v>
          </cell>
          <cell r="AZ267">
            <v>0</v>
          </cell>
          <cell r="BA267">
            <v>0</v>
          </cell>
          <cell r="BF267">
            <v>0</v>
          </cell>
          <cell r="BG267">
            <v>0</v>
          </cell>
          <cell r="BH267">
            <v>0</v>
          </cell>
          <cell r="BM267">
            <v>0</v>
          </cell>
          <cell r="BN267">
            <v>0</v>
          </cell>
          <cell r="BO267">
            <v>0</v>
          </cell>
          <cell r="BP267" t="b">
            <v>0</v>
          </cell>
          <cell r="BQ267">
            <v>0</v>
          </cell>
          <cell r="BR267">
            <v>67.8</v>
          </cell>
          <cell r="BS267">
            <v>123</v>
          </cell>
          <cell r="BT267">
            <v>8.5</v>
          </cell>
          <cell r="BU267" t="str">
            <v>A</v>
          </cell>
          <cell r="BV267" t="str">
            <v>02</v>
          </cell>
          <cell r="BW267">
            <v>76</v>
          </cell>
          <cell r="BX267" t="str">
            <v>19940101</v>
          </cell>
          <cell r="BZ267" t="str">
            <v>C</v>
          </cell>
          <cell r="CA267" t="str">
            <v>04</v>
          </cell>
          <cell r="CB267" t="str">
            <v>C</v>
          </cell>
          <cell r="CC267" t="str">
            <v>06</v>
          </cell>
          <cell r="CD267" t="str">
            <v>C</v>
          </cell>
          <cell r="CE267" t="str">
            <v>06</v>
          </cell>
        </row>
        <row r="268">
          <cell r="A268" t="str">
            <v>2690563</v>
          </cell>
          <cell r="B268" t="str">
            <v>33</v>
          </cell>
          <cell r="C268" t="str">
            <v>5급</v>
          </cell>
          <cell r="D268" t="str">
            <v>김미숙　　</v>
          </cell>
          <cell r="E268" t="str">
            <v>C</v>
          </cell>
          <cell r="G268">
            <v>1</v>
          </cell>
          <cell r="H268" t="str">
            <v>KQ**</v>
          </cell>
          <cell r="I268" t="str">
            <v>KTCE</v>
          </cell>
          <cell r="J268" t="str">
            <v>화）품질관리１부　　</v>
          </cell>
          <cell r="K268" t="str">
            <v>KTFG</v>
          </cell>
          <cell r="L268" t="str">
            <v>화）품질관리２부　　</v>
          </cell>
          <cell r="O268" t="str">
            <v>KTFGA</v>
          </cell>
          <cell r="R268" t="str">
            <v>5</v>
          </cell>
          <cell r="V268" t="str">
            <v>7</v>
          </cell>
          <cell r="W268" t="str">
            <v>2</v>
          </cell>
          <cell r="X268" t="str">
            <v>4</v>
          </cell>
          <cell r="Y268" t="str">
            <v>O</v>
          </cell>
          <cell r="Z268" t="str">
            <v>2230214</v>
          </cell>
          <cell r="AA268" t="str">
            <v>윤여섭　　</v>
          </cell>
          <cell r="AB268" t="str">
            <v>26</v>
          </cell>
          <cell r="AC268" t="str">
            <v>50</v>
          </cell>
          <cell r="AD268">
            <v>55</v>
          </cell>
          <cell r="AE268">
            <v>60</v>
          </cell>
          <cell r="AF268">
            <v>30</v>
          </cell>
          <cell r="AG268" t="str">
            <v>2094656</v>
          </cell>
          <cell r="AH268" t="str">
            <v>정상희　　</v>
          </cell>
          <cell r="AI268" t="str">
            <v>26</v>
          </cell>
          <cell r="AJ268" t="str">
            <v>40</v>
          </cell>
          <cell r="AK268">
            <v>54</v>
          </cell>
          <cell r="AL268">
            <v>55.29</v>
          </cell>
          <cell r="AM268">
            <v>30</v>
          </cell>
          <cell r="AN268" t="str">
            <v>7019858</v>
          </cell>
          <cell r="AO268" t="str">
            <v>홍석종　　</v>
          </cell>
          <cell r="AP268" t="str">
            <v>04</v>
          </cell>
          <cell r="AQ268" t="str">
            <v>31</v>
          </cell>
          <cell r="AR268">
            <v>63</v>
          </cell>
          <cell r="AS268">
            <v>63.73</v>
          </cell>
          <cell r="AT268">
            <v>10</v>
          </cell>
          <cell r="AU268" t="str">
            <v>2100100</v>
          </cell>
          <cell r="AV268" t="str">
            <v>김무일　　</v>
          </cell>
          <cell r="AW268" t="str">
            <v>02</v>
          </cell>
          <cell r="AX268" t="str">
            <v>30</v>
          </cell>
          <cell r="AY268">
            <v>47</v>
          </cell>
          <cell r="AZ268">
            <v>51.61</v>
          </cell>
          <cell r="BA268">
            <v>10</v>
          </cell>
          <cell r="BF268">
            <v>0</v>
          </cell>
          <cell r="BG268">
            <v>0</v>
          </cell>
          <cell r="BH268">
            <v>0</v>
          </cell>
          <cell r="BM268">
            <v>0</v>
          </cell>
          <cell r="BN268">
            <v>0</v>
          </cell>
          <cell r="BO268">
            <v>0</v>
          </cell>
          <cell r="BP268" t="b">
            <v>0</v>
          </cell>
          <cell r="BQ268">
            <v>0</v>
          </cell>
          <cell r="BR268">
            <v>57.65</v>
          </cell>
          <cell r="BS268">
            <v>429</v>
          </cell>
          <cell r="BT268">
            <v>62.6</v>
          </cell>
          <cell r="BU268" t="str">
            <v>C</v>
          </cell>
          <cell r="BV268" t="str">
            <v>07</v>
          </cell>
          <cell r="BW268">
            <v>56</v>
          </cell>
          <cell r="BX268" t="str">
            <v>19961206</v>
          </cell>
          <cell r="BZ268" t="str">
            <v>D</v>
          </cell>
          <cell r="CA268" t="str">
            <v>10</v>
          </cell>
          <cell r="CB268" t="str">
            <v>E</v>
          </cell>
          <cell r="CC268" t="str">
            <v>11</v>
          </cell>
        </row>
        <row r="269">
          <cell r="A269" t="str">
            <v>2595972</v>
          </cell>
          <cell r="B269" t="str">
            <v>33</v>
          </cell>
          <cell r="C269" t="str">
            <v>5급</v>
          </cell>
          <cell r="D269" t="str">
            <v>이은정　　</v>
          </cell>
          <cell r="E269" t="str">
            <v>C</v>
          </cell>
          <cell r="G269">
            <v>1</v>
          </cell>
          <cell r="H269" t="str">
            <v>KH**</v>
          </cell>
          <cell r="I269" t="str">
            <v>KHIB</v>
          </cell>
          <cell r="J269" t="str">
            <v>인천）동인천지점　　</v>
          </cell>
          <cell r="K269" t="str">
            <v>KHIA</v>
          </cell>
          <cell r="L269" t="str">
            <v>인천）인천지점　　　</v>
          </cell>
          <cell r="O269" t="str">
            <v>KHIAA</v>
          </cell>
          <cell r="R269" t="str">
            <v>2</v>
          </cell>
          <cell r="V269" t="str">
            <v>7</v>
          </cell>
          <cell r="W269" t="str">
            <v>3</v>
          </cell>
          <cell r="X269" t="str">
            <v>4</v>
          </cell>
          <cell r="Y269" t="str">
            <v>S</v>
          </cell>
          <cell r="Z269" t="str">
            <v>2053873</v>
          </cell>
          <cell r="AA269" t="str">
            <v>남상철　　</v>
          </cell>
          <cell r="AB269" t="str">
            <v>26</v>
          </cell>
          <cell r="AC269" t="str">
            <v>44</v>
          </cell>
          <cell r="AD269">
            <v>84</v>
          </cell>
          <cell r="AE269">
            <v>63.85</v>
          </cell>
          <cell r="AF269">
            <v>60</v>
          </cell>
          <cell r="AG269" t="str">
            <v>2718155</v>
          </cell>
          <cell r="AH269" t="str">
            <v>김한수　　</v>
          </cell>
          <cell r="AI269" t="str">
            <v>05</v>
          </cell>
          <cell r="AJ269" t="str">
            <v>32</v>
          </cell>
          <cell r="AK269">
            <v>45</v>
          </cell>
          <cell r="AL269">
            <v>48.93</v>
          </cell>
          <cell r="AM269">
            <v>30</v>
          </cell>
          <cell r="AR269">
            <v>0</v>
          </cell>
          <cell r="AS269">
            <v>0</v>
          </cell>
          <cell r="AT269">
            <v>0</v>
          </cell>
          <cell r="AY269">
            <v>0</v>
          </cell>
          <cell r="AZ269">
            <v>0</v>
          </cell>
          <cell r="BA269">
            <v>0</v>
          </cell>
          <cell r="BF269">
            <v>0</v>
          </cell>
          <cell r="BG269">
            <v>0</v>
          </cell>
          <cell r="BH269">
            <v>0</v>
          </cell>
          <cell r="BM269">
            <v>0</v>
          </cell>
          <cell r="BN269">
            <v>0</v>
          </cell>
          <cell r="BO269">
            <v>0</v>
          </cell>
          <cell r="BP269" t="b">
            <v>0</v>
          </cell>
          <cell r="BQ269">
            <v>0</v>
          </cell>
          <cell r="BR269">
            <v>58.88</v>
          </cell>
          <cell r="BS269">
            <v>381</v>
          </cell>
          <cell r="BT269">
            <v>55.6</v>
          </cell>
          <cell r="BU269" t="str">
            <v>C</v>
          </cell>
          <cell r="BV269" t="str">
            <v>07</v>
          </cell>
          <cell r="BW269">
            <v>56</v>
          </cell>
          <cell r="BX269" t="str">
            <v>19941212</v>
          </cell>
          <cell r="BZ269" t="str">
            <v>E</v>
          </cell>
          <cell r="CA269" t="str">
            <v>10</v>
          </cell>
          <cell r="CB269" t="str">
            <v>E</v>
          </cell>
          <cell r="CC269" t="str">
            <v>11</v>
          </cell>
          <cell r="CD269" t="str">
            <v>E</v>
          </cell>
          <cell r="CE269" t="str">
            <v>11</v>
          </cell>
        </row>
        <row r="270">
          <cell r="A270" t="str">
            <v>2513046</v>
          </cell>
          <cell r="B270" t="str">
            <v>33</v>
          </cell>
          <cell r="C270" t="str">
            <v>5급</v>
          </cell>
          <cell r="D270" t="str">
            <v>김유경　　</v>
          </cell>
          <cell r="E270" t="str">
            <v>C</v>
          </cell>
          <cell r="G270">
            <v>1</v>
          </cell>
          <cell r="H270" t="str">
            <v>KM**</v>
          </cell>
          <cell r="I270" t="str">
            <v>KMD*</v>
          </cell>
          <cell r="J270" t="str">
            <v>광주직매점</v>
          </cell>
          <cell r="K270" t="str">
            <v>KMJN</v>
          </cell>
          <cell r="L270" t="str">
            <v>광주사업소　　　　　</v>
          </cell>
          <cell r="O270" t="str">
            <v>KMJND</v>
          </cell>
          <cell r="R270" t="str">
            <v>2</v>
          </cell>
          <cell r="V270" t="str">
            <v>7</v>
          </cell>
          <cell r="W270" t="str">
            <v>4</v>
          </cell>
          <cell r="X270" t="str">
            <v>4</v>
          </cell>
          <cell r="Y270" t="str">
            <v>S</v>
          </cell>
          <cell r="Z270" t="str">
            <v>2373348</v>
          </cell>
          <cell r="AA270" t="str">
            <v>고명수　　</v>
          </cell>
          <cell r="AB270" t="str">
            <v>26</v>
          </cell>
          <cell r="AC270" t="str">
            <v>50</v>
          </cell>
          <cell r="AD270">
            <v>94</v>
          </cell>
          <cell r="AE270">
            <v>65.69</v>
          </cell>
          <cell r="AF270">
            <v>40</v>
          </cell>
          <cell r="AG270" t="str">
            <v>2718244</v>
          </cell>
          <cell r="AH270" t="str">
            <v>성요한　　</v>
          </cell>
          <cell r="AI270" t="str">
            <v>05</v>
          </cell>
          <cell r="AJ270" t="str">
            <v>43</v>
          </cell>
          <cell r="AK270">
            <v>51</v>
          </cell>
          <cell r="AL270">
            <v>54.46</v>
          </cell>
          <cell r="AM270">
            <v>50</v>
          </cell>
          <cell r="AR270">
            <v>0</v>
          </cell>
          <cell r="AS270">
            <v>0</v>
          </cell>
          <cell r="AT270">
            <v>0</v>
          </cell>
          <cell r="AY270">
            <v>0</v>
          </cell>
          <cell r="AZ270">
            <v>0</v>
          </cell>
          <cell r="BA270">
            <v>0</v>
          </cell>
          <cell r="BF270">
            <v>0</v>
          </cell>
          <cell r="BG270">
            <v>0</v>
          </cell>
          <cell r="BH270">
            <v>0</v>
          </cell>
          <cell r="BM270">
            <v>0</v>
          </cell>
          <cell r="BN270">
            <v>0</v>
          </cell>
          <cell r="BO270">
            <v>0</v>
          </cell>
          <cell r="BP270" t="b">
            <v>0</v>
          </cell>
          <cell r="BQ270">
            <v>0</v>
          </cell>
          <cell r="BR270">
            <v>59.45</v>
          </cell>
          <cell r="BS270">
            <v>354</v>
          </cell>
          <cell r="BT270">
            <v>51.7</v>
          </cell>
          <cell r="BU270" t="str">
            <v>C</v>
          </cell>
          <cell r="BV270" t="str">
            <v>06</v>
          </cell>
          <cell r="BW270">
            <v>60</v>
          </cell>
          <cell r="BX270" t="str">
            <v>19960208</v>
          </cell>
          <cell r="BZ270" t="str">
            <v>C</v>
          </cell>
          <cell r="CA270" t="str">
            <v>08</v>
          </cell>
          <cell r="CB270" t="str">
            <v>D</v>
          </cell>
          <cell r="CC270" t="str">
            <v>10</v>
          </cell>
          <cell r="CD270" t="str">
            <v>E</v>
          </cell>
          <cell r="CE270" t="str">
            <v>11</v>
          </cell>
        </row>
        <row r="271">
          <cell r="A271" t="str">
            <v>2588243</v>
          </cell>
          <cell r="B271" t="str">
            <v>33</v>
          </cell>
          <cell r="C271" t="str">
            <v>5급</v>
          </cell>
          <cell r="D271" t="str">
            <v>오정숙　　</v>
          </cell>
          <cell r="E271" t="str">
            <v>C</v>
          </cell>
          <cell r="G271">
            <v>1</v>
          </cell>
          <cell r="H271" t="str">
            <v>KH**</v>
          </cell>
          <cell r="I271" t="str">
            <v>KHOL</v>
          </cell>
          <cell r="J271" t="str">
            <v>전북）진안지점　　　</v>
          </cell>
          <cell r="K271" t="str">
            <v>KHOH</v>
          </cell>
          <cell r="L271" t="str">
            <v>전북）전주시청지점　</v>
          </cell>
          <cell r="O271" t="str">
            <v>KHOHA</v>
          </cell>
          <cell r="R271" t="str">
            <v>2</v>
          </cell>
          <cell r="V271" t="str">
            <v>7</v>
          </cell>
          <cell r="W271" t="str">
            <v>3</v>
          </cell>
          <cell r="X271" t="str">
            <v>4</v>
          </cell>
          <cell r="Y271" t="str">
            <v>S</v>
          </cell>
          <cell r="Z271" t="str">
            <v>2564031</v>
          </cell>
          <cell r="AA271" t="str">
            <v>김일권　　</v>
          </cell>
          <cell r="AB271" t="str">
            <v>28</v>
          </cell>
          <cell r="AC271" t="str">
            <v>44</v>
          </cell>
          <cell r="AD271">
            <v>95</v>
          </cell>
          <cell r="AE271">
            <v>64.69</v>
          </cell>
          <cell r="AF271">
            <v>60</v>
          </cell>
          <cell r="AG271" t="str">
            <v>2718148</v>
          </cell>
          <cell r="AH271" t="str">
            <v>김춘원　　</v>
          </cell>
          <cell r="AI271" t="str">
            <v>05</v>
          </cell>
          <cell r="AJ271" t="str">
            <v>32</v>
          </cell>
          <cell r="AK271">
            <v>51</v>
          </cell>
          <cell r="AL271">
            <v>52.88</v>
          </cell>
          <cell r="AM271">
            <v>30</v>
          </cell>
          <cell r="AR271">
            <v>0</v>
          </cell>
          <cell r="AS271">
            <v>0</v>
          </cell>
          <cell r="AT271">
            <v>0</v>
          </cell>
          <cell r="AY271">
            <v>0</v>
          </cell>
          <cell r="AZ271">
            <v>0</v>
          </cell>
          <cell r="BA271">
            <v>0</v>
          </cell>
          <cell r="BF271">
            <v>0</v>
          </cell>
          <cell r="BG271">
            <v>0</v>
          </cell>
          <cell r="BH271">
            <v>0</v>
          </cell>
          <cell r="BM271">
            <v>0</v>
          </cell>
          <cell r="BN271">
            <v>0</v>
          </cell>
          <cell r="BO271">
            <v>0</v>
          </cell>
          <cell r="BP271" t="b">
            <v>0</v>
          </cell>
          <cell r="BQ271">
            <v>0</v>
          </cell>
          <cell r="BR271">
            <v>60.75</v>
          </cell>
          <cell r="BS271">
            <v>265</v>
          </cell>
          <cell r="BT271">
            <v>38.700000000000003</v>
          </cell>
          <cell r="BU271" t="str">
            <v>C</v>
          </cell>
          <cell r="BV271" t="str">
            <v>05</v>
          </cell>
          <cell r="BW271">
            <v>64</v>
          </cell>
          <cell r="BX271" t="str">
            <v>19941010</v>
          </cell>
          <cell r="BZ271" t="str">
            <v>D</v>
          </cell>
          <cell r="CA271" t="str">
            <v>10</v>
          </cell>
          <cell r="CB271" t="str">
            <v>D</v>
          </cell>
          <cell r="CC271" t="str">
            <v>09</v>
          </cell>
          <cell r="CD271" t="str">
            <v>C</v>
          </cell>
          <cell r="CE271" t="str">
            <v>07</v>
          </cell>
        </row>
        <row r="272">
          <cell r="A272" t="str">
            <v>2477229</v>
          </cell>
          <cell r="B272" t="str">
            <v>33</v>
          </cell>
          <cell r="C272" t="str">
            <v>5급</v>
          </cell>
          <cell r="D272" t="str">
            <v>김연옥　　</v>
          </cell>
          <cell r="E272" t="str">
            <v>C</v>
          </cell>
          <cell r="G272">
            <v>1</v>
          </cell>
          <cell r="H272" t="str">
            <v>KH**</v>
          </cell>
          <cell r="I272" t="str">
            <v>KHNH</v>
          </cell>
          <cell r="J272" t="str">
            <v>충북）청주중부지점　</v>
          </cell>
          <cell r="K272" t="str">
            <v>KHNB</v>
          </cell>
          <cell r="L272" t="str">
            <v>충북）서청주지점　　</v>
          </cell>
          <cell r="O272" t="str">
            <v>KHNBA</v>
          </cell>
          <cell r="R272" t="str">
            <v>2</v>
          </cell>
          <cell r="V272" t="str">
            <v>7</v>
          </cell>
          <cell r="W272" t="str">
            <v>3</v>
          </cell>
          <cell r="X272" t="str">
            <v>4</v>
          </cell>
          <cell r="Y272" t="str">
            <v>S</v>
          </cell>
          <cell r="Z272" t="str">
            <v>2080596</v>
          </cell>
          <cell r="AA272" t="str">
            <v>강경모　　</v>
          </cell>
          <cell r="AB272" t="str">
            <v>24</v>
          </cell>
          <cell r="AC272" t="str">
            <v>44</v>
          </cell>
          <cell r="AD272">
            <v>77</v>
          </cell>
          <cell r="AE272">
            <v>62.01</v>
          </cell>
          <cell r="AF272">
            <v>60</v>
          </cell>
          <cell r="AG272" t="str">
            <v>2029305</v>
          </cell>
          <cell r="AH272" t="str">
            <v>송명걸　　</v>
          </cell>
          <cell r="AI272" t="str">
            <v>22</v>
          </cell>
          <cell r="AJ272" t="str">
            <v>32</v>
          </cell>
          <cell r="AK272">
            <v>75</v>
          </cell>
          <cell r="AL272">
            <v>61.51</v>
          </cell>
          <cell r="AM272">
            <v>30</v>
          </cell>
          <cell r="AR272">
            <v>0</v>
          </cell>
          <cell r="AS272">
            <v>0</v>
          </cell>
          <cell r="AT272">
            <v>0</v>
          </cell>
          <cell r="AY272">
            <v>0</v>
          </cell>
          <cell r="AZ272">
            <v>0</v>
          </cell>
          <cell r="BA272">
            <v>0</v>
          </cell>
          <cell r="BF272">
            <v>0</v>
          </cell>
          <cell r="BG272">
            <v>0</v>
          </cell>
          <cell r="BH272">
            <v>0</v>
          </cell>
          <cell r="BM272">
            <v>0</v>
          </cell>
          <cell r="BN272">
            <v>0</v>
          </cell>
          <cell r="BO272">
            <v>0</v>
          </cell>
          <cell r="BP272" t="b">
            <v>0</v>
          </cell>
          <cell r="BQ272">
            <v>0</v>
          </cell>
          <cell r="BR272">
            <v>61.84</v>
          </cell>
          <cell r="BS272">
            <v>220</v>
          </cell>
          <cell r="BT272">
            <v>32.1</v>
          </cell>
          <cell r="BU272" t="str">
            <v>C</v>
          </cell>
          <cell r="BV272" t="str">
            <v>04</v>
          </cell>
          <cell r="BW272">
            <v>68</v>
          </cell>
          <cell r="BX272" t="str">
            <v>19930619</v>
          </cell>
          <cell r="BZ272" t="str">
            <v>D</v>
          </cell>
          <cell r="CA272" t="str">
            <v>09</v>
          </cell>
          <cell r="CB272" t="str">
            <v>D</v>
          </cell>
          <cell r="CC272" t="str">
            <v>10</v>
          </cell>
          <cell r="CD272" t="str">
            <v>C</v>
          </cell>
          <cell r="CE272" t="str">
            <v>04</v>
          </cell>
        </row>
        <row r="273">
          <cell r="A273" t="str">
            <v>2066618</v>
          </cell>
          <cell r="B273" t="str">
            <v>28</v>
          </cell>
          <cell r="C273" t="str">
            <v>대리</v>
          </cell>
          <cell r="D273" t="str">
            <v>유영오　　</v>
          </cell>
          <cell r="E273" t="str">
            <v>C</v>
          </cell>
          <cell r="G273">
            <v>1</v>
          </cell>
          <cell r="H273" t="str">
            <v>KQ**</v>
          </cell>
          <cell r="I273" t="str">
            <v>ZA10</v>
          </cell>
          <cell r="J273" t="str">
            <v>현대자동차（주）　　</v>
          </cell>
          <cell r="K273" t="str">
            <v>KTFC</v>
          </cell>
          <cell r="L273" t="str">
            <v>화）디젤엔진부　　　</v>
          </cell>
          <cell r="O273" t="str">
            <v>KTFCE</v>
          </cell>
          <cell r="R273" t="str">
            <v>5</v>
          </cell>
          <cell r="V273" t="str">
            <v>4</v>
          </cell>
          <cell r="W273" t="str">
            <v>2</v>
          </cell>
          <cell r="X273" t="str">
            <v>3</v>
          </cell>
          <cell r="Y273" t="str">
            <v>S</v>
          </cell>
          <cell r="Z273" t="str">
            <v>2047639</v>
          </cell>
          <cell r="AA273" t="str">
            <v>오윤범　　</v>
          </cell>
          <cell r="AB273" t="str">
            <v>26</v>
          </cell>
          <cell r="AC273" t="str">
            <v>50</v>
          </cell>
          <cell r="AD273">
            <v>93</v>
          </cell>
          <cell r="AE273">
            <v>66.180000000000007</v>
          </cell>
          <cell r="AF273">
            <v>20</v>
          </cell>
          <cell r="AG273" t="str">
            <v>2049615</v>
          </cell>
          <cell r="AH273" t="str">
            <v>최태열　　</v>
          </cell>
          <cell r="AI273" t="str">
            <v>24</v>
          </cell>
          <cell r="AJ273" t="str">
            <v>40</v>
          </cell>
          <cell r="AK273">
            <v>91</v>
          </cell>
          <cell r="AL273">
            <v>64.81</v>
          </cell>
          <cell r="AM273">
            <v>20</v>
          </cell>
          <cell r="AN273" t="str">
            <v>2718788</v>
          </cell>
          <cell r="AO273" t="str">
            <v>차길재　　</v>
          </cell>
          <cell r="AP273" t="str">
            <v>20</v>
          </cell>
          <cell r="AQ273" t="str">
            <v>35</v>
          </cell>
          <cell r="AR273">
            <v>68</v>
          </cell>
          <cell r="AS273">
            <v>56.39</v>
          </cell>
          <cell r="AT273">
            <v>10</v>
          </cell>
          <cell r="AU273" t="str">
            <v>7019858</v>
          </cell>
          <cell r="AV273" t="str">
            <v>홍석종　　</v>
          </cell>
          <cell r="AW273" t="str">
            <v>04</v>
          </cell>
          <cell r="AX273" t="str">
            <v>31</v>
          </cell>
          <cell r="AY273">
            <v>86</v>
          </cell>
          <cell r="AZ273">
            <v>64.17</v>
          </cell>
          <cell r="BA273">
            <v>10</v>
          </cell>
          <cell r="BB273" t="str">
            <v>2100100</v>
          </cell>
          <cell r="BC273" t="str">
            <v>김무일　　</v>
          </cell>
          <cell r="BD273" t="str">
            <v>02</v>
          </cell>
          <cell r="BE273" t="str">
            <v>30</v>
          </cell>
          <cell r="BF273">
            <v>93</v>
          </cell>
          <cell r="BG273">
            <v>66.73</v>
          </cell>
          <cell r="BH273">
            <v>10</v>
          </cell>
          <cell r="BI273" t="str">
            <v>2728462</v>
          </cell>
          <cell r="BJ273" t="str">
            <v>임승근　　</v>
          </cell>
          <cell r="BK273" t="str">
            <v>02</v>
          </cell>
          <cell r="BL273" t="str">
            <v>20</v>
          </cell>
          <cell r="BM273">
            <v>93</v>
          </cell>
          <cell r="BN273">
            <v>68.52</v>
          </cell>
          <cell r="BO273">
            <v>10</v>
          </cell>
          <cell r="BP273" t="b">
            <v>0</v>
          </cell>
          <cell r="BQ273">
            <v>0</v>
          </cell>
          <cell r="BR273">
            <v>64.72</v>
          </cell>
          <cell r="BS273">
            <v>415</v>
          </cell>
          <cell r="BT273">
            <v>24.8</v>
          </cell>
          <cell r="BU273" t="str">
            <v>B</v>
          </cell>
          <cell r="BV273" t="str">
            <v>03</v>
          </cell>
          <cell r="BW273">
            <v>72</v>
          </cell>
          <cell r="BX273" t="str">
            <v>19950101</v>
          </cell>
          <cell r="BZ273" t="str">
            <v>C</v>
          </cell>
          <cell r="CA273" t="str">
            <v>06</v>
          </cell>
          <cell r="CB273" t="str">
            <v>C</v>
          </cell>
          <cell r="CC273" t="str">
            <v>06</v>
          </cell>
          <cell r="CD273" t="str">
            <v>C</v>
          </cell>
          <cell r="CE273" t="str">
            <v>08</v>
          </cell>
        </row>
        <row r="274">
          <cell r="A274" t="str">
            <v>2646794</v>
          </cell>
          <cell r="B274" t="str">
            <v>30</v>
          </cell>
          <cell r="C274" t="str">
            <v>4갑</v>
          </cell>
          <cell r="D274" t="str">
            <v>정효상　　</v>
          </cell>
          <cell r="E274" t="str">
            <v>C</v>
          </cell>
          <cell r="G274">
            <v>1</v>
          </cell>
          <cell r="H274" t="str">
            <v>KM**</v>
          </cell>
          <cell r="I274" t="str">
            <v>KMIA</v>
          </cell>
          <cell r="J274" t="str">
            <v>강북부품사업소　　　</v>
          </cell>
          <cell r="K274" t="str">
            <v>KMDB</v>
          </cell>
          <cell r="L274" t="str">
            <v>유통개선팀　　　　　</v>
          </cell>
          <cell r="O274" t="str">
            <v>KMDB</v>
          </cell>
          <cell r="R274" t="str">
            <v>1</v>
          </cell>
          <cell r="V274" t="str">
            <v>5</v>
          </cell>
          <cell r="W274" t="str">
            <v>1</v>
          </cell>
          <cell r="X274" t="str">
            <v>3</v>
          </cell>
          <cell r="Y274" t="str">
            <v>S</v>
          </cell>
          <cell r="Z274" t="str">
            <v>2083902</v>
          </cell>
          <cell r="AA274" t="str">
            <v>박남송　　</v>
          </cell>
          <cell r="AB274" t="str">
            <v>24</v>
          </cell>
          <cell r="AC274" t="str">
            <v>43</v>
          </cell>
          <cell r="AD274">
            <v>96</v>
          </cell>
          <cell r="AE274">
            <v>66.900000000000006</v>
          </cell>
          <cell r="AF274">
            <v>40</v>
          </cell>
          <cell r="AG274" t="str">
            <v>0043652</v>
          </cell>
          <cell r="AH274" t="str">
            <v>정남기　　</v>
          </cell>
          <cell r="AI274" t="str">
            <v>05</v>
          </cell>
          <cell r="AJ274" t="str">
            <v>32</v>
          </cell>
          <cell r="AK274">
            <v>96</v>
          </cell>
          <cell r="AL274">
            <v>68.97</v>
          </cell>
          <cell r="AM274">
            <v>30</v>
          </cell>
          <cell r="AN274" t="str">
            <v>2001319</v>
          </cell>
          <cell r="AO274" t="str">
            <v>차정식　　</v>
          </cell>
          <cell r="AP274" t="str">
            <v>02</v>
          </cell>
          <cell r="AQ274" t="str">
            <v>20</v>
          </cell>
          <cell r="AR274">
            <v>77</v>
          </cell>
          <cell r="AS274">
            <v>62.26</v>
          </cell>
          <cell r="AT274">
            <v>10</v>
          </cell>
          <cell r="AY274">
            <v>0</v>
          </cell>
          <cell r="AZ274">
            <v>0</v>
          </cell>
          <cell r="BA274">
            <v>0</v>
          </cell>
          <cell r="BF274">
            <v>0</v>
          </cell>
          <cell r="BG274">
            <v>0</v>
          </cell>
          <cell r="BH274">
            <v>0</v>
          </cell>
          <cell r="BM274">
            <v>0</v>
          </cell>
          <cell r="BN274">
            <v>0</v>
          </cell>
          <cell r="BO274">
            <v>0</v>
          </cell>
          <cell r="BP274" t="b">
            <v>0</v>
          </cell>
          <cell r="BQ274">
            <v>0</v>
          </cell>
          <cell r="BR274">
            <v>67.099999999999994</v>
          </cell>
          <cell r="BS274">
            <v>169</v>
          </cell>
          <cell r="BT274">
            <v>11.6</v>
          </cell>
          <cell r="BU274" t="str">
            <v>B</v>
          </cell>
          <cell r="BV274" t="str">
            <v>02</v>
          </cell>
          <cell r="BW274">
            <v>76</v>
          </cell>
          <cell r="BX274" t="str">
            <v>19951124</v>
          </cell>
          <cell r="BZ274" t="str">
            <v>C</v>
          </cell>
          <cell r="CA274" t="str">
            <v>04</v>
          </cell>
          <cell r="CB274" t="str">
            <v>D</v>
          </cell>
          <cell r="CC274" t="str">
            <v>09</v>
          </cell>
          <cell r="CD274" t="str">
            <v>C</v>
          </cell>
          <cell r="CE274" t="str">
            <v>04</v>
          </cell>
        </row>
        <row r="275">
          <cell r="A275" t="str">
            <v>2493726</v>
          </cell>
          <cell r="B275" t="str">
            <v>30</v>
          </cell>
          <cell r="C275" t="str">
            <v>4갑</v>
          </cell>
          <cell r="D275" t="str">
            <v>지범종　　</v>
          </cell>
          <cell r="E275" t="str">
            <v>C</v>
          </cell>
          <cell r="G275">
            <v>1</v>
          </cell>
          <cell r="H275" t="str">
            <v>KM**</v>
          </cell>
          <cell r="I275" t="str">
            <v>KMJI</v>
          </cell>
          <cell r="J275" t="str">
            <v>원주사업소　　　　　</v>
          </cell>
          <cell r="K275" t="str">
            <v>KMIH</v>
          </cell>
          <cell r="L275" t="str">
            <v>원주부품사업소　　　</v>
          </cell>
          <cell r="O275" t="str">
            <v>KMIHB</v>
          </cell>
          <cell r="R275" t="str">
            <v>2</v>
          </cell>
          <cell r="V275" t="str">
            <v>5</v>
          </cell>
          <cell r="W275" t="str">
            <v>4</v>
          </cell>
          <cell r="X275" t="str">
            <v>3</v>
          </cell>
          <cell r="Y275" t="str">
            <v>S</v>
          </cell>
          <cell r="Z275" t="str">
            <v>2050127</v>
          </cell>
          <cell r="AA275" t="str">
            <v>김두형　　</v>
          </cell>
          <cell r="AB275" t="str">
            <v>26</v>
          </cell>
          <cell r="AC275" t="str">
            <v>50</v>
          </cell>
          <cell r="AD275">
            <v>96</v>
          </cell>
          <cell r="AE275">
            <v>67.680000000000007</v>
          </cell>
          <cell r="AF275">
            <v>40</v>
          </cell>
          <cell r="AG275" t="str">
            <v>2129888</v>
          </cell>
          <cell r="AH275" t="str">
            <v>최현생　　</v>
          </cell>
          <cell r="AI275" t="str">
            <v>26</v>
          </cell>
          <cell r="AJ275" t="str">
            <v>43</v>
          </cell>
          <cell r="AK275">
            <v>96</v>
          </cell>
          <cell r="AL275">
            <v>66.95</v>
          </cell>
          <cell r="AM275">
            <v>40</v>
          </cell>
          <cell r="AN275" t="str">
            <v>2001319</v>
          </cell>
          <cell r="AO275" t="str">
            <v>차정식　　</v>
          </cell>
          <cell r="AP275" t="str">
            <v>02</v>
          </cell>
          <cell r="AQ275" t="str">
            <v>20</v>
          </cell>
          <cell r="AR275">
            <v>100</v>
          </cell>
          <cell r="AS275">
            <v>70.42</v>
          </cell>
          <cell r="AT275">
            <v>10</v>
          </cell>
          <cell r="AY275">
            <v>0</v>
          </cell>
          <cell r="AZ275">
            <v>0</v>
          </cell>
          <cell r="BA275">
            <v>0</v>
          </cell>
          <cell r="BF275">
            <v>0</v>
          </cell>
          <cell r="BG275">
            <v>0</v>
          </cell>
          <cell r="BH275">
            <v>0</v>
          </cell>
          <cell r="BM275">
            <v>0</v>
          </cell>
          <cell r="BN275">
            <v>0</v>
          </cell>
          <cell r="BO275">
            <v>0</v>
          </cell>
          <cell r="BP275" t="b">
            <v>0</v>
          </cell>
          <cell r="BQ275">
            <v>0</v>
          </cell>
          <cell r="BR275">
            <v>67.66</v>
          </cell>
          <cell r="BS275">
            <v>130</v>
          </cell>
          <cell r="BT275">
            <v>9</v>
          </cell>
          <cell r="BU275" t="str">
            <v>A</v>
          </cell>
          <cell r="BV275" t="str">
            <v>02</v>
          </cell>
          <cell r="BW275">
            <v>76</v>
          </cell>
          <cell r="BX275" t="str">
            <v>19930920</v>
          </cell>
          <cell r="BZ275" t="str">
            <v>D</v>
          </cell>
          <cell r="CA275" t="str">
            <v>08</v>
          </cell>
          <cell r="CB275" t="str">
            <v>C</v>
          </cell>
          <cell r="CC275" t="str">
            <v>05</v>
          </cell>
          <cell r="CD275" t="str">
            <v>C</v>
          </cell>
          <cell r="CE275" t="str">
            <v>04</v>
          </cell>
        </row>
        <row r="276">
          <cell r="A276" t="str">
            <v>2502085</v>
          </cell>
          <cell r="B276" t="str">
            <v>32</v>
          </cell>
          <cell r="C276" t="str">
            <v>4을</v>
          </cell>
          <cell r="D276" t="str">
            <v>서태성　　</v>
          </cell>
          <cell r="E276" t="str">
            <v>C</v>
          </cell>
          <cell r="G276">
            <v>1</v>
          </cell>
          <cell r="H276" t="str">
            <v>KM**</v>
          </cell>
          <cell r="I276" t="str">
            <v>KMJS</v>
          </cell>
          <cell r="J276" t="str">
            <v>부산북부사업소　　　</v>
          </cell>
          <cell r="K276" t="str">
            <v>KMJR</v>
          </cell>
          <cell r="L276" t="str">
            <v>부산사업소　　　　　</v>
          </cell>
          <cell r="O276" t="str">
            <v>KMJRA</v>
          </cell>
          <cell r="R276" t="str">
            <v>2</v>
          </cell>
          <cell r="V276" t="str">
            <v>6</v>
          </cell>
          <cell r="W276" t="str">
            <v>4</v>
          </cell>
          <cell r="X276" t="str">
            <v>4</v>
          </cell>
          <cell r="Y276" t="str">
            <v>O</v>
          </cell>
          <cell r="Z276" t="str">
            <v>2288922</v>
          </cell>
          <cell r="AA276" t="str">
            <v>구민식　　</v>
          </cell>
          <cell r="AB276" t="str">
            <v>26</v>
          </cell>
          <cell r="AC276" t="str">
            <v>50</v>
          </cell>
          <cell r="AD276">
            <v>80</v>
          </cell>
          <cell r="AE276">
            <v>66.349999999999994</v>
          </cell>
          <cell r="AF276">
            <v>40</v>
          </cell>
          <cell r="AG276" t="str">
            <v>2026355</v>
          </cell>
          <cell r="AH276" t="str">
            <v>유원홍　　</v>
          </cell>
          <cell r="AI276" t="str">
            <v>24</v>
          </cell>
          <cell r="AJ276" t="str">
            <v>43</v>
          </cell>
          <cell r="AK276">
            <v>91</v>
          </cell>
          <cell r="AL276">
            <v>67.72</v>
          </cell>
          <cell r="AM276">
            <v>50</v>
          </cell>
          <cell r="AR276">
            <v>0</v>
          </cell>
          <cell r="AS276">
            <v>0</v>
          </cell>
          <cell r="AT276">
            <v>0</v>
          </cell>
          <cell r="AY276">
            <v>0</v>
          </cell>
          <cell r="AZ276">
            <v>0</v>
          </cell>
          <cell r="BA276">
            <v>0</v>
          </cell>
          <cell r="BF276">
            <v>0</v>
          </cell>
          <cell r="BG276">
            <v>0</v>
          </cell>
          <cell r="BH276">
            <v>0</v>
          </cell>
          <cell r="BM276">
            <v>0</v>
          </cell>
          <cell r="BN276">
            <v>0</v>
          </cell>
          <cell r="BO276">
            <v>0</v>
          </cell>
          <cell r="BP276" t="b">
            <v>0</v>
          </cell>
          <cell r="BQ276">
            <v>0</v>
          </cell>
          <cell r="BR276">
            <v>67.11</v>
          </cell>
          <cell r="BS276">
            <v>66</v>
          </cell>
          <cell r="BT276">
            <v>9.5</v>
          </cell>
          <cell r="BU276" t="str">
            <v>A</v>
          </cell>
          <cell r="BV276" t="str">
            <v>02</v>
          </cell>
          <cell r="BW276">
            <v>76</v>
          </cell>
          <cell r="BX276" t="str">
            <v>19970101</v>
          </cell>
          <cell r="BZ276" t="str">
            <v>C</v>
          </cell>
          <cell r="CA276" t="str">
            <v>06</v>
          </cell>
          <cell r="CB276" t="str">
            <v>D</v>
          </cell>
          <cell r="CC276" t="str">
            <v>09</v>
          </cell>
          <cell r="CD276" t="str">
            <v>B</v>
          </cell>
          <cell r="CE276" t="str">
            <v>02</v>
          </cell>
        </row>
        <row r="277">
          <cell r="A277" t="str">
            <v>2242388</v>
          </cell>
          <cell r="B277" t="str">
            <v>28</v>
          </cell>
          <cell r="C277" t="str">
            <v>대리</v>
          </cell>
          <cell r="D277" t="str">
            <v>양하명　　</v>
          </cell>
          <cell r="E277" t="str">
            <v>C</v>
          </cell>
          <cell r="G277">
            <v>1</v>
          </cell>
          <cell r="H277" t="str">
            <v>KO**</v>
          </cell>
          <cell r="I277" t="str">
            <v>KODD</v>
          </cell>
          <cell r="J277" t="str">
            <v>수입２팀　　　　　　</v>
          </cell>
          <cell r="K277" t="str">
            <v>KODA</v>
          </cell>
          <cell r="L277" t="str">
            <v>일반구매팀　　　　　</v>
          </cell>
          <cell r="O277" t="str">
            <v>KODA</v>
          </cell>
          <cell r="R277" t="str">
            <v>1</v>
          </cell>
          <cell r="V277" t="str">
            <v>4</v>
          </cell>
          <cell r="W277" t="str">
            <v>1</v>
          </cell>
          <cell r="X277" t="str">
            <v>3</v>
          </cell>
          <cell r="Y277" t="str">
            <v>S</v>
          </cell>
          <cell r="Z277" t="str">
            <v>2067778</v>
          </cell>
          <cell r="AA277" t="str">
            <v>송시용　　</v>
          </cell>
          <cell r="AB277" t="str">
            <v>22</v>
          </cell>
          <cell r="AC277" t="str">
            <v>32</v>
          </cell>
          <cell r="AD277">
            <v>89</v>
          </cell>
          <cell r="AE277">
            <v>66.98</v>
          </cell>
          <cell r="AF277">
            <v>60</v>
          </cell>
          <cell r="AG277" t="str">
            <v>2008268</v>
          </cell>
          <cell r="AH277" t="str">
            <v>이용도　　</v>
          </cell>
          <cell r="AI277" t="str">
            <v>02</v>
          </cell>
          <cell r="AJ277" t="str">
            <v>20</v>
          </cell>
          <cell r="AK277">
            <v>90</v>
          </cell>
          <cell r="AL277">
            <v>67.36</v>
          </cell>
          <cell r="AM277">
            <v>20</v>
          </cell>
          <cell r="AR277">
            <v>0</v>
          </cell>
          <cell r="AS277">
            <v>0</v>
          </cell>
          <cell r="AT277">
            <v>0</v>
          </cell>
          <cell r="AY277">
            <v>0</v>
          </cell>
          <cell r="AZ277">
            <v>0</v>
          </cell>
          <cell r="BA277">
            <v>0</v>
          </cell>
          <cell r="BF277">
            <v>0</v>
          </cell>
          <cell r="BG277">
            <v>0</v>
          </cell>
          <cell r="BH277">
            <v>0</v>
          </cell>
          <cell r="BM277">
            <v>0</v>
          </cell>
          <cell r="BN277">
            <v>0</v>
          </cell>
          <cell r="BO277">
            <v>0</v>
          </cell>
          <cell r="BP277" t="b">
            <v>0</v>
          </cell>
          <cell r="BQ277">
            <v>0</v>
          </cell>
          <cell r="BR277">
            <v>67.08</v>
          </cell>
          <cell r="BS277">
            <v>240</v>
          </cell>
          <cell r="BT277">
            <v>14.3</v>
          </cell>
          <cell r="BU277" t="str">
            <v>B</v>
          </cell>
          <cell r="BV277" t="str">
            <v>02</v>
          </cell>
          <cell r="BW277">
            <v>76</v>
          </cell>
          <cell r="BX277" t="str">
            <v>19950101</v>
          </cell>
          <cell r="BZ277" t="str">
            <v>C</v>
          </cell>
          <cell r="CA277" t="str">
            <v>07</v>
          </cell>
          <cell r="CB277" t="str">
            <v>C</v>
          </cell>
          <cell r="CC277" t="str">
            <v>04</v>
          </cell>
          <cell r="CD277" t="str">
            <v>C</v>
          </cell>
          <cell r="CE277" t="str">
            <v>06</v>
          </cell>
        </row>
        <row r="278">
          <cell r="A278" t="str">
            <v>2550567</v>
          </cell>
          <cell r="B278" t="str">
            <v>33</v>
          </cell>
          <cell r="C278" t="str">
            <v>5급</v>
          </cell>
          <cell r="D278" t="str">
            <v>박규임　　</v>
          </cell>
          <cell r="E278" t="str">
            <v>C</v>
          </cell>
          <cell r="G278">
            <v>1</v>
          </cell>
          <cell r="H278" t="str">
            <v>KH**</v>
          </cell>
          <cell r="I278" t="str">
            <v>KHOG</v>
          </cell>
          <cell r="J278" t="str">
            <v>전북）전주중부지점　</v>
          </cell>
          <cell r="K278" t="str">
            <v>KHOB</v>
          </cell>
          <cell r="L278" t="str">
            <v>전북）서전주지점　　</v>
          </cell>
          <cell r="O278" t="str">
            <v>KHOBA</v>
          </cell>
          <cell r="R278" t="str">
            <v>2</v>
          </cell>
          <cell r="V278" t="str">
            <v>7</v>
          </cell>
          <cell r="W278" t="str">
            <v>3</v>
          </cell>
          <cell r="X278" t="str">
            <v>4</v>
          </cell>
          <cell r="Y278" t="str">
            <v>S</v>
          </cell>
          <cell r="Z278" t="str">
            <v>2289063</v>
          </cell>
          <cell r="AA278" t="str">
            <v>김우근　　</v>
          </cell>
          <cell r="AB278" t="str">
            <v>28</v>
          </cell>
          <cell r="AC278" t="str">
            <v>50</v>
          </cell>
          <cell r="AD278">
            <v>70</v>
          </cell>
          <cell r="AE278">
            <v>52.53</v>
          </cell>
          <cell r="AF278">
            <v>10</v>
          </cell>
          <cell r="AG278" t="str">
            <v>2104286</v>
          </cell>
          <cell r="AH278" t="str">
            <v>진교거　　</v>
          </cell>
          <cell r="AI278" t="str">
            <v>26</v>
          </cell>
          <cell r="AJ278" t="str">
            <v>44</v>
          </cell>
          <cell r="AK278">
            <v>95</v>
          </cell>
          <cell r="AL278">
            <v>63.22</v>
          </cell>
          <cell r="AM278">
            <v>50</v>
          </cell>
          <cell r="AN278" t="str">
            <v>2718148</v>
          </cell>
          <cell r="AO278" t="str">
            <v>김춘원　　</v>
          </cell>
          <cell r="AP278" t="str">
            <v>05</v>
          </cell>
          <cell r="AQ278" t="str">
            <v>32</v>
          </cell>
          <cell r="AR278">
            <v>49</v>
          </cell>
          <cell r="AS278">
            <v>52.17</v>
          </cell>
          <cell r="AT278">
            <v>30</v>
          </cell>
          <cell r="AY278">
            <v>0</v>
          </cell>
          <cell r="AZ278">
            <v>0</v>
          </cell>
          <cell r="BA278">
            <v>0</v>
          </cell>
          <cell r="BF278">
            <v>0</v>
          </cell>
          <cell r="BG278">
            <v>0</v>
          </cell>
          <cell r="BH278">
            <v>0</v>
          </cell>
          <cell r="BM278">
            <v>0</v>
          </cell>
          <cell r="BN278">
            <v>0</v>
          </cell>
          <cell r="BO278">
            <v>0</v>
          </cell>
          <cell r="BP278" t="b">
            <v>0</v>
          </cell>
          <cell r="BQ278">
            <v>0</v>
          </cell>
          <cell r="BR278">
            <v>58.35</v>
          </cell>
          <cell r="BS278">
            <v>401</v>
          </cell>
          <cell r="BT278">
            <v>58.5</v>
          </cell>
          <cell r="BU278" t="str">
            <v>C</v>
          </cell>
          <cell r="BV278" t="str">
            <v>07</v>
          </cell>
          <cell r="BW278">
            <v>56</v>
          </cell>
          <cell r="BX278" t="str">
            <v>19940411</v>
          </cell>
          <cell r="BZ278" t="str">
            <v>E</v>
          </cell>
          <cell r="CA278" t="str">
            <v>11</v>
          </cell>
          <cell r="CB278" t="str">
            <v>E</v>
          </cell>
          <cell r="CC278" t="str">
            <v>11</v>
          </cell>
          <cell r="CD278" t="str">
            <v>E</v>
          </cell>
          <cell r="CE278" t="str">
            <v>11</v>
          </cell>
        </row>
        <row r="279">
          <cell r="A279" t="str">
            <v>2651936</v>
          </cell>
          <cell r="B279" t="str">
            <v>33</v>
          </cell>
          <cell r="C279" t="str">
            <v>5급</v>
          </cell>
          <cell r="D279" t="str">
            <v>최혜정　　</v>
          </cell>
          <cell r="E279" t="str">
            <v>C</v>
          </cell>
          <cell r="G279">
            <v>1</v>
          </cell>
          <cell r="H279" t="str">
            <v>KQ**</v>
          </cell>
          <cell r="I279" t="str">
            <v>KUGA</v>
          </cell>
          <cell r="J279" t="str">
            <v>광）품질관리부　　　</v>
          </cell>
          <cell r="K279" t="str">
            <v>KUBA</v>
          </cell>
          <cell r="L279" t="str">
            <v>광）총무팀　　　　　</v>
          </cell>
          <cell r="O279" t="str">
            <v>KUBA</v>
          </cell>
          <cell r="R279" t="str">
            <v>6</v>
          </cell>
          <cell r="V279" t="str">
            <v>7</v>
          </cell>
          <cell r="W279" t="str">
            <v>2</v>
          </cell>
          <cell r="X279" t="str">
            <v>4</v>
          </cell>
          <cell r="Y279" t="str">
            <v>O</v>
          </cell>
          <cell r="Z279" t="str">
            <v>2053032</v>
          </cell>
          <cell r="AA279" t="str">
            <v>박용재　　</v>
          </cell>
          <cell r="AB279" t="str">
            <v>24</v>
          </cell>
          <cell r="AC279" t="str">
            <v>43</v>
          </cell>
          <cell r="AD279">
            <v>69</v>
          </cell>
          <cell r="AE279">
            <v>60.71</v>
          </cell>
          <cell r="AF279">
            <v>40</v>
          </cell>
          <cell r="AG279" t="str">
            <v>2034679</v>
          </cell>
          <cell r="AH279" t="str">
            <v>김재훈　　</v>
          </cell>
          <cell r="AI279" t="str">
            <v>20</v>
          </cell>
          <cell r="AJ279" t="str">
            <v>32</v>
          </cell>
          <cell r="AK279">
            <v>49</v>
          </cell>
          <cell r="AL279">
            <v>52.99</v>
          </cell>
          <cell r="AM279">
            <v>20</v>
          </cell>
          <cell r="AN279" t="str">
            <v>2026563</v>
          </cell>
          <cell r="AO279" t="str">
            <v>전천수　　</v>
          </cell>
          <cell r="AP279" t="str">
            <v>03</v>
          </cell>
          <cell r="AQ279" t="str">
            <v>30</v>
          </cell>
          <cell r="AR279">
            <v>59</v>
          </cell>
          <cell r="AS279">
            <v>57.33</v>
          </cell>
          <cell r="AT279">
            <v>20</v>
          </cell>
          <cell r="AY279">
            <v>0</v>
          </cell>
          <cell r="AZ279">
            <v>0</v>
          </cell>
          <cell r="BA279">
            <v>0</v>
          </cell>
          <cell r="BF279">
            <v>0</v>
          </cell>
          <cell r="BG279">
            <v>0</v>
          </cell>
          <cell r="BH279">
            <v>0</v>
          </cell>
          <cell r="BM279">
            <v>0</v>
          </cell>
          <cell r="BN279">
            <v>0</v>
          </cell>
          <cell r="BO279">
            <v>0</v>
          </cell>
          <cell r="BP279" t="b">
            <v>0</v>
          </cell>
          <cell r="BQ279">
            <v>0</v>
          </cell>
          <cell r="BR279">
            <v>57.93</v>
          </cell>
          <cell r="BS279">
            <v>416</v>
          </cell>
          <cell r="BT279">
            <v>60.7</v>
          </cell>
          <cell r="BU279" t="str">
            <v>C</v>
          </cell>
          <cell r="BV279" t="str">
            <v>07</v>
          </cell>
          <cell r="BW279">
            <v>56</v>
          </cell>
          <cell r="BX279" t="str">
            <v>19960208</v>
          </cell>
          <cell r="BZ279" t="str">
            <v>E</v>
          </cell>
          <cell r="CA279" t="str">
            <v>11</v>
          </cell>
          <cell r="CB279" t="str">
            <v>E</v>
          </cell>
          <cell r="CC279" t="str">
            <v>11</v>
          </cell>
          <cell r="CD279" t="str">
            <v>E</v>
          </cell>
          <cell r="CE279" t="str">
            <v>11</v>
          </cell>
        </row>
        <row r="280">
          <cell r="A280" t="str">
            <v>2636523</v>
          </cell>
          <cell r="B280" t="str">
            <v>33</v>
          </cell>
          <cell r="C280" t="str">
            <v>5급</v>
          </cell>
          <cell r="D280" t="str">
            <v>이수미　　</v>
          </cell>
          <cell r="E280" t="str">
            <v>C</v>
          </cell>
          <cell r="G280">
            <v>1</v>
          </cell>
          <cell r="H280" t="str">
            <v>KH**</v>
          </cell>
          <cell r="I280" t="str">
            <v>KHEJ</v>
          </cell>
          <cell r="J280" t="str">
            <v>동부）구리지점　　　</v>
          </cell>
          <cell r="K280" t="str">
            <v>KHEY</v>
          </cell>
          <cell r="L280" t="str">
            <v>동부）청평지점　　　</v>
          </cell>
          <cell r="O280" t="str">
            <v>KHEYA</v>
          </cell>
          <cell r="R280" t="str">
            <v>2</v>
          </cell>
          <cell r="V280" t="str">
            <v>7</v>
          </cell>
          <cell r="W280" t="str">
            <v>3</v>
          </cell>
          <cell r="X280" t="str">
            <v>4</v>
          </cell>
          <cell r="Y280" t="str">
            <v>O</v>
          </cell>
          <cell r="Z280" t="str">
            <v>2210663</v>
          </cell>
          <cell r="AA280" t="str">
            <v>신영석　　</v>
          </cell>
          <cell r="AB280" t="str">
            <v>28</v>
          </cell>
          <cell r="AC280" t="str">
            <v>44</v>
          </cell>
          <cell r="AD280">
            <v>77</v>
          </cell>
          <cell r="AE280">
            <v>60</v>
          </cell>
          <cell r="AF280">
            <v>60</v>
          </cell>
          <cell r="AG280" t="str">
            <v>2718162</v>
          </cell>
          <cell r="AH280" t="str">
            <v>박광인　　</v>
          </cell>
          <cell r="AI280" t="str">
            <v>03</v>
          </cell>
          <cell r="AJ280" t="str">
            <v>32</v>
          </cell>
          <cell r="AK280">
            <v>72</v>
          </cell>
          <cell r="AL280">
            <v>59.35</v>
          </cell>
          <cell r="AM280">
            <v>30</v>
          </cell>
          <cell r="AR280">
            <v>0</v>
          </cell>
          <cell r="AS280">
            <v>0</v>
          </cell>
          <cell r="AT280">
            <v>0</v>
          </cell>
          <cell r="AY280">
            <v>0</v>
          </cell>
          <cell r="AZ280">
            <v>0</v>
          </cell>
          <cell r="BA280">
            <v>0</v>
          </cell>
          <cell r="BF280">
            <v>0</v>
          </cell>
          <cell r="BG280">
            <v>0</v>
          </cell>
          <cell r="BH280">
            <v>0</v>
          </cell>
          <cell r="BM280">
            <v>0</v>
          </cell>
          <cell r="BN280">
            <v>0</v>
          </cell>
          <cell r="BO280">
            <v>0</v>
          </cell>
          <cell r="BP280" t="b">
            <v>0</v>
          </cell>
          <cell r="BQ280">
            <v>0</v>
          </cell>
          <cell r="BR280">
            <v>59.78</v>
          </cell>
          <cell r="BS280">
            <v>327</v>
          </cell>
          <cell r="BT280">
            <v>47.7</v>
          </cell>
          <cell r="BU280" t="str">
            <v>C</v>
          </cell>
          <cell r="BV280" t="str">
            <v>06</v>
          </cell>
          <cell r="BW280">
            <v>60</v>
          </cell>
          <cell r="BX280" t="str">
            <v>19950807</v>
          </cell>
          <cell r="BZ280" t="str">
            <v>E</v>
          </cell>
          <cell r="CA280" t="str">
            <v>11</v>
          </cell>
          <cell r="CB280" t="str">
            <v>C</v>
          </cell>
          <cell r="CC280" t="str">
            <v>08</v>
          </cell>
          <cell r="CD280" t="str">
            <v>E</v>
          </cell>
          <cell r="CE280" t="str">
            <v>11</v>
          </cell>
        </row>
        <row r="281">
          <cell r="A281" t="str">
            <v>2595764</v>
          </cell>
          <cell r="B281" t="str">
            <v>33</v>
          </cell>
          <cell r="C281" t="str">
            <v>5급</v>
          </cell>
          <cell r="D281" t="str">
            <v>김현란　　</v>
          </cell>
          <cell r="E281" t="str">
            <v>C</v>
          </cell>
          <cell r="G281">
            <v>1</v>
          </cell>
          <cell r="H281" t="str">
            <v>KH**</v>
          </cell>
          <cell r="I281" t="str">
            <v>KHIK</v>
          </cell>
          <cell r="J281" t="str">
            <v>인천）주안지점　　　</v>
          </cell>
          <cell r="K281" t="str">
            <v>KHIC</v>
          </cell>
          <cell r="L281" t="str">
            <v>인천）구월지점　　　</v>
          </cell>
          <cell r="O281" t="str">
            <v>KHICA</v>
          </cell>
          <cell r="R281" t="str">
            <v>2</v>
          </cell>
          <cell r="V281" t="str">
            <v>7</v>
          </cell>
          <cell r="W281" t="str">
            <v>3</v>
          </cell>
          <cell r="X281" t="str">
            <v>4</v>
          </cell>
          <cell r="Y281" t="str">
            <v>S</v>
          </cell>
          <cell r="Z281" t="str">
            <v>2060203</v>
          </cell>
          <cell r="AA281" t="str">
            <v>김동욱　　</v>
          </cell>
          <cell r="AB281" t="str">
            <v>26</v>
          </cell>
          <cell r="AC281" t="str">
            <v>50</v>
          </cell>
          <cell r="AD281">
            <v>76</v>
          </cell>
          <cell r="AE281">
            <v>55.29</v>
          </cell>
          <cell r="AF281">
            <v>10</v>
          </cell>
          <cell r="AG281" t="str">
            <v>7106482</v>
          </cell>
          <cell r="AH281" t="str">
            <v>김봉웅　　</v>
          </cell>
          <cell r="AI281" t="str">
            <v>26</v>
          </cell>
          <cell r="AJ281" t="str">
            <v>44</v>
          </cell>
          <cell r="AK281">
            <v>80</v>
          </cell>
          <cell r="AL281">
            <v>64.709999999999994</v>
          </cell>
          <cell r="AM281">
            <v>50</v>
          </cell>
          <cell r="AN281" t="str">
            <v>2718155</v>
          </cell>
          <cell r="AO281" t="str">
            <v>김한수　　</v>
          </cell>
          <cell r="AP281" t="str">
            <v>05</v>
          </cell>
          <cell r="AQ281" t="str">
            <v>32</v>
          </cell>
          <cell r="AR281">
            <v>51</v>
          </cell>
          <cell r="AS281">
            <v>51.45</v>
          </cell>
          <cell r="AT281">
            <v>30</v>
          </cell>
          <cell r="AY281">
            <v>0</v>
          </cell>
          <cell r="AZ281">
            <v>0</v>
          </cell>
          <cell r="BA281">
            <v>0</v>
          </cell>
          <cell r="BF281">
            <v>0</v>
          </cell>
          <cell r="BG281">
            <v>0</v>
          </cell>
          <cell r="BH281">
            <v>0</v>
          </cell>
          <cell r="BM281">
            <v>0</v>
          </cell>
          <cell r="BN281">
            <v>0</v>
          </cell>
          <cell r="BO281">
            <v>0</v>
          </cell>
          <cell r="BP281" t="b">
            <v>0</v>
          </cell>
          <cell r="BQ281">
            <v>0</v>
          </cell>
          <cell r="BR281">
            <v>59.24</v>
          </cell>
          <cell r="BS281">
            <v>365</v>
          </cell>
          <cell r="BT281">
            <v>53.3</v>
          </cell>
          <cell r="BU281" t="str">
            <v>C</v>
          </cell>
          <cell r="BV281" t="str">
            <v>06</v>
          </cell>
          <cell r="BW281">
            <v>60</v>
          </cell>
          <cell r="BX281" t="str">
            <v>19941212</v>
          </cell>
          <cell r="BZ281" t="str">
            <v>E</v>
          </cell>
          <cell r="CA281" t="str">
            <v>10</v>
          </cell>
          <cell r="CB281" t="str">
            <v>D</v>
          </cell>
          <cell r="CC281" t="str">
            <v>09</v>
          </cell>
          <cell r="CD281" t="str">
            <v>E</v>
          </cell>
          <cell r="CE281" t="str">
            <v>11</v>
          </cell>
        </row>
        <row r="282">
          <cell r="A282" t="str">
            <v>2589923</v>
          </cell>
          <cell r="B282" t="str">
            <v>33</v>
          </cell>
          <cell r="C282" t="str">
            <v>5급</v>
          </cell>
          <cell r="D282" t="str">
            <v>이은정　　</v>
          </cell>
          <cell r="E282" t="str">
            <v>C</v>
          </cell>
          <cell r="G282">
            <v>1</v>
          </cell>
          <cell r="H282" t="str">
            <v>KM**</v>
          </cell>
          <cell r="I282" t="str">
            <v>KMEC</v>
          </cell>
          <cell r="J282" t="str">
            <v>부품운영팀　　　　　</v>
          </cell>
          <cell r="K282" t="str">
            <v>KMEB</v>
          </cell>
          <cell r="L282" t="str">
            <v>부품물류팀　　　　　</v>
          </cell>
          <cell r="O282" t="str">
            <v>KMEB</v>
          </cell>
          <cell r="R282" t="str">
            <v>4</v>
          </cell>
          <cell r="V282" t="str">
            <v>7</v>
          </cell>
          <cell r="W282" t="str">
            <v>1</v>
          </cell>
          <cell r="X282" t="str">
            <v>4</v>
          </cell>
          <cell r="Y282" t="str">
            <v>S</v>
          </cell>
          <cell r="Z282" t="str">
            <v>2136931</v>
          </cell>
          <cell r="AA282" t="str">
            <v>고재익　　</v>
          </cell>
          <cell r="AB282" t="str">
            <v>26</v>
          </cell>
          <cell r="AC282" t="str">
            <v>43</v>
          </cell>
          <cell r="AD282">
            <v>81</v>
          </cell>
          <cell r="AE282">
            <v>59.5</v>
          </cell>
          <cell r="AF282">
            <v>50</v>
          </cell>
          <cell r="AG282" t="str">
            <v>0043652</v>
          </cell>
          <cell r="AH282" t="str">
            <v>정남기　　</v>
          </cell>
          <cell r="AI282" t="str">
            <v>05</v>
          </cell>
          <cell r="AJ282" t="str">
            <v>32</v>
          </cell>
          <cell r="AK282">
            <v>53</v>
          </cell>
          <cell r="AL282">
            <v>59.23</v>
          </cell>
          <cell r="AM282">
            <v>30</v>
          </cell>
          <cell r="AR282">
            <v>0</v>
          </cell>
          <cell r="AS282">
            <v>0</v>
          </cell>
          <cell r="AT282">
            <v>0</v>
          </cell>
          <cell r="AY282">
            <v>0</v>
          </cell>
          <cell r="AZ282">
            <v>0</v>
          </cell>
          <cell r="BA282">
            <v>0</v>
          </cell>
          <cell r="BF282">
            <v>0</v>
          </cell>
          <cell r="BG282">
            <v>0</v>
          </cell>
          <cell r="BH282">
            <v>0</v>
          </cell>
          <cell r="BM282">
            <v>0</v>
          </cell>
          <cell r="BN282">
            <v>0</v>
          </cell>
          <cell r="BO282">
            <v>0</v>
          </cell>
          <cell r="BP282" t="b">
            <v>0</v>
          </cell>
          <cell r="BQ282">
            <v>0</v>
          </cell>
          <cell r="BR282">
            <v>59.4</v>
          </cell>
          <cell r="BS282">
            <v>357</v>
          </cell>
          <cell r="BT282">
            <v>52.1</v>
          </cell>
          <cell r="BU282" t="str">
            <v>C</v>
          </cell>
          <cell r="BV282" t="str">
            <v>06</v>
          </cell>
          <cell r="BW282">
            <v>60</v>
          </cell>
          <cell r="BX282" t="str">
            <v>19941018</v>
          </cell>
          <cell r="BZ282" t="str">
            <v>D</v>
          </cell>
          <cell r="CA282" t="str">
            <v>09</v>
          </cell>
          <cell r="CB282" t="str">
            <v>E</v>
          </cell>
          <cell r="CC282" t="str">
            <v>11</v>
          </cell>
          <cell r="CD282" t="str">
            <v>D</v>
          </cell>
          <cell r="CE282" t="str">
            <v>10</v>
          </cell>
        </row>
        <row r="283">
          <cell r="A283" t="str">
            <v>2553108</v>
          </cell>
          <cell r="B283" t="str">
            <v>33</v>
          </cell>
          <cell r="C283" t="str">
            <v>5급</v>
          </cell>
          <cell r="D283" t="str">
            <v>정선숙　　</v>
          </cell>
          <cell r="E283" t="str">
            <v>C</v>
          </cell>
          <cell r="G283">
            <v>1</v>
          </cell>
          <cell r="H283" t="str">
            <v>KH**</v>
          </cell>
          <cell r="I283" t="str">
            <v>KHUE</v>
          </cell>
          <cell r="J283" t="str">
            <v>대구）북대구지점　　</v>
          </cell>
          <cell r="K283" t="str">
            <v>KHUD</v>
          </cell>
          <cell r="L283" t="str">
            <v>대구）달서지점　　　</v>
          </cell>
          <cell r="O283" t="str">
            <v>KHUDA</v>
          </cell>
          <cell r="R283" t="str">
            <v>2</v>
          </cell>
          <cell r="V283" t="str">
            <v>7</v>
          </cell>
          <cell r="W283" t="str">
            <v>3</v>
          </cell>
          <cell r="X283" t="str">
            <v>4</v>
          </cell>
          <cell r="Y283" t="str">
            <v>S</v>
          </cell>
          <cell r="Z283" t="str">
            <v>2179067</v>
          </cell>
          <cell r="AA283" t="str">
            <v>배병우　　</v>
          </cell>
          <cell r="AB283" t="str">
            <v>28</v>
          </cell>
          <cell r="AC283" t="str">
            <v>50</v>
          </cell>
          <cell r="AD283">
            <v>77</v>
          </cell>
          <cell r="AE283">
            <v>60</v>
          </cell>
          <cell r="AF283">
            <v>10</v>
          </cell>
          <cell r="AG283" t="str">
            <v>2063876</v>
          </cell>
          <cell r="AH283" t="str">
            <v>김진원　　</v>
          </cell>
          <cell r="AI283" t="str">
            <v>24</v>
          </cell>
          <cell r="AJ283" t="str">
            <v>44</v>
          </cell>
          <cell r="AK283">
            <v>93</v>
          </cell>
          <cell r="AL283">
            <v>60</v>
          </cell>
          <cell r="AM283">
            <v>50</v>
          </cell>
          <cell r="AN283" t="str">
            <v>2018769</v>
          </cell>
          <cell r="AO283" t="str">
            <v>이문식　　</v>
          </cell>
          <cell r="AP283" t="str">
            <v>20</v>
          </cell>
          <cell r="AQ283" t="str">
            <v>32</v>
          </cell>
          <cell r="AR283">
            <v>83</v>
          </cell>
          <cell r="AS283">
            <v>63.87</v>
          </cell>
          <cell r="AT283">
            <v>30</v>
          </cell>
          <cell r="AY283">
            <v>0</v>
          </cell>
          <cell r="AZ283">
            <v>0</v>
          </cell>
          <cell r="BA283">
            <v>0</v>
          </cell>
          <cell r="BF283">
            <v>0</v>
          </cell>
          <cell r="BG283">
            <v>0</v>
          </cell>
          <cell r="BH283">
            <v>0</v>
          </cell>
          <cell r="BM283">
            <v>0</v>
          </cell>
          <cell r="BN283">
            <v>0</v>
          </cell>
          <cell r="BO283">
            <v>0</v>
          </cell>
          <cell r="BP283" t="b">
            <v>0</v>
          </cell>
          <cell r="BQ283">
            <v>0</v>
          </cell>
          <cell r="BR283">
            <v>61.29</v>
          </cell>
          <cell r="BS283">
            <v>244</v>
          </cell>
          <cell r="BT283">
            <v>35.6</v>
          </cell>
          <cell r="BU283" t="str">
            <v>C</v>
          </cell>
          <cell r="BV283" t="str">
            <v>05</v>
          </cell>
          <cell r="BW283">
            <v>64</v>
          </cell>
          <cell r="BX283" t="str">
            <v>19940411</v>
          </cell>
          <cell r="BZ283" t="str">
            <v>D</v>
          </cell>
          <cell r="CA283" t="str">
            <v>08</v>
          </cell>
          <cell r="CB283" t="str">
            <v>E</v>
          </cell>
          <cell r="CC283" t="str">
            <v>10</v>
          </cell>
          <cell r="CD283" t="str">
            <v>D</v>
          </cell>
          <cell r="CE283" t="str">
            <v>09</v>
          </cell>
        </row>
        <row r="284">
          <cell r="A284" t="str">
            <v>2166709</v>
          </cell>
          <cell r="B284" t="str">
            <v>28</v>
          </cell>
          <cell r="C284" t="str">
            <v>대리</v>
          </cell>
          <cell r="D284" t="str">
            <v>조청진　　</v>
          </cell>
          <cell r="E284" t="str">
            <v>C</v>
          </cell>
          <cell r="G284">
            <v>1</v>
          </cell>
          <cell r="H284" t="str">
            <v>KH**</v>
          </cell>
          <cell r="I284" t="str">
            <v>KHEM</v>
          </cell>
          <cell r="J284" t="str">
            <v>동부）길음지점　　　</v>
          </cell>
          <cell r="K284" t="str">
            <v>KHE*</v>
          </cell>
          <cell r="L284" t="str">
            <v>동부지역본부　　　　</v>
          </cell>
          <cell r="O284" t="str">
            <v>KHE*2</v>
          </cell>
          <cell r="R284" t="str">
            <v>2</v>
          </cell>
          <cell r="V284" t="str">
            <v>4</v>
          </cell>
          <cell r="W284" t="str">
            <v>3</v>
          </cell>
          <cell r="X284" t="str">
            <v>3</v>
          </cell>
          <cell r="Y284" t="str">
            <v>S</v>
          </cell>
          <cell r="Z284" t="str">
            <v>2133409</v>
          </cell>
          <cell r="AA284" t="str">
            <v>백광훈　　</v>
          </cell>
          <cell r="AB284" t="str">
            <v>26</v>
          </cell>
          <cell r="AC284" t="str">
            <v>50</v>
          </cell>
          <cell r="AD284">
            <v>77</v>
          </cell>
          <cell r="AE284">
            <v>61.35</v>
          </cell>
          <cell r="AF284">
            <v>40</v>
          </cell>
          <cell r="AG284" t="str">
            <v>2718162</v>
          </cell>
          <cell r="AH284" t="str">
            <v>박광인　　</v>
          </cell>
          <cell r="AI284" t="str">
            <v>03</v>
          </cell>
          <cell r="AJ284" t="str">
            <v>32</v>
          </cell>
          <cell r="AK284">
            <v>95</v>
          </cell>
          <cell r="AL284">
            <v>68.02</v>
          </cell>
          <cell r="AM284">
            <v>40</v>
          </cell>
          <cell r="AN284" t="str">
            <v>2059744</v>
          </cell>
          <cell r="AO284" t="str">
            <v>김도영　　</v>
          </cell>
          <cell r="AP284" t="str">
            <v>02</v>
          </cell>
          <cell r="AQ284" t="str">
            <v>20</v>
          </cell>
          <cell r="AR284">
            <v>63</v>
          </cell>
          <cell r="AS284">
            <v>57.38</v>
          </cell>
          <cell r="AT284">
            <v>10</v>
          </cell>
          <cell r="AY284">
            <v>0</v>
          </cell>
          <cell r="AZ284">
            <v>0</v>
          </cell>
          <cell r="BA284">
            <v>0</v>
          </cell>
          <cell r="BF284">
            <v>0</v>
          </cell>
          <cell r="BG284">
            <v>0</v>
          </cell>
          <cell r="BH284">
            <v>0</v>
          </cell>
          <cell r="BM284">
            <v>0</v>
          </cell>
          <cell r="BN284">
            <v>0</v>
          </cell>
          <cell r="BO284">
            <v>0</v>
          </cell>
          <cell r="BP284" t="b">
            <v>0</v>
          </cell>
          <cell r="BQ284">
            <v>0</v>
          </cell>
          <cell r="BR284">
            <v>63.87</v>
          </cell>
          <cell r="BS284">
            <v>485</v>
          </cell>
          <cell r="BT284">
            <v>29</v>
          </cell>
          <cell r="BU284" t="str">
            <v>B</v>
          </cell>
          <cell r="BV284" t="str">
            <v>04</v>
          </cell>
          <cell r="BW284">
            <v>68</v>
          </cell>
          <cell r="BX284" t="str">
            <v>19960101</v>
          </cell>
          <cell r="BZ284" t="str">
            <v>D</v>
          </cell>
          <cell r="CA284" t="str">
            <v>09</v>
          </cell>
          <cell r="CB284" t="str">
            <v>D</v>
          </cell>
          <cell r="CC284" t="str">
            <v>08</v>
          </cell>
          <cell r="CD284" t="str">
            <v>C</v>
          </cell>
          <cell r="CE284" t="str">
            <v>07</v>
          </cell>
        </row>
        <row r="285">
          <cell r="A285" t="str">
            <v>2504403</v>
          </cell>
          <cell r="B285" t="str">
            <v>32</v>
          </cell>
          <cell r="C285" t="str">
            <v>4을</v>
          </cell>
          <cell r="D285" t="str">
            <v>고성택　　</v>
          </cell>
          <cell r="E285" t="str">
            <v>C</v>
          </cell>
          <cell r="G285">
            <v>1</v>
          </cell>
          <cell r="H285" t="str">
            <v>KH**</v>
          </cell>
          <cell r="I285" t="str">
            <v>KHPD</v>
          </cell>
          <cell r="J285" t="str">
            <v>전남）해남지점　　　</v>
          </cell>
          <cell r="K285" t="str">
            <v>KHPA</v>
          </cell>
          <cell r="L285" t="str">
            <v>전남）목포지점　　　</v>
          </cell>
          <cell r="O285" t="str">
            <v>KHPAA</v>
          </cell>
          <cell r="R285" t="str">
            <v>2</v>
          </cell>
          <cell r="V285" t="str">
            <v>6</v>
          </cell>
          <cell r="W285" t="str">
            <v>3</v>
          </cell>
          <cell r="X285" t="str">
            <v>4</v>
          </cell>
          <cell r="Y285" t="str">
            <v>S</v>
          </cell>
          <cell r="Z285" t="str">
            <v>2233864</v>
          </cell>
          <cell r="AA285" t="str">
            <v>김영우　　</v>
          </cell>
          <cell r="AB285" t="str">
            <v>28</v>
          </cell>
          <cell r="AC285" t="str">
            <v>50</v>
          </cell>
          <cell r="AD285">
            <v>82</v>
          </cell>
          <cell r="AE285">
            <v>67.650000000000006</v>
          </cell>
          <cell r="AF285">
            <v>10</v>
          </cell>
          <cell r="AG285" t="str">
            <v>2070154</v>
          </cell>
          <cell r="AH285" t="str">
            <v>문기철　　</v>
          </cell>
          <cell r="AI285" t="str">
            <v>28</v>
          </cell>
          <cell r="AJ285" t="str">
            <v>44</v>
          </cell>
          <cell r="AK285">
            <v>83</v>
          </cell>
          <cell r="AL285">
            <v>61.89</v>
          </cell>
          <cell r="AM285">
            <v>50</v>
          </cell>
          <cell r="AN285" t="str">
            <v>2018828</v>
          </cell>
          <cell r="AO285" t="str">
            <v>이종성　　</v>
          </cell>
          <cell r="AP285" t="str">
            <v>20</v>
          </cell>
          <cell r="AQ285" t="str">
            <v>32</v>
          </cell>
          <cell r="AR285">
            <v>97</v>
          </cell>
          <cell r="AS285">
            <v>67.45</v>
          </cell>
          <cell r="AT285">
            <v>30</v>
          </cell>
          <cell r="AY285">
            <v>0</v>
          </cell>
          <cell r="AZ285">
            <v>0</v>
          </cell>
          <cell r="BA285">
            <v>0</v>
          </cell>
          <cell r="BF285">
            <v>0</v>
          </cell>
          <cell r="BG285">
            <v>0</v>
          </cell>
          <cell r="BH285">
            <v>0</v>
          </cell>
          <cell r="BM285">
            <v>0</v>
          </cell>
          <cell r="BN285">
            <v>0</v>
          </cell>
          <cell r="BO285">
            <v>0</v>
          </cell>
          <cell r="BP285" t="b">
            <v>0</v>
          </cell>
          <cell r="BQ285">
            <v>0</v>
          </cell>
          <cell r="BR285">
            <v>64.38</v>
          </cell>
          <cell r="BS285">
            <v>166</v>
          </cell>
          <cell r="BT285">
            <v>23.8</v>
          </cell>
          <cell r="BU285" t="str">
            <v>B</v>
          </cell>
          <cell r="BV285" t="str">
            <v>03</v>
          </cell>
          <cell r="BW285">
            <v>72</v>
          </cell>
          <cell r="BX285" t="str">
            <v>19931129</v>
          </cell>
          <cell r="BZ285" t="str">
            <v>C</v>
          </cell>
          <cell r="CA285" t="str">
            <v>06</v>
          </cell>
          <cell r="CB285" t="str">
            <v>C</v>
          </cell>
          <cell r="CC285" t="str">
            <v>05</v>
          </cell>
          <cell r="CD285" t="str">
            <v>E</v>
          </cell>
          <cell r="CE285" t="str">
            <v>10</v>
          </cell>
        </row>
        <row r="286">
          <cell r="A286" t="str">
            <v>2657554</v>
          </cell>
          <cell r="B286" t="str">
            <v>30</v>
          </cell>
          <cell r="C286" t="str">
            <v>4갑</v>
          </cell>
          <cell r="D286" t="str">
            <v>양재호　　</v>
          </cell>
          <cell r="E286" t="str">
            <v>C</v>
          </cell>
          <cell r="G286">
            <v>1</v>
          </cell>
          <cell r="H286" t="str">
            <v>KK**</v>
          </cell>
          <cell r="I286" t="str">
            <v>KLDA</v>
          </cell>
          <cell r="J286" t="str">
            <v>써비스기획팀　　　　</v>
          </cell>
          <cell r="K286" t="str">
            <v>KLDC</v>
          </cell>
          <cell r="L286" t="str">
            <v>해외써비스팀　　　　</v>
          </cell>
          <cell r="O286" t="str">
            <v>KLDC</v>
          </cell>
          <cell r="R286" t="str">
            <v>4</v>
          </cell>
          <cell r="V286" t="str">
            <v>5</v>
          </cell>
          <cell r="W286" t="str">
            <v>1</v>
          </cell>
          <cell r="X286" t="str">
            <v>3</v>
          </cell>
          <cell r="Y286" t="str">
            <v>S</v>
          </cell>
          <cell r="Z286" t="str">
            <v>7253025</v>
          </cell>
          <cell r="AA286" t="str">
            <v>김종민　　</v>
          </cell>
          <cell r="AB286" t="str">
            <v>24</v>
          </cell>
          <cell r="AC286" t="str">
            <v>43</v>
          </cell>
          <cell r="AD286">
            <v>80</v>
          </cell>
          <cell r="AE286">
            <v>63.68</v>
          </cell>
          <cell r="AF286">
            <v>30</v>
          </cell>
          <cell r="AG286" t="str">
            <v>7043258</v>
          </cell>
          <cell r="AH286" t="str">
            <v>박상근　　</v>
          </cell>
          <cell r="AI286" t="str">
            <v>05</v>
          </cell>
          <cell r="AJ286" t="str">
            <v>32</v>
          </cell>
          <cell r="AK286">
            <v>92</v>
          </cell>
          <cell r="AL286">
            <v>66.010000000000005</v>
          </cell>
          <cell r="AM286">
            <v>20</v>
          </cell>
          <cell r="AN286" t="str">
            <v>2002024</v>
          </cell>
          <cell r="AO286" t="str">
            <v>이덕규　　</v>
          </cell>
          <cell r="AP286" t="str">
            <v>04</v>
          </cell>
          <cell r="AQ286" t="str">
            <v>30</v>
          </cell>
          <cell r="AR286">
            <v>91</v>
          </cell>
          <cell r="AS286">
            <v>67.819999999999993</v>
          </cell>
          <cell r="AT286">
            <v>20</v>
          </cell>
          <cell r="AU286" t="str">
            <v>2005295</v>
          </cell>
          <cell r="AV286" t="str">
            <v>박성도　　</v>
          </cell>
          <cell r="AW286" t="str">
            <v>02</v>
          </cell>
          <cell r="AX286" t="str">
            <v>20</v>
          </cell>
          <cell r="AY286">
            <v>86</v>
          </cell>
          <cell r="AZ286">
            <v>65.48</v>
          </cell>
          <cell r="BA286">
            <v>10</v>
          </cell>
          <cell r="BF286">
            <v>0</v>
          </cell>
          <cell r="BG286">
            <v>0</v>
          </cell>
          <cell r="BH286">
            <v>0</v>
          </cell>
          <cell r="BM286">
            <v>0</v>
          </cell>
          <cell r="BN286">
            <v>0</v>
          </cell>
          <cell r="BO286">
            <v>0</v>
          </cell>
          <cell r="BP286" t="b">
            <v>0</v>
          </cell>
          <cell r="BQ286">
            <v>0</v>
          </cell>
          <cell r="BR286">
            <v>65.52</v>
          </cell>
          <cell r="BS286">
            <v>263</v>
          </cell>
          <cell r="BT286">
            <v>18.100000000000001</v>
          </cell>
          <cell r="BU286" t="str">
            <v>B</v>
          </cell>
          <cell r="BV286" t="str">
            <v>03</v>
          </cell>
          <cell r="BW286">
            <v>72</v>
          </cell>
          <cell r="BX286" t="str">
            <v>19960111</v>
          </cell>
          <cell r="BZ286" t="str">
            <v>D</v>
          </cell>
          <cell r="CA286" t="str">
            <v>09</v>
          </cell>
          <cell r="CB286" t="str">
            <v>C</v>
          </cell>
          <cell r="CC286" t="str">
            <v>05</v>
          </cell>
          <cell r="CD286" t="str">
            <v>C</v>
          </cell>
          <cell r="CE286" t="str">
            <v>07</v>
          </cell>
        </row>
        <row r="287">
          <cell r="A287" t="str">
            <v>2289056</v>
          </cell>
          <cell r="B287" t="str">
            <v>28</v>
          </cell>
          <cell r="C287" t="str">
            <v>대리</v>
          </cell>
          <cell r="D287" t="str">
            <v>김선민　　</v>
          </cell>
          <cell r="E287" t="str">
            <v>C</v>
          </cell>
          <cell r="G287">
            <v>1</v>
          </cell>
          <cell r="H287" t="str">
            <v>KM**</v>
          </cell>
          <cell r="I287" t="str">
            <v>KMDA</v>
          </cell>
          <cell r="J287" t="str">
            <v>부품판매팀　　　　　</v>
          </cell>
          <cell r="K287" t="str">
            <v>KMIA</v>
          </cell>
          <cell r="L287" t="str">
            <v>강북부품사업소　　　</v>
          </cell>
          <cell r="O287" t="str">
            <v>KMIAB</v>
          </cell>
          <cell r="R287" t="str">
            <v>2</v>
          </cell>
          <cell r="V287" t="str">
            <v>4</v>
          </cell>
          <cell r="W287" t="str">
            <v>4</v>
          </cell>
          <cell r="X287" t="str">
            <v>3</v>
          </cell>
          <cell r="Y287" t="str">
            <v>S</v>
          </cell>
          <cell r="Z287" t="str">
            <v>2111144</v>
          </cell>
          <cell r="AA287" t="str">
            <v>오세현　　</v>
          </cell>
          <cell r="AB287" t="str">
            <v>26</v>
          </cell>
          <cell r="AC287" t="str">
            <v>50</v>
          </cell>
          <cell r="AD287">
            <v>90</v>
          </cell>
          <cell r="AE287">
            <v>63.85</v>
          </cell>
          <cell r="AF287">
            <v>40</v>
          </cell>
          <cell r="AG287" t="str">
            <v>2023226</v>
          </cell>
          <cell r="AH287" t="str">
            <v>김성수　　</v>
          </cell>
          <cell r="AI287" t="str">
            <v>22</v>
          </cell>
          <cell r="AJ287" t="str">
            <v>43</v>
          </cell>
          <cell r="AK287">
            <v>90</v>
          </cell>
          <cell r="AL287">
            <v>66.78</v>
          </cell>
          <cell r="AM287">
            <v>40</v>
          </cell>
          <cell r="AN287" t="str">
            <v>2001319</v>
          </cell>
          <cell r="AO287" t="str">
            <v>차정식　　</v>
          </cell>
          <cell r="AP287" t="str">
            <v>02</v>
          </cell>
          <cell r="AQ287" t="str">
            <v>20</v>
          </cell>
          <cell r="AR287">
            <v>77</v>
          </cell>
          <cell r="AS287">
            <v>62.21</v>
          </cell>
          <cell r="AT287">
            <v>10</v>
          </cell>
          <cell r="AY287">
            <v>0</v>
          </cell>
          <cell r="AZ287">
            <v>0</v>
          </cell>
          <cell r="BA287">
            <v>0</v>
          </cell>
          <cell r="BF287">
            <v>0</v>
          </cell>
          <cell r="BG287">
            <v>0</v>
          </cell>
          <cell r="BH287">
            <v>0</v>
          </cell>
          <cell r="BM287">
            <v>0</v>
          </cell>
          <cell r="BN287">
            <v>0</v>
          </cell>
          <cell r="BO287">
            <v>0</v>
          </cell>
          <cell r="BP287" t="b">
            <v>0</v>
          </cell>
          <cell r="BQ287">
            <v>0</v>
          </cell>
          <cell r="BR287">
            <v>64.97</v>
          </cell>
          <cell r="BS287">
            <v>401</v>
          </cell>
          <cell r="BT287">
            <v>24</v>
          </cell>
          <cell r="BU287" t="str">
            <v>B</v>
          </cell>
          <cell r="BV287" t="str">
            <v>03</v>
          </cell>
          <cell r="BW287">
            <v>72</v>
          </cell>
          <cell r="BX287" t="str">
            <v>19940101</v>
          </cell>
          <cell r="BZ287" t="str">
            <v>C</v>
          </cell>
          <cell r="CA287" t="str">
            <v>06</v>
          </cell>
          <cell r="CB287" t="str">
            <v>D</v>
          </cell>
          <cell r="CC287" t="str">
            <v>08</v>
          </cell>
          <cell r="CD287" t="str">
            <v>C</v>
          </cell>
          <cell r="CE287" t="str">
            <v>07</v>
          </cell>
        </row>
        <row r="288">
          <cell r="A288" t="str">
            <v>2603068</v>
          </cell>
          <cell r="B288" t="str">
            <v>30</v>
          </cell>
          <cell r="C288" t="str">
            <v>4갑</v>
          </cell>
          <cell r="D288" t="str">
            <v>박동하　　</v>
          </cell>
          <cell r="E288" t="str">
            <v>C</v>
          </cell>
          <cell r="G288">
            <v>1</v>
          </cell>
          <cell r="H288" t="str">
            <v>KO**</v>
          </cell>
          <cell r="I288" t="str">
            <v>KOCA</v>
          </cell>
          <cell r="J288" t="str">
            <v>업체협력１팀　　　　</v>
          </cell>
          <cell r="K288" t="str">
            <v>KOAA</v>
          </cell>
          <cell r="L288" t="str">
            <v>구매계획팀　　　　　</v>
          </cell>
          <cell r="O288" t="str">
            <v>KOAA</v>
          </cell>
          <cell r="R288" t="str">
            <v>4</v>
          </cell>
          <cell r="V288" t="str">
            <v>5</v>
          </cell>
          <cell r="W288" t="str">
            <v>1</v>
          </cell>
          <cell r="X288" t="str">
            <v>3</v>
          </cell>
          <cell r="Y288" t="str">
            <v>S</v>
          </cell>
          <cell r="Z288" t="str">
            <v>2032307</v>
          </cell>
          <cell r="AA288" t="str">
            <v>이형하　　</v>
          </cell>
          <cell r="AB288" t="str">
            <v>22</v>
          </cell>
          <cell r="AC288" t="str">
            <v>43</v>
          </cell>
          <cell r="AD288">
            <v>91</v>
          </cell>
          <cell r="AE288">
            <v>64.62</v>
          </cell>
          <cell r="AF288">
            <v>50</v>
          </cell>
          <cell r="AG288" t="str">
            <v>2008268</v>
          </cell>
          <cell r="AH288" t="str">
            <v>이용도　　</v>
          </cell>
          <cell r="AI288" t="str">
            <v>02</v>
          </cell>
          <cell r="AJ288" t="str">
            <v>20</v>
          </cell>
          <cell r="AK288">
            <v>91</v>
          </cell>
          <cell r="AL288">
            <v>68.22</v>
          </cell>
          <cell r="AM288">
            <v>30</v>
          </cell>
          <cell r="AR288">
            <v>0</v>
          </cell>
          <cell r="AS288">
            <v>0</v>
          </cell>
          <cell r="AT288">
            <v>0</v>
          </cell>
          <cell r="AY288">
            <v>0</v>
          </cell>
          <cell r="AZ288">
            <v>0</v>
          </cell>
          <cell r="BA288">
            <v>0</v>
          </cell>
          <cell r="BF288">
            <v>0</v>
          </cell>
          <cell r="BG288">
            <v>0</v>
          </cell>
          <cell r="BH288">
            <v>0</v>
          </cell>
          <cell r="BM288">
            <v>0</v>
          </cell>
          <cell r="BN288">
            <v>0</v>
          </cell>
          <cell r="BO288">
            <v>0</v>
          </cell>
          <cell r="BP288" t="b">
            <v>0</v>
          </cell>
          <cell r="BQ288">
            <v>0</v>
          </cell>
          <cell r="BR288">
            <v>65.97</v>
          </cell>
          <cell r="BS288">
            <v>235</v>
          </cell>
          <cell r="BT288">
            <v>16.2</v>
          </cell>
          <cell r="BU288" t="str">
            <v>B</v>
          </cell>
          <cell r="BV288" t="str">
            <v>03</v>
          </cell>
          <cell r="BW288">
            <v>72</v>
          </cell>
          <cell r="BX288" t="str">
            <v>19950116</v>
          </cell>
          <cell r="BZ288" t="str">
            <v>B</v>
          </cell>
          <cell r="CA288" t="str">
            <v>04</v>
          </cell>
          <cell r="CB288" t="str">
            <v>C</v>
          </cell>
          <cell r="CC288" t="str">
            <v>08</v>
          </cell>
          <cell r="CD288" t="str">
            <v>D</v>
          </cell>
          <cell r="CE288" t="str">
            <v>09</v>
          </cell>
        </row>
        <row r="289">
          <cell r="A289" t="str">
            <v>2605789</v>
          </cell>
          <cell r="B289" t="str">
            <v>30</v>
          </cell>
          <cell r="C289" t="str">
            <v>4갑</v>
          </cell>
          <cell r="D289" t="str">
            <v>정용희　　</v>
          </cell>
          <cell r="E289" t="str">
            <v>C</v>
          </cell>
          <cell r="G289">
            <v>1</v>
          </cell>
          <cell r="H289" t="str">
            <v>KM**</v>
          </cell>
          <cell r="I289" t="str">
            <v>KMJN</v>
          </cell>
          <cell r="J289" t="str">
            <v>광주사업소　　　　　</v>
          </cell>
          <cell r="K289" t="str">
            <v>KMEA</v>
          </cell>
          <cell r="L289" t="str">
            <v>부품조달팀　　　　　</v>
          </cell>
          <cell r="O289" t="str">
            <v>KMEA</v>
          </cell>
          <cell r="R289" t="str">
            <v>2</v>
          </cell>
          <cell r="V289" t="str">
            <v>5</v>
          </cell>
          <cell r="W289" t="str">
            <v>1</v>
          </cell>
          <cell r="X289" t="str">
            <v>3</v>
          </cell>
          <cell r="Y289" t="str">
            <v>S</v>
          </cell>
          <cell r="Z289" t="str">
            <v>0032631</v>
          </cell>
          <cell r="AA289" t="str">
            <v>조병덕　　</v>
          </cell>
          <cell r="AB289" t="str">
            <v>22</v>
          </cell>
          <cell r="AC289" t="str">
            <v>43</v>
          </cell>
          <cell r="AD289">
            <v>96</v>
          </cell>
          <cell r="AE289">
            <v>68.510000000000005</v>
          </cell>
          <cell r="AF289">
            <v>40</v>
          </cell>
          <cell r="AG289" t="str">
            <v>0043652</v>
          </cell>
          <cell r="AH289" t="str">
            <v>정남기　　</v>
          </cell>
          <cell r="AI289" t="str">
            <v>05</v>
          </cell>
          <cell r="AJ289" t="str">
            <v>32</v>
          </cell>
          <cell r="AK289">
            <v>89</v>
          </cell>
          <cell r="AL289">
            <v>67.930000000000007</v>
          </cell>
          <cell r="AM289">
            <v>30</v>
          </cell>
          <cell r="AN289" t="str">
            <v>2001319</v>
          </cell>
          <cell r="AO289" t="str">
            <v>차정식　　</v>
          </cell>
          <cell r="AP289" t="str">
            <v>02</v>
          </cell>
          <cell r="AQ289" t="str">
            <v>20</v>
          </cell>
          <cell r="AR289">
            <v>86</v>
          </cell>
          <cell r="AS289">
            <v>65.45</v>
          </cell>
          <cell r="AT289">
            <v>10</v>
          </cell>
          <cell r="AY289">
            <v>0</v>
          </cell>
          <cell r="AZ289">
            <v>0</v>
          </cell>
          <cell r="BA289">
            <v>0</v>
          </cell>
          <cell r="BF289">
            <v>0</v>
          </cell>
          <cell r="BG289">
            <v>0</v>
          </cell>
          <cell r="BH289">
            <v>0</v>
          </cell>
          <cell r="BM289">
            <v>0</v>
          </cell>
          <cell r="BN289">
            <v>0</v>
          </cell>
          <cell r="BO289">
            <v>0</v>
          </cell>
          <cell r="BP289" t="b">
            <v>0</v>
          </cell>
          <cell r="BQ289">
            <v>0</v>
          </cell>
          <cell r="BR289">
            <v>67.91</v>
          </cell>
          <cell r="BS289">
            <v>117</v>
          </cell>
          <cell r="BT289">
            <v>8.1</v>
          </cell>
          <cell r="BU289" t="str">
            <v>A</v>
          </cell>
          <cell r="BV289" t="str">
            <v>02</v>
          </cell>
          <cell r="BW289">
            <v>76</v>
          </cell>
          <cell r="BX289" t="str">
            <v>19950116</v>
          </cell>
          <cell r="BZ289" t="str">
            <v>A</v>
          </cell>
          <cell r="CA289" t="str">
            <v>02</v>
          </cell>
          <cell r="CB289" t="str">
            <v>C</v>
          </cell>
          <cell r="CC289" t="str">
            <v>08</v>
          </cell>
          <cell r="CD289" t="str">
            <v>C</v>
          </cell>
          <cell r="CE289" t="str">
            <v>08</v>
          </cell>
        </row>
        <row r="290">
          <cell r="A290" t="str">
            <v>2376253</v>
          </cell>
          <cell r="B290" t="str">
            <v>28</v>
          </cell>
          <cell r="C290" t="str">
            <v>대리</v>
          </cell>
          <cell r="D290" t="str">
            <v>안홍명　　</v>
          </cell>
          <cell r="E290" t="str">
            <v>C</v>
          </cell>
          <cell r="G290">
            <v>1</v>
          </cell>
          <cell r="H290" t="str">
            <v>KO**</v>
          </cell>
          <cell r="I290" t="str">
            <v>KPCC</v>
          </cell>
          <cell r="J290" t="str">
            <v>상용구동부품개발팀　</v>
          </cell>
          <cell r="K290" t="str">
            <v>KPBC</v>
          </cell>
          <cell r="L290" t="str">
            <v>상용차체부품개발팀　</v>
          </cell>
          <cell r="O290" t="str">
            <v>KPBC</v>
          </cell>
          <cell r="R290" t="str">
            <v>6</v>
          </cell>
          <cell r="V290" t="str">
            <v>4</v>
          </cell>
          <cell r="W290" t="str">
            <v>1</v>
          </cell>
          <cell r="X290" t="str">
            <v>3</v>
          </cell>
          <cell r="Y290" t="str">
            <v>S</v>
          </cell>
          <cell r="Z290" t="str">
            <v>7299025</v>
          </cell>
          <cell r="AA290" t="str">
            <v>하인철　　</v>
          </cell>
          <cell r="AB290" t="str">
            <v>24</v>
          </cell>
          <cell r="AC290" t="str">
            <v>43</v>
          </cell>
          <cell r="AD290">
            <v>85</v>
          </cell>
          <cell r="AE290">
            <v>69.12</v>
          </cell>
          <cell r="AF290">
            <v>30</v>
          </cell>
          <cell r="AG290" t="str">
            <v>7158925</v>
          </cell>
          <cell r="AH290" t="str">
            <v>조병진　　</v>
          </cell>
          <cell r="AI290" t="str">
            <v>20</v>
          </cell>
          <cell r="AJ290" t="str">
            <v>32</v>
          </cell>
          <cell r="AK290">
            <v>93</v>
          </cell>
          <cell r="AL290">
            <v>70.17</v>
          </cell>
          <cell r="AM290">
            <v>20</v>
          </cell>
          <cell r="AN290" t="str">
            <v>7043317</v>
          </cell>
          <cell r="AO290" t="str">
            <v>박승하　　</v>
          </cell>
          <cell r="AP290" t="str">
            <v>04</v>
          </cell>
          <cell r="AQ290" t="str">
            <v>30</v>
          </cell>
          <cell r="AR290">
            <v>96</v>
          </cell>
          <cell r="AS290">
            <v>68.28</v>
          </cell>
          <cell r="AT290">
            <v>20</v>
          </cell>
          <cell r="AU290" t="str">
            <v>2008268</v>
          </cell>
          <cell r="AV290" t="str">
            <v>이용도　　</v>
          </cell>
          <cell r="AW290" t="str">
            <v>02</v>
          </cell>
          <cell r="AX290" t="str">
            <v>20</v>
          </cell>
          <cell r="AY290">
            <v>93</v>
          </cell>
          <cell r="AZ290">
            <v>68.650000000000006</v>
          </cell>
          <cell r="BA290">
            <v>10</v>
          </cell>
          <cell r="BF290">
            <v>0</v>
          </cell>
          <cell r="BG290">
            <v>0</v>
          </cell>
          <cell r="BH290">
            <v>0</v>
          </cell>
          <cell r="BM290">
            <v>0</v>
          </cell>
          <cell r="BN290">
            <v>0</v>
          </cell>
          <cell r="BO290">
            <v>0</v>
          </cell>
          <cell r="BP290" t="b">
            <v>0</v>
          </cell>
          <cell r="BQ290">
            <v>0</v>
          </cell>
          <cell r="BR290">
            <v>69.11</v>
          </cell>
          <cell r="BS290">
            <v>77</v>
          </cell>
          <cell r="BT290">
            <v>4.5999999999999996</v>
          </cell>
          <cell r="BU290" t="str">
            <v>A</v>
          </cell>
          <cell r="BV290" t="str">
            <v>01</v>
          </cell>
          <cell r="BW290">
            <v>80</v>
          </cell>
          <cell r="BX290" t="str">
            <v>19950101</v>
          </cell>
          <cell r="BZ290" t="str">
            <v>C</v>
          </cell>
          <cell r="CA290" t="str">
            <v>05</v>
          </cell>
          <cell r="CB290" t="str">
            <v>B</v>
          </cell>
          <cell r="CC290" t="str">
            <v>04</v>
          </cell>
          <cell r="CD290" t="str">
            <v>C</v>
          </cell>
          <cell r="CE290" t="str">
            <v>06</v>
          </cell>
        </row>
        <row r="291">
          <cell r="A291" t="str">
            <v>2246795</v>
          </cell>
          <cell r="B291" t="str">
            <v>28</v>
          </cell>
          <cell r="C291" t="str">
            <v>대리</v>
          </cell>
          <cell r="D291" t="str">
            <v>김도진　　</v>
          </cell>
          <cell r="E291" t="str">
            <v>C</v>
          </cell>
          <cell r="G291">
            <v>1</v>
          </cell>
          <cell r="H291" t="str">
            <v>KH**</v>
          </cell>
          <cell r="I291" t="str">
            <v>KHAB</v>
          </cell>
          <cell r="J291" t="str">
            <v>판매지원팀　　　　　</v>
          </cell>
          <cell r="K291" t="str">
            <v>KHGD</v>
          </cell>
          <cell r="L291" t="str">
            <v>남부）강남지점　　　</v>
          </cell>
          <cell r="O291" t="str">
            <v>KHGDA</v>
          </cell>
          <cell r="R291" t="str">
            <v>2</v>
          </cell>
          <cell r="V291" t="str">
            <v>4</v>
          </cell>
          <cell r="W291" t="str">
            <v>3</v>
          </cell>
          <cell r="X291" t="str">
            <v>3</v>
          </cell>
          <cell r="Y291" t="str">
            <v>S</v>
          </cell>
          <cell r="Z291" t="str">
            <v>2064402</v>
          </cell>
          <cell r="AA291" t="str">
            <v>손용찬　　</v>
          </cell>
          <cell r="AB291" t="str">
            <v>26</v>
          </cell>
          <cell r="AC291" t="str">
            <v>50</v>
          </cell>
          <cell r="AD291">
            <v>94</v>
          </cell>
          <cell r="AE291">
            <v>64.709999999999994</v>
          </cell>
          <cell r="AF291">
            <v>10</v>
          </cell>
          <cell r="AG291" t="str">
            <v>2023829</v>
          </cell>
          <cell r="AH291" t="str">
            <v>김대규　　</v>
          </cell>
          <cell r="AI291" t="str">
            <v>22</v>
          </cell>
          <cell r="AJ291" t="str">
            <v>44</v>
          </cell>
          <cell r="AK291">
            <v>91</v>
          </cell>
          <cell r="AL291">
            <v>64.709999999999994</v>
          </cell>
          <cell r="AM291">
            <v>40</v>
          </cell>
          <cell r="AN291" t="str">
            <v>2013194</v>
          </cell>
          <cell r="AO291" t="str">
            <v>박종호　　</v>
          </cell>
          <cell r="AP291" t="str">
            <v>05</v>
          </cell>
          <cell r="AQ291" t="str">
            <v>32</v>
          </cell>
          <cell r="AR291">
            <v>89</v>
          </cell>
          <cell r="AS291">
            <v>66.86</v>
          </cell>
          <cell r="AT291">
            <v>30</v>
          </cell>
          <cell r="AU291" t="str">
            <v>2059744</v>
          </cell>
          <cell r="AV291" t="str">
            <v>김도영　　</v>
          </cell>
          <cell r="AW291" t="str">
            <v>02</v>
          </cell>
          <cell r="AX291" t="str">
            <v>20</v>
          </cell>
          <cell r="AY291">
            <v>77</v>
          </cell>
          <cell r="AZ291">
            <v>62.4</v>
          </cell>
          <cell r="BA291">
            <v>10</v>
          </cell>
          <cell r="BF291">
            <v>0</v>
          </cell>
          <cell r="BG291">
            <v>0</v>
          </cell>
          <cell r="BH291">
            <v>0</v>
          </cell>
          <cell r="BM291">
            <v>0</v>
          </cell>
          <cell r="BN291">
            <v>0</v>
          </cell>
          <cell r="BO291">
            <v>0</v>
          </cell>
          <cell r="BP291" t="b">
            <v>0</v>
          </cell>
          <cell r="BQ291">
            <v>0</v>
          </cell>
          <cell r="BR291">
            <v>65.17</v>
          </cell>
          <cell r="BS291">
            <v>389</v>
          </cell>
          <cell r="BT291">
            <v>23.2</v>
          </cell>
          <cell r="BU291" t="str">
            <v>B</v>
          </cell>
          <cell r="BV291" t="str">
            <v>03</v>
          </cell>
          <cell r="BW291">
            <v>72</v>
          </cell>
          <cell r="BX291" t="str">
            <v>19950410</v>
          </cell>
          <cell r="BZ291" t="str">
            <v>C</v>
          </cell>
          <cell r="CA291" t="str">
            <v>07</v>
          </cell>
          <cell r="CB291" t="str">
            <v>C</v>
          </cell>
          <cell r="CC291" t="str">
            <v>07</v>
          </cell>
          <cell r="CD291" t="str">
            <v>C</v>
          </cell>
          <cell r="CE291" t="str">
            <v>08</v>
          </cell>
        </row>
        <row r="292">
          <cell r="A292" t="str">
            <v>2506313</v>
          </cell>
          <cell r="B292" t="str">
            <v>32</v>
          </cell>
          <cell r="C292" t="str">
            <v>4을</v>
          </cell>
          <cell r="D292" t="str">
            <v>정일영　　</v>
          </cell>
          <cell r="E292" t="str">
            <v>C</v>
          </cell>
          <cell r="G292">
            <v>1</v>
          </cell>
          <cell r="H292" t="str">
            <v>KH**</v>
          </cell>
          <cell r="I292" t="str">
            <v>KHUQ</v>
          </cell>
          <cell r="J292" t="str">
            <v>대구）만평지점　　　</v>
          </cell>
          <cell r="K292" t="str">
            <v>KHUH</v>
          </cell>
          <cell r="L292" t="str">
            <v>대구）대구중앙지점　</v>
          </cell>
          <cell r="O292" t="str">
            <v>KHUHA</v>
          </cell>
          <cell r="R292" t="str">
            <v>2</v>
          </cell>
          <cell r="V292" t="str">
            <v>6</v>
          </cell>
          <cell r="W292" t="str">
            <v>3</v>
          </cell>
          <cell r="X292" t="str">
            <v>4</v>
          </cell>
          <cell r="Y292" t="str">
            <v>S</v>
          </cell>
          <cell r="Z292" t="str">
            <v>2156469</v>
          </cell>
          <cell r="AA292" t="str">
            <v>오범철　　</v>
          </cell>
          <cell r="AB292" t="str">
            <v>28</v>
          </cell>
          <cell r="AC292" t="str">
            <v>50</v>
          </cell>
          <cell r="AD292">
            <v>95</v>
          </cell>
          <cell r="AE292">
            <v>64.709999999999994</v>
          </cell>
          <cell r="AF292">
            <v>10</v>
          </cell>
          <cell r="AG292" t="str">
            <v>2030523</v>
          </cell>
          <cell r="AH292" t="str">
            <v>박상웅　　</v>
          </cell>
          <cell r="AI292" t="str">
            <v>26</v>
          </cell>
          <cell r="AJ292" t="str">
            <v>44</v>
          </cell>
          <cell r="AK292">
            <v>96</v>
          </cell>
          <cell r="AL292">
            <v>64.709999999999994</v>
          </cell>
          <cell r="AM292">
            <v>50</v>
          </cell>
          <cell r="AN292" t="str">
            <v>2018769</v>
          </cell>
          <cell r="AO292" t="str">
            <v>이문식　　</v>
          </cell>
          <cell r="AP292" t="str">
            <v>20</v>
          </cell>
          <cell r="AQ292" t="str">
            <v>32</v>
          </cell>
          <cell r="AR292">
            <v>88</v>
          </cell>
          <cell r="AS292">
            <v>68</v>
          </cell>
          <cell r="AT292">
            <v>30</v>
          </cell>
          <cell r="AY292">
            <v>0</v>
          </cell>
          <cell r="AZ292">
            <v>0</v>
          </cell>
          <cell r="BA292">
            <v>0</v>
          </cell>
          <cell r="BF292">
            <v>0</v>
          </cell>
          <cell r="BG292">
            <v>0</v>
          </cell>
          <cell r="BH292">
            <v>0</v>
          </cell>
          <cell r="BM292">
            <v>0</v>
          </cell>
          <cell r="BN292">
            <v>0</v>
          </cell>
          <cell r="BO292">
            <v>0</v>
          </cell>
          <cell r="BP292" t="b">
            <v>0</v>
          </cell>
          <cell r="BQ292">
            <v>0</v>
          </cell>
          <cell r="BR292">
            <v>65.81</v>
          </cell>
          <cell r="BS292">
            <v>112</v>
          </cell>
          <cell r="BT292">
            <v>16.100000000000001</v>
          </cell>
          <cell r="BU292" t="str">
            <v>B</v>
          </cell>
          <cell r="BV292" t="str">
            <v>03</v>
          </cell>
          <cell r="BW292">
            <v>72</v>
          </cell>
          <cell r="BX292" t="str">
            <v>19931129</v>
          </cell>
          <cell r="BZ292" t="str">
            <v>D</v>
          </cell>
          <cell r="CA292" t="str">
            <v>10</v>
          </cell>
          <cell r="CB292" t="str">
            <v>C</v>
          </cell>
          <cell r="CC292" t="str">
            <v>07</v>
          </cell>
          <cell r="CD292" t="str">
            <v>C</v>
          </cell>
          <cell r="CE292" t="str">
            <v>05</v>
          </cell>
        </row>
        <row r="293">
          <cell r="A293" t="str">
            <v>2082245</v>
          </cell>
          <cell r="B293" t="str">
            <v>26</v>
          </cell>
          <cell r="C293" t="str">
            <v>과장</v>
          </cell>
          <cell r="D293" t="str">
            <v>전광석　　</v>
          </cell>
          <cell r="E293" t="str">
            <v>C</v>
          </cell>
          <cell r="G293">
            <v>1</v>
          </cell>
          <cell r="H293" t="str">
            <v>KQ**</v>
          </cell>
          <cell r="I293" t="str">
            <v>KTEA</v>
          </cell>
          <cell r="J293" t="str">
            <v>화）제조관리３부　　</v>
          </cell>
          <cell r="K293" t="str">
            <v>KTDB</v>
          </cell>
          <cell r="L293" t="str">
            <v>화）차체２부　　　　</v>
          </cell>
          <cell r="O293" t="str">
            <v>KTDB</v>
          </cell>
          <cell r="R293" t="str">
            <v>5</v>
          </cell>
          <cell r="T293" t="str">
            <v>40</v>
          </cell>
          <cell r="U293" t="str">
            <v>부서장</v>
          </cell>
          <cell r="V293" t="str">
            <v>3</v>
          </cell>
          <cell r="W293" t="str">
            <v>2</v>
          </cell>
          <cell r="X293" t="str">
            <v>1</v>
          </cell>
          <cell r="Y293" t="str">
            <v>S</v>
          </cell>
          <cell r="Z293" t="str">
            <v>2018783</v>
          </cell>
          <cell r="AA293" t="str">
            <v>이성복　　</v>
          </cell>
          <cell r="AB293" t="str">
            <v>22</v>
          </cell>
          <cell r="AC293" t="str">
            <v>32</v>
          </cell>
          <cell r="AD293">
            <v>100</v>
          </cell>
          <cell r="AE293">
            <v>70.069999999999993</v>
          </cell>
          <cell r="AF293">
            <v>10</v>
          </cell>
          <cell r="AG293" t="str">
            <v>7019858</v>
          </cell>
          <cell r="AH293" t="str">
            <v>홍석종　　</v>
          </cell>
          <cell r="AI293" t="str">
            <v>04</v>
          </cell>
          <cell r="AJ293" t="str">
            <v>31</v>
          </cell>
          <cell r="AK293">
            <v>70</v>
          </cell>
          <cell r="AL293">
            <v>58</v>
          </cell>
          <cell r="AM293">
            <v>20</v>
          </cell>
          <cell r="AN293" t="str">
            <v>2100100</v>
          </cell>
          <cell r="AO293" t="str">
            <v>김무일　　</v>
          </cell>
          <cell r="AP293" t="str">
            <v>02</v>
          </cell>
          <cell r="AQ293" t="str">
            <v>30</v>
          </cell>
          <cell r="AR293">
            <v>100</v>
          </cell>
          <cell r="AS293">
            <v>68.3</v>
          </cell>
          <cell r="AT293">
            <v>30</v>
          </cell>
          <cell r="AU293" t="str">
            <v>2728462</v>
          </cell>
          <cell r="AV293" t="str">
            <v>임승근　　</v>
          </cell>
          <cell r="AW293" t="str">
            <v>02</v>
          </cell>
          <cell r="AX293" t="str">
            <v>20</v>
          </cell>
          <cell r="AY293">
            <v>93</v>
          </cell>
          <cell r="AZ293">
            <v>68.58</v>
          </cell>
          <cell r="BA293">
            <v>10</v>
          </cell>
          <cell r="BF293">
            <v>0</v>
          </cell>
          <cell r="BG293">
            <v>0</v>
          </cell>
          <cell r="BH293">
            <v>0</v>
          </cell>
          <cell r="BM293">
            <v>0</v>
          </cell>
          <cell r="BN293">
            <v>0</v>
          </cell>
          <cell r="BO293">
            <v>0</v>
          </cell>
          <cell r="BP293" t="b">
            <v>1</v>
          </cell>
          <cell r="BQ293">
            <v>9</v>
          </cell>
          <cell r="BR293">
            <v>66.44</v>
          </cell>
          <cell r="BS293">
            <v>173</v>
          </cell>
          <cell r="BT293">
            <v>15.2</v>
          </cell>
          <cell r="BU293" t="str">
            <v>B</v>
          </cell>
          <cell r="BV293" t="str">
            <v>03</v>
          </cell>
          <cell r="BW293">
            <v>72</v>
          </cell>
          <cell r="BX293" t="str">
            <v>19940101</v>
          </cell>
          <cell r="BZ293" t="str">
            <v>D</v>
          </cell>
          <cell r="CA293" t="str">
            <v>09</v>
          </cell>
          <cell r="CB293" t="str">
            <v>B</v>
          </cell>
          <cell r="CC293" t="str">
            <v>04</v>
          </cell>
          <cell r="CD293" t="str">
            <v>D</v>
          </cell>
          <cell r="CE293" t="str">
            <v>09</v>
          </cell>
        </row>
        <row r="294">
          <cell r="A294" t="str">
            <v>2664851</v>
          </cell>
          <cell r="B294" t="str">
            <v>33</v>
          </cell>
          <cell r="C294" t="str">
            <v>5급</v>
          </cell>
          <cell r="D294" t="str">
            <v>김희경　　</v>
          </cell>
          <cell r="E294" t="str">
            <v>C</v>
          </cell>
          <cell r="G294">
            <v>1</v>
          </cell>
          <cell r="H294" t="str">
            <v>KO**</v>
          </cell>
          <cell r="I294" t="str">
            <v>KOAA</v>
          </cell>
          <cell r="J294" t="str">
            <v>구매계획팀　　　　　</v>
          </cell>
          <cell r="K294" t="str">
            <v>KODD</v>
          </cell>
          <cell r="L294" t="str">
            <v>수입２팀　　　　　　</v>
          </cell>
          <cell r="O294" t="str">
            <v>KODD</v>
          </cell>
          <cell r="R294" t="str">
            <v>1</v>
          </cell>
          <cell r="V294" t="str">
            <v>7</v>
          </cell>
          <cell r="W294" t="str">
            <v>1</v>
          </cell>
          <cell r="X294" t="str">
            <v>4</v>
          </cell>
          <cell r="Y294" t="str">
            <v>O</v>
          </cell>
          <cell r="Z294" t="str">
            <v>2067778</v>
          </cell>
          <cell r="AA294" t="str">
            <v>송시용　　</v>
          </cell>
          <cell r="AB294" t="str">
            <v>22</v>
          </cell>
          <cell r="AC294" t="str">
            <v>32</v>
          </cell>
          <cell r="AD294">
            <v>69</v>
          </cell>
          <cell r="AE294">
            <v>59.57</v>
          </cell>
          <cell r="AF294">
            <v>80</v>
          </cell>
          <cell r="AK294">
            <v>0</v>
          </cell>
          <cell r="AL294">
            <v>0</v>
          </cell>
          <cell r="AM294">
            <v>0</v>
          </cell>
          <cell r="AR294">
            <v>0</v>
          </cell>
          <cell r="AS294">
            <v>0</v>
          </cell>
          <cell r="AT294">
            <v>0</v>
          </cell>
          <cell r="AY294">
            <v>0</v>
          </cell>
          <cell r="AZ294">
            <v>0</v>
          </cell>
          <cell r="BA294">
            <v>0</v>
          </cell>
          <cell r="BF294">
            <v>0</v>
          </cell>
          <cell r="BG294">
            <v>0</v>
          </cell>
          <cell r="BH294">
            <v>0</v>
          </cell>
          <cell r="BM294">
            <v>0</v>
          </cell>
          <cell r="BN294">
            <v>0</v>
          </cell>
          <cell r="BO294">
            <v>0</v>
          </cell>
          <cell r="BP294" t="b">
            <v>0</v>
          </cell>
          <cell r="BQ294">
            <v>0</v>
          </cell>
          <cell r="BR294">
            <v>59.57</v>
          </cell>
          <cell r="BS294">
            <v>344</v>
          </cell>
          <cell r="BT294">
            <v>50.2</v>
          </cell>
          <cell r="BU294" t="str">
            <v>C</v>
          </cell>
          <cell r="BV294" t="str">
            <v>06</v>
          </cell>
          <cell r="BW294">
            <v>60</v>
          </cell>
          <cell r="BX294" t="str">
            <v>19960325</v>
          </cell>
          <cell r="BZ294" t="str">
            <v>E</v>
          </cell>
          <cell r="CA294" t="str">
            <v>10</v>
          </cell>
          <cell r="CB294" t="str">
            <v>E</v>
          </cell>
          <cell r="CC294" t="str">
            <v>11</v>
          </cell>
          <cell r="CD294" t="str">
            <v>E</v>
          </cell>
          <cell r="CE294" t="str">
            <v>10</v>
          </cell>
        </row>
        <row r="295">
          <cell r="A295" t="str">
            <v>2127836</v>
          </cell>
          <cell r="B295" t="str">
            <v>28</v>
          </cell>
          <cell r="C295" t="str">
            <v>대리</v>
          </cell>
          <cell r="D295" t="str">
            <v>정낙준　　</v>
          </cell>
          <cell r="E295" t="str">
            <v>C</v>
          </cell>
          <cell r="G295">
            <v>1</v>
          </cell>
          <cell r="H295" t="str">
            <v>KM**</v>
          </cell>
          <cell r="I295" t="str">
            <v>KMJF</v>
          </cell>
          <cell r="J295" t="str">
            <v>인천사업소　　　　　</v>
          </cell>
          <cell r="K295" t="str">
            <v>KMJG</v>
          </cell>
          <cell r="L295" t="str">
            <v>송도사업소　　　　　</v>
          </cell>
          <cell r="O295" t="str">
            <v>KMJGA</v>
          </cell>
          <cell r="R295" t="str">
            <v>2</v>
          </cell>
          <cell r="V295" t="str">
            <v>4</v>
          </cell>
          <cell r="W295" t="str">
            <v>4</v>
          </cell>
          <cell r="X295" t="str">
            <v>3</v>
          </cell>
          <cell r="Y295" t="str">
            <v>O</v>
          </cell>
          <cell r="Z295" t="str">
            <v>2092716</v>
          </cell>
          <cell r="AA295" t="str">
            <v>황인성　　</v>
          </cell>
          <cell r="AB295" t="str">
            <v>28</v>
          </cell>
          <cell r="AC295" t="str">
            <v>50</v>
          </cell>
          <cell r="AD295">
            <v>77</v>
          </cell>
          <cell r="AE295">
            <v>64.709999999999994</v>
          </cell>
          <cell r="AF295">
            <v>40</v>
          </cell>
          <cell r="AG295" t="str">
            <v>2069546</v>
          </cell>
          <cell r="AH295" t="str">
            <v>김병주　　</v>
          </cell>
          <cell r="AI295" t="str">
            <v>24</v>
          </cell>
          <cell r="AJ295" t="str">
            <v>43</v>
          </cell>
          <cell r="AK295">
            <v>76</v>
          </cell>
          <cell r="AL295">
            <v>58.49</v>
          </cell>
          <cell r="AM295">
            <v>40</v>
          </cell>
          <cell r="AN295" t="str">
            <v>2001319</v>
          </cell>
          <cell r="AO295" t="str">
            <v>차정식　　</v>
          </cell>
          <cell r="AP295" t="str">
            <v>02</v>
          </cell>
          <cell r="AQ295" t="str">
            <v>20</v>
          </cell>
          <cell r="AR295">
            <v>53</v>
          </cell>
          <cell r="AS295">
            <v>53.81</v>
          </cell>
          <cell r="AT295">
            <v>10</v>
          </cell>
          <cell r="AY295">
            <v>0</v>
          </cell>
          <cell r="AZ295">
            <v>0</v>
          </cell>
          <cell r="BA295">
            <v>0</v>
          </cell>
          <cell r="BF295">
            <v>0</v>
          </cell>
          <cell r="BG295">
            <v>0</v>
          </cell>
          <cell r="BH295">
            <v>0</v>
          </cell>
          <cell r="BM295">
            <v>0</v>
          </cell>
          <cell r="BN295">
            <v>0</v>
          </cell>
          <cell r="BO295">
            <v>0</v>
          </cell>
          <cell r="BP295" t="b">
            <v>0</v>
          </cell>
          <cell r="BQ295">
            <v>0</v>
          </cell>
          <cell r="BR295">
            <v>60.73</v>
          </cell>
          <cell r="BS295">
            <v>743</v>
          </cell>
          <cell r="BT295">
            <v>44.4</v>
          </cell>
          <cell r="BU295" t="str">
            <v>C</v>
          </cell>
          <cell r="BV295" t="str">
            <v>05</v>
          </cell>
          <cell r="BW295">
            <v>64</v>
          </cell>
          <cell r="BX295" t="str">
            <v>19960101</v>
          </cell>
          <cell r="BZ295" t="str">
            <v>E</v>
          </cell>
          <cell r="CA295" t="str">
            <v>11</v>
          </cell>
          <cell r="CB295" t="str">
            <v>C</v>
          </cell>
          <cell r="CC295" t="str">
            <v>08</v>
          </cell>
          <cell r="CD295" t="str">
            <v>D</v>
          </cell>
          <cell r="CE295" t="str">
            <v>09</v>
          </cell>
        </row>
        <row r="296">
          <cell r="A296" t="str">
            <v>2502404</v>
          </cell>
          <cell r="B296" t="str">
            <v>33</v>
          </cell>
          <cell r="C296" t="str">
            <v>5급</v>
          </cell>
          <cell r="D296" t="str">
            <v>김임숙　　</v>
          </cell>
          <cell r="E296" t="str">
            <v>C</v>
          </cell>
          <cell r="G296">
            <v>1</v>
          </cell>
          <cell r="H296" t="str">
            <v>KQ**</v>
          </cell>
          <cell r="I296" t="str">
            <v>KSBE</v>
          </cell>
          <cell r="J296" t="str">
            <v>소）경리팀　　　　　</v>
          </cell>
          <cell r="K296" t="str">
            <v>KQAB</v>
          </cell>
          <cell r="L296" t="str">
            <v>통합물류팀　　　　　</v>
          </cell>
          <cell r="O296" t="str">
            <v>KQAB</v>
          </cell>
          <cell r="R296" t="str">
            <v>4</v>
          </cell>
          <cell r="V296" t="str">
            <v>7</v>
          </cell>
          <cell r="W296" t="str">
            <v>2</v>
          </cell>
          <cell r="X296" t="str">
            <v>4</v>
          </cell>
          <cell r="Y296" t="str">
            <v>S</v>
          </cell>
          <cell r="Z296" t="str">
            <v>2074152</v>
          </cell>
          <cell r="AA296" t="str">
            <v>유성희　　</v>
          </cell>
          <cell r="AB296" t="str">
            <v>24</v>
          </cell>
          <cell r="AC296" t="str">
            <v>43</v>
          </cell>
          <cell r="AD296">
            <v>69</v>
          </cell>
          <cell r="AE296">
            <v>60</v>
          </cell>
          <cell r="AF296">
            <v>50</v>
          </cell>
          <cell r="AG296" t="str">
            <v>2010734</v>
          </cell>
          <cell r="AH296" t="str">
            <v>탁원식　　</v>
          </cell>
          <cell r="AI296" t="str">
            <v>04</v>
          </cell>
          <cell r="AJ296" t="str">
            <v>32</v>
          </cell>
          <cell r="AK296">
            <v>91</v>
          </cell>
          <cell r="AL296">
            <v>64.709999999999994</v>
          </cell>
          <cell r="AM296">
            <v>30</v>
          </cell>
          <cell r="AR296">
            <v>0</v>
          </cell>
          <cell r="AS296">
            <v>0</v>
          </cell>
          <cell r="AT296">
            <v>0</v>
          </cell>
          <cell r="AY296">
            <v>0</v>
          </cell>
          <cell r="AZ296">
            <v>0</v>
          </cell>
          <cell r="BA296">
            <v>0</v>
          </cell>
          <cell r="BF296">
            <v>0</v>
          </cell>
          <cell r="BG296">
            <v>0</v>
          </cell>
          <cell r="BH296">
            <v>0</v>
          </cell>
          <cell r="BM296">
            <v>0</v>
          </cell>
          <cell r="BN296">
            <v>0</v>
          </cell>
          <cell r="BO296">
            <v>0</v>
          </cell>
          <cell r="BP296" t="b">
            <v>0</v>
          </cell>
          <cell r="BQ296">
            <v>0</v>
          </cell>
          <cell r="BR296">
            <v>61.77</v>
          </cell>
          <cell r="BS296">
            <v>226</v>
          </cell>
          <cell r="BT296">
            <v>33</v>
          </cell>
          <cell r="BU296" t="str">
            <v>C</v>
          </cell>
          <cell r="BV296" t="str">
            <v>04</v>
          </cell>
          <cell r="BW296">
            <v>68</v>
          </cell>
          <cell r="BX296" t="str">
            <v>19931104</v>
          </cell>
          <cell r="BZ296" t="str">
            <v>B</v>
          </cell>
          <cell r="CA296" t="str">
            <v>03</v>
          </cell>
          <cell r="CB296" t="str">
            <v>E</v>
          </cell>
          <cell r="CC296" t="str">
            <v>11</v>
          </cell>
          <cell r="CD296" t="str">
            <v>E</v>
          </cell>
          <cell r="CE296" t="str">
            <v>11</v>
          </cell>
        </row>
        <row r="297">
          <cell r="A297" t="str">
            <v>2376157</v>
          </cell>
          <cell r="B297" t="str">
            <v>28</v>
          </cell>
          <cell r="C297" t="str">
            <v>대리</v>
          </cell>
          <cell r="D297" t="str">
            <v>신부정　　</v>
          </cell>
          <cell r="E297" t="str">
            <v>C</v>
          </cell>
          <cell r="G297">
            <v>1</v>
          </cell>
          <cell r="H297" t="str">
            <v>KH**</v>
          </cell>
          <cell r="I297" t="str">
            <v>KHBA</v>
          </cell>
          <cell r="J297" t="str">
            <v>채권관리팀　　　　　</v>
          </cell>
          <cell r="K297" t="str">
            <v>KHVQ</v>
          </cell>
          <cell r="L297" t="str">
            <v>경남동부）신마산지점</v>
          </cell>
          <cell r="O297" t="str">
            <v>KHVQA</v>
          </cell>
          <cell r="R297" t="str">
            <v>2</v>
          </cell>
          <cell r="T297" t="str">
            <v>50</v>
          </cell>
          <cell r="U297" t="str">
            <v>과장</v>
          </cell>
          <cell r="V297" t="str">
            <v>4</v>
          </cell>
          <cell r="W297" t="str">
            <v>3</v>
          </cell>
          <cell r="X297" t="str">
            <v>2</v>
          </cell>
          <cell r="Y297" t="str">
            <v>S</v>
          </cell>
          <cell r="Z297" t="str">
            <v>2057745</v>
          </cell>
          <cell r="AA297" t="str">
            <v>나원형　　</v>
          </cell>
          <cell r="AB297" t="str">
            <v>24</v>
          </cell>
          <cell r="AC297" t="str">
            <v>44</v>
          </cell>
          <cell r="AD297">
            <v>87</v>
          </cell>
          <cell r="AE297">
            <v>60</v>
          </cell>
          <cell r="AF297">
            <v>50</v>
          </cell>
          <cell r="AG297" t="str">
            <v>2029104</v>
          </cell>
          <cell r="AH297" t="str">
            <v>제철　　　</v>
          </cell>
          <cell r="AI297" t="str">
            <v>05</v>
          </cell>
          <cell r="AJ297" t="str">
            <v>32</v>
          </cell>
          <cell r="AK297">
            <v>80</v>
          </cell>
          <cell r="AL297">
            <v>64.62</v>
          </cell>
          <cell r="AM297">
            <v>30</v>
          </cell>
          <cell r="AN297" t="str">
            <v>2059744</v>
          </cell>
          <cell r="AO297" t="str">
            <v>김도영　　</v>
          </cell>
          <cell r="AP297" t="str">
            <v>02</v>
          </cell>
          <cell r="AQ297" t="str">
            <v>20</v>
          </cell>
          <cell r="AR297">
            <v>47</v>
          </cell>
          <cell r="AS297">
            <v>51.64</v>
          </cell>
          <cell r="AT297">
            <v>10</v>
          </cell>
          <cell r="AY297">
            <v>0</v>
          </cell>
          <cell r="AZ297">
            <v>0</v>
          </cell>
          <cell r="BA297">
            <v>0</v>
          </cell>
          <cell r="BF297">
            <v>0</v>
          </cell>
          <cell r="BG297">
            <v>0</v>
          </cell>
          <cell r="BH297">
            <v>0</v>
          </cell>
          <cell r="BM297">
            <v>0</v>
          </cell>
          <cell r="BN297">
            <v>0</v>
          </cell>
          <cell r="BO297">
            <v>0</v>
          </cell>
          <cell r="BP297" t="b">
            <v>0</v>
          </cell>
          <cell r="BQ297">
            <v>0</v>
          </cell>
          <cell r="BR297">
            <v>60.61</v>
          </cell>
          <cell r="BS297">
            <v>754</v>
          </cell>
          <cell r="BT297">
            <v>45</v>
          </cell>
          <cell r="BU297" t="str">
            <v>C</v>
          </cell>
          <cell r="BV297" t="str">
            <v>05</v>
          </cell>
          <cell r="BW297">
            <v>64</v>
          </cell>
          <cell r="BX297" t="str">
            <v>19950101</v>
          </cell>
          <cell r="BZ297" t="str">
            <v>E</v>
          </cell>
          <cell r="CA297" t="str">
            <v>11</v>
          </cell>
          <cell r="CB297" t="str">
            <v>D</v>
          </cell>
          <cell r="CC297" t="str">
            <v>09</v>
          </cell>
          <cell r="CD297" t="str">
            <v>D</v>
          </cell>
          <cell r="CE297" t="str">
            <v>09</v>
          </cell>
        </row>
        <row r="298">
          <cell r="A298" t="str">
            <v>2670008</v>
          </cell>
          <cell r="B298" t="str">
            <v>33</v>
          </cell>
          <cell r="C298" t="str">
            <v>5급</v>
          </cell>
          <cell r="D298" t="str">
            <v>이종구　　</v>
          </cell>
          <cell r="E298" t="str">
            <v>C</v>
          </cell>
          <cell r="G298">
            <v>1</v>
          </cell>
          <cell r="H298" t="str">
            <v>KH**</v>
          </cell>
          <cell r="I298" t="str">
            <v>KHUU</v>
          </cell>
          <cell r="J298" t="str">
            <v>대구）왜관지점　　　</v>
          </cell>
          <cell r="K298" t="str">
            <v>KHUA</v>
          </cell>
          <cell r="L298" t="str">
            <v>대구）남대구지점　　</v>
          </cell>
          <cell r="O298" t="str">
            <v>KHUAA</v>
          </cell>
          <cell r="R298" t="str">
            <v>2</v>
          </cell>
          <cell r="V298" t="str">
            <v>7</v>
          </cell>
          <cell r="W298" t="str">
            <v>3</v>
          </cell>
          <cell r="X298" t="str">
            <v>4</v>
          </cell>
          <cell r="Y298" t="str">
            <v>S</v>
          </cell>
          <cell r="Z298" t="str">
            <v>2234585</v>
          </cell>
          <cell r="AA298" t="str">
            <v>장진호　　</v>
          </cell>
          <cell r="AB298" t="str">
            <v>28</v>
          </cell>
          <cell r="AC298" t="str">
            <v>50</v>
          </cell>
          <cell r="AD298">
            <v>97</v>
          </cell>
          <cell r="AE298">
            <v>58.56</v>
          </cell>
          <cell r="AF298">
            <v>10</v>
          </cell>
          <cell r="AG298" t="str">
            <v>2065169</v>
          </cell>
          <cell r="AH298" t="str">
            <v>임종길　　</v>
          </cell>
          <cell r="AI298" t="str">
            <v>24</v>
          </cell>
          <cell r="AJ298" t="str">
            <v>44</v>
          </cell>
          <cell r="AK298">
            <v>93</v>
          </cell>
          <cell r="AL298">
            <v>62.7</v>
          </cell>
          <cell r="AM298">
            <v>50</v>
          </cell>
          <cell r="AN298" t="str">
            <v>2018769</v>
          </cell>
          <cell r="AO298" t="str">
            <v>이문식　　</v>
          </cell>
          <cell r="AP298" t="str">
            <v>20</v>
          </cell>
          <cell r="AQ298" t="str">
            <v>32</v>
          </cell>
          <cell r="AR298">
            <v>83</v>
          </cell>
          <cell r="AS298">
            <v>63.87</v>
          </cell>
          <cell r="AT298">
            <v>30</v>
          </cell>
          <cell r="AY298">
            <v>0</v>
          </cell>
          <cell r="AZ298">
            <v>0</v>
          </cell>
          <cell r="BA298">
            <v>0</v>
          </cell>
          <cell r="BF298">
            <v>0</v>
          </cell>
          <cell r="BG298">
            <v>0</v>
          </cell>
          <cell r="BH298">
            <v>0</v>
          </cell>
          <cell r="BM298">
            <v>0</v>
          </cell>
          <cell r="BN298">
            <v>0</v>
          </cell>
          <cell r="BO298">
            <v>0</v>
          </cell>
          <cell r="BP298" t="b">
            <v>0</v>
          </cell>
          <cell r="BQ298">
            <v>0</v>
          </cell>
          <cell r="BR298">
            <v>62.63</v>
          </cell>
          <cell r="BS298">
            <v>186</v>
          </cell>
          <cell r="BT298">
            <v>27.2</v>
          </cell>
          <cell r="BU298" t="str">
            <v>B</v>
          </cell>
          <cell r="BV298" t="str">
            <v>04</v>
          </cell>
          <cell r="BW298">
            <v>68</v>
          </cell>
          <cell r="BX298" t="str">
            <v>19960520</v>
          </cell>
          <cell r="BZ298" t="str">
            <v>C</v>
          </cell>
          <cell r="CA298" t="str">
            <v>06</v>
          </cell>
          <cell r="CB298" t="str">
            <v>D</v>
          </cell>
          <cell r="CC298" t="str">
            <v>09</v>
          </cell>
          <cell r="CD298" t="str">
            <v>E</v>
          </cell>
          <cell r="CE298" t="str">
            <v>11</v>
          </cell>
        </row>
        <row r="299">
          <cell r="A299" t="str">
            <v>2564671</v>
          </cell>
          <cell r="B299" t="str">
            <v>32</v>
          </cell>
          <cell r="C299" t="str">
            <v>4을</v>
          </cell>
          <cell r="D299" t="str">
            <v>이현종　　</v>
          </cell>
          <cell r="E299" t="str">
            <v>C</v>
          </cell>
          <cell r="G299">
            <v>1</v>
          </cell>
          <cell r="H299" t="str">
            <v>KH**</v>
          </cell>
          <cell r="I299" t="str">
            <v>KHQH</v>
          </cell>
          <cell r="J299" t="str">
            <v>광주）일곡지점　　　</v>
          </cell>
          <cell r="K299" t="str">
            <v>KHQB</v>
          </cell>
          <cell r="L299" t="str">
            <v>광주）서광주지점　　</v>
          </cell>
          <cell r="O299" t="str">
            <v>KHQBA</v>
          </cell>
          <cell r="R299" t="str">
            <v>2</v>
          </cell>
          <cell r="V299" t="str">
            <v>6</v>
          </cell>
          <cell r="W299" t="str">
            <v>3</v>
          </cell>
          <cell r="X299" t="str">
            <v>4</v>
          </cell>
          <cell r="Y299" t="str">
            <v>S</v>
          </cell>
          <cell r="Z299" t="str">
            <v>2564694</v>
          </cell>
          <cell r="AA299" t="str">
            <v>임영관　　</v>
          </cell>
          <cell r="AB299" t="str">
            <v>28</v>
          </cell>
          <cell r="AC299" t="str">
            <v>50</v>
          </cell>
          <cell r="AD299">
            <v>96</v>
          </cell>
          <cell r="AE299">
            <v>64.84</v>
          </cell>
          <cell r="AF299">
            <v>10</v>
          </cell>
          <cell r="AG299" t="str">
            <v>2047452</v>
          </cell>
          <cell r="AH299" t="str">
            <v>한태섭　　</v>
          </cell>
          <cell r="AI299" t="str">
            <v>26</v>
          </cell>
          <cell r="AJ299" t="str">
            <v>44</v>
          </cell>
          <cell r="AK299">
            <v>91</v>
          </cell>
          <cell r="AL299">
            <v>64.02</v>
          </cell>
          <cell r="AM299">
            <v>50</v>
          </cell>
          <cell r="AN299" t="str">
            <v>2020506</v>
          </cell>
          <cell r="AO299" t="str">
            <v>한용근　　</v>
          </cell>
          <cell r="AP299" t="str">
            <v>22</v>
          </cell>
          <cell r="AQ299" t="str">
            <v>32</v>
          </cell>
          <cell r="AR299">
            <v>91</v>
          </cell>
          <cell r="AS299">
            <v>67.34</v>
          </cell>
          <cell r="AT299">
            <v>30</v>
          </cell>
          <cell r="AY299">
            <v>0</v>
          </cell>
          <cell r="AZ299">
            <v>0</v>
          </cell>
          <cell r="BA299">
            <v>0</v>
          </cell>
          <cell r="BF299">
            <v>0</v>
          </cell>
          <cell r="BG299">
            <v>0</v>
          </cell>
          <cell r="BH299">
            <v>0</v>
          </cell>
          <cell r="BM299">
            <v>0</v>
          </cell>
          <cell r="BN299">
            <v>0</v>
          </cell>
          <cell r="BO299">
            <v>0</v>
          </cell>
          <cell r="BP299" t="b">
            <v>0</v>
          </cell>
          <cell r="BQ299">
            <v>0</v>
          </cell>
          <cell r="BR299">
            <v>65.22</v>
          </cell>
          <cell r="BS299">
            <v>133</v>
          </cell>
          <cell r="BT299">
            <v>19.100000000000001</v>
          </cell>
          <cell r="BU299" t="str">
            <v>B</v>
          </cell>
          <cell r="BV299" t="str">
            <v>03</v>
          </cell>
          <cell r="BW299">
            <v>72</v>
          </cell>
          <cell r="BX299" t="str">
            <v>19940613</v>
          </cell>
          <cell r="BZ299" t="str">
            <v>C</v>
          </cell>
          <cell r="CA299" t="str">
            <v>05</v>
          </cell>
          <cell r="CB299" t="str">
            <v>D</v>
          </cell>
          <cell r="CC299" t="str">
            <v>09</v>
          </cell>
          <cell r="CD299" t="str">
            <v>D</v>
          </cell>
          <cell r="CE299" t="str">
            <v>09</v>
          </cell>
        </row>
        <row r="300">
          <cell r="A300" t="str">
            <v>2510102</v>
          </cell>
          <cell r="B300" t="str">
            <v>30</v>
          </cell>
          <cell r="C300" t="str">
            <v>4갑</v>
          </cell>
          <cell r="D300" t="str">
            <v>신성우　　</v>
          </cell>
          <cell r="E300" t="str">
            <v>C</v>
          </cell>
          <cell r="G300">
            <v>1</v>
          </cell>
          <cell r="H300" t="str">
            <v>KO**</v>
          </cell>
          <cell r="I300" t="str">
            <v>KPAA</v>
          </cell>
          <cell r="J300" t="str">
            <v>승용부품지원팀　　　</v>
          </cell>
          <cell r="K300" t="str">
            <v>KOAA</v>
          </cell>
          <cell r="L300" t="str">
            <v>구매계획팀　　　　　</v>
          </cell>
          <cell r="O300" t="str">
            <v>KOAA</v>
          </cell>
          <cell r="R300" t="str">
            <v>4</v>
          </cell>
          <cell r="V300" t="str">
            <v>5</v>
          </cell>
          <cell r="W300" t="str">
            <v>1</v>
          </cell>
          <cell r="X300" t="str">
            <v>3</v>
          </cell>
          <cell r="Y300" t="str">
            <v>S</v>
          </cell>
          <cell r="Z300" t="str">
            <v>2032307</v>
          </cell>
          <cell r="AA300" t="str">
            <v>이형하　　</v>
          </cell>
          <cell r="AB300" t="str">
            <v>22</v>
          </cell>
          <cell r="AC300" t="str">
            <v>43</v>
          </cell>
          <cell r="AD300">
            <v>92</v>
          </cell>
          <cell r="AE300">
            <v>65.63</v>
          </cell>
          <cell r="AF300">
            <v>50</v>
          </cell>
          <cell r="AG300" t="str">
            <v>2008268</v>
          </cell>
          <cell r="AH300" t="str">
            <v>이용도　　</v>
          </cell>
          <cell r="AI300" t="str">
            <v>02</v>
          </cell>
          <cell r="AJ300" t="str">
            <v>20</v>
          </cell>
          <cell r="AK300">
            <v>92</v>
          </cell>
          <cell r="AL300">
            <v>68.680000000000007</v>
          </cell>
          <cell r="AM300">
            <v>30</v>
          </cell>
          <cell r="AR300">
            <v>0</v>
          </cell>
          <cell r="AS300">
            <v>0</v>
          </cell>
          <cell r="AT300">
            <v>0</v>
          </cell>
          <cell r="AY300">
            <v>0</v>
          </cell>
          <cell r="AZ300">
            <v>0</v>
          </cell>
          <cell r="BA300">
            <v>0</v>
          </cell>
          <cell r="BF300">
            <v>0</v>
          </cell>
          <cell r="BG300">
            <v>0</v>
          </cell>
          <cell r="BH300">
            <v>0</v>
          </cell>
          <cell r="BM300">
            <v>0</v>
          </cell>
          <cell r="BN300">
            <v>0</v>
          </cell>
          <cell r="BO300">
            <v>0</v>
          </cell>
          <cell r="BP300" t="b">
            <v>0</v>
          </cell>
          <cell r="BQ300">
            <v>0</v>
          </cell>
          <cell r="BR300">
            <v>66.77</v>
          </cell>
          <cell r="BS300">
            <v>185</v>
          </cell>
          <cell r="BT300">
            <v>12.7</v>
          </cell>
          <cell r="BU300" t="str">
            <v>B</v>
          </cell>
          <cell r="BV300" t="str">
            <v>02</v>
          </cell>
          <cell r="BW300">
            <v>76</v>
          </cell>
          <cell r="BX300" t="str">
            <v>19931213</v>
          </cell>
          <cell r="BZ300" t="str">
            <v>B</v>
          </cell>
          <cell r="CA300" t="str">
            <v>04</v>
          </cell>
          <cell r="CB300" t="str">
            <v>C</v>
          </cell>
          <cell r="CC300" t="str">
            <v>08</v>
          </cell>
          <cell r="CD300" t="str">
            <v>C</v>
          </cell>
          <cell r="CE300" t="str">
            <v>08</v>
          </cell>
        </row>
        <row r="301">
          <cell r="A301" t="str">
            <v>2538246</v>
          </cell>
          <cell r="B301" t="str">
            <v>33</v>
          </cell>
          <cell r="C301" t="str">
            <v>5급</v>
          </cell>
          <cell r="D301" t="str">
            <v>이미경　　</v>
          </cell>
          <cell r="E301" t="str">
            <v>C</v>
          </cell>
          <cell r="G301">
            <v>1</v>
          </cell>
          <cell r="H301" t="str">
            <v>KQ**</v>
          </cell>
          <cell r="I301" t="str">
            <v>KPAA</v>
          </cell>
          <cell r="J301" t="str">
            <v>승용부품지원팀　　　</v>
          </cell>
          <cell r="K301" t="str">
            <v>KSBA</v>
          </cell>
          <cell r="L301" t="str">
            <v>소）총무팀　　　　　</v>
          </cell>
          <cell r="O301" t="str">
            <v>KSBA</v>
          </cell>
          <cell r="R301" t="str">
            <v>4</v>
          </cell>
          <cell r="V301" t="str">
            <v>7</v>
          </cell>
          <cell r="W301" t="str">
            <v>2</v>
          </cell>
          <cell r="X301" t="str">
            <v>4</v>
          </cell>
          <cell r="Y301" t="str">
            <v>S</v>
          </cell>
          <cell r="Z301" t="str">
            <v>2015542</v>
          </cell>
          <cell r="AA301" t="str">
            <v>신관현　　</v>
          </cell>
          <cell r="AB301" t="str">
            <v>22</v>
          </cell>
          <cell r="AC301" t="str">
            <v>43</v>
          </cell>
          <cell r="AD301">
            <v>86</v>
          </cell>
          <cell r="AE301">
            <v>69.83</v>
          </cell>
          <cell r="AF301">
            <v>40</v>
          </cell>
          <cell r="AG301" t="str">
            <v>2007762</v>
          </cell>
          <cell r="AH301" t="str">
            <v>이효행　　</v>
          </cell>
          <cell r="AI301" t="str">
            <v>20</v>
          </cell>
          <cell r="AJ301" t="str">
            <v>32</v>
          </cell>
          <cell r="AK301">
            <v>94</v>
          </cell>
          <cell r="AL301">
            <v>71.349999999999994</v>
          </cell>
          <cell r="AM301">
            <v>20</v>
          </cell>
          <cell r="AN301" t="str">
            <v>2060576</v>
          </cell>
          <cell r="AO301" t="str">
            <v>이동룡　　</v>
          </cell>
          <cell r="AP301" t="str">
            <v>02</v>
          </cell>
          <cell r="AQ301" t="str">
            <v>30</v>
          </cell>
          <cell r="AR301">
            <v>53</v>
          </cell>
          <cell r="AS301">
            <v>52.99</v>
          </cell>
          <cell r="AT301">
            <v>20</v>
          </cell>
          <cell r="AY301">
            <v>0</v>
          </cell>
          <cell r="AZ301">
            <v>0</v>
          </cell>
          <cell r="BA301">
            <v>0</v>
          </cell>
          <cell r="BF301">
            <v>0</v>
          </cell>
          <cell r="BG301">
            <v>0</v>
          </cell>
          <cell r="BH301">
            <v>0</v>
          </cell>
          <cell r="BM301">
            <v>0</v>
          </cell>
          <cell r="BN301">
            <v>0</v>
          </cell>
          <cell r="BO301">
            <v>0</v>
          </cell>
          <cell r="BP301" t="b">
            <v>0</v>
          </cell>
          <cell r="BQ301">
            <v>0</v>
          </cell>
          <cell r="BR301">
            <v>66</v>
          </cell>
          <cell r="BS301">
            <v>68</v>
          </cell>
          <cell r="BT301">
            <v>9.9</v>
          </cell>
          <cell r="BU301" t="str">
            <v>A</v>
          </cell>
          <cell r="BV301" t="str">
            <v>02</v>
          </cell>
          <cell r="BW301">
            <v>76</v>
          </cell>
          <cell r="BX301" t="str">
            <v>19970701</v>
          </cell>
          <cell r="BZ301" t="str">
            <v>D</v>
          </cell>
          <cell r="CA301" t="str">
            <v>09</v>
          </cell>
          <cell r="CB301" t="str">
            <v>B</v>
          </cell>
          <cell r="CC301" t="str">
            <v>03</v>
          </cell>
          <cell r="CD301" t="str">
            <v>D</v>
          </cell>
          <cell r="CE301" t="str">
            <v>08</v>
          </cell>
        </row>
        <row r="302">
          <cell r="A302" t="str">
            <v>2314023</v>
          </cell>
          <cell r="B302" t="str">
            <v>28</v>
          </cell>
          <cell r="C302" t="str">
            <v>대리</v>
          </cell>
          <cell r="D302" t="str">
            <v>채수웅　　</v>
          </cell>
          <cell r="E302" t="str">
            <v>C</v>
          </cell>
          <cell r="G302">
            <v>1</v>
          </cell>
          <cell r="H302" t="str">
            <v>KO**</v>
          </cell>
          <cell r="I302" t="str">
            <v>KPBA</v>
          </cell>
          <cell r="J302" t="str">
            <v>상용부품지원팀　　　</v>
          </cell>
          <cell r="K302" t="str">
            <v>KPBD</v>
          </cell>
          <cell r="L302" t="str">
            <v>상용의장부품개발팀　</v>
          </cell>
          <cell r="O302" t="str">
            <v>KPBD</v>
          </cell>
          <cell r="R302" t="str">
            <v>6</v>
          </cell>
          <cell r="V302" t="str">
            <v>4</v>
          </cell>
          <cell r="W302" t="str">
            <v>1</v>
          </cell>
          <cell r="X302" t="str">
            <v>3</v>
          </cell>
          <cell r="Y302" t="str">
            <v>S</v>
          </cell>
          <cell r="Z302" t="str">
            <v>2068014</v>
          </cell>
          <cell r="AA302" t="str">
            <v>곽정용　　</v>
          </cell>
          <cell r="AB302" t="str">
            <v>24</v>
          </cell>
          <cell r="AC302" t="str">
            <v>43</v>
          </cell>
          <cell r="AD302">
            <v>95</v>
          </cell>
          <cell r="AE302">
            <v>68.95</v>
          </cell>
          <cell r="AF302">
            <v>30</v>
          </cell>
          <cell r="AG302" t="str">
            <v>7158925</v>
          </cell>
          <cell r="AH302" t="str">
            <v>조병진　　</v>
          </cell>
          <cell r="AI302" t="str">
            <v>20</v>
          </cell>
          <cell r="AJ302" t="str">
            <v>32</v>
          </cell>
          <cell r="AK302">
            <v>93</v>
          </cell>
          <cell r="AL302">
            <v>70.17</v>
          </cell>
          <cell r="AM302">
            <v>20</v>
          </cell>
          <cell r="AN302" t="str">
            <v>7043317</v>
          </cell>
          <cell r="AO302" t="str">
            <v>박승하　　</v>
          </cell>
          <cell r="AP302" t="str">
            <v>04</v>
          </cell>
          <cell r="AQ302" t="str">
            <v>30</v>
          </cell>
          <cell r="AR302">
            <v>96</v>
          </cell>
          <cell r="AS302">
            <v>68.28</v>
          </cell>
          <cell r="AT302">
            <v>20</v>
          </cell>
          <cell r="AU302" t="str">
            <v>2008268</v>
          </cell>
          <cell r="AV302" t="str">
            <v>이용도　　</v>
          </cell>
          <cell r="AW302" t="str">
            <v>02</v>
          </cell>
          <cell r="AX302" t="str">
            <v>20</v>
          </cell>
          <cell r="AY302">
            <v>92</v>
          </cell>
          <cell r="AZ302">
            <v>68.22</v>
          </cell>
          <cell r="BA302">
            <v>10</v>
          </cell>
          <cell r="BF302">
            <v>0</v>
          </cell>
          <cell r="BG302">
            <v>0</v>
          </cell>
          <cell r="BH302">
            <v>0</v>
          </cell>
          <cell r="BM302">
            <v>0</v>
          </cell>
          <cell r="BN302">
            <v>0</v>
          </cell>
          <cell r="BO302">
            <v>0</v>
          </cell>
          <cell r="BP302" t="b">
            <v>0</v>
          </cell>
          <cell r="BQ302">
            <v>0</v>
          </cell>
          <cell r="BR302">
            <v>69</v>
          </cell>
          <cell r="BS302">
            <v>82</v>
          </cell>
          <cell r="BT302">
            <v>4.9000000000000004</v>
          </cell>
          <cell r="BU302" t="str">
            <v>A</v>
          </cell>
          <cell r="BV302" t="str">
            <v>01</v>
          </cell>
          <cell r="BW302">
            <v>80</v>
          </cell>
          <cell r="BX302" t="str">
            <v>19960101</v>
          </cell>
          <cell r="BZ302" t="str">
            <v>C</v>
          </cell>
          <cell r="CA302" t="str">
            <v>07</v>
          </cell>
          <cell r="CB302" t="str">
            <v>C</v>
          </cell>
          <cell r="CC302" t="str">
            <v>06</v>
          </cell>
          <cell r="CD302" t="str">
            <v>C</v>
          </cell>
          <cell r="CE302" t="str">
            <v>04</v>
          </cell>
        </row>
        <row r="303">
          <cell r="A303" t="str">
            <v>2329348</v>
          </cell>
          <cell r="B303" t="str">
            <v>32</v>
          </cell>
          <cell r="C303" t="str">
            <v>4을</v>
          </cell>
          <cell r="D303" t="str">
            <v>김은경　　</v>
          </cell>
          <cell r="E303" t="str">
            <v>C</v>
          </cell>
          <cell r="G303">
            <v>1</v>
          </cell>
          <cell r="H303" t="str">
            <v>KQ**</v>
          </cell>
          <cell r="I303" t="str">
            <v>KUBB</v>
          </cell>
          <cell r="J303" t="str">
            <v>광）인력관리팀　　　</v>
          </cell>
          <cell r="K303" t="str">
            <v>KUBA</v>
          </cell>
          <cell r="L303" t="str">
            <v>광）총무팀　　　　　</v>
          </cell>
          <cell r="O303" t="str">
            <v>KUBA</v>
          </cell>
          <cell r="R303" t="str">
            <v>6</v>
          </cell>
          <cell r="V303" t="str">
            <v>6</v>
          </cell>
          <cell r="W303" t="str">
            <v>2</v>
          </cell>
          <cell r="X303" t="str">
            <v>4</v>
          </cell>
          <cell r="Y303" t="str">
            <v>O</v>
          </cell>
          <cell r="Z303" t="str">
            <v>2053032</v>
          </cell>
          <cell r="AA303" t="str">
            <v>박용재　　</v>
          </cell>
          <cell r="AB303" t="str">
            <v>24</v>
          </cell>
          <cell r="AC303" t="str">
            <v>43</v>
          </cell>
          <cell r="AD303">
            <v>83</v>
          </cell>
          <cell r="AE303">
            <v>66.78</v>
          </cell>
          <cell r="AF303">
            <v>40</v>
          </cell>
          <cell r="AG303" t="str">
            <v>2034679</v>
          </cell>
          <cell r="AH303" t="str">
            <v>김재훈　　</v>
          </cell>
          <cell r="AI303" t="str">
            <v>20</v>
          </cell>
          <cell r="AJ303" t="str">
            <v>32</v>
          </cell>
          <cell r="AK303">
            <v>66</v>
          </cell>
          <cell r="AL303">
            <v>58.82</v>
          </cell>
          <cell r="AM303">
            <v>20</v>
          </cell>
          <cell r="AN303" t="str">
            <v>2026563</v>
          </cell>
          <cell r="AO303" t="str">
            <v>전천수　　</v>
          </cell>
          <cell r="AP303" t="str">
            <v>03</v>
          </cell>
          <cell r="AQ303" t="str">
            <v>30</v>
          </cell>
          <cell r="AR303">
            <v>45</v>
          </cell>
          <cell r="AS303">
            <v>50.82</v>
          </cell>
          <cell r="AT303">
            <v>20</v>
          </cell>
          <cell r="AY303">
            <v>0</v>
          </cell>
          <cell r="AZ303">
            <v>0</v>
          </cell>
          <cell r="BA303">
            <v>0</v>
          </cell>
          <cell r="BF303">
            <v>0</v>
          </cell>
          <cell r="BG303">
            <v>0</v>
          </cell>
          <cell r="BH303">
            <v>0</v>
          </cell>
          <cell r="BM303">
            <v>0</v>
          </cell>
          <cell r="BN303">
            <v>0</v>
          </cell>
          <cell r="BO303">
            <v>0</v>
          </cell>
          <cell r="BP303" t="b">
            <v>0</v>
          </cell>
          <cell r="BQ303">
            <v>0</v>
          </cell>
          <cell r="BR303">
            <v>60.8</v>
          </cell>
          <cell r="BS303">
            <v>317</v>
          </cell>
          <cell r="BT303">
            <v>45.5</v>
          </cell>
          <cell r="BU303" t="str">
            <v>C</v>
          </cell>
          <cell r="BV303" t="str">
            <v>06</v>
          </cell>
          <cell r="BW303">
            <v>60</v>
          </cell>
          <cell r="BX303" t="str">
            <v>19970101</v>
          </cell>
          <cell r="BZ303" t="str">
            <v>E</v>
          </cell>
          <cell r="CA303" t="str">
            <v>11</v>
          </cell>
          <cell r="CB303" t="str">
            <v>E</v>
          </cell>
          <cell r="CC303" t="str">
            <v>11</v>
          </cell>
          <cell r="CD303" t="str">
            <v>E</v>
          </cell>
          <cell r="CE303" t="str">
            <v>11</v>
          </cell>
        </row>
        <row r="304">
          <cell r="A304" t="str">
            <v>2673635</v>
          </cell>
          <cell r="B304" t="str">
            <v>30</v>
          </cell>
          <cell r="C304" t="str">
            <v>4갑</v>
          </cell>
          <cell r="D304" t="str">
            <v>김영근　　</v>
          </cell>
          <cell r="E304" t="str">
            <v>C</v>
          </cell>
          <cell r="G304">
            <v>1</v>
          </cell>
          <cell r="H304" t="str">
            <v>KH**</v>
          </cell>
          <cell r="I304" t="str">
            <v>KHIP</v>
          </cell>
          <cell r="J304" t="str">
            <v>인천）역곡지점　　　</v>
          </cell>
          <cell r="K304" t="str">
            <v>KHII</v>
          </cell>
          <cell r="L304" t="str">
            <v>인천）김포지점　　　</v>
          </cell>
          <cell r="O304" t="str">
            <v>KHIIA</v>
          </cell>
          <cell r="R304" t="str">
            <v>2</v>
          </cell>
          <cell r="V304" t="str">
            <v>5</v>
          </cell>
          <cell r="W304" t="str">
            <v>3</v>
          </cell>
          <cell r="X304" t="str">
            <v>3</v>
          </cell>
          <cell r="Y304" t="str">
            <v>S</v>
          </cell>
          <cell r="Z304" t="str">
            <v>2075601</v>
          </cell>
          <cell r="AA304" t="str">
            <v>원광연　　</v>
          </cell>
          <cell r="AB304" t="str">
            <v>28</v>
          </cell>
          <cell r="AC304" t="str">
            <v>50</v>
          </cell>
          <cell r="AD304">
            <v>97</v>
          </cell>
          <cell r="AE304">
            <v>60</v>
          </cell>
          <cell r="AF304">
            <v>10</v>
          </cell>
          <cell r="AG304" t="str">
            <v>2074049</v>
          </cell>
          <cell r="AH304" t="str">
            <v>안현옥　　</v>
          </cell>
          <cell r="AI304" t="str">
            <v>24</v>
          </cell>
          <cell r="AJ304" t="str">
            <v>44</v>
          </cell>
          <cell r="AK304">
            <v>94</v>
          </cell>
          <cell r="AL304">
            <v>64.72</v>
          </cell>
          <cell r="AM304">
            <v>40</v>
          </cell>
          <cell r="AN304" t="str">
            <v>2718155</v>
          </cell>
          <cell r="AO304" t="str">
            <v>김한수　　</v>
          </cell>
          <cell r="AP304" t="str">
            <v>05</v>
          </cell>
          <cell r="AQ304" t="str">
            <v>32</v>
          </cell>
          <cell r="AR304">
            <v>72</v>
          </cell>
          <cell r="AS304">
            <v>60.17</v>
          </cell>
          <cell r="AT304">
            <v>30</v>
          </cell>
          <cell r="AU304" t="str">
            <v>2059744</v>
          </cell>
          <cell r="AV304" t="str">
            <v>김도영　　</v>
          </cell>
          <cell r="AW304" t="str">
            <v>02</v>
          </cell>
          <cell r="AX304" t="str">
            <v>20</v>
          </cell>
          <cell r="AY304">
            <v>53</v>
          </cell>
          <cell r="AZ304">
            <v>53.84</v>
          </cell>
          <cell r="BA304">
            <v>10</v>
          </cell>
          <cell r="BF304">
            <v>0</v>
          </cell>
          <cell r="BG304">
            <v>0</v>
          </cell>
          <cell r="BH304">
            <v>0</v>
          </cell>
          <cell r="BM304">
            <v>0</v>
          </cell>
          <cell r="BN304">
            <v>0</v>
          </cell>
          <cell r="BO304">
            <v>0</v>
          </cell>
          <cell r="BP304" t="b">
            <v>0</v>
          </cell>
          <cell r="BQ304">
            <v>0</v>
          </cell>
          <cell r="BR304">
            <v>61.47</v>
          </cell>
          <cell r="BS304">
            <v>557</v>
          </cell>
          <cell r="BT304">
            <v>38.4</v>
          </cell>
          <cell r="BU304" t="str">
            <v>C</v>
          </cell>
          <cell r="BV304" t="str">
            <v>05</v>
          </cell>
          <cell r="BW304">
            <v>64</v>
          </cell>
          <cell r="BX304" t="str">
            <v>19960701</v>
          </cell>
          <cell r="BZ304" t="str">
            <v>E</v>
          </cell>
          <cell r="CA304" t="str">
            <v>11</v>
          </cell>
          <cell r="CB304" t="str">
            <v>E</v>
          </cell>
          <cell r="CC304" t="str">
            <v>10</v>
          </cell>
          <cell r="CD304" t="str">
            <v>D</v>
          </cell>
          <cell r="CE304" t="str">
            <v>09</v>
          </cell>
        </row>
        <row r="305">
          <cell r="A305" t="str">
            <v>2606829</v>
          </cell>
          <cell r="B305" t="str">
            <v>30</v>
          </cell>
          <cell r="C305" t="str">
            <v>4갑</v>
          </cell>
          <cell r="D305" t="str">
            <v>황규환　　</v>
          </cell>
          <cell r="E305" t="str">
            <v>C</v>
          </cell>
          <cell r="G305">
            <v>1</v>
          </cell>
          <cell r="H305" t="str">
            <v>KO**</v>
          </cell>
          <cell r="I305" t="str">
            <v>KPCB</v>
          </cell>
          <cell r="J305" t="str">
            <v>승용구동부품개발팀　</v>
          </cell>
          <cell r="K305" t="str">
            <v>KPAE</v>
          </cell>
          <cell r="L305" t="str">
            <v>승용전장부품개발팀　</v>
          </cell>
          <cell r="O305" t="str">
            <v>KPAE</v>
          </cell>
          <cell r="R305" t="str">
            <v>4</v>
          </cell>
          <cell r="V305" t="str">
            <v>5</v>
          </cell>
          <cell r="W305" t="str">
            <v>1</v>
          </cell>
          <cell r="X305" t="str">
            <v>3</v>
          </cell>
          <cell r="Y305" t="str">
            <v>S</v>
          </cell>
          <cell r="Z305" t="str">
            <v>2064686</v>
          </cell>
          <cell r="AA305" t="str">
            <v>윤강한　　</v>
          </cell>
          <cell r="AB305" t="str">
            <v>24</v>
          </cell>
          <cell r="AC305" t="str">
            <v>43</v>
          </cell>
          <cell r="AD305">
            <v>85</v>
          </cell>
          <cell r="AE305">
            <v>67.94</v>
          </cell>
          <cell r="AF305">
            <v>30</v>
          </cell>
          <cell r="AG305" t="str">
            <v>7151374</v>
          </cell>
          <cell r="AH305" t="str">
            <v>고승환　　</v>
          </cell>
          <cell r="AI305" t="str">
            <v>20</v>
          </cell>
          <cell r="AJ305" t="str">
            <v>32</v>
          </cell>
          <cell r="AK305">
            <v>68</v>
          </cell>
          <cell r="AL305">
            <v>57.83</v>
          </cell>
          <cell r="AM305">
            <v>20</v>
          </cell>
          <cell r="AN305" t="str">
            <v>7043317</v>
          </cell>
          <cell r="AO305" t="str">
            <v>박승하　　</v>
          </cell>
          <cell r="AP305" t="str">
            <v>04</v>
          </cell>
          <cell r="AQ305" t="str">
            <v>30</v>
          </cell>
          <cell r="AR305">
            <v>98</v>
          </cell>
          <cell r="AS305">
            <v>69.099999999999994</v>
          </cell>
          <cell r="AT305">
            <v>20</v>
          </cell>
          <cell r="AU305" t="str">
            <v>2008268</v>
          </cell>
          <cell r="AV305" t="str">
            <v>이용도　　</v>
          </cell>
          <cell r="AW305" t="str">
            <v>02</v>
          </cell>
          <cell r="AX305" t="str">
            <v>20</v>
          </cell>
          <cell r="AY305">
            <v>85</v>
          </cell>
          <cell r="AZ305">
            <v>65.459999999999994</v>
          </cell>
          <cell r="BA305">
            <v>10</v>
          </cell>
          <cell r="BF305">
            <v>0</v>
          </cell>
          <cell r="BG305">
            <v>0</v>
          </cell>
          <cell r="BH305">
            <v>0</v>
          </cell>
          <cell r="BM305">
            <v>0</v>
          </cell>
          <cell r="BN305">
            <v>0</v>
          </cell>
          <cell r="BO305">
            <v>0</v>
          </cell>
          <cell r="BP305" t="b">
            <v>0</v>
          </cell>
          <cell r="BQ305">
            <v>0</v>
          </cell>
          <cell r="BR305">
            <v>65.39</v>
          </cell>
          <cell r="BS305">
            <v>273</v>
          </cell>
          <cell r="BT305">
            <v>18.8</v>
          </cell>
          <cell r="BU305" t="str">
            <v>B</v>
          </cell>
          <cell r="BV305" t="str">
            <v>03</v>
          </cell>
          <cell r="BW305">
            <v>72</v>
          </cell>
          <cell r="BX305" t="str">
            <v>19950116</v>
          </cell>
          <cell r="BZ305" t="str">
            <v>C</v>
          </cell>
          <cell r="CA305" t="str">
            <v>07</v>
          </cell>
          <cell r="CB305" t="str">
            <v>C</v>
          </cell>
          <cell r="CC305" t="str">
            <v>08</v>
          </cell>
          <cell r="CD305" t="str">
            <v>D</v>
          </cell>
          <cell r="CE305" t="str">
            <v>09</v>
          </cell>
        </row>
        <row r="306">
          <cell r="A306" t="str">
            <v>2107229</v>
          </cell>
          <cell r="B306" t="str">
            <v>28</v>
          </cell>
          <cell r="C306" t="str">
            <v>대리</v>
          </cell>
          <cell r="D306" t="str">
            <v>이문표　　</v>
          </cell>
          <cell r="E306" t="str">
            <v>C</v>
          </cell>
          <cell r="G306">
            <v>1</v>
          </cell>
          <cell r="H306" t="str">
            <v>KK**</v>
          </cell>
          <cell r="I306" t="str">
            <v>KLDA</v>
          </cell>
          <cell r="J306" t="str">
            <v>써비스기획팀　　　　</v>
          </cell>
          <cell r="K306" t="str">
            <v>KLDC</v>
          </cell>
          <cell r="L306" t="str">
            <v>해외써비스팀　　　　</v>
          </cell>
          <cell r="O306" t="str">
            <v>KLDC</v>
          </cell>
          <cell r="R306" t="str">
            <v>4</v>
          </cell>
          <cell r="V306" t="str">
            <v>4</v>
          </cell>
          <cell r="W306" t="str">
            <v>1</v>
          </cell>
          <cell r="X306" t="str">
            <v>3</v>
          </cell>
          <cell r="Y306" t="str">
            <v>S</v>
          </cell>
          <cell r="Z306" t="str">
            <v>7253025</v>
          </cell>
          <cell r="AA306" t="str">
            <v>김종민　　</v>
          </cell>
          <cell r="AB306" t="str">
            <v>24</v>
          </cell>
          <cell r="AC306" t="str">
            <v>43</v>
          </cell>
          <cell r="AD306">
            <v>89</v>
          </cell>
          <cell r="AE306">
            <v>69.540000000000006</v>
          </cell>
          <cell r="AF306">
            <v>30</v>
          </cell>
          <cell r="AG306" t="str">
            <v>7043258</v>
          </cell>
          <cell r="AH306" t="str">
            <v>박상근　　</v>
          </cell>
          <cell r="AI306" t="str">
            <v>05</v>
          </cell>
          <cell r="AJ306" t="str">
            <v>32</v>
          </cell>
          <cell r="AK306">
            <v>95</v>
          </cell>
          <cell r="AL306">
            <v>68.16</v>
          </cell>
          <cell r="AM306">
            <v>20</v>
          </cell>
          <cell r="AN306" t="str">
            <v>2002024</v>
          </cell>
          <cell r="AO306" t="str">
            <v>이덕규　　</v>
          </cell>
          <cell r="AP306" t="str">
            <v>04</v>
          </cell>
          <cell r="AQ306" t="str">
            <v>30</v>
          </cell>
          <cell r="AR306">
            <v>91</v>
          </cell>
          <cell r="AS306">
            <v>67.959999999999994</v>
          </cell>
          <cell r="AT306">
            <v>20</v>
          </cell>
          <cell r="AU306" t="str">
            <v>2005295</v>
          </cell>
          <cell r="AV306" t="str">
            <v>박성도　　</v>
          </cell>
          <cell r="AW306" t="str">
            <v>02</v>
          </cell>
          <cell r="AX306" t="str">
            <v>20</v>
          </cell>
          <cell r="AY306">
            <v>93</v>
          </cell>
          <cell r="AZ306">
            <v>69.06</v>
          </cell>
          <cell r="BA306">
            <v>10</v>
          </cell>
          <cell r="BF306">
            <v>0</v>
          </cell>
          <cell r="BG306">
            <v>0</v>
          </cell>
          <cell r="BH306">
            <v>0</v>
          </cell>
          <cell r="BM306">
            <v>0</v>
          </cell>
          <cell r="BN306">
            <v>0</v>
          </cell>
          <cell r="BO306">
            <v>0</v>
          </cell>
          <cell r="BP306" t="b">
            <v>0</v>
          </cell>
          <cell r="BQ306">
            <v>0</v>
          </cell>
          <cell r="BR306">
            <v>68.739999999999995</v>
          </cell>
          <cell r="BS306">
            <v>102</v>
          </cell>
          <cell r="BT306">
            <v>6.1</v>
          </cell>
          <cell r="BU306" t="str">
            <v>A</v>
          </cell>
          <cell r="BV306" t="str">
            <v>02</v>
          </cell>
          <cell r="BW306">
            <v>76</v>
          </cell>
          <cell r="BX306" t="str">
            <v>19960101</v>
          </cell>
          <cell r="BZ306" t="str">
            <v>C</v>
          </cell>
          <cell r="CA306" t="str">
            <v>07</v>
          </cell>
          <cell r="CB306" t="str">
            <v>C</v>
          </cell>
          <cell r="CC306" t="str">
            <v>07</v>
          </cell>
          <cell r="CD306" t="str">
            <v>C</v>
          </cell>
          <cell r="CE306" t="str">
            <v>07</v>
          </cell>
        </row>
        <row r="307">
          <cell r="A307" t="str">
            <v>2074696</v>
          </cell>
          <cell r="B307" t="str">
            <v>24</v>
          </cell>
          <cell r="C307" t="str">
            <v>차장</v>
          </cell>
          <cell r="D307" t="str">
            <v>정선　　　</v>
          </cell>
          <cell r="E307" t="str">
            <v>C</v>
          </cell>
          <cell r="G307">
            <v>1</v>
          </cell>
          <cell r="H307" t="str">
            <v>KK**</v>
          </cell>
          <cell r="I307" t="str">
            <v>KMCA</v>
          </cell>
          <cell r="J307" t="str">
            <v>부품수출업무팀　　　</v>
          </cell>
          <cell r="K307" t="str">
            <v>ZA55</v>
          </cell>
          <cell r="L307" t="str">
            <v>기아유럽부품　　　　</v>
          </cell>
          <cell r="O307" t="str">
            <v>ZA55</v>
          </cell>
          <cell r="R307" t="str">
            <v>3</v>
          </cell>
          <cell r="V307" t="str">
            <v>2</v>
          </cell>
          <cell r="W307" t="str">
            <v>5</v>
          </cell>
          <cell r="X307" t="str">
            <v>2</v>
          </cell>
          <cell r="Y307" t="str">
            <v>S</v>
          </cell>
          <cell r="Z307" t="str">
            <v>2043045</v>
          </cell>
          <cell r="AA307" t="str">
            <v>염영길　　</v>
          </cell>
          <cell r="AB307" t="str">
            <v>04</v>
          </cell>
          <cell r="AC307" t="str">
            <v>32</v>
          </cell>
          <cell r="AD307">
            <v>90</v>
          </cell>
          <cell r="AE307">
            <v>67.33</v>
          </cell>
          <cell r="AF307">
            <v>30</v>
          </cell>
          <cell r="AG307" t="str">
            <v>2005295</v>
          </cell>
          <cell r="AH307" t="str">
            <v>박성도　　</v>
          </cell>
          <cell r="AI307" t="str">
            <v>02</v>
          </cell>
          <cell r="AJ307" t="str">
            <v>20</v>
          </cell>
          <cell r="AK307">
            <v>86</v>
          </cell>
          <cell r="AL307">
            <v>65.3</v>
          </cell>
          <cell r="AM307">
            <v>50</v>
          </cell>
          <cell r="AR307">
            <v>0</v>
          </cell>
          <cell r="AS307">
            <v>0</v>
          </cell>
          <cell r="AT307">
            <v>0</v>
          </cell>
          <cell r="AY307">
            <v>0</v>
          </cell>
          <cell r="AZ307">
            <v>0</v>
          </cell>
          <cell r="BA307">
            <v>0</v>
          </cell>
          <cell r="BF307">
            <v>0</v>
          </cell>
          <cell r="BG307">
            <v>0</v>
          </cell>
          <cell r="BH307">
            <v>0</v>
          </cell>
          <cell r="BM307">
            <v>0</v>
          </cell>
          <cell r="BN307">
            <v>0</v>
          </cell>
          <cell r="BO307">
            <v>0</v>
          </cell>
          <cell r="BP307" t="b">
            <v>0</v>
          </cell>
          <cell r="BQ307">
            <v>0</v>
          </cell>
          <cell r="BR307">
            <v>66.06</v>
          </cell>
          <cell r="BS307">
            <v>30</v>
          </cell>
          <cell r="BT307">
            <v>11.5</v>
          </cell>
          <cell r="BU307" t="str">
            <v>B</v>
          </cell>
          <cell r="BV307" t="str">
            <v>02</v>
          </cell>
          <cell r="BW307">
            <v>76</v>
          </cell>
          <cell r="BX307" t="str">
            <v>19970101</v>
          </cell>
          <cell r="BZ307" t="str">
            <v>D</v>
          </cell>
          <cell r="CA307" t="str">
            <v>10</v>
          </cell>
          <cell r="CB307" t="str">
            <v>C</v>
          </cell>
          <cell r="CC307" t="str">
            <v>05</v>
          </cell>
          <cell r="CD307" t="str">
            <v>C</v>
          </cell>
          <cell r="CE307" t="str">
            <v>06</v>
          </cell>
        </row>
        <row r="308">
          <cell r="A308" t="str">
            <v>2657979</v>
          </cell>
          <cell r="B308" t="str">
            <v>30</v>
          </cell>
          <cell r="C308" t="str">
            <v>4갑</v>
          </cell>
          <cell r="D308" t="str">
            <v>정재윤　　</v>
          </cell>
          <cell r="E308" t="str">
            <v>C</v>
          </cell>
          <cell r="G308">
            <v>1</v>
          </cell>
          <cell r="H308" t="str">
            <v>KF**</v>
          </cell>
          <cell r="I308" t="str">
            <v>KFBB</v>
          </cell>
          <cell r="J308" t="str">
            <v>국제금융팀　　　　　</v>
          </cell>
          <cell r="K308" t="str">
            <v>KFBA</v>
          </cell>
          <cell r="L308" t="str">
            <v>재정팀　　　　　　　</v>
          </cell>
          <cell r="O308" t="str">
            <v>KFBA</v>
          </cell>
          <cell r="R308" t="str">
            <v>1</v>
          </cell>
          <cell r="V308" t="str">
            <v>5</v>
          </cell>
          <cell r="W308" t="str">
            <v>1</v>
          </cell>
          <cell r="X308" t="str">
            <v>3</v>
          </cell>
          <cell r="Y308" t="str">
            <v>S</v>
          </cell>
          <cell r="Z308" t="str">
            <v>2064976</v>
          </cell>
          <cell r="AA308" t="str">
            <v>이주록　　</v>
          </cell>
          <cell r="AB308" t="str">
            <v>24</v>
          </cell>
          <cell r="AC308" t="str">
            <v>43</v>
          </cell>
          <cell r="AD308">
            <v>93</v>
          </cell>
          <cell r="AE308">
            <v>68.14</v>
          </cell>
          <cell r="AF308">
            <v>40</v>
          </cell>
          <cell r="AG308" t="str">
            <v>2023777</v>
          </cell>
          <cell r="AH308" t="str">
            <v>구태환　　</v>
          </cell>
          <cell r="AI308" t="str">
            <v>20</v>
          </cell>
          <cell r="AJ308" t="str">
            <v>32</v>
          </cell>
          <cell r="AK308">
            <v>96</v>
          </cell>
          <cell r="AL308">
            <v>66.33</v>
          </cell>
          <cell r="AM308">
            <v>30</v>
          </cell>
          <cell r="AN308" t="str">
            <v>2011581</v>
          </cell>
          <cell r="AO308" t="str">
            <v>정학진　　</v>
          </cell>
          <cell r="AP308" t="str">
            <v>02</v>
          </cell>
          <cell r="AQ308" t="str">
            <v>20</v>
          </cell>
          <cell r="AR308">
            <v>70</v>
          </cell>
          <cell r="AS308">
            <v>60</v>
          </cell>
          <cell r="AT308">
            <v>10</v>
          </cell>
          <cell r="AY308">
            <v>0</v>
          </cell>
          <cell r="AZ308">
            <v>0</v>
          </cell>
          <cell r="BA308">
            <v>0</v>
          </cell>
          <cell r="BF308">
            <v>0</v>
          </cell>
          <cell r="BG308">
            <v>0</v>
          </cell>
          <cell r="BH308">
            <v>0</v>
          </cell>
          <cell r="BM308">
            <v>0</v>
          </cell>
          <cell r="BN308">
            <v>0</v>
          </cell>
          <cell r="BO308">
            <v>0</v>
          </cell>
          <cell r="BP308" t="b">
            <v>0</v>
          </cell>
          <cell r="BQ308">
            <v>0</v>
          </cell>
          <cell r="BR308">
            <v>66.44</v>
          </cell>
          <cell r="BS308">
            <v>204</v>
          </cell>
          <cell r="BT308">
            <v>14.1</v>
          </cell>
          <cell r="BU308" t="str">
            <v>B</v>
          </cell>
          <cell r="BV308" t="str">
            <v>02</v>
          </cell>
          <cell r="BW308">
            <v>76</v>
          </cell>
          <cell r="BX308" t="str">
            <v>19960111</v>
          </cell>
          <cell r="BZ308" t="str">
            <v>C</v>
          </cell>
          <cell r="CA308" t="str">
            <v>05</v>
          </cell>
          <cell r="CB308" t="str">
            <v>C</v>
          </cell>
          <cell r="CC308" t="str">
            <v>07</v>
          </cell>
          <cell r="CD308" t="str">
            <v>D</v>
          </cell>
          <cell r="CE308" t="str">
            <v>10</v>
          </cell>
        </row>
        <row r="309">
          <cell r="A309" t="str">
            <v>2478313</v>
          </cell>
          <cell r="B309" t="str">
            <v>32</v>
          </cell>
          <cell r="C309" t="str">
            <v>4을</v>
          </cell>
          <cell r="D309" t="str">
            <v>이용구　　</v>
          </cell>
          <cell r="E309" t="str">
            <v>C</v>
          </cell>
          <cell r="G309">
            <v>1</v>
          </cell>
          <cell r="H309" t="str">
            <v>KH**</v>
          </cell>
          <cell r="I309" t="str">
            <v>KHIC</v>
          </cell>
          <cell r="J309" t="str">
            <v>인천）구월지점　　　</v>
          </cell>
          <cell r="K309" t="str">
            <v>KHIN</v>
          </cell>
          <cell r="L309" t="str">
            <v>인천）작전지점　　　</v>
          </cell>
          <cell r="O309" t="str">
            <v>KHINA</v>
          </cell>
          <cell r="R309" t="str">
            <v>2</v>
          </cell>
          <cell r="V309" t="str">
            <v>6</v>
          </cell>
          <cell r="W309" t="str">
            <v>3</v>
          </cell>
          <cell r="X309" t="str">
            <v>4</v>
          </cell>
          <cell r="Y309" t="str">
            <v>S</v>
          </cell>
          <cell r="Z309" t="str">
            <v>2228529</v>
          </cell>
          <cell r="AA309" t="str">
            <v>이원경　　</v>
          </cell>
          <cell r="AB309" t="str">
            <v>26</v>
          </cell>
          <cell r="AC309" t="str">
            <v>50</v>
          </cell>
          <cell r="AD309">
            <v>95</v>
          </cell>
          <cell r="AE309">
            <v>66.48</v>
          </cell>
          <cell r="AF309">
            <v>10</v>
          </cell>
          <cell r="AG309" t="str">
            <v>7295941</v>
          </cell>
          <cell r="AH309" t="str">
            <v>윤주복　　</v>
          </cell>
          <cell r="AI309" t="str">
            <v>26</v>
          </cell>
          <cell r="AJ309" t="str">
            <v>44</v>
          </cell>
          <cell r="AK309">
            <v>91</v>
          </cell>
          <cell r="AL309">
            <v>67.28</v>
          </cell>
          <cell r="AM309">
            <v>50</v>
          </cell>
          <cell r="AN309" t="str">
            <v>2718155</v>
          </cell>
          <cell r="AO309" t="str">
            <v>김한수　　</v>
          </cell>
          <cell r="AP309" t="str">
            <v>05</v>
          </cell>
          <cell r="AQ309" t="str">
            <v>32</v>
          </cell>
          <cell r="AR309">
            <v>91</v>
          </cell>
          <cell r="AS309">
            <v>68.91</v>
          </cell>
          <cell r="AT309">
            <v>30</v>
          </cell>
          <cell r="AY309">
            <v>0</v>
          </cell>
          <cell r="AZ309">
            <v>0</v>
          </cell>
          <cell r="BA309">
            <v>0</v>
          </cell>
          <cell r="BF309">
            <v>0</v>
          </cell>
          <cell r="BG309">
            <v>0</v>
          </cell>
          <cell r="BH309">
            <v>0</v>
          </cell>
          <cell r="BM309">
            <v>0</v>
          </cell>
          <cell r="BN309">
            <v>0</v>
          </cell>
          <cell r="BO309">
            <v>0</v>
          </cell>
          <cell r="BP309" t="b">
            <v>0</v>
          </cell>
          <cell r="BQ309">
            <v>0</v>
          </cell>
          <cell r="BR309">
            <v>67.73</v>
          </cell>
          <cell r="BS309">
            <v>44</v>
          </cell>
          <cell r="BT309">
            <v>6.3</v>
          </cell>
          <cell r="BU309" t="str">
            <v>A</v>
          </cell>
          <cell r="BV309" t="str">
            <v>02</v>
          </cell>
          <cell r="BW309">
            <v>76</v>
          </cell>
          <cell r="BX309" t="str">
            <v>19930619</v>
          </cell>
          <cell r="BZ309" t="str">
            <v>C</v>
          </cell>
          <cell r="CA309" t="str">
            <v>08</v>
          </cell>
          <cell r="CB309" t="str">
            <v>D</v>
          </cell>
          <cell r="CC309" t="str">
            <v>09</v>
          </cell>
          <cell r="CD309" t="str">
            <v>C</v>
          </cell>
          <cell r="CE309" t="str">
            <v>05</v>
          </cell>
        </row>
        <row r="310">
          <cell r="A310" t="str">
            <v>2344656</v>
          </cell>
          <cell r="B310" t="str">
            <v>30</v>
          </cell>
          <cell r="C310" t="str">
            <v>4갑</v>
          </cell>
          <cell r="D310" t="str">
            <v>김진식　　</v>
          </cell>
          <cell r="E310" t="str">
            <v>C</v>
          </cell>
          <cell r="G310">
            <v>1</v>
          </cell>
          <cell r="H310" t="str">
            <v>KQ**</v>
          </cell>
          <cell r="I310" t="str">
            <v>KRCA</v>
          </cell>
          <cell r="J310" t="str">
            <v>프레스기술팀　　　　</v>
          </cell>
          <cell r="K310" t="str">
            <v>KRCB</v>
          </cell>
          <cell r="L310" t="str">
            <v>금형기술팀　　　　　</v>
          </cell>
          <cell r="O310" t="str">
            <v>KRCB</v>
          </cell>
          <cell r="R310" t="str">
            <v>4</v>
          </cell>
          <cell r="V310" t="str">
            <v>5</v>
          </cell>
          <cell r="W310" t="str">
            <v>2</v>
          </cell>
          <cell r="X310" t="str">
            <v>3</v>
          </cell>
          <cell r="Y310" t="str">
            <v>O</v>
          </cell>
          <cell r="Z310" t="str">
            <v>2069635</v>
          </cell>
          <cell r="AA310" t="str">
            <v>김현배　　</v>
          </cell>
          <cell r="AB310" t="str">
            <v>24</v>
          </cell>
          <cell r="AC310" t="str">
            <v>43</v>
          </cell>
          <cell r="AD310">
            <v>83</v>
          </cell>
          <cell r="AE310">
            <v>65.290000000000006</v>
          </cell>
          <cell r="AF310">
            <v>30</v>
          </cell>
          <cell r="AG310" t="str">
            <v>7034958</v>
          </cell>
          <cell r="AH310" t="str">
            <v>정성은　　</v>
          </cell>
          <cell r="AI310" t="str">
            <v>05</v>
          </cell>
          <cell r="AJ310" t="str">
            <v>32</v>
          </cell>
          <cell r="AK310">
            <v>88</v>
          </cell>
          <cell r="AL310">
            <v>67.91</v>
          </cell>
          <cell r="AM310">
            <v>20</v>
          </cell>
          <cell r="AN310" t="str">
            <v>2002001</v>
          </cell>
          <cell r="AO310" t="str">
            <v>신도철　　</v>
          </cell>
          <cell r="AP310" t="str">
            <v>03</v>
          </cell>
          <cell r="AQ310" t="str">
            <v>30</v>
          </cell>
          <cell r="AR310">
            <v>87</v>
          </cell>
          <cell r="AS310">
            <v>68.77</v>
          </cell>
          <cell r="AT310">
            <v>20</v>
          </cell>
          <cell r="AU310" t="str">
            <v>2728462</v>
          </cell>
          <cell r="AV310" t="str">
            <v>임승근　　</v>
          </cell>
          <cell r="AW310" t="str">
            <v>02</v>
          </cell>
          <cell r="AX310" t="str">
            <v>20</v>
          </cell>
          <cell r="AY310">
            <v>93</v>
          </cell>
          <cell r="AZ310">
            <v>68.42</v>
          </cell>
          <cell r="BA310">
            <v>10</v>
          </cell>
          <cell r="BF310">
            <v>0</v>
          </cell>
          <cell r="BG310">
            <v>0</v>
          </cell>
          <cell r="BH310">
            <v>0</v>
          </cell>
          <cell r="BM310">
            <v>0</v>
          </cell>
          <cell r="BN310">
            <v>0</v>
          </cell>
          <cell r="BO310">
            <v>0</v>
          </cell>
          <cell r="BP310" t="b">
            <v>0</v>
          </cell>
          <cell r="BQ310">
            <v>0</v>
          </cell>
          <cell r="BR310">
            <v>67.209999999999994</v>
          </cell>
          <cell r="BS310">
            <v>162</v>
          </cell>
          <cell r="BT310">
            <v>11.2</v>
          </cell>
          <cell r="BU310" t="str">
            <v>B</v>
          </cell>
          <cell r="BV310" t="str">
            <v>02</v>
          </cell>
          <cell r="BW310">
            <v>76</v>
          </cell>
          <cell r="BX310" t="str">
            <v>19940101</v>
          </cell>
          <cell r="BZ310" t="str">
            <v>D</v>
          </cell>
          <cell r="CA310" t="str">
            <v>08</v>
          </cell>
          <cell r="CB310" t="str">
            <v>C</v>
          </cell>
          <cell r="CC310" t="str">
            <v>06</v>
          </cell>
          <cell r="CD310" t="str">
            <v>C</v>
          </cell>
          <cell r="CE310" t="str">
            <v>08</v>
          </cell>
        </row>
        <row r="311">
          <cell r="A311" t="str">
            <v>2478455</v>
          </cell>
          <cell r="B311" t="str">
            <v>33</v>
          </cell>
          <cell r="C311" t="str">
            <v>5급</v>
          </cell>
          <cell r="D311" t="str">
            <v>임숙　　　</v>
          </cell>
          <cell r="E311" t="str">
            <v>C</v>
          </cell>
          <cell r="G311">
            <v>1</v>
          </cell>
          <cell r="H311" t="str">
            <v>KH**</v>
          </cell>
          <cell r="I311" t="str">
            <v>KHGX</v>
          </cell>
          <cell r="J311" t="str">
            <v>남부）개포지점　　　</v>
          </cell>
          <cell r="K311" t="str">
            <v>KHGP</v>
          </cell>
          <cell r="L311" t="str">
            <v>남부）논현지점　　　</v>
          </cell>
          <cell r="O311" t="str">
            <v>KHGPA</v>
          </cell>
          <cell r="R311" t="str">
            <v>2</v>
          </cell>
          <cell r="V311" t="str">
            <v>7</v>
          </cell>
          <cell r="W311" t="str">
            <v>3</v>
          </cell>
          <cell r="X311" t="str">
            <v>4</v>
          </cell>
          <cell r="Y311" t="str">
            <v>S</v>
          </cell>
          <cell r="Z311" t="str">
            <v>2156789</v>
          </cell>
          <cell r="AA311" t="str">
            <v>주재열　　</v>
          </cell>
          <cell r="AB311" t="str">
            <v>28</v>
          </cell>
          <cell r="AC311" t="str">
            <v>50</v>
          </cell>
          <cell r="AD311">
            <v>76</v>
          </cell>
          <cell r="AE311">
            <v>60</v>
          </cell>
          <cell r="AF311">
            <v>10</v>
          </cell>
          <cell r="AG311" t="str">
            <v>2718415</v>
          </cell>
          <cell r="AH311" t="str">
            <v>송재열　　</v>
          </cell>
          <cell r="AI311" t="str">
            <v>24</v>
          </cell>
          <cell r="AJ311" t="str">
            <v>44</v>
          </cell>
          <cell r="AK311">
            <v>76</v>
          </cell>
          <cell r="AL311">
            <v>60</v>
          </cell>
          <cell r="AM311">
            <v>50</v>
          </cell>
          <cell r="AN311" t="str">
            <v>2013194</v>
          </cell>
          <cell r="AO311" t="str">
            <v>박종호　　</v>
          </cell>
          <cell r="AP311" t="str">
            <v>05</v>
          </cell>
          <cell r="AQ311" t="str">
            <v>32</v>
          </cell>
          <cell r="AR311">
            <v>89</v>
          </cell>
          <cell r="AS311">
            <v>67.67</v>
          </cell>
          <cell r="AT311">
            <v>30</v>
          </cell>
          <cell r="AY311">
            <v>0</v>
          </cell>
          <cell r="AZ311">
            <v>0</v>
          </cell>
          <cell r="BA311">
            <v>0</v>
          </cell>
          <cell r="BF311">
            <v>0</v>
          </cell>
          <cell r="BG311">
            <v>0</v>
          </cell>
          <cell r="BH311">
            <v>0</v>
          </cell>
          <cell r="BM311">
            <v>0</v>
          </cell>
          <cell r="BN311">
            <v>0</v>
          </cell>
          <cell r="BO311">
            <v>0</v>
          </cell>
          <cell r="BP311" t="b">
            <v>0</v>
          </cell>
          <cell r="BQ311">
            <v>0</v>
          </cell>
          <cell r="BR311">
            <v>62.56</v>
          </cell>
          <cell r="BS311">
            <v>188</v>
          </cell>
          <cell r="BT311">
            <v>27.4</v>
          </cell>
          <cell r="BU311" t="str">
            <v>B</v>
          </cell>
          <cell r="BV311" t="str">
            <v>04</v>
          </cell>
          <cell r="BW311">
            <v>68</v>
          </cell>
          <cell r="BX311" t="str">
            <v>19930619</v>
          </cell>
          <cell r="BZ311" t="str">
            <v>D</v>
          </cell>
          <cell r="CA311" t="str">
            <v>09</v>
          </cell>
          <cell r="CB311" t="str">
            <v>D</v>
          </cell>
          <cell r="CC311" t="str">
            <v>08</v>
          </cell>
          <cell r="CD311" t="str">
            <v>E</v>
          </cell>
          <cell r="CE311" t="str">
            <v>11</v>
          </cell>
        </row>
        <row r="312">
          <cell r="A312" t="str">
            <v>2597667</v>
          </cell>
          <cell r="B312" t="str">
            <v>33</v>
          </cell>
          <cell r="C312" t="str">
            <v>5급</v>
          </cell>
          <cell r="D312" t="str">
            <v>유공주　　</v>
          </cell>
          <cell r="E312" t="str">
            <v>C</v>
          </cell>
          <cell r="G312">
            <v>1</v>
          </cell>
          <cell r="H312" t="str">
            <v>KM**</v>
          </cell>
          <cell r="I312" t="str">
            <v>KMJS</v>
          </cell>
          <cell r="J312" t="str">
            <v>부산북부사업소　　　</v>
          </cell>
          <cell r="K312" t="str">
            <v>KMJR</v>
          </cell>
          <cell r="L312" t="str">
            <v>부산사업소　　　　　</v>
          </cell>
          <cell r="O312" t="str">
            <v>KMJRA</v>
          </cell>
          <cell r="R312" t="str">
            <v>2</v>
          </cell>
          <cell r="V312" t="str">
            <v>7</v>
          </cell>
          <cell r="W312" t="str">
            <v>4</v>
          </cell>
          <cell r="X312" t="str">
            <v>4</v>
          </cell>
          <cell r="Y312" t="str">
            <v>O</v>
          </cell>
          <cell r="Z312" t="str">
            <v>2288922</v>
          </cell>
          <cell r="AA312" t="str">
            <v>구민식　　</v>
          </cell>
          <cell r="AB312" t="str">
            <v>26</v>
          </cell>
          <cell r="AC312" t="str">
            <v>50</v>
          </cell>
          <cell r="AD312">
            <v>75</v>
          </cell>
          <cell r="AE312">
            <v>62.23</v>
          </cell>
          <cell r="AF312">
            <v>40</v>
          </cell>
          <cell r="AG312" t="str">
            <v>2026355</v>
          </cell>
          <cell r="AH312" t="str">
            <v>유원홍　　</v>
          </cell>
          <cell r="AI312" t="str">
            <v>24</v>
          </cell>
          <cell r="AJ312" t="str">
            <v>43</v>
          </cell>
          <cell r="AK312">
            <v>76</v>
          </cell>
          <cell r="AL312">
            <v>58.59</v>
          </cell>
          <cell r="AM312">
            <v>50</v>
          </cell>
          <cell r="AR312">
            <v>0</v>
          </cell>
          <cell r="AS312">
            <v>0</v>
          </cell>
          <cell r="AT312">
            <v>0</v>
          </cell>
          <cell r="AY312">
            <v>0</v>
          </cell>
          <cell r="AZ312">
            <v>0</v>
          </cell>
          <cell r="BA312">
            <v>0</v>
          </cell>
          <cell r="BF312">
            <v>0</v>
          </cell>
          <cell r="BG312">
            <v>0</v>
          </cell>
          <cell r="BH312">
            <v>0</v>
          </cell>
          <cell r="BM312">
            <v>0</v>
          </cell>
          <cell r="BN312">
            <v>0</v>
          </cell>
          <cell r="BO312">
            <v>0</v>
          </cell>
          <cell r="BP312" t="b">
            <v>0</v>
          </cell>
          <cell r="BQ312">
            <v>0</v>
          </cell>
          <cell r="BR312">
            <v>60.21</v>
          </cell>
          <cell r="BS312">
            <v>301</v>
          </cell>
          <cell r="BT312">
            <v>43.9</v>
          </cell>
          <cell r="BU312" t="str">
            <v>C</v>
          </cell>
          <cell r="BV312" t="str">
            <v>05</v>
          </cell>
          <cell r="BW312">
            <v>64</v>
          </cell>
          <cell r="BX312" t="str">
            <v>19960208</v>
          </cell>
          <cell r="BZ312" t="str">
            <v>E</v>
          </cell>
          <cell r="CA312" t="str">
            <v>11</v>
          </cell>
          <cell r="CB312" t="str">
            <v>E</v>
          </cell>
          <cell r="CC312" t="str">
            <v>11</v>
          </cell>
          <cell r="CD312" t="str">
            <v>D</v>
          </cell>
          <cell r="CE312" t="str">
            <v>10</v>
          </cell>
        </row>
        <row r="313">
          <cell r="A313" t="str">
            <v>2395805</v>
          </cell>
          <cell r="B313" t="str">
            <v>28</v>
          </cell>
          <cell r="C313" t="str">
            <v>대리</v>
          </cell>
          <cell r="D313" t="str">
            <v>조영휘　　</v>
          </cell>
          <cell r="E313" t="str">
            <v>C</v>
          </cell>
          <cell r="G313">
            <v>1</v>
          </cell>
          <cell r="H313" t="str">
            <v>KQ**</v>
          </cell>
          <cell r="I313" t="str">
            <v>KTBA</v>
          </cell>
          <cell r="J313" t="str">
            <v>화）총무팀　　　　　</v>
          </cell>
          <cell r="K313" t="str">
            <v>KTBD</v>
          </cell>
          <cell r="L313" t="str">
            <v>화）시설관리팀　　　</v>
          </cell>
          <cell r="O313" t="str">
            <v>KTBD</v>
          </cell>
          <cell r="R313" t="str">
            <v>5</v>
          </cell>
          <cell r="V313" t="str">
            <v>4</v>
          </cell>
          <cell r="W313" t="str">
            <v>2</v>
          </cell>
          <cell r="X313" t="str">
            <v>3</v>
          </cell>
          <cell r="Y313" t="str">
            <v>S</v>
          </cell>
          <cell r="Z313" t="str">
            <v>2043797</v>
          </cell>
          <cell r="AA313" t="str">
            <v>김영호　　</v>
          </cell>
          <cell r="AB313" t="str">
            <v>20</v>
          </cell>
          <cell r="AC313" t="str">
            <v>32</v>
          </cell>
          <cell r="AD313">
            <v>95</v>
          </cell>
          <cell r="AE313">
            <v>66.489999999999995</v>
          </cell>
          <cell r="AF313">
            <v>50</v>
          </cell>
          <cell r="AG313" t="str">
            <v>2100100</v>
          </cell>
          <cell r="AH313" t="str">
            <v>김무일　　</v>
          </cell>
          <cell r="AI313" t="str">
            <v>02</v>
          </cell>
          <cell r="AJ313" t="str">
            <v>30</v>
          </cell>
          <cell r="AK313">
            <v>93</v>
          </cell>
          <cell r="AL313">
            <v>66.73</v>
          </cell>
          <cell r="AM313">
            <v>20</v>
          </cell>
          <cell r="AN313" t="str">
            <v>2728462</v>
          </cell>
          <cell r="AO313" t="str">
            <v>임승근　　</v>
          </cell>
          <cell r="AP313" t="str">
            <v>02</v>
          </cell>
          <cell r="AQ313" t="str">
            <v>20</v>
          </cell>
          <cell r="AR313">
            <v>93</v>
          </cell>
          <cell r="AS313">
            <v>68.52</v>
          </cell>
          <cell r="AT313">
            <v>10</v>
          </cell>
          <cell r="AY313">
            <v>0</v>
          </cell>
          <cell r="AZ313">
            <v>0</v>
          </cell>
          <cell r="BA313">
            <v>0</v>
          </cell>
          <cell r="BF313">
            <v>0</v>
          </cell>
          <cell r="BG313">
            <v>0</v>
          </cell>
          <cell r="BH313">
            <v>0</v>
          </cell>
          <cell r="BM313">
            <v>0</v>
          </cell>
          <cell r="BN313">
            <v>0</v>
          </cell>
          <cell r="BO313">
            <v>0</v>
          </cell>
          <cell r="BP313" t="b">
            <v>0</v>
          </cell>
          <cell r="BQ313">
            <v>0</v>
          </cell>
          <cell r="BR313">
            <v>66.8</v>
          </cell>
          <cell r="BS313">
            <v>273</v>
          </cell>
          <cell r="BT313">
            <v>16.3</v>
          </cell>
          <cell r="BU313" t="str">
            <v>B</v>
          </cell>
          <cell r="BV313" t="str">
            <v>03</v>
          </cell>
          <cell r="BW313">
            <v>72</v>
          </cell>
          <cell r="BX313" t="str">
            <v>19960101</v>
          </cell>
          <cell r="BZ313" t="str">
            <v>D</v>
          </cell>
          <cell r="CA313" t="str">
            <v>08</v>
          </cell>
          <cell r="CB313" t="str">
            <v>D</v>
          </cell>
          <cell r="CC313" t="str">
            <v>08</v>
          </cell>
          <cell r="CD313" t="str">
            <v>D</v>
          </cell>
          <cell r="CE313" t="str">
            <v>10</v>
          </cell>
        </row>
        <row r="314">
          <cell r="A314" t="str">
            <v>2478679</v>
          </cell>
          <cell r="B314" t="str">
            <v>32</v>
          </cell>
          <cell r="C314" t="str">
            <v>4을</v>
          </cell>
          <cell r="D314" t="str">
            <v>정환석　　</v>
          </cell>
          <cell r="E314" t="str">
            <v>C</v>
          </cell>
          <cell r="G314">
            <v>1</v>
          </cell>
          <cell r="H314" t="str">
            <v>KH**</v>
          </cell>
          <cell r="I314" t="str">
            <v>KHTA</v>
          </cell>
          <cell r="J314" t="str">
            <v>경북）포항지점　　　</v>
          </cell>
          <cell r="K314" t="str">
            <v>KHTB</v>
          </cell>
          <cell r="L314" t="str">
            <v>경북）포항남부지점　</v>
          </cell>
          <cell r="O314" t="str">
            <v>KHTBA</v>
          </cell>
          <cell r="R314" t="str">
            <v>2</v>
          </cell>
          <cell r="V314" t="str">
            <v>6</v>
          </cell>
          <cell r="W314" t="str">
            <v>3</v>
          </cell>
          <cell r="X314" t="str">
            <v>4</v>
          </cell>
          <cell r="Y314" t="str">
            <v>S</v>
          </cell>
          <cell r="Z314" t="str">
            <v>2233679</v>
          </cell>
          <cell r="AA314" t="str">
            <v>권상욱　　</v>
          </cell>
          <cell r="AB314" t="str">
            <v>28</v>
          </cell>
          <cell r="AC314" t="str">
            <v>50</v>
          </cell>
          <cell r="AD314">
            <v>98</v>
          </cell>
          <cell r="AE314">
            <v>67.599999999999994</v>
          </cell>
          <cell r="AF314">
            <v>10</v>
          </cell>
          <cell r="AG314" t="str">
            <v>2117335</v>
          </cell>
          <cell r="AH314" t="str">
            <v>김용식　　</v>
          </cell>
          <cell r="AI314" t="str">
            <v>26</v>
          </cell>
          <cell r="AJ314" t="str">
            <v>44</v>
          </cell>
          <cell r="AK314">
            <v>95</v>
          </cell>
          <cell r="AL314">
            <v>67.7</v>
          </cell>
          <cell r="AM314">
            <v>50</v>
          </cell>
          <cell r="AN314" t="str">
            <v>2061393</v>
          </cell>
          <cell r="AO314" t="str">
            <v>이광우　　</v>
          </cell>
          <cell r="AP314" t="str">
            <v>22</v>
          </cell>
          <cell r="AQ314" t="str">
            <v>32</v>
          </cell>
          <cell r="AR314">
            <v>90</v>
          </cell>
          <cell r="AS314">
            <v>69.16</v>
          </cell>
          <cell r="AT314">
            <v>30</v>
          </cell>
          <cell r="AY314">
            <v>0</v>
          </cell>
          <cell r="AZ314">
            <v>0</v>
          </cell>
          <cell r="BA314">
            <v>0</v>
          </cell>
          <cell r="BF314">
            <v>0</v>
          </cell>
          <cell r="BG314">
            <v>0</v>
          </cell>
          <cell r="BH314">
            <v>0</v>
          </cell>
          <cell r="BM314">
            <v>0</v>
          </cell>
          <cell r="BN314">
            <v>0</v>
          </cell>
          <cell r="BO314">
            <v>0</v>
          </cell>
          <cell r="BP314" t="b">
            <v>0</v>
          </cell>
          <cell r="BQ314">
            <v>0</v>
          </cell>
          <cell r="BR314">
            <v>68.180000000000007</v>
          </cell>
          <cell r="BS314">
            <v>30</v>
          </cell>
          <cell r="BT314">
            <v>4.3</v>
          </cell>
          <cell r="BU314" t="str">
            <v>A</v>
          </cell>
          <cell r="BV314" t="str">
            <v>01</v>
          </cell>
          <cell r="BW314">
            <v>80</v>
          </cell>
          <cell r="BX314" t="str">
            <v>19930619</v>
          </cell>
          <cell r="BZ314" t="str">
            <v>B</v>
          </cell>
          <cell r="CA314" t="str">
            <v>02</v>
          </cell>
          <cell r="CB314" t="str">
            <v>D</v>
          </cell>
          <cell r="CC314" t="str">
            <v>09</v>
          </cell>
          <cell r="CD314" t="str">
            <v>D</v>
          </cell>
          <cell r="CE314" t="str">
            <v>09</v>
          </cell>
        </row>
        <row r="315">
          <cell r="A315" t="str">
            <v>2677343</v>
          </cell>
          <cell r="B315" t="str">
            <v>33</v>
          </cell>
          <cell r="C315" t="str">
            <v>5급</v>
          </cell>
          <cell r="D315" t="str">
            <v>최승동　　</v>
          </cell>
          <cell r="E315" t="str">
            <v>C</v>
          </cell>
          <cell r="G315">
            <v>1</v>
          </cell>
          <cell r="H315" t="str">
            <v>KM**</v>
          </cell>
          <cell r="I315" t="str">
            <v>KMJI</v>
          </cell>
          <cell r="J315" t="str">
            <v>원주사업소　　　　　</v>
          </cell>
          <cell r="K315" t="str">
            <v>KMIH</v>
          </cell>
          <cell r="L315" t="str">
            <v>원주부품사업소　　　</v>
          </cell>
          <cell r="O315" t="str">
            <v>KMIHB</v>
          </cell>
          <cell r="R315" t="str">
            <v>2</v>
          </cell>
          <cell r="V315" t="str">
            <v>7</v>
          </cell>
          <cell r="W315" t="str">
            <v>4</v>
          </cell>
          <cell r="X315" t="str">
            <v>4</v>
          </cell>
          <cell r="Y315" t="str">
            <v>S</v>
          </cell>
          <cell r="Z315" t="str">
            <v>2050127</v>
          </cell>
          <cell r="AA315" t="str">
            <v>김두형　　</v>
          </cell>
          <cell r="AB315" t="str">
            <v>26</v>
          </cell>
          <cell r="AC315" t="str">
            <v>50</v>
          </cell>
          <cell r="AD315">
            <v>92</v>
          </cell>
          <cell r="AE315">
            <v>66.430000000000007</v>
          </cell>
          <cell r="AF315">
            <v>40</v>
          </cell>
          <cell r="AG315" t="str">
            <v>2129888</v>
          </cell>
          <cell r="AH315" t="str">
            <v>최현생　　</v>
          </cell>
          <cell r="AI315" t="str">
            <v>26</v>
          </cell>
          <cell r="AJ315" t="str">
            <v>43</v>
          </cell>
          <cell r="AK315">
            <v>93</v>
          </cell>
          <cell r="AL315">
            <v>60</v>
          </cell>
          <cell r="AM315">
            <v>50</v>
          </cell>
          <cell r="AR315">
            <v>0</v>
          </cell>
          <cell r="AS315">
            <v>0</v>
          </cell>
          <cell r="AT315">
            <v>0</v>
          </cell>
          <cell r="AY315">
            <v>0</v>
          </cell>
          <cell r="AZ315">
            <v>0</v>
          </cell>
          <cell r="BA315">
            <v>0</v>
          </cell>
          <cell r="BF315">
            <v>0</v>
          </cell>
          <cell r="BG315">
            <v>0</v>
          </cell>
          <cell r="BH315">
            <v>0</v>
          </cell>
          <cell r="BM315">
            <v>0</v>
          </cell>
          <cell r="BN315">
            <v>0</v>
          </cell>
          <cell r="BO315">
            <v>0</v>
          </cell>
          <cell r="BP315" t="b">
            <v>0</v>
          </cell>
          <cell r="BQ315">
            <v>0</v>
          </cell>
          <cell r="BR315">
            <v>62.86</v>
          </cell>
          <cell r="BS315">
            <v>175</v>
          </cell>
          <cell r="BT315">
            <v>25.5</v>
          </cell>
          <cell r="BU315" t="str">
            <v>B</v>
          </cell>
          <cell r="BV315" t="str">
            <v>04</v>
          </cell>
          <cell r="BW315">
            <v>68</v>
          </cell>
          <cell r="BX315" t="str">
            <v>19960718</v>
          </cell>
          <cell r="BZ315" t="str">
            <v>E</v>
          </cell>
          <cell r="CA315" t="str">
            <v>11</v>
          </cell>
          <cell r="CB315" t="str">
            <v>D</v>
          </cell>
          <cell r="CC315" t="str">
            <v>09</v>
          </cell>
        </row>
        <row r="316">
          <cell r="A316" t="str">
            <v>2504486</v>
          </cell>
          <cell r="B316" t="str">
            <v>33</v>
          </cell>
          <cell r="C316" t="str">
            <v>5급</v>
          </cell>
          <cell r="D316" t="str">
            <v>권선영　　</v>
          </cell>
          <cell r="E316" t="str">
            <v>C</v>
          </cell>
          <cell r="G316">
            <v>1</v>
          </cell>
          <cell r="H316" t="str">
            <v>KH**</v>
          </cell>
          <cell r="I316" t="str">
            <v>KHIA</v>
          </cell>
          <cell r="J316" t="str">
            <v>인천）인천지점　　　</v>
          </cell>
          <cell r="K316" t="str">
            <v>KHIB</v>
          </cell>
          <cell r="L316" t="str">
            <v>인천）동인천지점　　</v>
          </cell>
          <cell r="O316" t="str">
            <v>KHIBA</v>
          </cell>
          <cell r="R316" t="str">
            <v>2</v>
          </cell>
          <cell r="V316" t="str">
            <v>7</v>
          </cell>
          <cell r="W316" t="str">
            <v>3</v>
          </cell>
          <cell r="X316" t="str">
            <v>4</v>
          </cell>
          <cell r="Y316" t="str">
            <v>S</v>
          </cell>
          <cell r="Z316" t="str">
            <v>2127197</v>
          </cell>
          <cell r="AA316" t="str">
            <v>서중석　　</v>
          </cell>
          <cell r="AB316" t="str">
            <v>26</v>
          </cell>
          <cell r="AC316" t="str">
            <v>44</v>
          </cell>
          <cell r="AD316">
            <v>92</v>
          </cell>
          <cell r="AE316">
            <v>64.709999999999994</v>
          </cell>
          <cell r="AF316">
            <v>60</v>
          </cell>
          <cell r="AG316" t="str">
            <v>2718155</v>
          </cell>
          <cell r="AH316" t="str">
            <v>김한수　　</v>
          </cell>
          <cell r="AI316" t="str">
            <v>05</v>
          </cell>
          <cell r="AJ316" t="str">
            <v>32</v>
          </cell>
          <cell r="AK316">
            <v>83</v>
          </cell>
          <cell r="AL316">
            <v>64.89</v>
          </cell>
          <cell r="AM316">
            <v>30</v>
          </cell>
          <cell r="AR316">
            <v>0</v>
          </cell>
          <cell r="AS316">
            <v>0</v>
          </cell>
          <cell r="AT316">
            <v>0</v>
          </cell>
          <cell r="AY316">
            <v>0</v>
          </cell>
          <cell r="AZ316">
            <v>0</v>
          </cell>
          <cell r="BA316">
            <v>0</v>
          </cell>
          <cell r="BF316">
            <v>0</v>
          </cell>
          <cell r="BG316">
            <v>0</v>
          </cell>
          <cell r="BH316">
            <v>0</v>
          </cell>
          <cell r="BM316">
            <v>0</v>
          </cell>
          <cell r="BN316">
            <v>0</v>
          </cell>
          <cell r="BO316">
            <v>0</v>
          </cell>
          <cell r="BP316" t="b">
            <v>0</v>
          </cell>
          <cell r="BQ316">
            <v>0</v>
          </cell>
          <cell r="BR316">
            <v>64.77</v>
          </cell>
          <cell r="BS316">
            <v>107</v>
          </cell>
          <cell r="BT316">
            <v>15.6</v>
          </cell>
          <cell r="BU316" t="str">
            <v>B</v>
          </cell>
          <cell r="BV316" t="str">
            <v>03</v>
          </cell>
          <cell r="BW316">
            <v>72</v>
          </cell>
          <cell r="BX316" t="str">
            <v>19931129</v>
          </cell>
          <cell r="BZ316" t="str">
            <v>D</v>
          </cell>
          <cell r="CA316" t="str">
            <v>09</v>
          </cell>
          <cell r="CB316" t="str">
            <v>D</v>
          </cell>
          <cell r="CC316" t="str">
            <v>08</v>
          </cell>
          <cell r="CD316" t="str">
            <v>D</v>
          </cell>
          <cell r="CE316" t="str">
            <v>10</v>
          </cell>
        </row>
        <row r="317">
          <cell r="A317" t="str">
            <v>2313355</v>
          </cell>
          <cell r="B317" t="str">
            <v>28</v>
          </cell>
          <cell r="C317" t="str">
            <v>대리</v>
          </cell>
          <cell r="D317" t="str">
            <v>문광진　　</v>
          </cell>
          <cell r="E317" t="str">
            <v>C</v>
          </cell>
          <cell r="G317">
            <v>1</v>
          </cell>
          <cell r="H317" t="str">
            <v>KO**</v>
          </cell>
          <cell r="I317" t="str">
            <v>KPBC</v>
          </cell>
          <cell r="J317" t="str">
            <v>상용차체부품개발팀　</v>
          </cell>
          <cell r="K317" t="str">
            <v>KOBA</v>
          </cell>
          <cell r="L317" t="str">
            <v>구매원가팀　　　　　</v>
          </cell>
          <cell r="O317" t="str">
            <v>KOBA</v>
          </cell>
          <cell r="R317" t="str">
            <v>6</v>
          </cell>
          <cell r="V317" t="str">
            <v>4</v>
          </cell>
          <cell r="W317" t="str">
            <v>1</v>
          </cell>
          <cell r="X317" t="str">
            <v>3</v>
          </cell>
          <cell r="Y317" t="str">
            <v>S</v>
          </cell>
          <cell r="Z317" t="str">
            <v>2032307</v>
          </cell>
          <cell r="AA317" t="str">
            <v>이형하　　</v>
          </cell>
          <cell r="AB317" t="str">
            <v>22</v>
          </cell>
          <cell r="AC317" t="str">
            <v>43</v>
          </cell>
          <cell r="AD317">
            <v>91</v>
          </cell>
          <cell r="AE317">
            <v>64.62</v>
          </cell>
          <cell r="AF317">
            <v>50</v>
          </cell>
          <cell r="AG317" t="str">
            <v>2008268</v>
          </cell>
          <cell r="AH317" t="str">
            <v>이용도　　</v>
          </cell>
          <cell r="AI317" t="str">
            <v>02</v>
          </cell>
          <cell r="AJ317" t="str">
            <v>20</v>
          </cell>
          <cell r="AK317">
            <v>91</v>
          </cell>
          <cell r="AL317">
            <v>67.790000000000006</v>
          </cell>
          <cell r="AM317">
            <v>30</v>
          </cell>
          <cell r="AR317">
            <v>0</v>
          </cell>
          <cell r="AS317">
            <v>0</v>
          </cell>
          <cell r="AT317">
            <v>0</v>
          </cell>
          <cell r="AY317">
            <v>0</v>
          </cell>
          <cell r="AZ317">
            <v>0</v>
          </cell>
          <cell r="BA317">
            <v>0</v>
          </cell>
          <cell r="BF317">
            <v>0</v>
          </cell>
          <cell r="BG317">
            <v>0</v>
          </cell>
          <cell r="BH317">
            <v>0</v>
          </cell>
          <cell r="BM317">
            <v>0</v>
          </cell>
          <cell r="BN317">
            <v>0</v>
          </cell>
          <cell r="BO317">
            <v>0</v>
          </cell>
          <cell r="BP317" t="b">
            <v>0</v>
          </cell>
          <cell r="BQ317">
            <v>0</v>
          </cell>
          <cell r="BR317">
            <v>65.81</v>
          </cell>
          <cell r="BS317">
            <v>338</v>
          </cell>
          <cell r="BT317">
            <v>20.2</v>
          </cell>
          <cell r="BU317" t="str">
            <v>B</v>
          </cell>
          <cell r="BV317" t="str">
            <v>03</v>
          </cell>
          <cell r="BW317">
            <v>72</v>
          </cell>
          <cell r="BX317" t="str">
            <v>19950101</v>
          </cell>
          <cell r="BZ317" t="str">
            <v>D</v>
          </cell>
          <cell r="CA317" t="str">
            <v>09</v>
          </cell>
          <cell r="CB317" t="str">
            <v>D</v>
          </cell>
          <cell r="CC317" t="str">
            <v>09</v>
          </cell>
          <cell r="CD317" t="str">
            <v>D</v>
          </cell>
          <cell r="CE317" t="str">
            <v>09</v>
          </cell>
        </row>
        <row r="318">
          <cell r="A318" t="str">
            <v>2364564</v>
          </cell>
          <cell r="B318" t="str">
            <v>30</v>
          </cell>
          <cell r="C318" t="str">
            <v>4갑</v>
          </cell>
          <cell r="D318" t="str">
            <v>최춘열　　</v>
          </cell>
          <cell r="E318" t="str">
            <v>C</v>
          </cell>
          <cell r="G318">
            <v>1</v>
          </cell>
          <cell r="H318" t="str">
            <v>KO**</v>
          </cell>
          <cell r="I318" t="str">
            <v>KPBB</v>
          </cell>
          <cell r="J318" t="str">
            <v>상용샤시부품개발팀　</v>
          </cell>
          <cell r="K318" t="str">
            <v>KPBC</v>
          </cell>
          <cell r="L318" t="str">
            <v>상용차체부품개발팀　</v>
          </cell>
          <cell r="O318" t="str">
            <v>KPBC</v>
          </cell>
          <cell r="R318" t="str">
            <v>6</v>
          </cell>
          <cell r="V318" t="str">
            <v>5</v>
          </cell>
          <cell r="W318" t="str">
            <v>1</v>
          </cell>
          <cell r="X318" t="str">
            <v>3</v>
          </cell>
          <cell r="Y318" t="str">
            <v>O</v>
          </cell>
          <cell r="Z318" t="str">
            <v>7299025</v>
          </cell>
          <cell r="AA318" t="str">
            <v>하인철　　</v>
          </cell>
          <cell r="AB318" t="str">
            <v>24</v>
          </cell>
          <cell r="AC318" t="str">
            <v>43</v>
          </cell>
          <cell r="AD318">
            <v>75</v>
          </cell>
          <cell r="AE318">
            <v>63.28</v>
          </cell>
          <cell r="AF318">
            <v>30</v>
          </cell>
          <cell r="AG318" t="str">
            <v>7158925</v>
          </cell>
          <cell r="AH318" t="str">
            <v>조병진　　</v>
          </cell>
          <cell r="AI318" t="str">
            <v>20</v>
          </cell>
          <cell r="AJ318" t="str">
            <v>32</v>
          </cell>
          <cell r="AK318">
            <v>86</v>
          </cell>
          <cell r="AL318">
            <v>69.06</v>
          </cell>
          <cell r="AM318">
            <v>20</v>
          </cell>
          <cell r="AN318" t="str">
            <v>7043317</v>
          </cell>
          <cell r="AO318" t="str">
            <v>박승하　　</v>
          </cell>
          <cell r="AP318" t="str">
            <v>04</v>
          </cell>
          <cell r="AQ318" t="str">
            <v>30</v>
          </cell>
          <cell r="AR318">
            <v>75</v>
          </cell>
          <cell r="AS318">
            <v>60.14</v>
          </cell>
          <cell r="AT318">
            <v>20</v>
          </cell>
          <cell r="AU318" t="str">
            <v>2008268</v>
          </cell>
          <cell r="AV318" t="str">
            <v>이용도　　</v>
          </cell>
          <cell r="AW318" t="str">
            <v>02</v>
          </cell>
          <cell r="AX318" t="str">
            <v>20</v>
          </cell>
          <cell r="AY318">
            <v>88</v>
          </cell>
          <cell r="AZ318">
            <v>66.84</v>
          </cell>
          <cell r="BA318">
            <v>10</v>
          </cell>
          <cell r="BF318">
            <v>0</v>
          </cell>
          <cell r="BG318">
            <v>0</v>
          </cell>
          <cell r="BH318">
            <v>0</v>
          </cell>
          <cell r="BM318">
            <v>0</v>
          </cell>
          <cell r="BN318">
            <v>0</v>
          </cell>
          <cell r="BO318">
            <v>0</v>
          </cell>
          <cell r="BP318" t="b">
            <v>0</v>
          </cell>
          <cell r="BQ318">
            <v>0</v>
          </cell>
          <cell r="BR318">
            <v>64.39</v>
          </cell>
          <cell r="BS318">
            <v>343</v>
          </cell>
          <cell r="BT318">
            <v>23.6</v>
          </cell>
          <cell r="BU318" t="str">
            <v>B</v>
          </cell>
          <cell r="BV318" t="str">
            <v>03</v>
          </cell>
          <cell r="BW318">
            <v>72</v>
          </cell>
          <cell r="BX318" t="str">
            <v>19950101</v>
          </cell>
          <cell r="BZ318" t="str">
            <v>E</v>
          </cell>
          <cell r="CA318" t="str">
            <v>10</v>
          </cell>
          <cell r="CB318" t="str">
            <v>D</v>
          </cell>
          <cell r="CC318" t="str">
            <v>10</v>
          </cell>
          <cell r="CD318" t="str">
            <v>C</v>
          </cell>
          <cell r="CE318" t="str">
            <v>07</v>
          </cell>
        </row>
        <row r="319">
          <cell r="A319" t="str">
            <v>2553472</v>
          </cell>
          <cell r="B319" t="str">
            <v>33</v>
          </cell>
          <cell r="C319" t="str">
            <v>5급</v>
          </cell>
          <cell r="D319" t="str">
            <v>주미정　　</v>
          </cell>
          <cell r="E319" t="str">
            <v>C</v>
          </cell>
          <cell r="G319">
            <v>1</v>
          </cell>
          <cell r="H319" t="str">
            <v>KH**</v>
          </cell>
          <cell r="I319" t="str">
            <v>KHEV</v>
          </cell>
          <cell r="J319" t="str">
            <v>동부）전곡지점　　　</v>
          </cell>
          <cell r="K319" t="str">
            <v>KHEU</v>
          </cell>
          <cell r="L319" t="str">
            <v>동부）동두천지점　　</v>
          </cell>
          <cell r="O319" t="str">
            <v>KHEUA</v>
          </cell>
          <cell r="R319" t="str">
            <v>2</v>
          </cell>
          <cell r="V319" t="str">
            <v>7</v>
          </cell>
          <cell r="W319" t="str">
            <v>3</v>
          </cell>
          <cell r="X319" t="str">
            <v>4</v>
          </cell>
          <cell r="Y319" t="str">
            <v>S</v>
          </cell>
          <cell r="Z319" t="str">
            <v>2129545</v>
          </cell>
          <cell r="AA319" t="str">
            <v>이재현　　</v>
          </cell>
          <cell r="AB319" t="str">
            <v>26</v>
          </cell>
          <cell r="AC319" t="str">
            <v>44</v>
          </cell>
          <cell r="AD319">
            <v>95</v>
          </cell>
          <cell r="AE319">
            <v>64.709999999999994</v>
          </cell>
          <cell r="AF319">
            <v>60</v>
          </cell>
          <cell r="AG319" t="str">
            <v>2718162</v>
          </cell>
          <cell r="AH319" t="str">
            <v>박광인　　</v>
          </cell>
          <cell r="AI319" t="str">
            <v>03</v>
          </cell>
          <cell r="AJ319" t="str">
            <v>32</v>
          </cell>
          <cell r="AK319">
            <v>92</v>
          </cell>
          <cell r="AL319">
            <v>67.040000000000006</v>
          </cell>
          <cell r="AM319">
            <v>30</v>
          </cell>
          <cell r="AR319">
            <v>0</v>
          </cell>
          <cell r="AS319">
            <v>0</v>
          </cell>
          <cell r="AT319">
            <v>0</v>
          </cell>
          <cell r="AY319">
            <v>0</v>
          </cell>
          <cell r="AZ319">
            <v>0</v>
          </cell>
          <cell r="BA319">
            <v>0</v>
          </cell>
          <cell r="BF319">
            <v>0</v>
          </cell>
          <cell r="BG319">
            <v>0</v>
          </cell>
          <cell r="BH319">
            <v>0</v>
          </cell>
          <cell r="BM319">
            <v>0</v>
          </cell>
          <cell r="BN319">
            <v>0</v>
          </cell>
          <cell r="BO319">
            <v>0</v>
          </cell>
          <cell r="BP319" t="b">
            <v>0</v>
          </cell>
          <cell r="BQ319">
            <v>0</v>
          </cell>
          <cell r="BR319">
            <v>65.489999999999995</v>
          </cell>
          <cell r="BS319">
            <v>85</v>
          </cell>
          <cell r="BT319">
            <v>12.4</v>
          </cell>
          <cell r="BU319" t="str">
            <v>B</v>
          </cell>
          <cell r="BV319" t="str">
            <v>02</v>
          </cell>
          <cell r="BW319">
            <v>76</v>
          </cell>
          <cell r="BX319" t="str">
            <v>19940411</v>
          </cell>
          <cell r="BZ319" t="str">
            <v>C</v>
          </cell>
          <cell r="CA319" t="str">
            <v>05</v>
          </cell>
          <cell r="CB319" t="str">
            <v>D</v>
          </cell>
          <cell r="CC319" t="str">
            <v>08</v>
          </cell>
          <cell r="CD319" t="str">
            <v>E</v>
          </cell>
          <cell r="CE319" t="str">
            <v>11</v>
          </cell>
        </row>
        <row r="320">
          <cell r="A320" t="str">
            <v>2289659</v>
          </cell>
          <cell r="B320" t="str">
            <v>28</v>
          </cell>
          <cell r="C320" t="str">
            <v>대리</v>
          </cell>
          <cell r="D320" t="str">
            <v>이철구　　</v>
          </cell>
          <cell r="E320" t="str">
            <v>C</v>
          </cell>
          <cell r="G320">
            <v>1</v>
          </cell>
          <cell r="H320" t="str">
            <v>KK**</v>
          </cell>
          <cell r="I320" t="str">
            <v>KLAA</v>
          </cell>
          <cell r="J320" t="str">
            <v>수출기획팀　　　　　</v>
          </cell>
          <cell r="K320" t="str">
            <v>KLDC</v>
          </cell>
          <cell r="L320" t="str">
            <v>해외써비스팀　　　　</v>
          </cell>
          <cell r="O320" t="str">
            <v>KLDC</v>
          </cell>
          <cell r="R320" t="str">
            <v>1</v>
          </cell>
          <cell r="V320" t="str">
            <v>4</v>
          </cell>
          <cell r="W320" t="str">
            <v>1</v>
          </cell>
          <cell r="X320" t="str">
            <v>3</v>
          </cell>
          <cell r="Y320" t="str">
            <v>S</v>
          </cell>
          <cell r="Z320" t="str">
            <v>7253025</v>
          </cell>
          <cell r="AA320" t="str">
            <v>김종민　　</v>
          </cell>
          <cell r="AB320" t="str">
            <v>24</v>
          </cell>
          <cell r="AC320" t="str">
            <v>43</v>
          </cell>
          <cell r="AD320">
            <v>85</v>
          </cell>
          <cell r="AE320">
            <v>66.930000000000007</v>
          </cell>
          <cell r="AF320">
            <v>30</v>
          </cell>
          <cell r="AG320" t="str">
            <v>7043258</v>
          </cell>
          <cell r="AH320" t="str">
            <v>박상근　　</v>
          </cell>
          <cell r="AI320" t="str">
            <v>05</v>
          </cell>
          <cell r="AJ320" t="str">
            <v>32</v>
          </cell>
          <cell r="AK320">
            <v>95</v>
          </cell>
          <cell r="AL320">
            <v>68.16</v>
          </cell>
          <cell r="AM320">
            <v>20</v>
          </cell>
          <cell r="AN320" t="str">
            <v>2002024</v>
          </cell>
          <cell r="AO320" t="str">
            <v>이덕규　　</v>
          </cell>
          <cell r="AP320" t="str">
            <v>04</v>
          </cell>
          <cell r="AQ320" t="str">
            <v>30</v>
          </cell>
          <cell r="AR320">
            <v>91</v>
          </cell>
          <cell r="AS320">
            <v>67.959999999999994</v>
          </cell>
          <cell r="AT320">
            <v>20</v>
          </cell>
          <cell r="AU320" t="str">
            <v>2005295</v>
          </cell>
          <cell r="AV320" t="str">
            <v>박성도　　</v>
          </cell>
          <cell r="AW320" t="str">
            <v>02</v>
          </cell>
          <cell r="AX320" t="str">
            <v>20</v>
          </cell>
          <cell r="AY320">
            <v>93</v>
          </cell>
          <cell r="AZ320">
            <v>69.06</v>
          </cell>
          <cell r="BA320">
            <v>10</v>
          </cell>
          <cell r="BF320">
            <v>0</v>
          </cell>
          <cell r="BG320">
            <v>0</v>
          </cell>
          <cell r="BH320">
            <v>0</v>
          </cell>
          <cell r="BM320">
            <v>0</v>
          </cell>
          <cell r="BN320">
            <v>0</v>
          </cell>
          <cell r="BO320">
            <v>0</v>
          </cell>
          <cell r="BP320" t="b">
            <v>0</v>
          </cell>
          <cell r="BQ320">
            <v>0</v>
          </cell>
          <cell r="BR320">
            <v>67.760000000000005</v>
          </cell>
          <cell r="BS320">
            <v>185</v>
          </cell>
          <cell r="BT320">
            <v>11.1</v>
          </cell>
          <cell r="BU320" t="str">
            <v>B</v>
          </cell>
          <cell r="BV320" t="str">
            <v>02</v>
          </cell>
          <cell r="BW320">
            <v>76</v>
          </cell>
          <cell r="BX320" t="str">
            <v>19940101</v>
          </cell>
          <cell r="BZ320" t="str">
            <v>C</v>
          </cell>
          <cell r="CA320" t="str">
            <v>06</v>
          </cell>
          <cell r="CB320" t="str">
            <v>D</v>
          </cell>
          <cell r="CC320" t="str">
            <v>09</v>
          </cell>
          <cell r="CD320" t="str">
            <v>D</v>
          </cell>
          <cell r="CE320" t="str">
            <v>09</v>
          </cell>
        </row>
        <row r="321">
          <cell r="A321" t="str">
            <v>2503712</v>
          </cell>
          <cell r="B321" t="str">
            <v>32</v>
          </cell>
          <cell r="C321" t="str">
            <v>4을</v>
          </cell>
          <cell r="D321" t="str">
            <v>장재영　　</v>
          </cell>
          <cell r="E321" t="str">
            <v>C</v>
          </cell>
          <cell r="G321">
            <v>1</v>
          </cell>
          <cell r="H321" t="str">
            <v>KM**</v>
          </cell>
          <cell r="I321" t="str">
            <v>KMEB</v>
          </cell>
          <cell r="J321" t="str">
            <v>부품물류팀　　　　　</v>
          </cell>
          <cell r="K321" t="str">
            <v>KMEA</v>
          </cell>
          <cell r="L321" t="str">
            <v>부품조달팀　　　　　</v>
          </cell>
          <cell r="O321" t="str">
            <v>KMEA</v>
          </cell>
          <cell r="R321" t="str">
            <v>2</v>
          </cell>
          <cell r="V321" t="str">
            <v>6</v>
          </cell>
          <cell r="W321" t="str">
            <v>1</v>
          </cell>
          <cell r="X321" t="str">
            <v>4</v>
          </cell>
          <cell r="Y321" t="str">
            <v>S</v>
          </cell>
          <cell r="Z321" t="str">
            <v>0032631</v>
          </cell>
          <cell r="AA321" t="str">
            <v>조병덕　　</v>
          </cell>
          <cell r="AB321" t="str">
            <v>22</v>
          </cell>
          <cell r="AC321" t="str">
            <v>43</v>
          </cell>
          <cell r="AD321">
            <v>93</v>
          </cell>
          <cell r="AE321">
            <v>65.89</v>
          </cell>
          <cell r="AF321">
            <v>50</v>
          </cell>
          <cell r="AG321" t="str">
            <v>0043652</v>
          </cell>
          <cell r="AH321" t="str">
            <v>정남기　　</v>
          </cell>
          <cell r="AI321" t="str">
            <v>05</v>
          </cell>
          <cell r="AJ321" t="str">
            <v>32</v>
          </cell>
          <cell r="AK321">
            <v>85</v>
          </cell>
          <cell r="AL321">
            <v>66.599999999999994</v>
          </cell>
          <cell r="AM321">
            <v>30</v>
          </cell>
          <cell r="AR321">
            <v>0</v>
          </cell>
          <cell r="AS321">
            <v>0</v>
          </cell>
          <cell r="AT321">
            <v>0</v>
          </cell>
          <cell r="AY321">
            <v>0</v>
          </cell>
          <cell r="AZ321">
            <v>0</v>
          </cell>
          <cell r="BA321">
            <v>0</v>
          </cell>
          <cell r="BF321">
            <v>0</v>
          </cell>
          <cell r="BG321">
            <v>0</v>
          </cell>
          <cell r="BH321">
            <v>0</v>
          </cell>
          <cell r="BM321">
            <v>0</v>
          </cell>
          <cell r="BN321">
            <v>0</v>
          </cell>
          <cell r="BO321">
            <v>0</v>
          </cell>
          <cell r="BP321" t="b">
            <v>0</v>
          </cell>
          <cell r="BQ321">
            <v>0</v>
          </cell>
          <cell r="BR321">
            <v>66.16</v>
          </cell>
          <cell r="BS321">
            <v>102</v>
          </cell>
          <cell r="BT321">
            <v>14.6</v>
          </cell>
          <cell r="BU321" t="str">
            <v>B</v>
          </cell>
          <cell r="BV321" t="str">
            <v>02</v>
          </cell>
          <cell r="BW321">
            <v>76</v>
          </cell>
          <cell r="BX321" t="str">
            <v>19931115</v>
          </cell>
          <cell r="BZ321" t="str">
            <v>C</v>
          </cell>
          <cell r="CA321" t="str">
            <v>06</v>
          </cell>
          <cell r="CB321" t="str">
            <v>C</v>
          </cell>
          <cell r="CC321" t="str">
            <v>07</v>
          </cell>
          <cell r="CD321" t="str">
            <v>E</v>
          </cell>
          <cell r="CE321" t="str">
            <v>11</v>
          </cell>
        </row>
        <row r="322">
          <cell r="A322" t="str">
            <v>2539643</v>
          </cell>
          <cell r="B322" t="str">
            <v>32</v>
          </cell>
          <cell r="C322" t="str">
            <v>4을</v>
          </cell>
          <cell r="D322" t="str">
            <v>유준호　　</v>
          </cell>
          <cell r="E322" t="str">
            <v>C</v>
          </cell>
          <cell r="G322">
            <v>1</v>
          </cell>
          <cell r="H322" t="str">
            <v>KH**</v>
          </cell>
          <cell r="I322" t="str">
            <v>KHMI</v>
          </cell>
          <cell r="J322" t="str">
            <v>충남）성환지점　　　</v>
          </cell>
          <cell r="K322" t="str">
            <v>KHMR</v>
          </cell>
          <cell r="L322" t="str">
            <v>충남）천안남부지점　</v>
          </cell>
          <cell r="O322" t="str">
            <v>KHMRA</v>
          </cell>
          <cell r="R322" t="str">
            <v>2</v>
          </cell>
          <cell r="V322" t="str">
            <v>6</v>
          </cell>
          <cell r="W322" t="str">
            <v>3</v>
          </cell>
          <cell r="X322" t="str">
            <v>4</v>
          </cell>
          <cell r="Y322" t="str">
            <v>S</v>
          </cell>
          <cell r="Z322" t="str">
            <v>2718438</v>
          </cell>
          <cell r="AA322" t="str">
            <v>조영곤　　</v>
          </cell>
          <cell r="AB322" t="str">
            <v>26</v>
          </cell>
          <cell r="AC322" t="str">
            <v>44</v>
          </cell>
          <cell r="AD322">
            <v>94</v>
          </cell>
          <cell r="AE322">
            <v>64.709999999999994</v>
          </cell>
          <cell r="AF322">
            <v>60</v>
          </cell>
          <cell r="AG322" t="str">
            <v>2021814</v>
          </cell>
          <cell r="AH322" t="str">
            <v>강신우　　</v>
          </cell>
          <cell r="AI322" t="str">
            <v>20</v>
          </cell>
          <cell r="AJ322" t="str">
            <v>32</v>
          </cell>
          <cell r="AK322">
            <v>93</v>
          </cell>
          <cell r="AL322">
            <v>70.67</v>
          </cell>
          <cell r="AM322">
            <v>30</v>
          </cell>
          <cell r="AR322">
            <v>0</v>
          </cell>
          <cell r="AS322">
            <v>0</v>
          </cell>
          <cell r="AT322">
            <v>0</v>
          </cell>
          <cell r="AY322">
            <v>0</v>
          </cell>
          <cell r="AZ322">
            <v>0</v>
          </cell>
          <cell r="BA322">
            <v>0</v>
          </cell>
          <cell r="BF322">
            <v>0</v>
          </cell>
          <cell r="BG322">
            <v>0</v>
          </cell>
          <cell r="BH322">
            <v>0</v>
          </cell>
          <cell r="BM322">
            <v>0</v>
          </cell>
          <cell r="BN322">
            <v>0</v>
          </cell>
          <cell r="BO322">
            <v>0</v>
          </cell>
          <cell r="BP322" t="b">
            <v>0</v>
          </cell>
          <cell r="BQ322">
            <v>0</v>
          </cell>
          <cell r="BR322">
            <v>66.7</v>
          </cell>
          <cell r="BS322">
            <v>83</v>
          </cell>
          <cell r="BT322">
            <v>11.9</v>
          </cell>
          <cell r="BU322" t="str">
            <v>B</v>
          </cell>
          <cell r="BV322" t="str">
            <v>02</v>
          </cell>
          <cell r="BW322">
            <v>76</v>
          </cell>
          <cell r="BX322" t="str">
            <v>19940317</v>
          </cell>
          <cell r="BZ322" t="str">
            <v>D</v>
          </cell>
          <cell r="CA322" t="str">
            <v>08</v>
          </cell>
          <cell r="CB322" t="str">
            <v>D</v>
          </cell>
          <cell r="CC322" t="str">
            <v>10</v>
          </cell>
          <cell r="CD322" t="str">
            <v>D</v>
          </cell>
          <cell r="CE322" t="str">
            <v>08</v>
          </cell>
        </row>
        <row r="323">
          <cell r="A323" t="str">
            <v>2339447</v>
          </cell>
          <cell r="B323" t="str">
            <v>28</v>
          </cell>
          <cell r="C323" t="str">
            <v>대리</v>
          </cell>
          <cell r="D323" t="str">
            <v>이승무　　</v>
          </cell>
          <cell r="E323" t="str">
            <v>C</v>
          </cell>
          <cell r="G323">
            <v>1</v>
          </cell>
          <cell r="H323" t="str">
            <v>KO**</v>
          </cell>
          <cell r="I323" t="str">
            <v>KOCA</v>
          </cell>
          <cell r="J323" t="str">
            <v>업체협력１팀　　　　</v>
          </cell>
          <cell r="K323" t="str">
            <v>KPAB</v>
          </cell>
          <cell r="L323" t="str">
            <v>승용샤시부품개발팀　</v>
          </cell>
          <cell r="O323" t="str">
            <v>KPAB</v>
          </cell>
          <cell r="R323" t="str">
            <v>4</v>
          </cell>
          <cell r="V323" t="str">
            <v>4</v>
          </cell>
          <cell r="W323" t="str">
            <v>1</v>
          </cell>
          <cell r="X323" t="str">
            <v>3</v>
          </cell>
          <cell r="Y323" t="str">
            <v>S</v>
          </cell>
          <cell r="Z323" t="str">
            <v>7428982</v>
          </cell>
          <cell r="AA323" t="str">
            <v>최재현　　</v>
          </cell>
          <cell r="AB323" t="str">
            <v>24</v>
          </cell>
          <cell r="AC323" t="str">
            <v>43</v>
          </cell>
          <cell r="AD323">
            <v>81</v>
          </cell>
          <cell r="AE323">
            <v>70.88</v>
          </cell>
          <cell r="AF323">
            <v>30</v>
          </cell>
          <cell r="AG323" t="str">
            <v>7151374</v>
          </cell>
          <cell r="AH323" t="str">
            <v>고승환　　</v>
          </cell>
          <cell r="AI323" t="str">
            <v>20</v>
          </cell>
          <cell r="AJ323" t="str">
            <v>32</v>
          </cell>
          <cell r="AK323">
            <v>83</v>
          </cell>
          <cell r="AL323">
            <v>67.09</v>
          </cell>
          <cell r="AM323">
            <v>20</v>
          </cell>
          <cell r="AN323" t="str">
            <v>7043317</v>
          </cell>
          <cell r="AO323" t="str">
            <v>박승하　　</v>
          </cell>
          <cell r="AP323" t="str">
            <v>04</v>
          </cell>
          <cell r="AQ323" t="str">
            <v>30</v>
          </cell>
          <cell r="AR323">
            <v>96</v>
          </cell>
          <cell r="AS323">
            <v>68.28</v>
          </cell>
          <cell r="AT323">
            <v>20</v>
          </cell>
          <cell r="AU323" t="str">
            <v>2008268</v>
          </cell>
          <cell r="AV323" t="str">
            <v>이용도　　</v>
          </cell>
          <cell r="AW323" t="str">
            <v>02</v>
          </cell>
          <cell r="AX323" t="str">
            <v>20</v>
          </cell>
          <cell r="AY323">
            <v>83</v>
          </cell>
          <cell r="AZ323">
            <v>64.349999999999994</v>
          </cell>
          <cell r="BA323">
            <v>10</v>
          </cell>
          <cell r="BF323">
            <v>0</v>
          </cell>
          <cell r="BG323">
            <v>0</v>
          </cell>
          <cell r="BH323">
            <v>0</v>
          </cell>
          <cell r="BM323">
            <v>0</v>
          </cell>
          <cell r="BN323">
            <v>0</v>
          </cell>
          <cell r="BO323">
            <v>0</v>
          </cell>
          <cell r="BP323" t="b">
            <v>0</v>
          </cell>
          <cell r="BQ323">
            <v>0</v>
          </cell>
          <cell r="BR323">
            <v>68.47</v>
          </cell>
          <cell r="BS323">
            <v>125</v>
          </cell>
          <cell r="BT323">
            <v>7.5</v>
          </cell>
          <cell r="BU323" t="str">
            <v>A</v>
          </cell>
          <cell r="BV323" t="str">
            <v>02</v>
          </cell>
          <cell r="BW323">
            <v>76</v>
          </cell>
          <cell r="BX323" t="str">
            <v>19950101</v>
          </cell>
          <cell r="BZ323" t="str">
            <v>C</v>
          </cell>
          <cell r="CA323" t="str">
            <v>05</v>
          </cell>
          <cell r="CB323" t="str">
            <v>D</v>
          </cell>
          <cell r="CC323" t="str">
            <v>10</v>
          </cell>
          <cell r="CD323" t="str">
            <v>E</v>
          </cell>
          <cell r="CE323" t="str">
            <v>11</v>
          </cell>
        </row>
        <row r="324">
          <cell r="A324" t="str">
            <v>2612097</v>
          </cell>
          <cell r="B324" t="str">
            <v>33</v>
          </cell>
          <cell r="C324" t="str">
            <v>5급</v>
          </cell>
          <cell r="D324" t="str">
            <v>최명희　　</v>
          </cell>
          <cell r="E324" t="str">
            <v>C</v>
          </cell>
          <cell r="G324">
            <v>1</v>
          </cell>
          <cell r="H324" t="str">
            <v>KF**</v>
          </cell>
          <cell r="I324" t="str">
            <v>KFBA</v>
          </cell>
          <cell r="J324" t="str">
            <v>재정팀　　　　　　　</v>
          </cell>
          <cell r="K324" t="str">
            <v>KFBB</v>
          </cell>
          <cell r="L324" t="str">
            <v>국제금융팀　　　　　</v>
          </cell>
          <cell r="O324" t="str">
            <v>KFBB</v>
          </cell>
          <cell r="R324" t="str">
            <v>1</v>
          </cell>
          <cell r="V324" t="str">
            <v>7</v>
          </cell>
          <cell r="W324" t="str">
            <v>1</v>
          </cell>
          <cell r="X324" t="str">
            <v>4</v>
          </cell>
          <cell r="Y324" t="str">
            <v>S</v>
          </cell>
          <cell r="Z324" t="str">
            <v>2070124</v>
          </cell>
          <cell r="AA324" t="str">
            <v>한창균　　</v>
          </cell>
          <cell r="AB324" t="str">
            <v>24</v>
          </cell>
          <cell r="AC324" t="str">
            <v>43</v>
          </cell>
          <cell r="AD324">
            <v>88</v>
          </cell>
          <cell r="AE324">
            <v>64.709999999999994</v>
          </cell>
          <cell r="AF324">
            <v>50</v>
          </cell>
          <cell r="AG324" t="str">
            <v>2023777</v>
          </cell>
          <cell r="AH324" t="str">
            <v>구태환　　</v>
          </cell>
          <cell r="AI324" t="str">
            <v>20</v>
          </cell>
          <cell r="AJ324" t="str">
            <v>32</v>
          </cell>
          <cell r="AK324">
            <v>89</v>
          </cell>
          <cell r="AL324">
            <v>60.24</v>
          </cell>
          <cell r="AM324">
            <v>30</v>
          </cell>
          <cell r="AR324">
            <v>0</v>
          </cell>
          <cell r="AS324">
            <v>0</v>
          </cell>
          <cell r="AT324">
            <v>0</v>
          </cell>
          <cell r="AY324">
            <v>0</v>
          </cell>
          <cell r="AZ324">
            <v>0</v>
          </cell>
          <cell r="BA324">
            <v>0</v>
          </cell>
          <cell r="BF324">
            <v>0</v>
          </cell>
          <cell r="BG324">
            <v>0</v>
          </cell>
          <cell r="BH324">
            <v>0</v>
          </cell>
          <cell r="BM324">
            <v>0</v>
          </cell>
          <cell r="BN324">
            <v>0</v>
          </cell>
          <cell r="BO324">
            <v>0</v>
          </cell>
          <cell r="BP324" t="b">
            <v>0</v>
          </cell>
          <cell r="BQ324">
            <v>0</v>
          </cell>
          <cell r="BR324">
            <v>63.03</v>
          </cell>
          <cell r="BS324">
            <v>164</v>
          </cell>
          <cell r="BT324">
            <v>23.9</v>
          </cell>
          <cell r="BU324" t="str">
            <v>B</v>
          </cell>
          <cell r="BV324" t="str">
            <v>03</v>
          </cell>
          <cell r="BW324">
            <v>72</v>
          </cell>
          <cell r="BX324" t="str">
            <v>19950213</v>
          </cell>
          <cell r="BZ324" t="str">
            <v>D</v>
          </cell>
          <cell r="CA324" t="str">
            <v>10</v>
          </cell>
          <cell r="CB324" t="str">
            <v>E</v>
          </cell>
          <cell r="CC324" t="str">
            <v>11</v>
          </cell>
          <cell r="CD324" t="str">
            <v>D</v>
          </cell>
          <cell r="CE324" t="str">
            <v>10</v>
          </cell>
        </row>
        <row r="325">
          <cell r="A325" t="str">
            <v>2479004</v>
          </cell>
          <cell r="B325" t="str">
            <v>33</v>
          </cell>
          <cell r="C325" t="str">
            <v>5급</v>
          </cell>
          <cell r="D325" t="str">
            <v>한소림　　</v>
          </cell>
          <cell r="E325" t="str">
            <v>C</v>
          </cell>
          <cell r="G325">
            <v>1</v>
          </cell>
          <cell r="H325" t="str">
            <v>KH**</v>
          </cell>
          <cell r="I325" t="str">
            <v>KHHH</v>
          </cell>
          <cell r="J325" t="str">
            <v>북부）일산지점　　　</v>
          </cell>
          <cell r="K325" t="str">
            <v>KHHV</v>
          </cell>
          <cell r="L325" t="str">
            <v>북부）원당지점　　　</v>
          </cell>
          <cell r="O325" t="str">
            <v>KHHVA</v>
          </cell>
          <cell r="R325" t="str">
            <v>2</v>
          </cell>
          <cell r="V325" t="str">
            <v>7</v>
          </cell>
          <cell r="W325" t="str">
            <v>3</v>
          </cell>
          <cell r="X325" t="str">
            <v>4</v>
          </cell>
          <cell r="Y325" t="str">
            <v>S</v>
          </cell>
          <cell r="Z325" t="str">
            <v>2104539</v>
          </cell>
          <cell r="AA325" t="str">
            <v>홍배식　　</v>
          </cell>
          <cell r="AB325" t="str">
            <v>26</v>
          </cell>
          <cell r="AC325" t="str">
            <v>44</v>
          </cell>
          <cell r="AD325">
            <v>98</v>
          </cell>
          <cell r="AE325">
            <v>64.709999999999994</v>
          </cell>
          <cell r="AF325">
            <v>60</v>
          </cell>
          <cell r="AG325" t="str">
            <v>2006008</v>
          </cell>
          <cell r="AH325" t="str">
            <v>이덕준　　</v>
          </cell>
          <cell r="AI325" t="str">
            <v>03</v>
          </cell>
          <cell r="AJ325" t="str">
            <v>32</v>
          </cell>
          <cell r="AK325">
            <v>80</v>
          </cell>
          <cell r="AL325">
            <v>61.84</v>
          </cell>
          <cell r="AM325">
            <v>30</v>
          </cell>
          <cell r="AR325">
            <v>0</v>
          </cell>
          <cell r="AS325">
            <v>0</v>
          </cell>
          <cell r="AT325">
            <v>0</v>
          </cell>
          <cell r="AY325">
            <v>0</v>
          </cell>
          <cell r="AZ325">
            <v>0</v>
          </cell>
          <cell r="BA325">
            <v>0</v>
          </cell>
          <cell r="BF325">
            <v>0</v>
          </cell>
          <cell r="BG325">
            <v>0</v>
          </cell>
          <cell r="BH325">
            <v>0</v>
          </cell>
          <cell r="BM325">
            <v>0</v>
          </cell>
          <cell r="BN325">
            <v>0</v>
          </cell>
          <cell r="BO325">
            <v>0</v>
          </cell>
          <cell r="BP325" t="b">
            <v>0</v>
          </cell>
          <cell r="BQ325">
            <v>0</v>
          </cell>
          <cell r="BR325">
            <v>63.75</v>
          </cell>
          <cell r="BS325">
            <v>133</v>
          </cell>
          <cell r="BT325">
            <v>19.399999999999999</v>
          </cell>
          <cell r="BU325" t="str">
            <v>B</v>
          </cell>
          <cell r="BV325" t="str">
            <v>03</v>
          </cell>
          <cell r="BW325">
            <v>72</v>
          </cell>
          <cell r="BX325" t="str">
            <v>19960101</v>
          </cell>
          <cell r="BZ325" t="str">
            <v>D</v>
          </cell>
          <cell r="CA325" t="str">
            <v>09</v>
          </cell>
          <cell r="CB325" t="str">
            <v>E</v>
          </cell>
          <cell r="CC325" t="str">
            <v>11</v>
          </cell>
          <cell r="CD325" t="str">
            <v>E</v>
          </cell>
          <cell r="CE325" t="str">
            <v>11</v>
          </cell>
        </row>
        <row r="326">
          <cell r="A326" t="str">
            <v>2537904</v>
          </cell>
          <cell r="B326" t="str">
            <v>33</v>
          </cell>
          <cell r="C326" t="str">
            <v>5급</v>
          </cell>
          <cell r="D326" t="str">
            <v>박민영　　</v>
          </cell>
          <cell r="E326" t="str">
            <v>C</v>
          </cell>
          <cell r="G326">
            <v>1</v>
          </cell>
          <cell r="H326" t="str">
            <v>KQ**</v>
          </cell>
          <cell r="I326" t="str">
            <v>KQBA</v>
          </cell>
          <cell r="J326" t="str">
            <v>품질계획팀　　　　　</v>
          </cell>
          <cell r="K326" t="str">
            <v>KUBB</v>
          </cell>
          <cell r="L326" t="str">
            <v>광）인력관리팀　　　</v>
          </cell>
          <cell r="O326" t="str">
            <v>KUBB</v>
          </cell>
          <cell r="R326" t="str">
            <v>6</v>
          </cell>
          <cell r="V326" t="str">
            <v>7</v>
          </cell>
          <cell r="W326" t="str">
            <v>2</v>
          </cell>
          <cell r="X326" t="str">
            <v>4</v>
          </cell>
          <cell r="Y326" t="str">
            <v>S</v>
          </cell>
          <cell r="Z326" t="str">
            <v>2023048</v>
          </cell>
          <cell r="AA326" t="str">
            <v>이금채　　</v>
          </cell>
          <cell r="AB326" t="str">
            <v>22</v>
          </cell>
          <cell r="AC326" t="str">
            <v>43</v>
          </cell>
          <cell r="AD326">
            <v>88</v>
          </cell>
          <cell r="AE326">
            <v>65.569999999999993</v>
          </cell>
          <cell r="AF326">
            <v>40</v>
          </cell>
          <cell r="AG326" t="str">
            <v>2034679</v>
          </cell>
          <cell r="AH326" t="str">
            <v>김재훈　　</v>
          </cell>
          <cell r="AI326" t="str">
            <v>20</v>
          </cell>
          <cell r="AJ326" t="str">
            <v>32</v>
          </cell>
          <cell r="AK326">
            <v>94</v>
          </cell>
          <cell r="AL326">
            <v>70.39</v>
          </cell>
          <cell r="AM326">
            <v>20</v>
          </cell>
          <cell r="AN326" t="str">
            <v>2026563</v>
          </cell>
          <cell r="AO326" t="str">
            <v>전천수　　</v>
          </cell>
          <cell r="AP326" t="str">
            <v>03</v>
          </cell>
          <cell r="AQ326" t="str">
            <v>30</v>
          </cell>
          <cell r="AR326">
            <v>86</v>
          </cell>
          <cell r="AS326">
            <v>67.2</v>
          </cell>
          <cell r="AT326">
            <v>20</v>
          </cell>
          <cell r="AY326">
            <v>0</v>
          </cell>
          <cell r="AZ326">
            <v>0</v>
          </cell>
          <cell r="BA326">
            <v>0</v>
          </cell>
          <cell r="BF326">
            <v>0</v>
          </cell>
          <cell r="BG326">
            <v>0</v>
          </cell>
          <cell r="BH326">
            <v>0</v>
          </cell>
          <cell r="BM326">
            <v>0</v>
          </cell>
          <cell r="BN326">
            <v>0</v>
          </cell>
          <cell r="BO326">
            <v>0</v>
          </cell>
          <cell r="BP326" t="b">
            <v>0</v>
          </cell>
          <cell r="BQ326">
            <v>0</v>
          </cell>
          <cell r="BR326">
            <v>67.180000000000007</v>
          </cell>
          <cell r="BS326">
            <v>42</v>
          </cell>
          <cell r="BT326">
            <v>6.1</v>
          </cell>
          <cell r="BU326" t="str">
            <v>A</v>
          </cell>
          <cell r="BV326" t="str">
            <v>02</v>
          </cell>
          <cell r="BW326">
            <v>76</v>
          </cell>
          <cell r="BX326" t="str">
            <v>19960208</v>
          </cell>
          <cell r="BZ326" t="str">
            <v>D</v>
          </cell>
          <cell r="CA326" t="str">
            <v>10</v>
          </cell>
          <cell r="CB326" t="str">
            <v>D</v>
          </cell>
          <cell r="CC326" t="str">
            <v>09</v>
          </cell>
          <cell r="CD326" t="str">
            <v>E</v>
          </cell>
          <cell r="CE326" t="str">
            <v>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갑지"/>
      <sheetName val="내역"/>
      <sheetName val="표지"/>
      <sheetName val="특기"/>
      <sheetName val="원가"/>
      <sheetName val="내역 (2)"/>
      <sheetName val="실행내역서"/>
      <sheetName val="01.인건비TABLE"/>
      <sheetName val="02.공수산정"/>
      <sheetName val="03.공수TABLE"/>
      <sheetName val="04.재료비TABLE(총괄)"/>
      <sheetName val="일위대가목차"/>
      <sheetName val="집계표"/>
      <sheetName val="내   역"/>
      <sheetName val="일위대가표"/>
      <sheetName val="자재단가"/>
      <sheetName val="휘경동(신일)"/>
      <sheetName val="전입"/>
      <sheetName val="DATA"/>
      <sheetName val="Customer Databas"/>
      <sheetName val=""/>
      <sheetName val="내역_(2)"/>
      <sheetName val="01_인건비TABLE"/>
      <sheetName val="02_공수산정"/>
      <sheetName val="03_공수TABLE"/>
      <sheetName val="04_재료비TABLE(총괄)"/>
      <sheetName val="내___역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Sheet2"/>
      <sheetName val="Sheet3"/>
      <sheetName val="견적서(을145) (2)"/>
      <sheetName val="우영제공"/>
      <sheetName val="견적서B"/>
      <sheetName val="단가%수정"/>
      <sheetName val="견적서(갑)"/>
      <sheetName val="품셈TABLE"/>
      <sheetName val="견적서"/>
      <sheetName val="NP-총정리"/>
      <sheetName val="별표 "/>
      <sheetName val="7.신상품현황"/>
      <sheetName val="#REF"/>
      <sheetName val="손익분석"/>
      <sheetName val="수목데이타 "/>
      <sheetName val="일위대가목차"/>
      <sheetName val="전문품의"/>
      <sheetName val="검단1"/>
      <sheetName val="2.대외공문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Ⅰ.개요"/>
      <sheetName val="참조) 객실 현황"/>
      <sheetName val="Ⅱ.추정 손익"/>
      <sheetName val="1.매출"/>
      <sheetName val="참조) SONO 실적"/>
      <sheetName val="참조) 심사,PRM 제공자료"/>
      <sheetName val="참조) 경쟁사 실적"/>
      <sheetName val="참조) 기타"/>
      <sheetName val="2-1.HR관련비용"/>
      <sheetName val="2-2.기타비용"/>
    </sheetNames>
    <sheetDataSet>
      <sheetData sheetId="0"/>
      <sheetData sheetId="1"/>
      <sheetData sheetId="2"/>
      <sheetData sheetId="3">
        <row r="154">
          <cell r="D154">
            <v>36357.951000000001</v>
          </cell>
        </row>
        <row r="155">
          <cell r="D155">
            <v>15581.978999999999</v>
          </cell>
        </row>
        <row r="156">
          <cell r="D156">
            <v>3570</v>
          </cell>
        </row>
        <row r="161">
          <cell r="D161">
            <v>327103.97474813234</v>
          </cell>
        </row>
        <row r="162">
          <cell r="D162">
            <v>284116.37777835643</v>
          </cell>
        </row>
        <row r="164">
          <cell r="D164">
            <v>11892830.285797833</v>
          </cell>
        </row>
        <row r="165">
          <cell r="D165">
            <v>4427095.4320984166</v>
          </cell>
        </row>
        <row r="166">
          <cell r="D166">
            <v>0</v>
          </cell>
        </row>
        <row r="221">
          <cell r="D221">
            <v>73941.840111695245</v>
          </cell>
        </row>
      </sheetData>
      <sheetData sheetId="4"/>
      <sheetData sheetId="5"/>
      <sheetData sheetId="6"/>
      <sheetData sheetId="7"/>
      <sheetData sheetId="8">
        <row r="74">
          <cell r="M74">
            <v>1</v>
          </cell>
        </row>
        <row r="76">
          <cell r="M76">
            <v>1</v>
          </cell>
        </row>
        <row r="77">
          <cell r="M77">
            <v>1</v>
          </cell>
        </row>
        <row r="78">
          <cell r="M78">
            <v>1</v>
          </cell>
        </row>
        <row r="80">
          <cell r="M80">
            <v>1</v>
          </cell>
        </row>
        <row r="89">
          <cell r="M89">
            <v>86487.999999999985</v>
          </cell>
        </row>
        <row r="91">
          <cell r="M91">
            <v>48933.999999999993</v>
          </cell>
        </row>
        <row r="92">
          <cell r="M92">
            <v>48933.999999999993</v>
          </cell>
        </row>
        <row r="93">
          <cell r="M93">
            <v>38692</v>
          </cell>
        </row>
        <row r="95">
          <cell r="M95">
            <v>38692</v>
          </cell>
        </row>
        <row r="106">
          <cell r="M106">
            <v>1</v>
          </cell>
        </row>
        <row r="107">
          <cell r="M107">
            <v>8</v>
          </cell>
        </row>
        <row r="134">
          <cell r="M134">
            <v>59175.999999999993</v>
          </cell>
        </row>
        <row r="135">
          <cell r="M135">
            <v>265154</v>
          </cell>
        </row>
        <row r="136">
          <cell r="M136">
            <v>34140</v>
          </cell>
        </row>
        <row r="137">
          <cell r="M137">
            <v>43243.999999999993</v>
          </cell>
        </row>
        <row r="173">
          <cell r="M173">
            <v>22</v>
          </cell>
        </row>
        <row r="196">
          <cell r="L196">
            <v>794052.00000000012</v>
          </cell>
          <cell r="M196">
            <v>1345203</v>
          </cell>
        </row>
        <row r="208">
          <cell r="M208">
            <v>748431</v>
          </cell>
        </row>
        <row r="248">
          <cell r="C248">
            <v>4.2843560660042801E-2</v>
          </cell>
        </row>
      </sheetData>
      <sheetData sheetId="9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Summary_호텔앤리조트"/>
      <sheetName val="목차"/>
      <sheetName val="Summary_호텔앤리조트(라운드제거)"/>
      <sheetName val="주요사항1"/>
      <sheetName val="주요사항2"/>
      <sheetName val="Ⅱ-1.매출및손익"/>
      <sheetName val="Ⅱ-2)손익계산서"/>
      <sheetName val="Ⅱ-2)손익계산서(사업장별증감)"/>
      <sheetName val="Ⅱ-3)인력현황"/>
      <sheetName val="#.인력현황(사업장별)"/>
      <sheetName val="Ⅱ-4)객실(객실수)"/>
      <sheetName val="Ⅱ-4)객실(매출액)"/>
      <sheetName val="Ⅱ-4)객실(투숙률)"/>
      <sheetName val="Ⅱ-4)객실(ADR)"/>
      <sheetName val="Ⅱ-5)마켓별 객실현황"/>
      <sheetName val="Ⅱ-5)마켓별 객실매출현황"/>
      <sheetName val="Ⅱ-5)마켓별 객실ADR"/>
      <sheetName val="Ⅱ-6)소사업별 현황"/>
      <sheetName val="Ⅱ-7)워터파크"/>
      <sheetName val="Ⅱ-8)골프"/>
      <sheetName val="Ⅱ-9)본사관리비(운영)"/>
      <sheetName val="Ⅱ-6)영업부문별"/>
      <sheetName val="Ⅱ-7)차이분석"/>
      <sheetName val="Ⅲ-1)계약"/>
      <sheetName val="Ⅲ-2)회계"/>
      <sheetName val="Ⅲ-3)본사관리비(분양)"/>
      <sheetName val="Ⅳ-2)본사관리비(조직별)"/>
      <sheetName val="Issue"/>
      <sheetName val="Ⅳ-1)스카이거너스"/>
      <sheetName val="Ⅳ-2)시니어웨이브"/>
      <sheetName val="#. Summary_소노인터내셔널"/>
      <sheetName val="#. Summary_소노인터내셔널(라운드제거)"/>
      <sheetName val="운영PPT"/>
      <sheetName val="#)투숙률(월별)"/>
      <sheetName val="#)매출(월별)"/>
      <sheetName val="#)영업이익(월별)"/>
      <sheetName val="#)양평(월별)"/>
      <sheetName val="#)손익계산서"/>
      <sheetName val="#)객실수"/>
      <sheetName val="#)투숙률"/>
      <sheetName val="#)가용객실"/>
      <sheetName val="#)객실매출"/>
      <sheetName val="#)ADR"/>
      <sheetName val="#)소사업별매출"/>
      <sheetName val="#)유형별객실"/>
      <sheetName val="#)유형별객실매출"/>
      <sheetName val="#)본사관리비"/>
      <sheetName val="＃)조직별(유형별)"/>
      <sheetName val="#)워터파크"/>
      <sheetName val="#)골프"/>
      <sheetName val="#)스카이거너스"/>
      <sheetName val="#)시니어웨이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876">
          <cell r="G876">
            <v>2464</v>
          </cell>
          <cell r="H876">
            <v>2612</v>
          </cell>
          <cell r="I876">
            <v>1906</v>
          </cell>
          <cell r="J876">
            <v>2022</v>
          </cell>
          <cell r="K876">
            <v>2537</v>
          </cell>
          <cell r="L876">
            <v>2201</v>
          </cell>
          <cell r="M876">
            <v>2486</v>
          </cell>
          <cell r="N876">
            <v>3176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Y876">
            <v>2310</v>
          </cell>
          <cell r="Z876">
            <v>1890</v>
          </cell>
          <cell r="AA876">
            <v>2110</v>
          </cell>
          <cell r="AB876">
            <v>2320</v>
          </cell>
          <cell r="AC876">
            <v>2540</v>
          </cell>
          <cell r="AD876">
            <v>2370</v>
          </cell>
          <cell r="AE876">
            <v>3090</v>
          </cell>
          <cell r="AF876">
            <v>3290</v>
          </cell>
          <cell r="AG876">
            <v>2790</v>
          </cell>
          <cell r="AH876">
            <v>2370</v>
          </cell>
          <cell r="AI876">
            <v>1940</v>
          </cell>
          <cell r="AJ876">
            <v>2110</v>
          </cell>
        </row>
        <row r="877">
          <cell r="G877">
            <v>1065</v>
          </cell>
          <cell r="H877">
            <v>707</v>
          </cell>
          <cell r="I877">
            <v>1227</v>
          </cell>
          <cell r="J877">
            <v>1618</v>
          </cell>
          <cell r="K877">
            <v>1389</v>
          </cell>
          <cell r="L877">
            <v>1316</v>
          </cell>
          <cell r="M877">
            <v>1045</v>
          </cell>
          <cell r="N877">
            <v>812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Y877">
            <v>660</v>
          </cell>
          <cell r="Z877">
            <v>440</v>
          </cell>
          <cell r="AA877">
            <v>630</v>
          </cell>
          <cell r="AB877">
            <v>930</v>
          </cell>
          <cell r="AC877">
            <v>1040</v>
          </cell>
          <cell r="AD877">
            <v>630</v>
          </cell>
          <cell r="AE877">
            <v>480</v>
          </cell>
          <cell r="AF877">
            <v>320</v>
          </cell>
          <cell r="AG877">
            <v>780</v>
          </cell>
          <cell r="AH877">
            <v>1290</v>
          </cell>
          <cell r="AI877">
            <v>1390</v>
          </cell>
          <cell r="AJ877">
            <v>580</v>
          </cell>
        </row>
        <row r="878">
          <cell r="G878">
            <v>936</v>
          </cell>
          <cell r="H878">
            <v>1433</v>
          </cell>
          <cell r="I878">
            <v>1119</v>
          </cell>
          <cell r="J878">
            <v>1237</v>
          </cell>
          <cell r="K878">
            <v>1250</v>
          </cell>
          <cell r="L878">
            <v>1239</v>
          </cell>
          <cell r="M878">
            <v>1567</v>
          </cell>
          <cell r="N878">
            <v>2205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Y878">
            <v>2050</v>
          </cell>
          <cell r="Z878">
            <v>1650</v>
          </cell>
          <cell r="AA878">
            <v>1850</v>
          </cell>
          <cell r="AB878">
            <v>2050</v>
          </cell>
          <cell r="AC878">
            <v>2450</v>
          </cell>
          <cell r="AD878">
            <v>2550</v>
          </cell>
          <cell r="AE878">
            <v>2750</v>
          </cell>
          <cell r="AF878">
            <v>2950</v>
          </cell>
          <cell r="AG878">
            <v>2750</v>
          </cell>
          <cell r="AH878">
            <v>2750</v>
          </cell>
          <cell r="AI878">
            <v>2550</v>
          </cell>
          <cell r="AJ878">
            <v>2350</v>
          </cell>
        </row>
        <row r="880">
          <cell r="G880">
            <v>410510</v>
          </cell>
          <cell r="H880">
            <v>371986</v>
          </cell>
          <cell r="I880">
            <v>356206.63699999999</v>
          </cell>
          <cell r="J880">
            <v>373900</v>
          </cell>
          <cell r="K880">
            <v>535661</v>
          </cell>
          <cell r="L880">
            <v>446908.228</v>
          </cell>
          <cell r="M880">
            <v>641412</v>
          </cell>
          <cell r="N880">
            <v>846088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Y880">
            <v>424000</v>
          </cell>
          <cell r="Z880">
            <v>317000</v>
          </cell>
          <cell r="AA880">
            <v>377000</v>
          </cell>
          <cell r="AB880">
            <v>443000</v>
          </cell>
          <cell r="AC880">
            <v>531000</v>
          </cell>
          <cell r="AD880">
            <v>477000</v>
          </cell>
          <cell r="AE880">
            <v>728000</v>
          </cell>
          <cell r="AF880">
            <v>850000</v>
          </cell>
          <cell r="AG880">
            <v>562000</v>
          </cell>
          <cell r="AH880">
            <v>569000</v>
          </cell>
          <cell r="AI880">
            <v>516000</v>
          </cell>
          <cell r="AJ880">
            <v>419000</v>
          </cell>
        </row>
        <row r="881">
          <cell r="G881">
            <v>50064</v>
          </cell>
          <cell r="H881">
            <v>67126</v>
          </cell>
          <cell r="I881">
            <v>64185</v>
          </cell>
          <cell r="J881">
            <v>90310</v>
          </cell>
          <cell r="K881">
            <v>83848</v>
          </cell>
          <cell r="L881">
            <v>71785</v>
          </cell>
          <cell r="M881">
            <v>75299</v>
          </cell>
          <cell r="N881">
            <v>78136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Y881">
            <v>59000</v>
          </cell>
          <cell r="Z881">
            <v>42000</v>
          </cell>
          <cell r="AA881">
            <v>51000</v>
          </cell>
          <cell r="AB881">
            <v>70000</v>
          </cell>
          <cell r="AC881">
            <v>81000</v>
          </cell>
          <cell r="AD881">
            <v>72000</v>
          </cell>
          <cell r="AE881">
            <v>58000</v>
          </cell>
          <cell r="AF881">
            <v>80000</v>
          </cell>
          <cell r="AG881">
            <v>59000</v>
          </cell>
          <cell r="AH881">
            <v>99000</v>
          </cell>
          <cell r="AI881">
            <v>92000</v>
          </cell>
          <cell r="AJ881">
            <v>68000</v>
          </cell>
        </row>
        <row r="882">
          <cell r="G882">
            <v>8864</v>
          </cell>
          <cell r="H882">
            <v>9832</v>
          </cell>
          <cell r="I882">
            <v>8429</v>
          </cell>
          <cell r="J882">
            <v>9749</v>
          </cell>
          <cell r="K882">
            <v>10293</v>
          </cell>
          <cell r="L882">
            <v>10268</v>
          </cell>
          <cell r="M882">
            <v>12377</v>
          </cell>
          <cell r="N882">
            <v>11900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Y882">
            <v>9000</v>
          </cell>
          <cell r="Z882">
            <v>8000</v>
          </cell>
          <cell r="AA882">
            <v>9000</v>
          </cell>
          <cell r="AB882">
            <v>9000</v>
          </cell>
          <cell r="AC882">
            <v>9000</v>
          </cell>
          <cell r="AD882">
            <v>9000</v>
          </cell>
          <cell r="AE882">
            <v>10000</v>
          </cell>
          <cell r="AF882">
            <v>11000</v>
          </cell>
          <cell r="AG882">
            <v>9000</v>
          </cell>
          <cell r="AH882">
            <v>10000</v>
          </cell>
          <cell r="AI882">
            <v>10000</v>
          </cell>
          <cell r="AJ882">
            <v>10000</v>
          </cell>
        </row>
        <row r="883"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</row>
        <row r="884"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</row>
        <row r="885"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</row>
        <row r="886"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</row>
        <row r="887">
          <cell r="G887">
            <v>8119</v>
          </cell>
          <cell r="H887">
            <v>8407</v>
          </cell>
          <cell r="I887">
            <v>8177</v>
          </cell>
          <cell r="J887">
            <v>8562</v>
          </cell>
          <cell r="K887">
            <v>8541</v>
          </cell>
          <cell r="L887">
            <v>8570</v>
          </cell>
          <cell r="M887">
            <v>8717</v>
          </cell>
          <cell r="N887">
            <v>8876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Y887">
            <v>8000</v>
          </cell>
          <cell r="Z887">
            <v>8000</v>
          </cell>
          <cell r="AA887">
            <v>8000</v>
          </cell>
          <cell r="AB887">
            <v>8000</v>
          </cell>
          <cell r="AC887">
            <v>8000</v>
          </cell>
          <cell r="AD887">
            <v>8000</v>
          </cell>
          <cell r="AE887">
            <v>8000</v>
          </cell>
          <cell r="AF887">
            <v>8000</v>
          </cell>
          <cell r="AG887">
            <v>8000</v>
          </cell>
          <cell r="AH887">
            <v>8000</v>
          </cell>
          <cell r="AI887">
            <v>8000</v>
          </cell>
          <cell r="AJ887">
            <v>8000</v>
          </cell>
        </row>
      </sheetData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9"/>
  <sheetViews>
    <sheetView showGridLines="0" view="pageBreakPreview" zoomScaleNormal="85" zoomScaleSheetLayoutView="100" workbookViewId="0">
      <selection activeCell="H14" sqref="H14"/>
    </sheetView>
  </sheetViews>
  <sheetFormatPr baseColWidth="10" defaultColWidth="9" defaultRowHeight="13"/>
  <cols>
    <col min="1" max="1" width="1.6640625" style="1" customWidth="1"/>
    <col min="2" max="2" width="2.33203125" style="1" customWidth="1"/>
    <col min="3" max="3" width="14.1640625" style="1" customWidth="1"/>
    <col min="4" max="16" width="6.6640625" style="1" customWidth="1"/>
    <col min="17" max="17" width="44.83203125" style="1" customWidth="1"/>
    <col min="18" max="18" width="1.6640625" style="1" customWidth="1"/>
    <col min="19" max="20" width="9" style="1"/>
    <col min="21" max="21" width="9" style="291"/>
    <col min="22" max="22" width="11.33203125" style="291" bestFit="1" customWidth="1"/>
    <col min="23" max="25" width="9" style="1"/>
    <col min="26" max="26" width="9" style="2"/>
    <col min="27" max="16384" width="9" style="1"/>
  </cols>
  <sheetData>
    <row r="1" spans="1:26" ht="19">
      <c r="A1" s="242" t="s">
        <v>284</v>
      </c>
    </row>
    <row r="3" spans="1:26" s="3" customFormat="1" ht="14">
      <c r="A3" s="3" t="s">
        <v>92</v>
      </c>
      <c r="U3" s="292"/>
      <c r="V3" s="292"/>
      <c r="Z3" s="96"/>
    </row>
    <row r="4" spans="1:26" ht="14" thickBot="1">
      <c r="Q4" s="41" t="s">
        <v>96</v>
      </c>
    </row>
    <row r="5" spans="1:26" ht="23" customHeight="1">
      <c r="B5" s="299" t="s">
        <v>27</v>
      </c>
      <c r="C5" s="300"/>
      <c r="D5" s="301" t="s">
        <v>39</v>
      </c>
      <c r="E5" s="303" t="s">
        <v>264</v>
      </c>
      <c r="F5" s="304"/>
      <c r="G5" s="304"/>
      <c r="H5" s="304"/>
      <c r="I5" s="304"/>
      <c r="J5" s="304"/>
      <c r="K5" s="304"/>
      <c r="L5" s="304"/>
      <c r="M5" s="304"/>
      <c r="N5" s="304"/>
      <c r="O5" s="304"/>
      <c r="P5" s="305"/>
      <c r="Q5" s="306" t="s">
        <v>91</v>
      </c>
    </row>
    <row r="6" spans="1:26" ht="23" customHeight="1">
      <c r="B6" s="299"/>
      <c r="C6" s="300"/>
      <c r="D6" s="302"/>
      <c r="E6" s="154">
        <v>1</v>
      </c>
      <c r="F6" s="237">
        <v>2</v>
      </c>
      <c r="G6" s="237">
        <v>3</v>
      </c>
      <c r="H6" s="237">
        <v>4</v>
      </c>
      <c r="I6" s="237">
        <v>5</v>
      </c>
      <c r="J6" s="237">
        <v>6</v>
      </c>
      <c r="K6" s="237">
        <v>7</v>
      </c>
      <c r="L6" s="237">
        <v>8</v>
      </c>
      <c r="M6" s="237">
        <v>9</v>
      </c>
      <c r="N6" s="237">
        <v>10</v>
      </c>
      <c r="O6" s="237">
        <v>11</v>
      </c>
      <c r="P6" s="237">
        <v>12</v>
      </c>
      <c r="Q6" s="307"/>
    </row>
    <row r="7" spans="1:26" ht="23" customHeight="1">
      <c r="B7" s="252" t="s">
        <v>305</v>
      </c>
      <c r="C7" s="263"/>
      <c r="D7" s="267">
        <f>SUM(E7:P7)</f>
        <v>55510</v>
      </c>
      <c r="E7" s="268">
        <f>SUM(Sheet1!Y23:Y25)</f>
        <v>4111</v>
      </c>
      <c r="F7" s="269">
        <f>SUM(Sheet1!Z23:Z25)</f>
        <v>3333</v>
      </c>
      <c r="G7" s="269">
        <f>SUM(Sheet1!AA23:AA25)</f>
        <v>3732</v>
      </c>
      <c r="H7" s="269">
        <f>SUM(Sheet1!AB23:AB25)</f>
        <v>4122</v>
      </c>
      <c r="I7" s="269">
        <f>SUM(Sheet1!AC23:AC25)</f>
        <v>4774</v>
      </c>
      <c r="J7" s="269">
        <f>SUM(Sheet1!AD23:AD25)</f>
        <v>4788</v>
      </c>
      <c r="K7" s="269">
        <f>SUM(Sheet1!AE23:AE25)</f>
        <v>5516</v>
      </c>
      <c r="L7" s="269">
        <f>SUM(Sheet1!AF23:AF25)</f>
        <v>5903</v>
      </c>
      <c r="M7" s="269">
        <f>SUM(Sheet1!AG23:AG25)</f>
        <v>5318</v>
      </c>
      <c r="N7" s="269">
        <f>SUM(Sheet1!AH23:AH25)</f>
        <v>5042</v>
      </c>
      <c r="O7" s="269">
        <f>SUM(Sheet1!AI23:AI25)</f>
        <v>4506</v>
      </c>
      <c r="P7" s="269">
        <f>SUM(Sheet1!AJ23:AJ25)</f>
        <v>4365</v>
      </c>
      <c r="Q7" s="282"/>
      <c r="U7" s="291">
        <v>2896</v>
      </c>
      <c r="V7" s="291">
        <f>238*0.7</f>
        <v>166.6</v>
      </c>
    </row>
    <row r="8" spans="1:26" ht="23" customHeight="1">
      <c r="B8" s="264" t="s">
        <v>304</v>
      </c>
      <c r="C8" s="265"/>
      <c r="D8" s="275">
        <f>D7/Sheet1!X31</f>
        <v>0.63900080580177276</v>
      </c>
      <c r="E8" s="276">
        <f>E7/Sheet1!Y31</f>
        <v>0.55719707237733807</v>
      </c>
      <c r="F8" s="277">
        <f>F7/Sheet1!Z31</f>
        <v>0.50015006002400964</v>
      </c>
      <c r="G8" s="277">
        <f>G7/Sheet1!AA31</f>
        <v>0.50582813770669555</v>
      </c>
      <c r="H8" s="277">
        <f>H7/Sheet1!AB31</f>
        <v>0.57731092436974785</v>
      </c>
      <c r="I8" s="277">
        <f>I7/Sheet1!AC31</f>
        <v>0.6470588235294118</v>
      </c>
      <c r="J8" s="277">
        <f>J7/Sheet1!AD31</f>
        <v>0.6705882352941176</v>
      </c>
      <c r="K8" s="277">
        <f>K7/Sheet1!AE31</f>
        <v>0.74762808349146115</v>
      </c>
      <c r="L8" s="277">
        <f>L7/Sheet1!AF31</f>
        <v>0.80008132285172129</v>
      </c>
      <c r="M8" s="277">
        <f>M7/Sheet1!AG31</f>
        <v>0.74481792717086837</v>
      </c>
      <c r="N8" s="277">
        <f>N7/Sheet1!AH31</f>
        <v>0.68338303063160744</v>
      </c>
      <c r="O8" s="277">
        <f>O7/Sheet1!AI31</f>
        <v>0.63109243697478989</v>
      </c>
      <c r="P8" s="277">
        <f>P7/Sheet1!AJ31</f>
        <v>0.59162374627270264</v>
      </c>
      <c r="Q8" s="281" t="s">
        <v>313</v>
      </c>
      <c r="U8" s="291">
        <f>+U7*0.65</f>
        <v>1882.4</v>
      </c>
      <c r="V8" s="291">
        <v>166</v>
      </c>
    </row>
    <row r="9" spans="1:26" ht="23" customHeight="1">
      <c r="B9" s="253" t="s">
        <v>306</v>
      </c>
      <c r="C9" s="266"/>
      <c r="D9" s="278">
        <f>매출목표!G7/요약!D7</f>
        <v>293.9978157024687</v>
      </c>
      <c r="E9" s="279">
        <f>매출목표!H7/요약!E7</f>
        <v>291.66172354201109</v>
      </c>
      <c r="F9" s="280">
        <f>매출목표!I7/요약!F7</f>
        <v>291.2958191291674</v>
      </c>
      <c r="G9" s="280">
        <f>매출목표!J7/요약!G7</f>
        <v>291.39847463059658</v>
      </c>
      <c r="H9" s="280">
        <f>매출목표!K7/요약!H7</f>
        <v>291.62480525081025</v>
      </c>
      <c r="I9" s="280">
        <f>매출목표!L7/요약!I7</f>
        <v>293.55779116443006</v>
      </c>
      <c r="J9" s="280">
        <f>매출목표!M7/요약!J7</f>
        <v>295.9075617083173</v>
      </c>
      <c r="K9" s="280">
        <f>매출목표!N7/요약!K7</f>
        <v>291.74666796412549</v>
      </c>
      <c r="L9" s="280">
        <f>매출목표!O7/요약!L7</f>
        <v>291.94828101828773</v>
      </c>
      <c r="M9" s="280">
        <f>매출목표!P7/요약!M7</f>
        <v>294.00749974949247</v>
      </c>
      <c r="N9" s="280">
        <f>매출목표!Q7/요약!N7</f>
        <v>297.47913824780824</v>
      </c>
      <c r="O9" s="280">
        <f>매출목표!R7/요약!O7</f>
        <v>299.92424291398169</v>
      </c>
      <c r="P9" s="280">
        <f>매출목표!S7/요약!P7</f>
        <v>296.57638564420489</v>
      </c>
      <c r="Q9" s="283" t="s">
        <v>312</v>
      </c>
      <c r="U9" s="291">
        <f>+U8*5%</f>
        <v>94.12</v>
      </c>
      <c r="V9" s="291">
        <f>+V8*365</f>
        <v>60590</v>
      </c>
    </row>
    <row r="10" spans="1:26" ht="23" customHeight="1">
      <c r="B10" s="9" t="s">
        <v>0</v>
      </c>
      <c r="C10" s="26"/>
      <c r="D10" s="233">
        <f>SUM(E10:P10)</f>
        <v>16483016.937140476</v>
      </c>
      <c r="E10" s="46">
        <f>E11</f>
        <v>1211011.5589360197</v>
      </c>
      <c r="F10" s="47">
        <f t="shared" ref="F10:P10" si="0">F11</f>
        <v>980597.85480909003</v>
      </c>
      <c r="G10" s="47">
        <f t="shared" si="0"/>
        <v>1098374.0983946002</v>
      </c>
      <c r="H10" s="47">
        <f t="shared" si="0"/>
        <v>1214098.2217162785</v>
      </c>
      <c r="I10" s="47">
        <f t="shared" si="0"/>
        <v>1415459.3439691791</v>
      </c>
      <c r="J10" s="47">
        <f t="shared" si="0"/>
        <v>1430973.4595140174</v>
      </c>
      <c r="K10" s="47">
        <f t="shared" si="0"/>
        <v>1625367.3666950176</v>
      </c>
      <c r="L10" s="47">
        <f t="shared" si="0"/>
        <v>1740604.4098794621</v>
      </c>
      <c r="M10" s="47">
        <f t="shared" si="0"/>
        <v>1579167.2025044791</v>
      </c>
      <c r="N10" s="47">
        <f t="shared" si="0"/>
        <v>1514888.7131959037</v>
      </c>
      <c r="O10" s="47">
        <f t="shared" si="0"/>
        <v>1364973.2249561055</v>
      </c>
      <c r="P10" s="47">
        <f t="shared" si="0"/>
        <v>1307501.4825703239</v>
      </c>
      <c r="Q10" s="12"/>
      <c r="U10" s="291">
        <f>72-94</f>
        <v>-22</v>
      </c>
      <c r="V10" s="291">
        <f>+V9*294</f>
        <v>17813460</v>
      </c>
    </row>
    <row r="11" spans="1:26" ht="23" customHeight="1">
      <c r="B11" s="5"/>
      <c r="C11" s="246" t="s">
        <v>307</v>
      </c>
      <c r="D11" s="51">
        <f>SUM(E11:P11)</f>
        <v>16483016.937140476</v>
      </c>
      <c r="E11" s="52">
        <f>매출목표!H9</f>
        <v>1211011.5589360197</v>
      </c>
      <c r="F11" s="53">
        <f>매출목표!I9</f>
        <v>980597.85480909003</v>
      </c>
      <c r="G11" s="53">
        <f>매출목표!J9</f>
        <v>1098374.0983946002</v>
      </c>
      <c r="H11" s="53">
        <f>매출목표!K9</f>
        <v>1214098.2217162785</v>
      </c>
      <c r="I11" s="53">
        <f>매출목표!L9</f>
        <v>1415459.3439691791</v>
      </c>
      <c r="J11" s="53">
        <f>매출목표!M9</f>
        <v>1430973.4595140174</v>
      </c>
      <c r="K11" s="53">
        <f>매출목표!N9</f>
        <v>1625367.3666950176</v>
      </c>
      <c r="L11" s="53">
        <f>매출목표!O9</f>
        <v>1740604.4098794621</v>
      </c>
      <c r="M11" s="53">
        <f>매출목표!P9</f>
        <v>1579167.2025044791</v>
      </c>
      <c r="N11" s="53">
        <f>매출목표!Q9</f>
        <v>1514888.7131959037</v>
      </c>
      <c r="O11" s="53">
        <f>매출목표!R9</f>
        <v>1364973.2249561055</v>
      </c>
      <c r="P11" s="53">
        <f>매출목표!S9</f>
        <v>1307501.4825703239</v>
      </c>
      <c r="Q11" s="14"/>
      <c r="V11" s="291">
        <f>16483-17813</f>
        <v>-1330</v>
      </c>
    </row>
    <row r="12" spans="1:26" ht="23" customHeight="1">
      <c r="B12" s="9" t="s">
        <v>1</v>
      </c>
      <c r="C12" s="26"/>
      <c r="D12" s="45">
        <f t="shared" ref="D12:D25" si="1">SUM(E12:P12)</f>
        <v>8772294.2090316284</v>
      </c>
      <c r="E12" s="46">
        <f>SUM(E13:E24)</f>
        <v>676278.78896644735</v>
      </c>
      <c r="F12" s="47">
        <f t="shared" ref="F12:P12" si="2">SUM(F13:F24)</f>
        <v>607309.89751046326</v>
      </c>
      <c r="G12" s="47">
        <f t="shared" si="2"/>
        <v>645438.95290154382</v>
      </c>
      <c r="H12" s="47">
        <f t="shared" si="2"/>
        <v>676950.80384016631</v>
      </c>
      <c r="I12" s="47">
        <f t="shared" si="2"/>
        <v>736935.25706905685</v>
      </c>
      <c r="J12" s="47">
        <f t="shared" si="2"/>
        <v>745016.247753951</v>
      </c>
      <c r="K12" s="47">
        <f t="shared" si="2"/>
        <v>799821.60205500491</v>
      </c>
      <c r="L12" s="47">
        <f t="shared" si="2"/>
        <v>834184.79716985696</v>
      </c>
      <c r="M12" s="47">
        <f t="shared" si="2"/>
        <v>788737.79447258683</v>
      </c>
      <c r="N12" s="47">
        <f t="shared" si="2"/>
        <v>766419.8882709617</v>
      </c>
      <c r="O12" s="47">
        <f t="shared" si="2"/>
        <v>721634.37977906817</v>
      </c>
      <c r="P12" s="47">
        <f t="shared" si="2"/>
        <v>773565.79924252233</v>
      </c>
      <c r="Q12" s="12"/>
    </row>
    <row r="13" spans="1:26" ht="23" customHeight="1">
      <c r="B13" s="4"/>
      <c r="C13" s="31" t="s">
        <v>40</v>
      </c>
      <c r="D13" s="48">
        <f t="shared" si="1"/>
        <v>928527.0717773221</v>
      </c>
      <c r="E13" s="49">
        <f>E39</f>
        <v>71928.153447539022</v>
      </c>
      <c r="F13" s="50">
        <f t="shared" ref="F13:P14" si="3">F39</f>
        <v>71928.153447539022</v>
      </c>
      <c r="G13" s="50">
        <f t="shared" si="3"/>
        <v>71928.153447539022</v>
      </c>
      <c r="H13" s="50">
        <f t="shared" si="3"/>
        <v>71928.153447539022</v>
      </c>
      <c r="I13" s="50">
        <f t="shared" si="3"/>
        <v>71928.153447539022</v>
      </c>
      <c r="J13" s="50">
        <f t="shared" si="3"/>
        <v>71928.153447539022</v>
      </c>
      <c r="K13" s="50">
        <f t="shared" si="3"/>
        <v>71928.153447539022</v>
      </c>
      <c r="L13" s="50">
        <f t="shared" si="3"/>
        <v>71928.153447539022</v>
      </c>
      <c r="M13" s="50">
        <f t="shared" si="3"/>
        <v>71928.153447539022</v>
      </c>
      <c r="N13" s="50">
        <f t="shared" si="3"/>
        <v>71928.153447539022</v>
      </c>
      <c r="O13" s="50">
        <f t="shared" si="3"/>
        <v>71928.153447539022</v>
      </c>
      <c r="P13" s="50">
        <f t="shared" si="3"/>
        <v>137317.38385439268</v>
      </c>
      <c r="Q13" s="13" t="s">
        <v>334</v>
      </c>
      <c r="S13" s="161"/>
    </row>
    <row r="14" spans="1:26" ht="23" customHeight="1">
      <c r="B14" s="5"/>
      <c r="C14" s="1" t="s">
        <v>41</v>
      </c>
      <c r="D14" s="51">
        <f t="shared" si="1"/>
        <v>0</v>
      </c>
      <c r="E14" s="52">
        <f>E40</f>
        <v>0</v>
      </c>
      <c r="F14" s="53">
        <f t="shared" si="3"/>
        <v>0</v>
      </c>
      <c r="G14" s="53">
        <f t="shared" si="3"/>
        <v>0</v>
      </c>
      <c r="H14" s="53">
        <f t="shared" si="3"/>
        <v>0</v>
      </c>
      <c r="I14" s="53">
        <f t="shared" si="3"/>
        <v>0</v>
      </c>
      <c r="J14" s="53">
        <f t="shared" si="3"/>
        <v>0</v>
      </c>
      <c r="K14" s="53">
        <f t="shared" si="3"/>
        <v>0</v>
      </c>
      <c r="L14" s="53">
        <f t="shared" si="3"/>
        <v>0</v>
      </c>
      <c r="M14" s="53">
        <f t="shared" si="3"/>
        <v>0</v>
      </c>
      <c r="N14" s="53">
        <f t="shared" si="3"/>
        <v>0</v>
      </c>
      <c r="O14" s="53">
        <f t="shared" si="3"/>
        <v>0</v>
      </c>
      <c r="P14" s="53">
        <f t="shared" si="3"/>
        <v>0</v>
      </c>
      <c r="Q14" s="14" t="s">
        <v>333</v>
      </c>
    </row>
    <row r="15" spans="1:26" ht="23" customHeight="1">
      <c r="B15" s="5"/>
      <c r="C15" s="1" t="s">
        <v>2</v>
      </c>
      <c r="D15" s="51">
        <f t="shared" si="1"/>
        <v>2010992.8519381022</v>
      </c>
      <c r="E15" s="52">
        <f>E45</f>
        <v>166769.87173238007</v>
      </c>
      <c r="F15" s="53">
        <f t="shared" ref="F15:P15" si="4">F45</f>
        <v>165617.8032117454</v>
      </c>
      <c r="G15" s="53">
        <f t="shared" si="4"/>
        <v>166206.68442967295</v>
      </c>
      <c r="H15" s="53">
        <f t="shared" si="4"/>
        <v>166785.30504628137</v>
      </c>
      <c r="I15" s="53">
        <f t="shared" si="4"/>
        <v>167792.11065754585</v>
      </c>
      <c r="J15" s="53">
        <f t="shared" si="4"/>
        <v>167869.68123527005</v>
      </c>
      <c r="K15" s="53">
        <f t="shared" si="4"/>
        <v>168841.65077117505</v>
      </c>
      <c r="L15" s="53">
        <f t="shared" si="4"/>
        <v>169417.83598709726</v>
      </c>
      <c r="M15" s="53">
        <f t="shared" si="4"/>
        <v>168610.64995022235</v>
      </c>
      <c r="N15" s="53">
        <f t="shared" si="4"/>
        <v>168289.25750367949</v>
      </c>
      <c r="O15" s="53">
        <f t="shared" si="4"/>
        <v>167539.6800624805</v>
      </c>
      <c r="P15" s="53">
        <f t="shared" si="4"/>
        <v>167252.32135055159</v>
      </c>
      <c r="Q15" s="14" t="s">
        <v>335</v>
      </c>
    </row>
    <row r="16" spans="1:26" ht="23" customHeight="1">
      <c r="B16" s="5"/>
      <c r="C16" s="1" t="s">
        <v>6</v>
      </c>
      <c r="D16" s="51">
        <f t="shared" si="1"/>
        <v>203423.8764882244</v>
      </c>
      <c r="E16" s="52">
        <f>E56</f>
        <v>16918.656374018701</v>
      </c>
      <c r="F16" s="53">
        <f t="shared" ref="F16:P16" si="5">F56</f>
        <v>16918.656374018701</v>
      </c>
      <c r="G16" s="53">
        <f t="shared" si="5"/>
        <v>16918.656374018701</v>
      </c>
      <c r="H16" s="53">
        <f t="shared" si="5"/>
        <v>16918.656374018701</v>
      </c>
      <c r="I16" s="53">
        <f t="shared" si="5"/>
        <v>16918.656374018701</v>
      </c>
      <c r="J16" s="53">
        <f t="shared" si="5"/>
        <v>16918.656374018701</v>
      </c>
      <c r="K16" s="290">
        <f t="shared" si="5"/>
        <v>17118.656374018701</v>
      </c>
      <c r="L16" s="53">
        <f t="shared" si="5"/>
        <v>17118.656374018701</v>
      </c>
      <c r="M16" s="53">
        <f t="shared" si="5"/>
        <v>16918.656374018701</v>
      </c>
      <c r="N16" s="53">
        <f t="shared" si="5"/>
        <v>16918.656374018701</v>
      </c>
      <c r="O16" s="53">
        <f t="shared" si="5"/>
        <v>16918.656374018701</v>
      </c>
      <c r="P16" s="53">
        <f t="shared" si="5"/>
        <v>16918.656374018701</v>
      </c>
      <c r="Q16" s="14" t="s">
        <v>297</v>
      </c>
    </row>
    <row r="17" spans="1:26" ht="23" customHeight="1">
      <c r="B17" s="5"/>
      <c r="C17" s="1" t="s">
        <v>3</v>
      </c>
      <c r="D17" s="51">
        <f t="shared" si="1"/>
        <v>1307103.24311524</v>
      </c>
      <c r="E17" s="52">
        <f>E62</f>
        <v>96033.216623626358</v>
      </c>
      <c r="F17" s="53">
        <f t="shared" ref="F17:P18" si="6">F62</f>
        <v>77761.409886360852</v>
      </c>
      <c r="G17" s="53">
        <f t="shared" si="6"/>
        <v>87101.066002691805</v>
      </c>
      <c r="H17" s="53">
        <f t="shared" si="6"/>
        <v>96277.988982100898</v>
      </c>
      <c r="I17" s="53">
        <f t="shared" si="6"/>
        <v>112245.92597675591</v>
      </c>
      <c r="J17" s="53">
        <f t="shared" si="6"/>
        <v>113476.19533946158</v>
      </c>
      <c r="K17" s="53">
        <f t="shared" si="6"/>
        <v>128891.63217891489</v>
      </c>
      <c r="L17" s="53">
        <f t="shared" si="6"/>
        <v>138029.92970344136</v>
      </c>
      <c r="M17" s="53">
        <f t="shared" si="6"/>
        <v>125227.95915860521</v>
      </c>
      <c r="N17" s="53">
        <f t="shared" si="6"/>
        <v>120130.67495643518</v>
      </c>
      <c r="O17" s="53">
        <f t="shared" si="6"/>
        <v>108242.37673901918</v>
      </c>
      <c r="P17" s="53">
        <f t="shared" si="6"/>
        <v>103684.8675678267</v>
      </c>
      <c r="Q17" s="14" t="s">
        <v>290</v>
      </c>
    </row>
    <row r="18" spans="1:26" ht="23" customHeight="1">
      <c r="B18" s="5"/>
      <c r="C18" s="1" t="s">
        <v>4</v>
      </c>
      <c r="D18" s="51">
        <f t="shared" si="1"/>
        <v>560422.57586277626</v>
      </c>
      <c r="E18" s="52">
        <f>E63</f>
        <v>41174.393003824669</v>
      </c>
      <c r="F18" s="53">
        <f t="shared" si="6"/>
        <v>33340.327063509067</v>
      </c>
      <c r="G18" s="53">
        <f t="shared" si="6"/>
        <v>37344.719345416408</v>
      </c>
      <c r="H18" s="53">
        <f t="shared" si="6"/>
        <v>41279.339538353473</v>
      </c>
      <c r="I18" s="53">
        <f t="shared" si="6"/>
        <v>48125.617694952096</v>
      </c>
      <c r="J18" s="53">
        <f t="shared" si="6"/>
        <v>48653.097623476599</v>
      </c>
      <c r="K18" s="53">
        <f t="shared" si="6"/>
        <v>55262.490467630603</v>
      </c>
      <c r="L18" s="53">
        <f t="shared" si="6"/>
        <v>59180.549935901712</v>
      </c>
      <c r="M18" s="53">
        <f t="shared" si="6"/>
        <v>53691.684885152295</v>
      </c>
      <c r="N18" s="53">
        <f t="shared" si="6"/>
        <v>51506.216248660727</v>
      </c>
      <c r="O18" s="53">
        <f t="shared" si="6"/>
        <v>46409.089648507586</v>
      </c>
      <c r="P18" s="53">
        <f t="shared" si="6"/>
        <v>44455.050407391012</v>
      </c>
      <c r="Q18" s="14" t="s">
        <v>278</v>
      </c>
    </row>
    <row r="19" spans="1:26" ht="23" customHeight="1">
      <c r="B19" s="5"/>
      <c r="C19" s="1" t="s">
        <v>5</v>
      </c>
      <c r="D19" s="51">
        <f t="shared" si="1"/>
        <v>3502196.5412484393</v>
      </c>
      <c r="E19" s="52">
        <f>E68</f>
        <v>264550.91870526003</v>
      </c>
      <c r="F19" s="53">
        <f t="shared" ref="F19:P20" si="7">F68</f>
        <v>225739.72604495133</v>
      </c>
      <c r="G19" s="53">
        <f t="shared" si="7"/>
        <v>245581.42501863293</v>
      </c>
      <c r="H19" s="53">
        <f t="shared" si="7"/>
        <v>265072.28475010145</v>
      </c>
      <c r="I19" s="53">
        <f t="shared" si="7"/>
        <v>298920.06431056559</v>
      </c>
      <c r="J19" s="53">
        <f t="shared" si="7"/>
        <v>301437.32279773965</v>
      </c>
      <c r="K19" s="53">
        <f t="shared" si="7"/>
        <v>334360.34794669971</v>
      </c>
      <c r="L19" s="53">
        <f t="shared" si="7"/>
        <v>353765.7748562108</v>
      </c>
      <c r="M19" s="53">
        <f t="shared" si="7"/>
        <v>326473.32167621353</v>
      </c>
      <c r="N19" s="53">
        <f t="shared" si="7"/>
        <v>315498.76338684151</v>
      </c>
      <c r="O19" s="53">
        <f t="shared" si="7"/>
        <v>290172.28526847379</v>
      </c>
      <c r="P19" s="53">
        <f t="shared" si="7"/>
        <v>280624.30648674874</v>
      </c>
      <c r="Q19" s="14" t="s">
        <v>338</v>
      </c>
    </row>
    <row r="20" spans="1:26" ht="23" customHeight="1">
      <c r="B20" s="5"/>
      <c r="C20" s="1" t="s">
        <v>7</v>
      </c>
      <c r="D20" s="51">
        <f t="shared" si="1"/>
        <v>8241.5084685702386</v>
      </c>
      <c r="E20" s="52">
        <f>E69</f>
        <v>605.50577946800979</v>
      </c>
      <c r="F20" s="53">
        <f t="shared" si="7"/>
        <v>490.298927404545</v>
      </c>
      <c r="G20" s="53">
        <f t="shared" si="7"/>
        <v>549.1870491973001</v>
      </c>
      <c r="H20" s="53">
        <f t="shared" si="7"/>
        <v>607.04911085813922</v>
      </c>
      <c r="I20" s="53">
        <f t="shared" si="7"/>
        <v>707.72967198458957</v>
      </c>
      <c r="J20" s="53">
        <f t="shared" si="7"/>
        <v>715.48672975700879</v>
      </c>
      <c r="K20" s="53">
        <f t="shared" si="7"/>
        <v>812.6836833475088</v>
      </c>
      <c r="L20" s="53">
        <f t="shared" si="7"/>
        <v>870.30220493973104</v>
      </c>
      <c r="M20" s="53">
        <f t="shared" si="7"/>
        <v>789.58360125223953</v>
      </c>
      <c r="N20" s="53">
        <f t="shared" si="7"/>
        <v>757.44435659795181</v>
      </c>
      <c r="O20" s="53">
        <f t="shared" si="7"/>
        <v>682.48661247805273</v>
      </c>
      <c r="P20" s="53">
        <f t="shared" si="7"/>
        <v>653.75074128516189</v>
      </c>
      <c r="Q20" s="14" t="s">
        <v>277</v>
      </c>
    </row>
    <row r="21" spans="1:26" ht="23" customHeight="1">
      <c r="B21" s="5"/>
      <c r="C21" s="1" t="s">
        <v>8</v>
      </c>
      <c r="D21" s="51">
        <f t="shared" si="1"/>
        <v>18000</v>
      </c>
      <c r="E21" s="52">
        <f>E74</f>
        <v>500</v>
      </c>
      <c r="F21" s="53">
        <f t="shared" ref="F21:P21" si="8">F74</f>
        <v>500</v>
      </c>
      <c r="G21" s="53">
        <f t="shared" si="8"/>
        <v>3500</v>
      </c>
      <c r="H21" s="53">
        <f t="shared" si="8"/>
        <v>500</v>
      </c>
      <c r="I21" s="53">
        <f t="shared" si="8"/>
        <v>500</v>
      </c>
      <c r="J21" s="53">
        <f t="shared" si="8"/>
        <v>3500</v>
      </c>
      <c r="K21" s="53">
        <f t="shared" si="8"/>
        <v>500</v>
      </c>
      <c r="L21" s="53">
        <f t="shared" si="8"/>
        <v>500</v>
      </c>
      <c r="M21" s="53">
        <f t="shared" si="8"/>
        <v>3500</v>
      </c>
      <c r="N21" s="53">
        <f t="shared" si="8"/>
        <v>500</v>
      </c>
      <c r="O21" s="53">
        <f t="shared" si="8"/>
        <v>500</v>
      </c>
      <c r="P21" s="53">
        <f t="shared" si="8"/>
        <v>3500</v>
      </c>
      <c r="Q21" s="14" t="s">
        <v>280</v>
      </c>
    </row>
    <row r="22" spans="1:26" ht="23" customHeight="1">
      <c r="B22" s="5"/>
      <c r="C22" s="1" t="s">
        <v>9</v>
      </c>
      <c r="D22" s="51">
        <f t="shared" si="1"/>
        <v>4973.3538244112206</v>
      </c>
      <c r="E22" s="52">
        <f>E83</f>
        <v>576.94615203426838</v>
      </c>
      <c r="F22" s="53">
        <f t="shared" ref="F22:P22" si="9">F83</f>
        <v>326.94615203426832</v>
      </c>
      <c r="G22" s="53">
        <f t="shared" si="9"/>
        <v>326.94615203426832</v>
      </c>
      <c r="H22" s="53">
        <f t="shared" si="9"/>
        <v>326.94615203426832</v>
      </c>
      <c r="I22" s="53">
        <f t="shared" si="9"/>
        <v>326.94615203426832</v>
      </c>
      <c r="J22" s="53">
        <f t="shared" si="9"/>
        <v>726.94615203426838</v>
      </c>
      <c r="K22" s="53">
        <f t="shared" si="9"/>
        <v>326.94615203426832</v>
      </c>
      <c r="L22" s="53">
        <f t="shared" si="9"/>
        <v>326.94615203426832</v>
      </c>
      <c r="M22" s="53">
        <f t="shared" si="9"/>
        <v>326.94615203426832</v>
      </c>
      <c r="N22" s="53">
        <f t="shared" si="9"/>
        <v>326.94615203426832</v>
      </c>
      <c r="O22" s="53">
        <f t="shared" si="9"/>
        <v>326.94615203426832</v>
      </c>
      <c r="P22" s="53">
        <f t="shared" si="9"/>
        <v>726.94615203426838</v>
      </c>
      <c r="Q22" s="14" t="s">
        <v>298</v>
      </c>
    </row>
    <row r="23" spans="1:26" ht="23" customHeight="1">
      <c r="B23" s="5"/>
      <c r="C23" s="1" t="s">
        <v>10</v>
      </c>
      <c r="D23" s="51">
        <f t="shared" si="1"/>
        <v>36000</v>
      </c>
      <c r="E23" s="52">
        <f>E86</f>
        <v>3000</v>
      </c>
      <c r="F23" s="53">
        <f t="shared" ref="F23:P23" si="10">F86</f>
        <v>3000</v>
      </c>
      <c r="G23" s="53">
        <f t="shared" si="10"/>
        <v>3000</v>
      </c>
      <c r="H23" s="53">
        <f t="shared" si="10"/>
        <v>3000</v>
      </c>
      <c r="I23" s="53">
        <f t="shared" si="10"/>
        <v>3000</v>
      </c>
      <c r="J23" s="53">
        <f t="shared" si="10"/>
        <v>3000</v>
      </c>
      <c r="K23" s="53">
        <f t="shared" si="10"/>
        <v>3000</v>
      </c>
      <c r="L23" s="53">
        <f t="shared" si="10"/>
        <v>3000</v>
      </c>
      <c r="M23" s="53">
        <f t="shared" si="10"/>
        <v>3000</v>
      </c>
      <c r="N23" s="53">
        <f t="shared" si="10"/>
        <v>3000</v>
      </c>
      <c r="O23" s="53">
        <f t="shared" si="10"/>
        <v>3000</v>
      </c>
      <c r="P23" s="53">
        <f t="shared" si="10"/>
        <v>3000</v>
      </c>
      <c r="Q23" s="14" t="s">
        <v>336</v>
      </c>
    </row>
    <row r="24" spans="1:26" ht="23" customHeight="1">
      <c r="B24" s="6"/>
      <c r="C24" s="32" t="s">
        <v>11</v>
      </c>
      <c r="D24" s="54">
        <f t="shared" si="1"/>
        <v>192413.18630854526</v>
      </c>
      <c r="E24" s="55">
        <f>E96</f>
        <v>14221.127148296215</v>
      </c>
      <c r="F24" s="56">
        <f t="shared" ref="F24:P24" si="11">F96</f>
        <v>11686.576402899991</v>
      </c>
      <c r="G24" s="56">
        <f t="shared" si="11"/>
        <v>12982.115082340602</v>
      </c>
      <c r="H24" s="56">
        <f t="shared" si="11"/>
        <v>14255.080438879064</v>
      </c>
      <c r="I24" s="56">
        <f t="shared" si="11"/>
        <v>16470.052783660973</v>
      </c>
      <c r="J24" s="56">
        <f t="shared" si="11"/>
        <v>16790.708054654191</v>
      </c>
      <c r="K24" s="56">
        <f t="shared" si="11"/>
        <v>18779.041033645193</v>
      </c>
      <c r="L24" s="56">
        <f t="shared" si="11"/>
        <v>20046.648508674083</v>
      </c>
      <c r="M24" s="56">
        <f t="shared" si="11"/>
        <v>18270.83922754927</v>
      </c>
      <c r="N24" s="56">
        <f t="shared" si="11"/>
        <v>17563.775845154938</v>
      </c>
      <c r="O24" s="56">
        <f t="shared" si="11"/>
        <v>15914.705474517159</v>
      </c>
      <c r="P24" s="56">
        <f t="shared" si="11"/>
        <v>15432.516308273563</v>
      </c>
      <c r="Q24" s="15" t="s">
        <v>283</v>
      </c>
    </row>
    <row r="25" spans="1:26" ht="23" customHeight="1">
      <c r="B25" s="232" t="s">
        <v>265</v>
      </c>
      <c r="C25" s="25"/>
      <c r="D25" s="233">
        <f t="shared" si="1"/>
        <v>7710722.7281088475</v>
      </c>
      <c r="E25" s="234">
        <f t="shared" ref="E25:P25" si="12">E10-E12</f>
        <v>534732.76996957231</v>
      </c>
      <c r="F25" s="235">
        <f t="shared" si="12"/>
        <v>373287.95729862677</v>
      </c>
      <c r="G25" s="235">
        <f t="shared" si="12"/>
        <v>452935.14549305639</v>
      </c>
      <c r="H25" s="235">
        <f t="shared" si="12"/>
        <v>537147.41787611216</v>
      </c>
      <c r="I25" s="235">
        <f t="shared" si="12"/>
        <v>678524.08690012223</v>
      </c>
      <c r="J25" s="235">
        <f t="shared" si="12"/>
        <v>685957.21176006645</v>
      </c>
      <c r="K25" s="235">
        <f t="shared" si="12"/>
        <v>825545.76464001264</v>
      </c>
      <c r="L25" s="235">
        <f t="shared" si="12"/>
        <v>906419.61270960514</v>
      </c>
      <c r="M25" s="235">
        <f t="shared" si="12"/>
        <v>790429.40803189226</v>
      </c>
      <c r="N25" s="235">
        <f t="shared" si="12"/>
        <v>748468.82492494199</v>
      </c>
      <c r="O25" s="235">
        <f t="shared" si="12"/>
        <v>643338.84517703729</v>
      </c>
      <c r="P25" s="235">
        <f t="shared" si="12"/>
        <v>533935.68332780153</v>
      </c>
      <c r="Q25" s="236"/>
    </row>
    <row r="26" spans="1:26" ht="23" customHeight="1">
      <c r="B26" s="22"/>
      <c r="C26" s="243" t="s">
        <v>285</v>
      </c>
      <c r="D26" s="250">
        <f>D25/D$10</f>
        <v>0.46779802250488539</v>
      </c>
      <c r="E26" s="244">
        <f t="shared" ref="E26:P26" si="13">E25/E$10</f>
        <v>0.44155876632538682</v>
      </c>
      <c r="F26" s="245">
        <f t="shared" si="13"/>
        <v>0.3806738465395697</v>
      </c>
      <c r="G26" s="245">
        <f t="shared" si="13"/>
        <v>0.41236874226647652</v>
      </c>
      <c r="H26" s="245">
        <f t="shared" si="13"/>
        <v>0.4424250099936623</v>
      </c>
      <c r="I26" s="245">
        <f t="shared" si="13"/>
        <v>0.47936670861731001</v>
      </c>
      <c r="J26" s="245">
        <f t="shared" si="13"/>
        <v>0.47936403516039283</v>
      </c>
      <c r="K26" s="245">
        <f t="shared" si="13"/>
        <v>0.50791333796657756</v>
      </c>
      <c r="L26" s="245">
        <f t="shared" si="13"/>
        <v>0.52074992316742164</v>
      </c>
      <c r="M26" s="245">
        <f t="shared" si="13"/>
        <v>0.50053560305603573</v>
      </c>
      <c r="N26" s="245">
        <f t="shared" si="13"/>
        <v>0.49407512142982801</v>
      </c>
      <c r="O26" s="245">
        <f t="shared" si="13"/>
        <v>0.47131975442062291</v>
      </c>
      <c r="P26" s="245">
        <f t="shared" si="13"/>
        <v>0.40836334829860038</v>
      </c>
      <c r="Q26" s="24"/>
    </row>
    <row r="27" spans="1:26" ht="23" customHeight="1">
      <c r="B27" s="226" t="s">
        <v>287</v>
      </c>
      <c r="C27" s="90"/>
      <c r="D27" s="227">
        <f t="shared" ref="D27" si="14">SUM(E27:P27)</f>
        <v>7170972.1371412277</v>
      </c>
      <c r="E27" s="228">
        <f>E25</f>
        <v>534732.76996957231</v>
      </c>
      <c r="F27" s="70">
        <f t="shared" ref="F27:O27" si="15">F25</f>
        <v>373287.95729862677</v>
      </c>
      <c r="G27" s="70">
        <f t="shared" si="15"/>
        <v>452935.14549305639</v>
      </c>
      <c r="H27" s="70">
        <f t="shared" si="15"/>
        <v>537147.41787611216</v>
      </c>
      <c r="I27" s="70">
        <f t="shared" si="15"/>
        <v>678524.08690012223</v>
      </c>
      <c r="J27" s="70">
        <f t="shared" si="15"/>
        <v>685957.21176006645</v>
      </c>
      <c r="K27" s="70">
        <f t="shared" si="15"/>
        <v>825545.76464001264</v>
      </c>
      <c r="L27" s="70">
        <f>L25</f>
        <v>906419.61270960514</v>
      </c>
      <c r="M27" s="70">
        <f t="shared" si="15"/>
        <v>790429.40803189226</v>
      </c>
      <c r="N27" s="70">
        <f t="shared" si="15"/>
        <v>748468.82492494199</v>
      </c>
      <c r="O27" s="70">
        <f t="shared" si="15"/>
        <v>643338.84517703729</v>
      </c>
      <c r="P27" s="70">
        <f>P25-(D25*7%)</f>
        <v>-5814.9076398178004</v>
      </c>
      <c r="Q27" s="229" t="s">
        <v>339</v>
      </c>
    </row>
    <row r="28" spans="1:26" ht="23" customHeight="1" thickBot="1">
      <c r="B28" s="91"/>
      <c r="C28" s="231" t="s">
        <v>285</v>
      </c>
      <c r="D28" s="247">
        <f>D27/D$10</f>
        <v>0.43505216092954341</v>
      </c>
      <c r="E28" s="248">
        <f t="shared" ref="E28:P28" si="16">E27/E$10</f>
        <v>0.44155876632538682</v>
      </c>
      <c r="F28" s="249">
        <f t="shared" si="16"/>
        <v>0.3806738465395697</v>
      </c>
      <c r="G28" s="249">
        <f t="shared" si="16"/>
        <v>0.41236874226647652</v>
      </c>
      <c r="H28" s="249">
        <f t="shared" si="16"/>
        <v>0.4424250099936623</v>
      </c>
      <c r="I28" s="249">
        <f t="shared" si="16"/>
        <v>0.47936670861731001</v>
      </c>
      <c r="J28" s="249">
        <f t="shared" si="16"/>
        <v>0.47936403516039283</v>
      </c>
      <c r="K28" s="249">
        <f t="shared" si="16"/>
        <v>0.50791333796657756</v>
      </c>
      <c r="L28" s="249">
        <f t="shared" si="16"/>
        <v>0.52074992316742164</v>
      </c>
      <c r="M28" s="249">
        <f t="shared" si="16"/>
        <v>0.50053560305603573</v>
      </c>
      <c r="N28" s="249">
        <f t="shared" si="16"/>
        <v>0.49407512142982801</v>
      </c>
      <c r="O28" s="249">
        <f t="shared" si="16"/>
        <v>0.47131975442062291</v>
      </c>
      <c r="P28" s="249">
        <f t="shared" si="16"/>
        <v>-4.4473430564580989E-3</v>
      </c>
      <c r="Q28" s="230"/>
    </row>
    <row r="29" spans="1:26" hidden="1"/>
    <row r="30" spans="1:26" s="3" customFormat="1" ht="14" hidden="1">
      <c r="A30" s="3" t="s">
        <v>288</v>
      </c>
      <c r="U30" s="292"/>
      <c r="V30" s="292"/>
      <c r="Z30" s="96"/>
    </row>
    <row r="31" spans="1:26" ht="14" hidden="1" thickBot="1">
      <c r="Q31" s="41" t="s">
        <v>96</v>
      </c>
    </row>
    <row r="32" spans="1:26" ht="17.5" hidden="1" customHeight="1">
      <c r="B32" s="299" t="s">
        <v>27</v>
      </c>
      <c r="C32" s="300"/>
      <c r="D32" s="301" t="s">
        <v>39</v>
      </c>
      <c r="E32" s="304" t="s">
        <v>264</v>
      </c>
      <c r="F32" s="304"/>
      <c r="G32" s="304"/>
      <c r="H32" s="304"/>
      <c r="I32" s="304"/>
      <c r="J32" s="304"/>
      <c r="K32" s="304"/>
      <c r="L32" s="304"/>
      <c r="M32" s="304"/>
      <c r="N32" s="304"/>
      <c r="O32" s="304"/>
      <c r="P32" s="305"/>
      <c r="Q32" s="306" t="s">
        <v>91</v>
      </c>
    </row>
    <row r="33" spans="2:17" ht="17.5" hidden="1" customHeight="1">
      <c r="B33" s="299"/>
      <c r="C33" s="300"/>
      <c r="D33" s="302"/>
      <c r="E33" s="154">
        <v>1</v>
      </c>
      <c r="F33" s="237">
        <v>2</v>
      </c>
      <c r="G33" s="237">
        <v>3</v>
      </c>
      <c r="H33" s="237">
        <v>4</v>
      </c>
      <c r="I33" s="237">
        <v>5</v>
      </c>
      <c r="J33" s="237">
        <v>6</v>
      </c>
      <c r="K33" s="237">
        <v>7</v>
      </c>
      <c r="L33" s="237">
        <v>8</v>
      </c>
      <c r="M33" s="237">
        <v>9</v>
      </c>
      <c r="N33" s="237">
        <v>10</v>
      </c>
      <c r="O33" s="237">
        <v>11</v>
      </c>
      <c r="P33" s="237">
        <v>12</v>
      </c>
      <c r="Q33" s="307"/>
    </row>
    <row r="34" spans="2:17" ht="17.5" hidden="1" customHeight="1">
      <c r="B34" s="4" t="s">
        <v>12</v>
      </c>
      <c r="C34" s="31"/>
      <c r="D34" s="51">
        <f>SUM(E34:P34)</f>
        <v>784670.7648822437</v>
      </c>
      <c r="E34" s="52">
        <f>손익계산서!E33</f>
        <v>65389.230406853661</v>
      </c>
      <c r="F34" s="53">
        <f>손익계산서!F33</f>
        <v>65389.230406853661</v>
      </c>
      <c r="G34" s="53">
        <f>손익계산서!G33</f>
        <v>65389.230406853661</v>
      </c>
      <c r="H34" s="53">
        <f>손익계산서!H33</f>
        <v>65389.230406853661</v>
      </c>
      <c r="I34" s="53">
        <f>손익계산서!I33</f>
        <v>65389.230406853661</v>
      </c>
      <c r="J34" s="53">
        <f>손익계산서!J33</f>
        <v>65389.230406853661</v>
      </c>
      <c r="K34" s="53">
        <f>손익계산서!K33</f>
        <v>65389.230406853661</v>
      </c>
      <c r="L34" s="53">
        <f>손익계산서!L33</f>
        <v>65389.230406853661</v>
      </c>
      <c r="M34" s="53">
        <f>손익계산서!M33</f>
        <v>65389.230406853661</v>
      </c>
      <c r="N34" s="53">
        <f>손익계산서!N33</f>
        <v>65389.230406853661</v>
      </c>
      <c r="O34" s="53">
        <f>손익계산서!O33</f>
        <v>65389.230406853661</v>
      </c>
      <c r="P34" s="53">
        <f>손익계산서!P33</f>
        <v>65389.230406853661</v>
      </c>
      <c r="Q34" s="13" t="s">
        <v>201</v>
      </c>
    </row>
    <row r="35" spans="2:17" ht="17.5" hidden="1" customHeight="1">
      <c r="B35" s="5" t="s">
        <v>13</v>
      </c>
      <c r="D35" s="51">
        <f t="shared" ref="D35:D97" si="17">SUM(E35:P35)</f>
        <v>0</v>
      </c>
      <c r="E35" s="52">
        <f>손익계산서!E34</f>
        <v>0</v>
      </c>
      <c r="F35" s="53">
        <f>손익계산서!F34</f>
        <v>0</v>
      </c>
      <c r="G35" s="53">
        <f>손익계산서!G34</f>
        <v>0</v>
      </c>
      <c r="H35" s="53">
        <f>손익계산서!H34</f>
        <v>0</v>
      </c>
      <c r="I35" s="53">
        <f>손익계산서!I34</f>
        <v>0</v>
      </c>
      <c r="J35" s="53">
        <f>손익계산서!J34</f>
        <v>0</v>
      </c>
      <c r="K35" s="53">
        <f>손익계산서!K34</f>
        <v>0</v>
      </c>
      <c r="L35" s="53">
        <f>손익계산서!L34</f>
        <v>0</v>
      </c>
      <c r="M35" s="53">
        <f>손익계산서!M34</f>
        <v>0</v>
      </c>
      <c r="N35" s="53">
        <f>손익계산서!N34</f>
        <v>0</v>
      </c>
      <c r="O35" s="53">
        <f>손익계산서!O34</f>
        <v>0</v>
      </c>
      <c r="P35" s="53">
        <f>손익계산서!P34</f>
        <v>0</v>
      </c>
      <c r="Q35" s="14" t="s">
        <v>195</v>
      </c>
    </row>
    <row r="36" spans="2:17" ht="17.5" hidden="1" customHeight="1">
      <c r="B36" s="5" t="s">
        <v>14</v>
      </c>
      <c r="D36" s="51">
        <f t="shared" si="17"/>
        <v>65389.230406853661</v>
      </c>
      <c r="E36" s="52">
        <f>손익계산서!E35</f>
        <v>0</v>
      </c>
      <c r="F36" s="53">
        <f>손익계산서!F35</f>
        <v>0</v>
      </c>
      <c r="G36" s="53">
        <f>손익계산서!G35</f>
        <v>0</v>
      </c>
      <c r="H36" s="53">
        <f>손익계산서!H35</f>
        <v>0</v>
      </c>
      <c r="I36" s="53">
        <f>손익계산서!I35</f>
        <v>0</v>
      </c>
      <c r="J36" s="53">
        <f>손익계산서!J35</f>
        <v>0</v>
      </c>
      <c r="K36" s="53">
        <f>손익계산서!K35</f>
        <v>0</v>
      </c>
      <c r="L36" s="53">
        <f>손익계산서!L35</f>
        <v>0</v>
      </c>
      <c r="M36" s="53">
        <f>손익계산서!M35</f>
        <v>0</v>
      </c>
      <c r="N36" s="53">
        <f>손익계산서!N35</f>
        <v>0</v>
      </c>
      <c r="O36" s="53">
        <f>손익계산서!O35</f>
        <v>0</v>
      </c>
      <c r="P36" s="53">
        <f>손익계산서!P35</f>
        <v>65389.230406853661</v>
      </c>
      <c r="Q36" s="14" t="s">
        <v>193</v>
      </c>
    </row>
    <row r="37" spans="2:17" ht="17.5" hidden="1" customHeight="1">
      <c r="B37" s="5" t="s">
        <v>15</v>
      </c>
      <c r="D37" s="51">
        <f t="shared" si="17"/>
        <v>0</v>
      </c>
      <c r="E37" s="52">
        <f>손익계산서!E36</f>
        <v>0</v>
      </c>
      <c r="F37" s="53">
        <f>손익계산서!F36</f>
        <v>0</v>
      </c>
      <c r="G37" s="53">
        <f>손익계산서!G36</f>
        <v>0</v>
      </c>
      <c r="H37" s="53">
        <f>손익계산서!H36</f>
        <v>0</v>
      </c>
      <c r="I37" s="53">
        <f>손익계산서!I36</f>
        <v>0</v>
      </c>
      <c r="J37" s="53">
        <f>손익계산서!J36</f>
        <v>0</v>
      </c>
      <c r="K37" s="53">
        <f>손익계산서!K36</f>
        <v>0</v>
      </c>
      <c r="L37" s="53">
        <f>손익계산서!L36</f>
        <v>0</v>
      </c>
      <c r="M37" s="53">
        <f>손익계산서!M36</f>
        <v>0</v>
      </c>
      <c r="N37" s="53">
        <f>손익계산서!N36</f>
        <v>0</v>
      </c>
      <c r="O37" s="53">
        <f>손익계산서!O36</f>
        <v>0</v>
      </c>
      <c r="P37" s="53">
        <f>손익계산서!P36</f>
        <v>0</v>
      </c>
      <c r="Q37" s="14" t="s">
        <v>202</v>
      </c>
    </row>
    <row r="38" spans="2:17" ht="17.5" hidden="1" customHeight="1">
      <c r="B38" s="19" t="s">
        <v>42</v>
      </c>
      <c r="C38" s="35"/>
      <c r="D38" s="51">
        <f t="shared" si="17"/>
        <v>78467.076488224397</v>
      </c>
      <c r="E38" s="52">
        <f>손익계산서!E37</f>
        <v>6538.9230406853667</v>
      </c>
      <c r="F38" s="53">
        <f>손익계산서!F37</f>
        <v>6538.9230406853667</v>
      </c>
      <c r="G38" s="53">
        <f>손익계산서!G37</f>
        <v>6538.9230406853667</v>
      </c>
      <c r="H38" s="53">
        <f>손익계산서!H37</f>
        <v>6538.9230406853667</v>
      </c>
      <c r="I38" s="53">
        <f>손익계산서!I37</f>
        <v>6538.9230406853667</v>
      </c>
      <c r="J38" s="53">
        <f>손익계산서!J37</f>
        <v>6538.9230406853667</v>
      </c>
      <c r="K38" s="53">
        <f>손익계산서!K37</f>
        <v>6538.9230406853667</v>
      </c>
      <c r="L38" s="53">
        <f>손익계산서!L37</f>
        <v>6538.9230406853667</v>
      </c>
      <c r="M38" s="53">
        <f>손익계산서!M37</f>
        <v>6538.9230406853667</v>
      </c>
      <c r="N38" s="53">
        <f>손익계산서!N37</f>
        <v>6538.9230406853667</v>
      </c>
      <c r="O38" s="53">
        <f>손익계산서!O37</f>
        <v>6538.9230406853667</v>
      </c>
      <c r="P38" s="53">
        <f>손익계산서!P37</f>
        <v>6538.9230406853667</v>
      </c>
      <c r="Q38" s="21" t="s">
        <v>218</v>
      </c>
    </row>
    <row r="39" spans="2:17" ht="17.5" hidden="1" customHeight="1">
      <c r="B39" s="16" t="s">
        <v>16</v>
      </c>
      <c r="C39" s="36"/>
      <c r="D39" s="239">
        <f t="shared" si="17"/>
        <v>928527.0717773221</v>
      </c>
      <c r="E39" s="63">
        <f t="shared" ref="E39:P39" si="18">SUM(E34:E38)</f>
        <v>71928.153447539022</v>
      </c>
      <c r="F39" s="80">
        <f t="shared" si="18"/>
        <v>71928.153447539022</v>
      </c>
      <c r="G39" s="80">
        <f t="shared" si="18"/>
        <v>71928.153447539022</v>
      </c>
      <c r="H39" s="80">
        <f t="shared" si="18"/>
        <v>71928.153447539022</v>
      </c>
      <c r="I39" s="80">
        <f t="shared" si="18"/>
        <v>71928.153447539022</v>
      </c>
      <c r="J39" s="80">
        <f t="shared" si="18"/>
        <v>71928.153447539022</v>
      </c>
      <c r="K39" s="80">
        <f t="shared" si="18"/>
        <v>71928.153447539022</v>
      </c>
      <c r="L39" s="80">
        <f t="shared" si="18"/>
        <v>71928.153447539022</v>
      </c>
      <c r="M39" s="80">
        <f t="shared" si="18"/>
        <v>71928.153447539022</v>
      </c>
      <c r="N39" s="80">
        <f t="shared" si="18"/>
        <v>71928.153447539022</v>
      </c>
      <c r="O39" s="80">
        <f t="shared" si="18"/>
        <v>71928.153447539022</v>
      </c>
      <c r="P39" s="80">
        <f t="shared" si="18"/>
        <v>137317.38385439268</v>
      </c>
      <c r="Q39" s="18"/>
    </row>
    <row r="40" spans="2:17" ht="17.5" hidden="1" customHeight="1">
      <c r="B40" s="26" t="s">
        <v>17</v>
      </c>
      <c r="C40" s="37"/>
      <c r="D40" s="238">
        <f t="shared" si="17"/>
        <v>0</v>
      </c>
      <c r="E40" s="46">
        <f>손익계산서!E39</f>
        <v>0</v>
      </c>
      <c r="F40" s="47">
        <f>손익계산서!F39</f>
        <v>0</v>
      </c>
      <c r="G40" s="47">
        <f>손익계산서!G39</f>
        <v>0</v>
      </c>
      <c r="H40" s="47">
        <f>손익계산서!H39</f>
        <v>0</v>
      </c>
      <c r="I40" s="47">
        <f>손익계산서!I39</f>
        <v>0</v>
      </c>
      <c r="J40" s="47">
        <f>손익계산서!J39</f>
        <v>0</v>
      </c>
      <c r="K40" s="47">
        <f>손익계산서!K39</f>
        <v>0</v>
      </c>
      <c r="L40" s="47">
        <f>손익계산서!L39</f>
        <v>0</v>
      </c>
      <c r="M40" s="47">
        <f>손익계산서!M39</f>
        <v>0</v>
      </c>
      <c r="N40" s="47">
        <f>손익계산서!N39</f>
        <v>0</v>
      </c>
      <c r="O40" s="47">
        <f>손익계산서!O39</f>
        <v>0</v>
      </c>
      <c r="P40" s="47">
        <f>손익계산서!P39</f>
        <v>0</v>
      </c>
      <c r="Q40" s="12" t="s">
        <v>194</v>
      </c>
    </row>
    <row r="41" spans="2:17" ht="17.5" hidden="1" customHeight="1">
      <c r="B41" s="19" t="s">
        <v>20</v>
      </c>
      <c r="C41" s="35"/>
      <c r="D41" s="51">
        <f t="shared" si="17"/>
        <v>651849.37725239969</v>
      </c>
      <c r="E41" s="52">
        <f>손익계산서!E40</f>
        <v>54320.781437699974</v>
      </c>
      <c r="F41" s="53">
        <f>손익계산서!F40</f>
        <v>54320.781437699974</v>
      </c>
      <c r="G41" s="53">
        <f>손익계산서!G40</f>
        <v>54320.781437699974</v>
      </c>
      <c r="H41" s="53">
        <f>손익계산서!H40</f>
        <v>54320.781437699974</v>
      </c>
      <c r="I41" s="53">
        <f>손익계산서!I40</f>
        <v>54320.781437699974</v>
      </c>
      <c r="J41" s="53">
        <f>손익계산서!J40</f>
        <v>54320.781437699974</v>
      </c>
      <c r="K41" s="53">
        <f>손익계산서!K40</f>
        <v>54320.781437699974</v>
      </c>
      <c r="L41" s="53">
        <f>손익계산서!L40</f>
        <v>54320.781437699974</v>
      </c>
      <c r="M41" s="53">
        <f>손익계산서!M40</f>
        <v>54320.781437699974</v>
      </c>
      <c r="N41" s="53">
        <f>손익계산서!N40</f>
        <v>54320.781437699974</v>
      </c>
      <c r="O41" s="53">
        <f>손익계산서!O40</f>
        <v>54320.781437699974</v>
      </c>
      <c r="P41" s="53">
        <f>손익계산서!P40</f>
        <v>54320.781437699974</v>
      </c>
      <c r="Q41" s="13" t="s">
        <v>192</v>
      </c>
    </row>
    <row r="42" spans="2:17" ht="17.5" hidden="1" customHeight="1">
      <c r="B42" s="19" t="s">
        <v>21</v>
      </c>
      <c r="C42" s="35"/>
      <c r="D42" s="51">
        <f t="shared" si="17"/>
        <v>0</v>
      </c>
      <c r="E42" s="52">
        <f>손익계산서!E41</f>
        <v>0</v>
      </c>
      <c r="F42" s="53">
        <f>손익계산서!F41</f>
        <v>0</v>
      </c>
      <c r="G42" s="53">
        <f>손익계산서!G41</f>
        <v>0</v>
      </c>
      <c r="H42" s="53">
        <f>손익계산서!H41</f>
        <v>0</v>
      </c>
      <c r="I42" s="53">
        <f>손익계산서!I41</f>
        <v>0</v>
      </c>
      <c r="J42" s="53">
        <f>손익계산서!J41</f>
        <v>0</v>
      </c>
      <c r="K42" s="53">
        <f>손익계산서!K41</f>
        <v>0</v>
      </c>
      <c r="L42" s="53">
        <f>손익계산서!L41</f>
        <v>0</v>
      </c>
      <c r="M42" s="53">
        <f>손익계산서!M41</f>
        <v>0</v>
      </c>
      <c r="N42" s="53">
        <f>손익계산서!N41</f>
        <v>0</v>
      </c>
      <c r="O42" s="53">
        <f>손익계산서!O41</f>
        <v>0</v>
      </c>
      <c r="P42" s="53">
        <f>손익계산서!P41</f>
        <v>0</v>
      </c>
      <c r="Q42" s="21" t="s">
        <v>195</v>
      </c>
    </row>
    <row r="43" spans="2:17" ht="17.5" hidden="1" customHeight="1">
      <c r="B43" s="19" t="s">
        <v>22</v>
      </c>
      <c r="C43" s="35"/>
      <c r="D43" s="51">
        <f t="shared" si="17"/>
        <v>82415.084685702372</v>
      </c>
      <c r="E43" s="52">
        <f>손익계산서!E42</f>
        <v>6055.0577946800986</v>
      </c>
      <c r="F43" s="53">
        <f>손익계산서!F42</f>
        <v>4902.9892740454507</v>
      </c>
      <c r="G43" s="53">
        <f>손익계산서!G42</f>
        <v>5491.8704919730008</v>
      </c>
      <c r="H43" s="53">
        <f>손익계산서!H42</f>
        <v>6070.4911085813928</v>
      </c>
      <c r="I43" s="53">
        <f>손익계산서!I42</f>
        <v>7077.2967198458955</v>
      </c>
      <c r="J43" s="53">
        <f>손익계산서!J42</f>
        <v>7154.8672975700874</v>
      </c>
      <c r="K43" s="53">
        <f>손익계산서!K42</f>
        <v>8126.8368334750876</v>
      </c>
      <c r="L43" s="53">
        <f>손익계산서!L42</f>
        <v>8703.0220493973102</v>
      </c>
      <c r="M43" s="53">
        <f>손익계산서!M42</f>
        <v>7895.8360125223953</v>
      </c>
      <c r="N43" s="53">
        <f>손익계산서!N42</f>
        <v>7574.443565979519</v>
      </c>
      <c r="O43" s="53">
        <f>손익계산서!O42</f>
        <v>6824.8661247805276</v>
      </c>
      <c r="P43" s="53">
        <f>손익계산서!P42</f>
        <v>6537.5074128516198</v>
      </c>
      <c r="Q43" s="21" t="s">
        <v>207</v>
      </c>
    </row>
    <row r="44" spans="2:17" ht="17.5" hidden="1" customHeight="1">
      <c r="B44" s="19" t="s">
        <v>23</v>
      </c>
      <c r="C44" s="35"/>
      <c r="D44" s="51">
        <f t="shared" si="17"/>
        <v>1276728.3899999999</v>
      </c>
      <c r="E44" s="52">
        <f>손익계산서!E43</f>
        <v>106394.03249999999</v>
      </c>
      <c r="F44" s="53">
        <f>손익계산서!F43</f>
        <v>106394.03249999999</v>
      </c>
      <c r="G44" s="53">
        <f>손익계산서!G43</f>
        <v>106394.03249999999</v>
      </c>
      <c r="H44" s="53">
        <f>손익계산서!H43</f>
        <v>106394.03249999999</v>
      </c>
      <c r="I44" s="53">
        <f>손익계산서!I43</f>
        <v>106394.03249999999</v>
      </c>
      <c r="J44" s="53">
        <f>손익계산서!J43</f>
        <v>106394.03249999999</v>
      </c>
      <c r="K44" s="53">
        <f>손익계산서!K43</f>
        <v>106394.03249999999</v>
      </c>
      <c r="L44" s="53">
        <f>손익계산서!L43</f>
        <v>106394.03249999999</v>
      </c>
      <c r="M44" s="53">
        <f>손익계산서!M43</f>
        <v>106394.03249999999</v>
      </c>
      <c r="N44" s="53">
        <f>손익계산서!N43</f>
        <v>106394.03249999999</v>
      </c>
      <c r="O44" s="53">
        <f>손익계산서!O43</f>
        <v>106394.03249999999</v>
      </c>
      <c r="P44" s="53">
        <f>손익계산서!P43</f>
        <v>106394.03249999999</v>
      </c>
      <c r="Q44" s="21" t="s">
        <v>196</v>
      </c>
    </row>
    <row r="45" spans="2:17" ht="17.5" hidden="1" customHeight="1">
      <c r="B45" s="22" t="s">
        <v>24</v>
      </c>
      <c r="C45" s="38"/>
      <c r="D45" s="239">
        <f t="shared" si="17"/>
        <v>2010992.8519381022</v>
      </c>
      <c r="E45" s="63">
        <f>SUM(E41:E44)</f>
        <v>166769.87173238007</v>
      </c>
      <c r="F45" s="80">
        <f t="shared" ref="F45:P45" si="19">SUM(F41:F44)</f>
        <v>165617.8032117454</v>
      </c>
      <c r="G45" s="80">
        <f t="shared" si="19"/>
        <v>166206.68442967295</v>
      </c>
      <c r="H45" s="80">
        <f t="shared" si="19"/>
        <v>166785.30504628137</v>
      </c>
      <c r="I45" s="80">
        <f t="shared" si="19"/>
        <v>167792.11065754585</v>
      </c>
      <c r="J45" s="80">
        <f t="shared" si="19"/>
        <v>167869.68123527005</v>
      </c>
      <c r="K45" s="80">
        <f t="shared" si="19"/>
        <v>168841.65077117505</v>
      </c>
      <c r="L45" s="80">
        <f t="shared" si="19"/>
        <v>169417.83598709726</v>
      </c>
      <c r="M45" s="80">
        <f t="shared" si="19"/>
        <v>168610.64995022235</v>
      </c>
      <c r="N45" s="80">
        <f t="shared" si="19"/>
        <v>168289.25750367949</v>
      </c>
      <c r="O45" s="80">
        <f t="shared" si="19"/>
        <v>167539.6800624805</v>
      </c>
      <c r="P45" s="80">
        <f t="shared" si="19"/>
        <v>167252.32135055159</v>
      </c>
      <c r="Q45" s="24"/>
    </row>
    <row r="46" spans="2:17" ht="17.5" hidden="1" customHeight="1">
      <c r="B46" s="19" t="s">
        <v>43</v>
      </c>
      <c r="C46" s="35"/>
      <c r="D46" s="51">
        <f t="shared" si="17"/>
        <v>58396.80000000001</v>
      </c>
      <c r="E46" s="52">
        <f>손익계산서!E45</f>
        <v>4866.4000000000005</v>
      </c>
      <c r="F46" s="53">
        <f>손익계산서!F45</f>
        <v>4866.4000000000005</v>
      </c>
      <c r="G46" s="53">
        <f>손익계산서!G45</f>
        <v>4866.4000000000005</v>
      </c>
      <c r="H46" s="53">
        <f>손익계산서!H45</f>
        <v>4866.4000000000005</v>
      </c>
      <c r="I46" s="53">
        <f>손익계산서!I45</f>
        <v>4866.4000000000005</v>
      </c>
      <c r="J46" s="53">
        <f>손익계산서!J45</f>
        <v>4866.4000000000005</v>
      </c>
      <c r="K46" s="53">
        <f>손익계산서!K45</f>
        <v>4866.4000000000005</v>
      </c>
      <c r="L46" s="53">
        <f>손익계산서!L45</f>
        <v>4866.4000000000005</v>
      </c>
      <c r="M46" s="53">
        <f>손익계산서!M45</f>
        <v>4866.4000000000005</v>
      </c>
      <c r="N46" s="53">
        <f>손익계산서!N45</f>
        <v>4866.4000000000005</v>
      </c>
      <c r="O46" s="53">
        <f>손익계산서!O45</f>
        <v>4866.4000000000005</v>
      </c>
      <c r="P46" s="53">
        <f>손익계산서!P45</f>
        <v>4866.4000000000005</v>
      </c>
      <c r="Q46" s="21" t="s">
        <v>197</v>
      </c>
    </row>
    <row r="47" spans="2:17" ht="17.5" hidden="1" customHeight="1">
      <c r="B47" s="19" t="s">
        <v>44</v>
      </c>
      <c r="C47" s="35"/>
      <c r="D47" s="51">
        <f t="shared" ref="D47:D56" si="20">SUM(E47:P47)</f>
        <v>1200</v>
      </c>
      <c r="E47" s="52">
        <f>손익계산서!E46</f>
        <v>100</v>
      </c>
      <c r="F47" s="53">
        <f>손익계산서!F46</f>
        <v>100</v>
      </c>
      <c r="G47" s="53">
        <f>손익계산서!G46</f>
        <v>100</v>
      </c>
      <c r="H47" s="53">
        <f>손익계산서!H46</f>
        <v>100</v>
      </c>
      <c r="I47" s="53">
        <f>손익계산서!I46</f>
        <v>100</v>
      </c>
      <c r="J47" s="53">
        <f>손익계산서!J46</f>
        <v>100</v>
      </c>
      <c r="K47" s="53">
        <f>손익계산서!K46</f>
        <v>100</v>
      </c>
      <c r="L47" s="53">
        <f>손익계산서!L46</f>
        <v>100</v>
      </c>
      <c r="M47" s="53">
        <f>손익계산서!M46</f>
        <v>100</v>
      </c>
      <c r="N47" s="53">
        <f>손익계산서!N46</f>
        <v>100</v>
      </c>
      <c r="O47" s="53">
        <f>손익계산서!O46</f>
        <v>100</v>
      </c>
      <c r="P47" s="53">
        <f>손익계산서!P46</f>
        <v>100</v>
      </c>
      <c r="Q47" s="21" t="s">
        <v>199</v>
      </c>
    </row>
    <row r="48" spans="2:17" ht="17.5" hidden="1" customHeight="1">
      <c r="B48" s="19" t="s">
        <v>45</v>
      </c>
      <c r="C48" s="35"/>
      <c r="D48" s="51">
        <f t="shared" si="20"/>
        <v>1200</v>
      </c>
      <c r="E48" s="52">
        <f>손익계산서!E47</f>
        <v>100</v>
      </c>
      <c r="F48" s="53">
        <f>손익계산서!F47</f>
        <v>100</v>
      </c>
      <c r="G48" s="53">
        <f>손익계산서!G47</f>
        <v>100</v>
      </c>
      <c r="H48" s="53">
        <f>손익계산서!H47</f>
        <v>100</v>
      </c>
      <c r="I48" s="53">
        <f>손익계산서!I47</f>
        <v>100</v>
      </c>
      <c r="J48" s="53">
        <f>손익계산서!J47</f>
        <v>100</v>
      </c>
      <c r="K48" s="53">
        <f>손익계산서!K47</f>
        <v>100</v>
      </c>
      <c r="L48" s="53">
        <f>손익계산서!L47</f>
        <v>100</v>
      </c>
      <c r="M48" s="53">
        <f>손익계산서!M47</f>
        <v>100</v>
      </c>
      <c r="N48" s="53">
        <f>손익계산서!N47</f>
        <v>100</v>
      </c>
      <c r="O48" s="53">
        <f>손익계산서!O47</f>
        <v>100</v>
      </c>
      <c r="P48" s="53">
        <f>손익계산서!P47</f>
        <v>100</v>
      </c>
      <c r="Q48" s="21" t="s">
        <v>198</v>
      </c>
    </row>
    <row r="49" spans="2:17" ht="17.5" hidden="1" customHeight="1">
      <c r="B49" s="19" t="s">
        <v>46</v>
      </c>
      <c r="C49" s="35"/>
      <c r="D49" s="51">
        <f t="shared" si="20"/>
        <v>10000</v>
      </c>
      <c r="E49" s="52">
        <f>손익계산서!E48</f>
        <v>800</v>
      </c>
      <c r="F49" s="53">
        <f>손익계산서!F48</f>
        <v>800</v>
      </c>
      <c r="G49" s="53">
        <f>손익계산서!G48</f>
        <v>800</v>
      </c>
      <c r="H49" s="53">
        <f>손익계산서!H48</f>
        <v>800</v>
      </c>
      <c r="I49" s="53">
        <f>손익계산서!I48</f>
        <v>800</v>
      </c>
      <c r="J49" s="53">
        <f>손익계산서!J48</f>
        <v>800</v>
      </c>
      <c r="K49" s="53">
        <f>손익계산서!K48</f>
        <v>1000</v>
      </c>
      <c r="L49" s="53">
        <f>손익계산서!L48</f>
        <v>1000</v>
      </c>
      <c r="M49" s="53">
        <f>손익계산서!M48</f>
        <v>800</v>
      </c>
      <c r="N49" s="53">
        <f>손익계산서!N48</f>
        <v>800</v>
      </c>
      <c r="O49" s="53">
        <f>손익계산서!O48</f>
        <v>800</v>
      </c>
      <c r="P49" s="53">
        <f>손익계산서!P48</f>
        <v>800</v>
      </c>
      <c r="Q49" s="21" t="s">
        <v>272</v>
      </c>
    </row>
    <row r="50" spans="2:17" ht="17.5" hidden="1" customHeight="1">
      <c r="B50" s="19" t="s">
        <v>47</v>
      </c>
      <c r="C50" s="35"/>
      <c r="D50" s="51">
        <f t="shared" si="20"/>
        <v>3000</v>
      </c>
      <c r="E50" s="52">
        <f>손익계산서!E49</f>
        <v>250</v>
      </c>
      <c r="F50" s="53">
        <f>손익계산서!F49</f>
        <v>250</v>
      </c>
      <c r="G50" s="53">
        <f>손익계산서!G49</f>
        <v>250</v>
      </c>
      <c r="H50" s="53">
        <f>손익계산서!H49</f>
        <v>250</v>
      </c>
      <c r="I50" s="53">
        <f>손익계산서!I49</f>
        <v>250</v>
      </c>
      <c r="J50" s="53">
        <f>손익계산서!J49</f>
        <v>250</v>
      </c>
      <c r="K50" s="53">
        <f>손익계산서!K49</f>
        <v>250</v>
      </c>
      <c r="L50" s="53">
        <f>손익계산서!L49</f>
        <v>250</v>
      </c>
      <c r="M50" s="53">
        <f>손익계산서!M49</f>
        <v>250</v>
      </c>
      <c r="N50" s="53">
        <f>손익계산서!N49</f>
        <v>250</v>
      </c>
      <c r="O50" s="53">
        <f>손익계산서!O49</f>
        <v>250</v>
      </c>
      <c r="P50" s="53">
        <f>손익계산서!P49</f>
        <v>250</v>
      </c>
      <c r="Q50" s="21" t="s">
        <v>200</v>
      </c>
    </row>
    <row r="51" spans="2:17" ht="17.5" hidden="1" customHeight="1">
      <c r="B51" s="19" t="s">
        <v>55</v>
      </c>
      <c r="C51" s="35"/>
      <c r="D51" s="51">
        <f t="shared" si="20"/>
        <v>78467.076488224397</v>
      </c>
      <c r="E51" s="52">
        <f>손익계산서!E50</f>
        <v>6538.9230406853667</v>
      </c>
      <c r="F51" s="53">
        <f>손익계산서!F50</f>
        <v>6538.9230406853667</v>
      </c>
      <c r="G51" s="53">
        <f>손익계산서!G50</f>
        <v>6538.9230406853667</v>
      </c>
      <c r="H51" s="53">
        <f>손익계산서!H50</f>
        <v>6538.9230406853667</v>
      </c>
      <c r="I51" s="53">
        <f>손익계산서!I50</f>
        <v>6538.9230406853667</v>
      </c>
      <c r="J51" s="53">
        <f>손익계산서!J50</f>
        <v>6538.9230406853667</v>
      </c>
      <c r="K51" s="53">
        <f>손익계산서!K50</f>
        <v>6538.9230406853667</v>
      </c>
      <c r="L51" s="53">
        <f>손익계산서!L50</f>
        <v>6538.9230406853667</v>
      </c>
      <c r="M51" s="53">
        <f>손익계산서!M50</f>
        <v>6538.9230406853667</v>
      </c>
      <c r="N51" s="53">
        <f>손익계산서!N50</f>
        <v>6538.9230406853667</v>
      </c>
      <c r="O51" s="53">
        <f>손익계산서!O50</f>
        <v>6538.9230406853667</v>
      </c>
      <c r="P51" s="53">
        <f>손익계산서!P50</f>
        <v>6538.9230406853667</v>
      </c>
      <c r="Q51" s="21" t="s">
        <v>219</v>
      </c>
    </row>
    <row r="52" spans="2:17" ht="17.5" hidden="1" customHeight="1">
      <c r="B52" s="19" t="s">
        <v>54</v>
      </c>
      <c r="C52" s="35"/>
      <c r="D52" s="51">
        <f t="shared" si="20"/>
        <v>1599.9999999999998</v>
      </c>
      <c r="E52" s="52">
        <f>손익계산서!E51</f>
        <v>133.33333333333334</v>
      </c>
      <c r="F52" s="53">
        <f>손익계산서!F51</f>
        <v>133.33333333333334</v>
      </c>
      <c r="G52" s="53">
        <f>손익계산서!G51</f>
        <v>133.33333333333334</v>
      </c>
      <c r="H52" s="53">
        <f>손익계산서!H51</f>
        <v>133.33333333333334</v>
      </c>
      <c r="I52" s="53">
        <f>손익계산서!I51</f>
        <v>133.33333333333334</v>
      </c>
      <c r="J52" s="53">
        <f>손익계산서!J51</f>
        <v>133.33333333333334</v>
      </c>
      <c r="K52" s="53">
        <f>손익계산서!K51</f>
        <v>133.33333333333334</v>
      </c>
      <c r="L52" s="53">
        <f>손익계산서!L51</f>
        <v>133.33333333333334</v>
      </c>
      <c r="M52" s="53">
        <f>손익계산서!M51</f>
        <v>133.33333333333334</v>
      </c>
      <c r="N52" s="53">
        <f>손익계산서!N51</f>
        <v>133.33333333333334</v>
      </c>
      <c r="O52" s="53">
        <f>손익계산서!O51</f>
        <v>133.33333333333334</v>
      </c>
      <c r="P52" s="53">
        <f>손익계산서!P51</f>
        <v>133.33333333333334</v>
      </c>
      <c r="Q52" s="21" t="s">
        <v>203</v>
      </c>
    </row>
    <row r="53" spans="2:17" ht="17.5" hidden="1" customHeight="1">
      <c r="B53" s="19" t="s">
        <v>48</v>
      </c>
      <c r="C53" s="35"/>
      <c r="D53" s="51">
        <f t="shared" si="20"/>
        <v>7560</v>
      </c>
      <c r="E53" s="52">
        <f>손익계산서!E52</f>
        <v>630</v>
      </c>
      <c r="F53" s="53">
        <f>손익계산서!F52</f>
        <v>630</v>
      </c>
      <c r="G53" s="53">
        <f>손익계산서!G52</f>
        <v>630</v>
      </c>
      <c r="H53" s="53">
        <f>손익계산서!H52</f>
        <v>630</v>
      </c>
      <c r="I53" s="53">
        <f>손익계산서!I52</f>
        <v>630</v>
      </c>
      <c r="J53" s="53">
        <f>손익계산서!J52</f>
        <v>630</v>
      </c>
      <c r="K53" s="53">
        <f>손익계산서!K52</f>
        <v>630</v>
      </c>
      <c r="L53" s="53">
        <f>손익계산서!L52</f>
        <v>630</v>
      </c>
      <c r="M53" s="53">
        <f>손익계산서!M52</f>
        <v>630</v>
      </c>
      <c r="N53" s="53">
        <f>손익계산서!N52</f>
        <v>630</v>
      </c>
      <c r="O53" s="53">
        <f>손익계산서!O52</f>
        <v>630</v>
      </c>
      <c r="P53" s="53">
        <f>손익계산서!P52</f>
        <v>630</v>
      </c>
      <c r="Q53" s="21" t="s">
        <v>271</v>
      </c>
    </row>
    <row r="54" spans="2:17" ht="17.5" hidden="1" customHeight="1">
      <c r="B54" s="19" t="s">
        <v>56</v>
      </c>
      <c r="C54" s="35"/>
      <c r="D54" s="51">
        <f t="shared" si="20"/>
        <v>3600</v>
      </c>
      <c r="E54" s="52">
        <f>손익계산서!E53</f>
        <v>300</v>
      </c>
      <c r="F54" s="53">
        <f>손익계산서!F53</f>
        <v>300</v>
      </c>
      <c r="G54" s="53">
        <f>손익계산서!G53</f>
        <v>300</v>
      </c>
      <c r="H54" s="53">
        <f>손익계산서!H53</f>
        <v>300</v>
      </c>
      <c r="I54" s="53">
        <f>손익계산서!I53</f>
        <v>300</v>
      </c>
      <c r="J54" s="53">
        <f>손익계산서!J53</f>
        <v>300</v>
      </c>
      <c r="K54" s="53">
        <f>손익계산서!K53</f>
        <v>300</v>
      </c>
      <c r="L54" s="53">
        <f>손익계산서!L53</f>
        <v>300</v>
      </c>
      <c r="M54" s="53">
        <f>손익계산서!M53</f>
        <v>300</v>
      </c>
      <c r="N54" s="53">
        <f>손익계산서!N53</f>
        <v>300</v>
      </c>
      <c r="O54" s="53">
        <f>손익계산서!O53</f>
        <v>300</v>
      </c>
      <c r="P54" s="53">
        <f>손익계산서!P53</f>
        <v>300</v>
      </c>
      <c r="Q54" s="21" t="s">
        <v>205</v>
      </c>
    </row>
    <row r="55" spans="2:17" ht="17.5" hidden="1" customHeight="1">
      <c r="B55" s="19" t="s">
        <v>57</v>
      </c>
      <c r="C55" s="35"/>
      <c r="D55" s="51">
        <f t="shared" si="20"/>
        <v>38400</v>
      </c>
      <c r="E55" s="52">
        <f>손익계산서!E54</f>
        <v>3200</v>
      </c>
      <c r="F55" s="53">
        <f>손익계산서!F54</f>
        <v>3200</v>
      </c>
      <c r="G55" s="53">
        <f>손익계산서!G54</f>
        <v>3200</v>
      </c>
      <c r="H55" s="53">
        <f>손익계산서!H54</f>
        <v>3200</v>
      </c>
      <c r="I55" s="53">
        <f>손익계산서!I54</f>
        <v>3200</v>
      </c>
      <c r="J55" s="53">
        <f>손익계산서!J54</f>
        <v>3200</v>
      </c>
      <c r="K55" s="53">
        <f>손익계산서!K54</f>
        <v>3200</v>
      </c>
      <c r="L55" s="53">
        <f>손익계산서!L54</f>
        <v>3200</v>
      </c>
      <c r="M55" s="53">
        <f>손익계산서!M54</f>
        <v>3200</v>
      </c>
      <c r="N55" s="53">
        <f>손익계산서!N54</f>
        <v>3200</v>
      </c>
      <c r="O55" s="53">
        <f>손익계산서!O54</f>
        <v>3200</v>
      </c>
      <c r="P55" s="53">
        <f>손익계산서!P54</f>
        <v>3200</v>
      </c>
      <c r="Q55" s="21" t="s">
        <v>206</v>
      </c>
    </row>
    <row r="56" spans="2:17" ht="17.5" hidden="1" customHeight="1">
      <c r="B56" s="22" t="s">
        <v>18</v>
      </c>
      <c r="C56" s="38"/>
      <c r="D56" s="239">
        <f t="shared" si="20"/>
        <v>203423.8764882244</v>
      </c>
      <c r="E56" s="63">
        <f>SUM(E46:E55)</f>
        <v>16918.656374018701</v>
      </c>
      <c r="F56" s="80">
        <f t="shared" ref="F56:P56" si="21">SUM(F46:F55)</f>
        <v>16918.656374018701</v>
      </c>
      <c r="G56" s="80">
        <f t="shared" si="21"/>
        <v>16918.656374018701</v>
      </c>
      <c r="H56" s="80">
        <f t="shared" si="21"/>
        <v>16918.656374018701</v>
      </c>
      <c r="I56" s="80">
        <f t="shared" si="21"/>
        <v>16918.656374018701</v>
      </c>
      <c r="J56" s="80">
        <f t="shared" si="21"/>
        <v>16918.656374018701</v>
      </c>
      <c r="K56" s="80">
        <f t="shared" si="21"/>
        <v>17118.656374018701</v>
      </c>
      <c r="L56" s="80">
        <f t="shared" si="21"/>
        <v>17118.656374018701</v>
      </c>
      <c r="M56" s="80">
        <f t="shared" si="21"/>
        <v>16918.656374018701</v>
      </c>
      <c r="N56" s="80">
        <f t="shared" si="21"/>
        <v>16918.656374018701</v>
      </c>
      <c r="O56" s="80">
        <f t="shared" si="21"/>
        <v>16918.656374018701</v>
      </c>
      <c r="P56" s="80">
        <f t="shared" si="21"/>
        <v>16918.656374018701</v>
      </c>
      <c r="Q56" s="24"/>
    </row>
    <row r="57" spans="2:17" ht="17.5" hidden="1" customHeight="1">
      <c r="B57" s="19" t="s">
        <v>53</v>
      </c>
      <c r="C57" s="35"/>
      <c r="D57" s="51">
        <f t="shared" si="17"/>
        <v>278562.98623767408</v>
      </c>
      <c r="E57" s="52">
        <f>손익계산서!E56</f>
        <v>20466.095346018734</v>
      </c>
      <c r="F57" s="53">
        <f>손익계산서!F56</f>
        <v>16572.103746273624</v>
      </c>
      <c r="G57" s="53">
        <f>손익계산서!G56</f>
        <v>18562.522262868744</v>
      </c>
      <c r="H57" s="53">
        <f>손익계산서!H56</f>
        <v>20518.25994700511</v>
      </c>
      <c r="I57" s="53">
        <f>손익계산서!I56</f>
        <v>23921.262913079128</v>
      </c>
      <c r="J57" s="53">
        <f>손익계산서!J56</f>
        <v>24183.451465786897</v>
      </c>
      <c r="K57" s="53">
        <f>손익계산서!K56</f>
        <v>27468.708497145799</v>
      </c>
      <c r="L57" s="53">
        <f>손익계산서!L56</f>
        <v>29416.214526962911</v>
      </c>
      <c r="M57" s="53">
        <f>손익계산서!M56</f>
        <v>26687.925722325701</v>
      </c>
      <c r="N57" s="53">
        <f>손익계산서!N56</f>
        <v>25601.619253010773</v>
      </c>
      <c r="O57" s="53">
        <f>손익계산서!O56</f>
        <v>23068.047501758188</v>
      </c>
      <c r="P57" s="53">
        <f>손익계산서!P56</f>
        <v>22096.775055438477</v>
      </c>
      <c r="Q57" s="21" t="s">
        <v>268</v>
      </c>
    </row>
    <row r="58" spans="2:17" ht="17.5" hidden="1" customHeight="1">
      <c r="B58" s="19" t="s">
        <v>52</v>
      </c>
      <c r="C58" s="35"/>
      <c r="D58" s="51">
        <f t="shared" si="17"/>
        <v>857116.88073130499</v>
      </c>
      <c r="E58" s="52">
        <f>손익계산서!E57</f>
        <v>62972.601064673028</v>
      </c>
      <c r="F58" s="53">
        <f>손익계산서!F57</f>
        <v>50991.088450072682</v>
      </c>
      <c r="G58" s="53">
        <f>손익계산서!G57</f>
        <v>57115.453116519217</v>
      </c>
      <c r="H58" s="53">
        <f>손익계산서!H57</f>
        <v>63133.107529246488</v>
      </c>
      <c r="I58" s="53">
        <f>손익계산서!I57</f>
        <v>73603.885886397315</v>
      </c>
      <c r="J58" s="53">
        <f>손익계산서!J57</f>
        <v>74410.619894728909</v>
      </c>
      <c r="K58" s="53">
        <f>손익계산서!K57</f>
        <v>84519.103068140917</v>
      </c>
      <c r="L58" s="53">
        <f>손익계산서!L57</f>
        <v>90511.429313732035</v>
      </c>
      <c r="M58" s="53">
        <f>손익계산서!M57</f>
        <v>82116.694530232926</v>
      </c>
      <c r="N58" s="53">
        <f>손익계산서!N57</f>
        <v>78774.213086186995</v>
      </c>
      <c r="O58" s="53">
        <f>손익계산서!O57</f>
        <v>70978.607697717496</v>
      </c>
      <c r="P58" s="53">
        <f>손익계산서!P57</f>
        <v>67990.077093656844</v>
      </c>
      <c r="Q58" s="21" t="s">
        <v>270</v>
      </c>
    </row>
    <row r="59" spans="2:17" ht="17.5" hidden="1" customHeight="1">
      <c r="B59" s="19" t="s">
        <v>51</v>
      </c>
      <c r="C59" s="35"/>
      <c r="D59" s="51">
        <f t="shared" si="17"/>
        <v>0</v>
      </c>
      <c r="E59" s="52">
        <f>손익계산서!E58</f>
        <v>0</v>
      </c>
      <c r="F59" s="53">
        <f>손익계산서!F58</f>
        <v>0</v>
      </c>
      <c r="G59" s="53">
        <f>손익계산서!G58</f>
        <v>0</v>
      </c>
      <c r="H59" s="53">
        <f>손익계산서!H58</f>
        <v>0</v>
      </c>
      <c r="I59" s="53">
        <f>손익계산서!I58</f>
        <v>0</v>
      </c>
      <c r="J59" s="53">
        <f>손익계산서!J58</f>
        <v>0</v>
      </c>
      <c r="K59" s="53">
        <f>손익계산서!K58</f>
        <v>0</v>
      </c>
      <c r="L59" s="53">
        <f>손익계산서!L58</f>
        <v>0</v>
      </c>
      <c r="M59" s="53">
        <f>손익계산서!M58</f>
        <v>0</v>
      </c>
      <c r="N59" s="53">
        <f>손익계산서!N58</f>
        <v>0</v>
      </c>
      <c r="O59" s="53">
        <f>손익계산서!O58</f>
        <v>0</v>
      </c>
      <c r="P59" s="53">
        <f>손익계산서!P58</f>
        <v>0</v>
      </c>
      <c r="Q59" s="21" t="s">
        <v>195</v>
      </c>
    </row>
    <row r="60" spans="2:17" ht="17.5" hidden="1" customHeight="1">
      <c r="B60" s="19" t="s">
        <v>50</v>
      </c>
      <c r="C60" s="35"/>
      <c r="D60" s="51">
        <f t="shared" si="17"/>
        <v>171423.37614626097</v>
      </c>
      <c r="E60" s="52">
        <f>손익계산서!E59</f>
        <v>12594.520212934603</v>
      </c>
      <c r="F60" s="53">
        <f>손익계산서!F59</f>
        <v>10198.217690014537</v>
      </c>
      <c r="G60" s="53">
        <f>손익계산서!G59</f>
        <v>11423.090623303842</v>
      </c>
      <c r="H60" s="53">
        <f>손익계산서!H59</f>
        <v>12626.621505849296</v>
      </c>
      <c r="I60" s="53">
        <f>손익계산서!I59</f>
        <v>14720.777177279464</v>
      </c>
      <c r="J60" s="53">
        <f>손익계산서!J59</f>
        <v>14882.123978945783</v>
      </c>
      <c r="K60" s="53">
        <f>손익계산서!K59</f>
        <v>16903.820613628184</v>
      </c>
      <c r="L60" s="53">
        <f>손익계산서!L59</f>
        <v>18102.285862746405</v>
      </c>
      <c r="M60" s="53">
        <f>손익계산서!M59</f>
        <v>16423.338906046582</v>
      </c>
      <c r="N60" s="53">
        <f>손익계산서!N59</f>
        <v>15754.842617237398</v>
      </c>
      <c r="O60" s="53">
        <f>손익계산서!O59</f>
        <v>14195.721539543498</v>
      </c>
      <c r="P60" s="53">
        <f>손익계산서!P59</f>
        <v>13598.015418731367</v>
      </c>
      <c r="Q60" s="21" t="s">
        <v>269</v>
      </c>
    </row>
    <row r="61" spans="2:17" ht="17.5" hidden="1" customHeight="1">
      <c r="B61" s="19" t="s">
        <v>58</v>
      </c>
      <c r="C61" s="35"/>
      <c r="D61" s="51">
        <f t="shared" si="17"/>
        <v>0</v>
      </c>
      <c r="E61" s="52">
        <f>손익계산서!E60</f>
        <v>0</v>
      </c>
      <c r="F61" s="53">
        <f>손익계산서!F60</f>
        <v>0</v>
      </c>
      <c r="G61" s="53">
        <f>손익계산서!G60</f>
        <v>0</v>
      </c>
      <c r="H61" s="53">
        <f>손익계산서!H60</f>
        <v>0</v>
      </c>
      <c r="I61" s="53">
        <f>손익계산서!I60</f>
        <v>0</v>
      </c>
      <c r="J61" s="53">
        <f>손익계산서!J60</f>
        <v>0</v>
      </c>
      <c r="K61" s="53">
        <f>손익계산서!K60</f>
        <v>0</v>
      </c>
      <c r="L61" s="53">
        <f>손익계산서!L60</f>
        <v>0</v>
      </c>
      <c r="M61" s="53">
        <f>손익계산서!M60</f>
        <v>0</v>
      </c>
      <c r="N61" s="53">
        <f>손익계산서!N60</f>
        <v>0</v>
      </c>
      <c r="O61" s="53">
        <f>손익계산서!O60</f>
        <v>0</v>
      </c>
      <c r="P61" s="53">
        <f>손익계산서!P60</f>
        <v>0</v>
      </c>
      <c r="Q61" s="21" t="s">
        <v>195</v>
      </c>
    </row>
    <row r="62" spans="2:17" ht="17.5" hidden="1" customHeight="1">
      <c r="B62" s="22" t="s">
        <v>19</v>
      </c>
      <c r="C62" s="38"/>
      <c r="D62" s="239">
        <f t="shared" si="17"/>
        <v>1307103.24311524</v>
      </c>
      <c r="E62" s="63">
        <f>SUM(E57:E61)</f>
        <v>96033.216623626358</v>
      </c>
      <c r="F62" s="80">
        <f t="shared" ref="F62:P62" si="22">SUM(F57:F61)</f>
        <v>77761.409886360852</v>
      </c>
      <c r="G62" s="80">
        <f t="shared" si="22"/>
        <v>87101.066002691805</v>
      </c>
      <c r="H62" s="80">
        <f t="shared" si="22"/>
        <v>96277.988982100898</v>
      </c>
      <c r="I62" s="80">
        <f t="shared" si="22"/>
        <v>112245.92597675591</v>
      </c>
      <c r="J62" s="80">
        <f t="shared" si="22"/>
        <v>113476.19533946158</v>
      </c>
      <c r="K62" s="80">
        <f t="shared" si="22"/>
        <v>128891.63217891489</v>
      </c>
      <c r="L62" s="80">
        <f t="shared" si="22"/>
        <v>138029.92970344136</v>
      </c>
      <c r="M62" s="80">
        <f t="shared" si="22"/>
        <v>125227.95915860521</v>
      </c>
      <c r="N62" s="80">
        <f t="shared" si="22"/>
        <v>120130.67495643518</v>
      </c>
      <c r="O62" s="80">
        <f t="shared" si="22"/>
        <v>108242.37673901918</v>
      </c>
      <c r="P62" s="80">
        <f t="shared" si="22"/>
        <v>103684.8675678267</v>
      </c>
      <c r="Q62" s="24"/>
    </row>
    <row r="63" spans="2:17" ht="17.5" hidden="1" customHeight="1">
      <c r="B63" s="26" t="s">
        <v>61</v>
      </c>
      <c r="C63" s="37"/>
      <c r="D63" s="238">
        <f t="shared" si="17"/>
        <v>560422.57586277626</v>
      </c>
      <c r="E63" s="46">
        <f>손익계산서!E62</f>
        <v>41174.393003824669</v>
      </c>
      <c r="F63" s="47">
        <f>손익계산서!F62</f>
        <v>33340.327063509067</v>
      </c>
      <c r="G63" s="47">
        <f>손익계산서!G62</f>
        <v>37344.719345416408</v>
      </c>
      <c r="H63" s="47">
        <f>손익계산서!H62</f>
        <v>41279.339538353473</v>
      </c>
      <c r="I63" s="47">
        <f>손익계산서!I62</f>
        <v>48125.617694952096</v>
      </c>
      <c r="J63" s="47">
        <f>손익계산서!J62</f>
        <v>48653.097623476599</v>
      </c>
      <c r="K63" s="47">
        <f>손익계산서!K62</f>
        <v>55262.490467630603</v>
      </c>
      <c r="L63" s="47">
        <f>손익계산서!L62</f>
        <v>59180.549935901712</v>
      </c>
      <c r="M63" s="47">
        <f>손익계산서!M62</f>
        <v>53691.684885152295</v>
      </c>
      <c r="N63" s="47">
        <f>손익계산서!N62</f>
        <v>51506.216248660727</v>
      </c>
      <c r="O63" s="47">
        <f>손익계산서!O62</f>
        <v>46409.089648507586</v>
      </c>
      <c r="P63" s="47">
        <f>손익계산서!P62</f>
        <v>44455.050407391012</v>
      </c>
      <c r="Q63" s="12" t="s">
        <v>210</v>
      </c>
    </row>
    <row r="64" spans="2:17" ht="17.5" hidden="1" customHeight="1">
      <c r="B64" s="19" t="s">
        <v>67</v>
      </c>
      <c r="C64" s="35"/>
      <c r="D64" s="51">
        <f t="shared" si="17"/>
        <v>247245.25405710717</v>
      </c>
      <c r="E64" s="52">
        <f>손익계산서!E63</f>
        <v>18165.173384040296</v>
      </c>
      <c r="F64" s="53">
        <f>손익계산서!F63</f>
        <v>14708.96782213635</v>
      </c>
      <c r="G64" s="53">
        <f>손익계산서!G63</f>
        <v>16475.611475919002</v>
      </c>
      <c r="H64" s="53">
        <f>손익계산서!H63</f>
        <v>18211.473325744177</v>
      </c>
      <c r="I64" s="53">
        <f>손익계산서!I63</f>
        <v>21231.890159537685</v>
      </c>
      <c r="J64" s="53">
        <f>손익계산서!J63</f>
        <v>21464.60189271026</v>
      </c>
      <c r="K64" s="53">
        <f>손익계산서!K63</f>
        <v>24380.510500425262</v>
      </c>
      <c r="L64" s="53">
        <f>손익계산서!L63</f>
        <v>26109.066148191931</v>
      </c>
      <c r="M64" s="53">
        <f>손익계산서!M63</f>
        <v>23687.508037567186</v>
      </c>
      <c r="N64" s="53">
        <f>손익계산서!N63</f>
        <v>22723.330697938556</v>
      </c>
      <c r="O64" s="53">
        <f>손익계산서!O63</f>
        <v>20474.598374341582</v>
      </c>
      <c r="P64" s="53">
        <f>손익계산서!P63</f>
        <v>19612.522238554859</v>
      </c>
      <c r="Q64" s="21" t="s">
        <v>211</v>
      </c>
    </row>
    <row r="65" spans="2:17" ht="17.5" hidden="1" customHeight="1">
      <c r="B65" s="19" t="s">
        <v>69</v>
      </c>
      <c r="C65" s="35"/>
      <c r="D65" s="51">
        <f t="shared" si="17"/>
        <v>741735.76217132143</v>
      </c>
      <c r="E65" s="52">
        <f>손익계산서!E64</f>
        <v>54495.52015212088</v>
      </c>
      <c r="F65" s="53">
        <f>손익계산서!F64</f>
        <v>44126.90346640905</v>
      </c>
      <c r="G65" s="53">
        <f>손익계산서!G64</f>
        <v>49426.834427757007</v>
      </c>
      <c r="H65" s="53">
        <f>손익계산서!H64</f>
        <v>54634.41997723253</v>
      </c>
      <c r="I65" s="53">
        <f>손익계산서!I64</f>
        <v>63695.670478613058</v>
      </c>
      <c r="J65" s="53">
        <f>손익계산서!J64</f>
        <v>64393.805678130782</v>
      </c>
      <c r="K65" s="53">
        <f>손익계산서!K64</f>
        <v>73141.531501275793</v>
      </c>
      <c r="L65" s="53">
        <f>손익계산서!L64</f>
        <v>78327.198444575784</v>
      </c>
      <c r="M65" s="53">
        <f>손익계산서!M64</f>
        <v>71062.524112701562</v>
      </c>
      <c r="N65" s="53">
        <f>손익계산서!N64</f>
        <v>68169.992093815657</v>
      </c>
      <c r="O65" s="53">
        <f>손익계산서!O64</f>
        <v>61423.795123024742</v>
      </c>
      <c r="P65" s="53">
        <f>손익계산서!P64</f>
        <v>58837.566715664572</v>
      </c>
      <c r="Q65" s="21" t="s">
        <v>212</v>
      </c>
    </row>
    <row r="66" spans="2:17" ht="17.5" hidden="1" customHeight="1">
      <c r="B66" s="19" t="s">
        <v>68</v>
      </c>
      <c r="C66" s="35"/>
      <c r="D66" s="51">
        <f t="shared" si="17"/>
        <v>1805076.6937140478</v>
      </c>
      <c r="E66" s="52">
        <f>손익계산서!E65</f>
        <v>132878.65589360197</v>
      </c>
      <c r="F66" s="53">
        <f>손익계산서!F65</f>
        <v>107892.28548090901</v>
      </c>
      <c r="G66" s="53">
        <f>손익계산서!G65</f>
        <v>120667.40983946003</v>
      </c>
      <c r="H66" s="53">
        <f>손익계산서!H65</f>
        <v>133214.82217162783</v>
      </c>
      <c r="I66" s="53">
        <f>손익계산서!I65</f>
        <v>154980.9343969179</v>
      </c>
      <c r="J66" s="53">
        <f>손익계산서!J65</f>
        <v>156567.34595140174</v>
      </c>
      <c r="K66" s="53">
        <f>손익계산서!K65</f>
        <v>177826.73666950176</v>
      </c>
      <c r="L66" s="53">
        <f>손익계산서!L65</f>
        <v>190317.94098794623</v>
      </c>
      <c r="M66" s="53">
        <f>손익계산서!M65</f>
        <v>172711.72025044792</v>
      </c>
      <c r="N66" s="53">
        <f>손익계산서!N65</f>
        <v>165593.87131959037</v>
      </c>
      <c r="O66" s="53">
        <f>손익계산서!O65</f>
        <v>149262.32249561054</v>
      </c>
      <c r="P66" s="53">
        <f>손익계산서!P65</f>
        <v>143162.64825703239</v>
      </c>
      <c r="Q66" s="21" t="s">
        <v>213</v>
      </c>
    </row>
    <row r="67" spans="2:17" ht="17.5" hidden="1" customHeight="1">
      <c r="B67" s="19" t="s">
        <v>70</v>
      </c>
      <c r="C67" s="35"/>
      <c r="D67" s="51">
        <f t="shared" si="17"/>
        <v>708138.83130596264</v>
      </c>
      <c r="E67" s="52">
        <f>손익계산서!E66</f>
        <v>59011.569275496906</v>
      </c>
      <c r="F67" s="53">
        <f>손익계산서!F66</f>
        <v>59011.569275496906</v>
      </c>
      <c r="G67" s="53">
        <f>손익계산서!G66</f>
        <v>59011.569275496906</v>
      </c>
      <c r="H67" s="53">
        <f>손익계산서!H66</f>
        <v>59011.569275496906</v>
      </c>
      <c r="I67" s="53">
        <f>손익계산서!I66</f>
        <v>59011.569275496906</v>
      </c>
      <c r="J67" s="53">
        <f>손익계산서!J66</f>
        <v>59011.569275496906</v>
      </c>
      <c r="K67" s="53">
        <f>손익계산서!K66</f>
        <v>59011.569275496906</v>
      </c>
      <c r="L67" s="53">
        <f>손익계산서!L66</f>
        <v>59011.569275496906</v>
      </c>
      <c r="M67" s="53">
        <f>손익계산서!M66</f>
        <v>59011.569275496906</v>
      </c>
      <c r="N67" s="53">
        <f>손익계산서!N66</f>
        <v>59011.569275496906</v>
      </c>
      <c r="O67" s="53">
        <f>손익계산서!O66</f>
        <v>59011.569275496906</v>
      </c>
      <c r="P67" s="53">
        <f>손익계산서!P66</f>
        <v>59011.569275496906</v>
      </c>
      <c r="Q67" s="21" t="s">
        <v>195</v>
      </c>
    </row>
    <row r="68" spans="2:17" ht="17.5" hidden="1" customHeight="1">
      <c r="B68" s="22" t="s">
        <v>26</v>
      </c>
      <c r="C68" s="38"/>
      <c r="D68" s="239">
        <f t="shared" si="17"/>
        <v>3502196.5412484393</v>
      </c>
      <c r="E68" s="63">
        <f>SUM(E64:E67)</f>
        <v>264550.91870526003</v>
      </c>
      <c r="F68" s="80">
        <f t="shared" ref="F68:P68" si="23">SUM(F64:F67)</f>
        <v>225739.72604495133</v>
      </c>
      <c r="G68" s="80">
        <f t="shared" si="23"/>
        <v>245581.42501863293</v>
      </c>
      <c r="H68" s="80">
        <f t="shared" si="23"/>
        <v>265072.28475010145</v>
      </c>
      <c r="I68" s="80">
        <f t="shared" si="23"/>
        <v>298920.06431056559</v>
      </c>
      <c r="J68" s="80">
        <f t="shared" si="23"/>
        <v>301437.32279773965</v>
      </c>
      <c r="K68" s="80">
        <f t="shared" si="23"/>
        <v>334360.34794669971</v>
      </c>
      <c r="L68" s="80">
        <f t="shared" si="23"/>
        <v>353765.7748562108</v>
      </c>
      <c r="M68" s="80">
        <f t="shared" si="23"/>
        <v>326473.32167621353</v>
      </c>
      <c r="N68" s="80">
        <f t="shared" si="23"/>
        <v>315498.76338684151</v>
      </c>
      <c r="O68" s="80">
        <f t="shared" si="23"/>
        <v>290172.28526847379</v>
      </c>
      <c r="P68" s="80">
        <f t="shared" si="23"/>
        <v>280624.30648674874</v>
      </c>
      <c r="Q68" s="24"/>
    </row>
    <row r="69" spans="2:17" ht="17.5" hidden="1" customHeight="1">
      <c r="B69" s="26" t="s">
        <v>62</v>
      </c>
      <c r="C69" s="37"/>
      <c r="D69" s="238">
        <f t="shared" si="17"/>
        <v>8241.5084685702386</v>
      </c>
      <c r="E69" s="46">
        <f>손익계산서!E68</f>
        <v>605.50577946800979</v>
      </c>
      <c r="F69" s="47">
        <f>손익계산서!F68</f>
        <v>490.298927404545</v>
      </c>
      <c r="G69" s="47">
        <f>손익계산서!G68</f>
        <v>549.1870491973001</v>
      </c>
      <c r="H69" s="47">
        <f>손익계산서!H68</f>
        <v>607.04911085813922</v>
      </c>
      <c r="I69" s="47">
        <f>손익계산서!I68</f>
        <v>707.72967198458957</v>
      </c>
      <c r="J69" s="47">
        <f>손익계산서!J68</f>
        <v>715.48672975700879</v>
      </c>
      <c r="K69" s="47">
        <f>손익계산서!K68</f>
        <v>812.6836833475088</v>
      </c>
      <c r="L69" s="47">
        <f>손익계산서!L68</f>
        <v>870.30220493973104</v>
      </c>
      <c r="M69" s="47">
        <f>손익계산서!M68</f>
        <v>789.58360125223953</v>
      </c>
      <c r="N69" s="47">
        <f>손익계산서!N68</f>
        <v>757.44435659795181</v>
      </c>
      <c r="O69" s="47">
        <f>손익계산서!O68</f>
        <v>682.48661247805273</v>
      </c>
      <c r="P69" s="47">
        <f>손익계산서!P68</f>
        <v>653.75074128516189</v>
      </c>
      <c r="Q69" s="12" t="s">
        <v>214</v>
      </c>
    </row>
    <row r="70" spans="2:17" ht="17.5" hidden="1" customHeight="1">
      <c r="B70" s="19" t="s">
        <v>66</v>
      </c>
      <c r="C70" s="35"/>
      <c r="D70" s="51">
        <f t="shared" si="17"/>
        <v>6000</v>
      </c>
      <c r="E70" s="52">
        <f>손익계산서!E69</f>
        <v>500</v>
      </c>
      <c r="F70" s="53">
        <f>손익계산서!F69</f>
        <v>500</v>
      </c>
      <c r="G70" s="53">
        <f>손익계산서!G69</f>
        <v>500</v>
      </c>
      <c r="H70" s="53">
        <f>손익계산서!H69</f>
        <v>500</v>
      </c>
      <c r="I70" s="53">
        <f>손익계산서!I69</f>
        <v>500</v>
      </c>
      <c r="J70" s="53">
        <f>손익계산서!J69</f>
        <v>500</v>
      </c>
      <c r="K70" s="53">
        <f>손익계산서!K69</f>
        <v>500</v>
      </c>
      <c r="L70" s="53">
        <f>손익계산서!L69</f>
        <v>500</v>
      </c>
      <c r="M70" s="53">
        <f>손익계산서!M69</f>
        <v>500</v>
      </c>
      <c r="N70" s="53">
        <f>손익계산서!N69</f>
        <v>500</v>
      </c>
      <c r="O70" s="53">
        <f>손익계산서!O69</f>
        <v>500</v>
      </c>
      <c r="P70" s="53">
        <f>손익계산서!P69</f>
        <v>500</v>
      </c>
      <c r="Q70" s="21" t="s">
        <v>215</v>
      </c>
    </row>
    <row r="71" spans="2:17" ht="17.5" hidden="1" customHeight="1">
      <c r="B71" s="19" t="s">
        <v>63</v>
      </c>
      <c r="C71" s="35"/>
      <c r="D71" s="51">
        <f t="shared" si="17"/>
        <v>12000</v>
      </c>
      <c r="E71" s="52">
        <f>손익계산서!E70</f>
        <v>0</v>
      </c>
      <c r="F71" s="53">
        <f>손익계산서!F70</f>
        <v>0</v>
      </c>
      <c r="G71" s="53">
        <f>손익계산서!G70</f>
        <v>3000</v>
      </c>
      <c r="H71" s="53">
        <f>손익계산서!H70</f>
        <v>0</v>
      </c>
      <c r="I71" s="53">
        <f>손익계산서!I70</f>
        <v>0</v>
      </c>
      <c r="J71" s="53">
        <f>손익계산서!J70</f>
        <v>3000</v>
      </c>
      <c r="K71" s="53">
        <f>손익계산서!K70</f>
        <v>0</v>
      </c>
      <c r="L71" s="53">
        <f>손익계산서!L70</f>
        <v>0</v>
      </c>
      <c r="M71" s="53">
        <f>손익계산서!M70</f>
        <v>3000</v>
      </c>
      <c r="N71" s="53">
        <f>손익계산서!N70</f>
        <v>0</v>
      </c>
      <c r="O71" s="53">
        <f>손익계산서!O70</f>
        <v>0</v>
      </c>
      <c r="P71" s="53">
        <f>손익계산서!P70</f>
        <v>3000</v>
      </c>
      <c r="Q71" s="21" t="s">
        <v>216</v>
      </c>
    </row>
    <row r="72" spans="2:17" ht="17.5" hidden="1" customHeight="1">
      <c r="B72" s="19" t="s">
        <v>64</v>
      </c>
      <c r="C72" s="35"/>
      <c r="D72" s="51">
        <f t="shared" si="17"/>
        <v>0</v>
      </c>
      <c r="E72" s="52">
        <f>손익계산서!E71</f>
        <v>0</v>
      </c>
      <c r="F72" s="53">
        <f>손익계산서!F71</f>
        <v>0</v>
      </c>
      <c r="G72" s="53">
        <f>손익계산서!G71</f>
        <v>0</v>
      </c>
      <c r="H72" s="53">
        <f>손익계산서!H71</f>
        <v>0</v>
      </c>
      <c r="I72" s="53">
        <f>손익계산서!I71</f>
        <v>0</v>
      </c>
      <c r="J72" s="53">
        <f>손익계산서!J71</f>
        <v>0</v>
      </c>
      <c r="K72" s="53">
        <f>손익계산서!K71</f>
        <v>0</v>
      </c>
      <c r="L72" s="53">
        <f>손익계산서!L71</f>
        <v>0</v>
      </c>
      <c r="M72" s="53">
        <f>손익계산서!M71</f>
        <v>0</v>
      </c>
      <c r="N72" s="53">
        <f>손익계산서!N71</f>
        <v>0</v>
      </c>
      <c r="O72" s="53">
        <f>손익계산서!O71</f>
        <v>0</v>
      </c>
      <c r="P72" s="53">
        <f>손익계산서!P71</f>
        <v>0</v>
      </c>
      <c r="Q72" s="21" t="s">
        <v>195</v>
      </c>
    </row>
    <row r="73" spans="2:17" ht="17.5" hidden="1" customHeight="1">
      <c r="B73" s="19" t="s">
        <v>65</v>
      </c>
      <c r="C73" s="35"/>
      <c r="D73" s="51">
        <f t="shared" si="17"/>
        <v>0</v>
      </c>
      <c r="E73" s="52">
        <f>손익계산서!E72</f>
        <v>0</v>
      </c>
      <c r="F73" s="53">
        <f>손익계산서!F72</f>
        <v>0</v>
      </c>
      <c r="G73" s="53">
        <f>손익계산서!G72</f>
        <v>0</v>
      </c>
      <c r="H73" s="53">
        <f>손익계산서!H72</f>
        <v>0</v>
      </c>
      <c r="I73" s="53">
        <f>손익계산서!I72</f>
        <v>0</v>
      </c>
      <c r="J73" s="53">
        <f>손익계산서!J72</f>
        <v>0</v>
      </c>
      <c r="K73" s="53">
        <f>손익계산서!K72</f>
        <v>0</v>
      </c>
      <c r="L73" s="53">
        <f>손익계산서!L72</f>
        <v>0</v>
      </c>
      <c r="M73" s="53">
        <f>손익계산서!M72</f>
        <v>0</v>
      </c>
      <c r="N73" s="53">
        <f>손익계산서!N72</f>
        <v>0</v>
      </c>
      <c r="O73" s="53">
        <f>손익계산서!O72</f>
        <v>0</v>
      </c>
      <c r="P73" s="53">
        <f>손익계산서!P72</f>
        <v>0</v>
      </c>
      <c r="Q73" s="21" t="s">
        <v>195</v>
      </c>
    </row>
    <row r="74" spans="2:17" ht="17.5" hidden="1" customHeight="1">
      <c r="B74" s="22" t="s">
        <v>25</v>
      </c>
      <c r="C74" s="38"/>
      <c r="D74" s="239">
        <f t="shared" si="17"/>
        <v>18000</v>
      </c>
      <c r="E74" s="63">
        <f>SUM(E70:E73)</f>
        <v>500</v>
      </c>
      <c r="F74" s="80">
        <f t="shared" ref="F74:P74" si="24">SUM(F70:F73)</f>
        <v>500</v>
      </c>
      <c r="G74" s="80">
        <f t="shared" si="24"/>
        <v>3500</v>
      </c>
      <c r="H74" s="80">
        <f t="shared" si="24"/>
        <v>500</v>
      </c>
      <c r="I74" s="80">
        <f t="shared" si="24"/>
        <v>500</v>
      </c>
      <c r="J74" s="80">
        <f t="shared" si="24"/>
        <v>3500</v>
      </c>
      <c r="K74" s="80">
        <f t="shared" si="24"/>
        <v>500</v>
      </c>
      <c r="L74" s="80">
        <f t="shared" si="24"/>
        <v>500</v>
      </c>
      <c r="M74" s="80">
        <f t="shared" si="24"/>
        <v>3500</v>
      </c>
      <c r="N74" s="80">
        <f t="shared" si="24"/>
        <v>500</v>
      </c>
      <c r="O74" s="80">
        <f t="shared" si="24"/>
        <v>500</v>
      </c>
      <c r="P74" s="80">
        <f t="shared" si="24"/>
        <v>3500</v>
      </c>
      <c r="Q74" s="24"/>
    </row>
    <row r="75" spans="2:17" ht="17.5" hidden="1" customHeight="1">
      <c r="B75" s="19" t="s">
        <v>74</v>
      </c>
      <c r="C75" s="35"/>
      <c r="D75" s="51">
        <f t="shared" si="17"/>
        <v>0</v>
      </c>
      <c r="E75" s="52">
        <f>손익계산서!E74</f>
        <v>0</v>
      </c>
      <c r="F75" s="53">
        <f>손익계산서!F74</f>
        <v>0</v>
      </c>
      <c r="G75" s="53">
        <f>손익계산서!G74</f>
        <v>0</v>
      </c>
      <c r="H75" s="53">
        <f>손익계산서!H74</f>
        <v>0</v>
      </c>
      <c r="I75" s="53">
        <f>손익계산서!I74</f>
        <v>0</v>
      </c>
      <c r="J75" s="53">
        <f>손익계산서!J74</f>
        <v>0</v>
      </c>
      <c r="K75" s="53">
        <f>손익계산서!K74</f>
        <v>0</v>
      </c>
      <c r="L75" s="53">
        <f>손익계산서!L74</f>
        <v>0</v>
      </c>
      <c r="M75" s="53">
        <f>손익계산서!M74</f>
        <v>0</v>
      </c>
      <c r="N75" s="53">
        <f>손익계산서!N74</f>
        <v>0</v>
      </c>
      <c r="O75" s="53">
        <f>손익계산서!O74</f>
        <v>0</v>
      </c>
      <c r="P75" s="53">
        <f>손익계산서!P74</f>
        <v>0</v>
      </c>
      <c r="Q75" s="21" t="s">
        <v>262</v>
      </c>
    </row>
    <row r="76" spans="2:17" ht="17.5" hidden="1" customHeight="1">
      <c r="B76" s="19" t="s">
        <v>75</v>
      </c>
      <c r="C76" s="35"/>
      <c r="D76" s="51">
        <f t="shared" si="17"/>
        <v>0</v>
      </c>
      <c r="E76" s="52">
        <f>손익계산서!E75</f>
        <v>0</v>
      </c>
      <c r="F76" s="53">
        <f>손익계산서!F75</f>
        <v>0</v>
      </c>
      <c r="G76" s="53">
        <f>손익계산서!G75</f>
        <v>0</v>
      </c>
      <c r="H76" s="53">
        <f>손익계산서!H75</f>
        <v>0</v>
      </c>
      <c r="I76" s="53">
        <f>손익계산서!I75</f>
        <v>0</v>
      </c>
      <c r="J76" s="53">
        <f>손익계산서!J75</f>
        <v>0</v>
      </c>
      <c r="K76" s="53">
        <f>손익계산서!K75</f>
        <v>0</v>
      </c>
      <c r="L76" s="53">
        <f>손익계산서!L75</f>
        <v>0</v>
      </c>
      <c r="M76" s="53">
        <f>손익계산서!M75</f>
        <v>0</v>
      </c>
      <c r="N76" s="53">
        <f>손익계산서!N75</f>
        <v>0</v>
      </c>
      <c r="O76" s="53">
        <f>손익계산서!O75</f>
        <v>0</v>
      </c>
      <c r="P76" s="53">
        <f>손익계산서!P75</f>
        <v>0</v>
      </c>
      <c r="Q76" s="21" t="s">
        <v>262</v>
      </c>
    </row>
    <row r="77" spans="2:17" ht="17.5" hidden="1" customHeight="1">
      <c r="B77" s="19" t="s">
        <v>76</v>
      </c>
      <c r="C77" s="35"/>
      <c r="D77" s="51">
        <f t="shared" si="17"/>
        <v>500</v>
      </c>
      <c r="E77" s="52">
        <f>손익계산서!E76</f>
        <v>0</v>
      </c>
      <c r="F77" s="53">
        <f>손익계산서!F76</f>
        <v>0</v>
      </c>
      <c r="G77" s="53">
        <f>손익계산서!G76</f>
        <v>0</v>
      </c>
      <c r="H77" s="53">
        <f>손익계산서!H76</f>
        <v>0</v>
      </c>
      <c r="I77" s="53">
        <f>손익계산서!I76</f>
        <v>0</v>
      </c>
      <c r="J77" s="53">
        <f>손익계산서!J76</f>
        <v>250</v>
      </c>
      <c r="K77" s="53">
        <f>손익계산서!K76</f>
        <v>0</v>
      </c>
      <c r="L77" s="53">
        <f>손익계산서!L76</f>
        <v>0</v>
      </c>
      <c r="M77" s="53">
        <f>손익계산서!M76</f>
        <v>0</v>
      </c>
      <c r="N77" s="53">
        <f>손익계산서!N76</f>
        <v>0</v>
      </c>
      <c r="O77" s="53">
        <f>손익계산서!O76</f>
        <v>0</v>
      </c>
      <c r="P77" s="53">
        <f>손익계산서!P76</f>
        <v>250</v>
      </c>
      <c r="Q77" s="21" t="s">
        <v>266</v>
      </c>
    </row>
    <row r="78" spans="2:17" ht="17.5" hidden="1" customHeight="1">
      <c r="B78" s="19" t="s">
        <v>77</v>
      </c>
      <c r="C78" s="35"/>
      <c r="D78" s="51">
        <f t="shared" si="17"/>
        <v>250</v>
      </c>
      <c r="E78" s="52">
        <f>손익계산서!E77</f>
        <v>250</v>
      </c>
      <c r="F78" s="53">
        <f>손익계산서!F77</f>
        <v>0</v>
      </c>
      <c r="G78" s="53">
        <f>손익계산서!G77</f>
        <v>0</v>
      </c>
      <c r="H78" s="53">
        <f>손익계산서!H77</f>
        <v>0</v>
      </c>
      <c r="I78" s="53">
        <f>손익계산서!I77</f>
        <v>0</v>
      </c>
      <c r="J78" s="53">
        <f>손익계산서!J77</f>
        <v>0</v>
      </c>
      <c r="K78" s="53">
        <f>손익계산서!K77</f>
        <v>0</v>
      </c>
      <c r="L78" s="53">
        <f>손익계산서!L77</f>
        <v>0</v>
      </c>
      <c r="M78" s="53">
        <f>손익계산서!M77</f>
        <v>0</v>
      </c>
      <c r="N78" s="53">
        <f>손익계산서!N77</f>
        <v>0</v>
      </c>
      <c r="O78" s="53">
        <f>손익계산서!O77</f>
        <v>0</v>
      </c>
      <c r="P78" s="53">
        <f>손익계산서!P77</f>
        <v>0</v>
      </c>
      <c r="Q78" s="21" t="s">
        <v>258</v>
      </c>
    </row>
    <row r="79" spans="2:17" ht="17.5" hidden="1" customHeight="1">
      <c r="B79" s="19" t="s">
        <v>78</v>
      </c>
      <c r="C79" s="35"/>
      <c r="D79" s="51">
        <f t="shared" si="17"/>
        <v>3923.3538244112201</v>
      </c>
      <c r="E79" s="52">
        <f>손익계산서!E78</f>
        <v>326.94615203426832</v>
      </c>
      <c r="F79" s="53">
        <f>손익계산서!F78</f>
        <v>326.94615203426832</v>
      </c>
      <c r="G79" s="53">
        <f>손익계산서!G78</f>
        <v>326.94615203426832</v>
      </c>
      <c r="H79" s="53">
        <f>손익계산서!H78</f>
        <v>326.94615203426832</v>
      </c>
      <c r="I79" s="53">
        <f>손익계산서!I78</f>
        <v>326.94615203426832</v>
      </c>
      <c r="J79" s="53">
        <f>손익계산서!J78</f>
        <v>326.94615203426832</v>
      </c>
      <c r="K79" s="53">
        <f>손익계산서!K78</f>
        <v>326.94615203426832</v>
      </c>
      <c r="L79" s="53">
        <f>손익계산서!L78</f>
        <v>326.94615203426832</v>
      </c>
      <c r="M79" s="53">
        <f>손익계산서!M78</f>
        <v>326.94615203426832</v>
      </c>
      <c r="N79" s="53">
        <f>손익계산서!N78</f>
        <v>326.94615203426832</v>
      </c>
      <c r="O79" s="53">
        <f>손익계산서!O78</f>
        <v>326.94615203426832</v>
      </c>
      <c r="P79" s="53">
        <f>손익계산서!P78</f>
        <v>326.94615203426832</v>
      </c>
      <c r="Q79" s="21" t="s">
        <v>217</v>
      </c>
    </row>
    <row r="80" spans="2:17" ht="17.5" hidden="1" customHeight="1">
      <c r="B80" s="19" t="s">
        <v>79</v>
      </c>
      <c r="C80" s="35"/>
      <c r="D80" s="51">
        <f t="shared" si="17"/>
        <v>300</v>
      </c>
      <c r="E80" s="52">
        <f>손익계산서!E79</f>
        <v>0</v>
      </c>
      <c r="F80" s="53">
        <f>손익계산서!F79</f>
        <v>0</v>
      </c>
      <c r="G80" s="53">
        <f>손익계산서!G79</f>
        <v>0</v>
      </c>
      <c r="H80" s="53">
        <f>손익계산서!H79</f>
        <v>0</v>
      </c>
      <c r="I80" s="53">
        <f>손익계산서!I79</f>
        <v>0</v>
      </c>
      <c r="J80" s="53">
        <f>손익계산서!J79</f>
        <v>150</v>
      </c>
      <c r="K80" s="53">
        <f>손익계산서!K79</f>
        <v>0</v>
      </c>
      <c r="L80" s="53">
        <f>손익계산서!L79</f>
        <v>0</v>
      </c>
      <c r="M80" s="53">
        <f>손익계산서!M79</f>
        <v>0</v>
      </c>
      <c r="N80" s="53">
        <f>손익계산서!N79</f>
        <v>0</v>
      </c>
      <c r="O80" s="53">
        <f>손익계산서!O79</f>
        <v>0</v>
      </c>
      <c r="P80" s="53">
        <f>손익계산서!P79</f>
        <v>150</v>
      </c>
      <c r="Q80" s="21" t="s">
        <v>267</v>
      </c>
    </row>
    <row r="81" spans="2:17" ht="17.5" hidden="1" customHeight="1">
      <c r="B81" s="19" t="s">
        <v>80</v>
      </c>
      <c r="C81" s="35"/>
      <c r="D81" s="51">
        <f t="shared" si="17"/>
        <v>0</v>
      </c>
      <c r="E81" s="52">
        <f>손익계산서!E80</f>
        <v>0</v>
      </c>
      <c r="F81" s="53">
        <f>손익계산서!F80</f>
        <v>0</v>
      </c>
      <c r="G81" s="53">
        <f>손익계산서!G80</f>
        <v>0</v>
      </c>
      <c r="H81" s="53">
        <f>손익계산서!H80</f>
        <v>0</v>
      </c>
      <c r="I81" s="53">
        <f>손익계산서!I80</f>
        <v>0</v>
      </c>
      <c r="J81" s="53">
        <f>손익계산서!J80</f>
        <v>0</v>
      </c>
      <c r="K81" s="53">
        <f>손익계산서!K80</f>
        <v>0</v>
      </c>
      <c r="L81" s="53">
        <f>손익계산서!L80</f>
        <v>0</v>
      </c>
      <c r="M81" s="53">
        <f>손익계산서!M80</f>
        <v>0</v>
      </c>
      <c r="N81" s="53">
        <f>손익계산서!N80</f>
        <v>0</v>
      </c>
      <c r="O81" s="53">
        <f>손익계산서!O80</f>
        <v>0</v>
      </c>
      <c r="P81" s="53">
        <f>손익계산서!P80</f>
        <v>0</v>
      </c>
      <c r="Q81" s="21" t="s">
        <v>261</v>
      </c>
    </row>
    <row r="82" spans="2:17" ht="17.5" hidden="1" customHeight="1">
      <c r="B82" s="19" t="s">
        <v>81</v>
      </c>
      <c r="C82" s="35"/>
      <c r="D82" s="51">
        <f t="shared" si="17"/>
        <v>0</v>
      </c>
      <c r="E82" s="52">
        <f>손익계산서!E81</f>
        <v>0</v>
      </c>
      <c r="F82" s="53">
        <f>손익계산서!F81</f>
        <v>0</v>
      </c>
      <c r="G82" s="53">
        <f>손익계산서!G81</f>
        <v>0</v>
      </c>
      <c r="H82" s="53">
        <f>손익계산서!H81</f>
        <v>0</v>
      </c>
      <c r="I82" s="53">
        <f>손익계산서!I81</f>
        <v>0</v>
      </c>
      <c r="J82" s="53">
        <f>손익계산서!J81</f>
        <v>0</v>
      </c>
      <c r="K82" s="53">
        <f>손익계산서!K81</f>
        <v>0</v>
      </c>
      <c r="L82" s="53">
        <f>손익계산서!L81</f>
        <v>0</v>
      </c>
      <c r="M82" s="53">
        <f>손익계산서!M81</f>
        <v>0</v>
      </c>
      <c r="N82" s="53">
        <f>손익계산서!N81</f>
        <v>0</v>
      </c>
      <c r="O82" s="53">
        <f>손익계산서!O81</f>
        <v>0</v>
      </c>
      <c r="P82" s="53">
        <f>손익계산서!P81</f>
        <v>0</v>
      </c>
      <c r="Q82" s="21" t="s">
        <v>260</v>
      </c>
    </row>
    <row r="83" spans="2:17" ht="17.5" hidden="1" customHeight="1">
      <c r="B83" s="22" t="s">
        <v>82</v>
      </c>
      <c r="C83" s="38"/>
      <c r="D83" s="239">
        <f t="shared" si="17"/>
        <v>4973.3538244112206</v>
      </c>
      <c r="E83" s="63">
        <f>SUM(E75:E82)</f>
        <v>576.94615203426838</v>
      </c>
      <c r="F83" s="80">
        <f t="shared" ref="F83:P83" si="25">SUM(F75:F82)</f>
        <v>326.94615203426832</v>
      </c>
      <c r="G83" s="80">
        <f t="shared" si="25"/>
        <v>326.94615203426832</v>
      </c>
      <c r="H83" s="80">
        <f t="shared" si="25"/>
        <v>326.94615203426832</v>
      </c>
      <c r="I83" s="80">
        <f t="shared" si="25"/>
        <v>326.94615203426832</v>
      </c>
      <c r="J83" s="80">
        <f t="shared" si="25"/>
        <v>726.94615203426838</v>
      </c>
      <c r="K83" s="80">
        <f t="shared" si="25"/>
        <v>326.94615203426832</v>
      </c>
      <c r="L83" s="80">
        <f t="shared" si="25"/>
        <v>326.94615203426832</v>
      </c>
      <c r="M83" s="80">
        <f t="shared" si="25"/>
        <v>326.94615203426832</v>
      </c>
      <c r="N83" s="80">
        <f t="shared" si="25"/>
        <v>326.94615203426832</v>
      </c>
      <c r="O83" s="80">
        <f t="shared" si="25"/>
        <v>326.94615203426832</v>
      </c>
      <c r="P83" s="80">
        <f t="shared" si="25"/>
        <v>726.94615203426838</v>
      </c>
      <c r="Q83" s="24"/>
    </row>
    <row r="84" spans="2:17" ht="17.5" hidden="1" customHeight="1">
      <c r="B84" s="19" t="s">
        <v>72</v>
      </c>
      <c r="C84" s="35"/>
      <c r="D84" s="51">
        <f t="shared" si="17"/>
        <v>36000</v>
      </c>
      <c r="E84" s="52">
        <f>손익계산서!E83</f>
        <v>3000</v>
      </c>
      <c r="F84" s="53">
        <f>손익계산서!F83</f>
        <v>3000</v>
      </c>
      <c r="G84" s="53">
        <f>손익계산서!G83</f>
        <v>3000</v>
      </c>
      <c r="H84" s="53">
        <f>손익계산서!H83</f>
        <v>3000</v>
      </c>
      <c r="I84" s="53">
        <f>손익계산서!I83</f>
        <v>3000</v>
      </c>
      <c r="J84" s="53">
        <f>손익계산서!J83</f>
        <v>3000</v>
      </c>
      <c r="K84" s="53">
        <f>손익계산서!K83</f>
        <v>3000</v>
      </c>
      <c r="L84" s="53">
        <f>손익계산서!L83</f>
        <v>3000</v>
      </c>
      <c r="M84" s="53">
        <f>손익계산서!M83</f>
        <v>3000</v>
      </c>
      <c r="N84" s="53">
        <f>손익계산서!N83</f>
        <v>3000</v>
      </c>
      <c r="O84" s="53">
        <f>손익계산서!O83</f>
        <v>3000</v>
      </c>
      <c r="P84" s="53">
        <f>손익계산서!P83</f>
        <v>3000</v>
      </c>
      <c r="Q84" s="21" t="s">
        <v>263</v>
      </c>
    </row>
    <row r="85" spans="2:17" ht="17.5" hidden="1" customHeight="1">
      <c r="B85" s="19" t="s">
        <v>71</v>
      </c>
      <c r="C85" s="35"/>
      <c r="D85" s="51">
        <f t="shared" si="17"/>
        <v>0</v>
      </c>
      <c r="E85" s="52">
        <f>손익계산서!E84</f>
        <v>0</v>
      </c>
      <c r="F85" s="53">
        <f>손익계산서!F84</f>
        <v>0</v>
      </c>
      <c r="G85" s="53">
        <f>손익계산서!G84</f>
        <v>0</v>
      </c>
      <c r="H85" s="53">
        <f>손익계산서!H84</f>
        <v>0</v>
      </c>
      <c r="I85" s="53">
        <f>손익계산서!I84</f>
        <v>0</v>
      </c>
      <c r="J85" s="53">
        <f>손익계산서!J84</f>
        <v>0</v>
      </c>
      <c r="K85" s="53">
        <f>손익계산서!K84</f>
        <v>0</v>
      </c>
      <c r="L85" s="53">
        <f>손익계산서!L84</f>
        <v>0</v>
      </c>
      <c r="M85" s="53">
        <f>손익계산서!M84</f>
        <v>0</v>
      </c>
      <c r="N85" s="53">
        <f>손익계산서!N84</f>
        <v>0</v>
      </c>
      <c r="O85" s="53">
        <f>손익계산서!O84</f>
        <v>0</v>
      </c>
      <c r="P85" s="53">
        <f>손익계산서!P84</f>
        <v>0</v>
      </c>
      <c r="Q85" s="21"/>
    </row>
    <row r="86" spans="2:17" ht="17.5" hidden="1" customHeight="1">
      <c r="B86" s="22" t="s">
        <v>73</v>
      </c>
      <c r="C86" s="38"/>
      <c r="D86" s="239">
        <f t="shared" si="17"/>
        <v>36000</v>
      </c>
      <c r="E86" s="63">
        <f>SUM(E84:E85)</f>
        <v>3000</v>
      </c>
      <c r="F86" s="80">
        <f t="shared" ref="F86:P86" si="26">SUM(F84:F85)</f>
        <v>3000</v>
      </c>
      <c r="G86" s="80">
        <f t="shared" si="26"/>
        <v>3000</v>
      </c>
      <c r="H86" s="80">
        <f t="shared" si="26"/>
        <v>3000</v>
      </c>
      <c r="I86" s="80">
        <f t="shared" si="26"/>
        <v>3000</v>
      </c>
      <c r="J86" s="80">
        <f t="shared" si="26"/>
        <v>3000</v>
      </c>
      <c r="K86" s="80">
        <f t="shared" si="26"/>
        <v>3000</v>
      </c>
      <c r="L86" s="80">
        <f t="shared" si="26"/>
        <v>3000</v>
      </c>
      <c r="M86" s="80">
        <f t="shared" si="26"/>
        <v>3000</v>
      </c>
      <c r="N86" s="80">
        <f t="shared" si="26"/>
        <v>3000</v>
      </c>
      <c r="O86" s="80">
        <f t="shared" si="26"/>
        <v>3000</v>
      </c>
      <c r="P86" s="80">
        <f t="shared" si="26"/>
        <v>3000</v>
      </c>
      <c r="Q86" s="24"/>
    </row>
    <row r="87" spans="2:17" ht="17.5" hidden="1" customHeight="1">
      <c r="B87" s="19" t="s">
        <v>83</v>
      </c>
      <c r="C87" s="35"/>
      <c r="D87" s="51">
        <f t="shared" si="17"/>
        <v>49449.050811421432</v>
      </c>
      <c r="E87" s="52">
        <f>손익계산서!E86</f>
        <v>3633.034676808059</v>
      </c>
      <c r="F87" s="53">
        <f>손익계산서!F86</f>
        <v>2941.7935644272702</v>
      </c>
      <c r="G87" s="53">
        <f>손익계산서!G86</f>
        <v>3295.1222951838008</v>
      </c>
      <c r="H87" s="53">
        <f>손익계산서!H86</f>
        <v>3642.2946651488355</v>
      </c>
      <c r="I87" s="53">
        <f>손익계산서!I86</f>
        <v>4246.3780319075377</v>
      </c>
      <c r="J87" s="53">
        <f>손익계산서!J86</f>
        <v>4292.9203785420523</v>
      </c>
      <c r="K87" s="53">
        <f>손익계산서!K86</f>
        <v>4876.1021000850524</v>
      </c>
      <c r="L87" s="53">
        <f>손익계산서!L86</f>
        <v>5221.8132296383865</v>
      </c>
      <c r="M87" s="53">
        <f>손익계산서!M86</f>
        <v>4737.5016075134372</v>
      </c>
      <c r="N87" s="53">
        <f>손익계산서!N86</f>
        <v>4544.6661395877109</v>
      </c>
      <c r="O87" s="53">
        <f>손익계산서!O86</f>
        <v>4094.9196748683166</v>
      </c>
      <c r="P87" s="53">
        <f>손익계산서!P86</f>
        <v>3922.5044477109718</v>
      </c>
      <c r="Q87" s="21" t="s">
        <v>220</v>
      </c>
    </row>
    <row r="88" spans="2:17" ht="17.5" hidden="1" customHeight="1">
      <c r="B88" s="19" t="s">
        <v>59</v>
      </c>
      <c r="C88" s="35"/>
      <c r="D88" s="51">
        <f t="shared" si="17"/>
        <v>49449.050811421432</v>
      </c>
      <c r="E88" s="52">
        <f>손익계산서!E87</f>
        <v>3633.034676808059</v>
      </c>
      <c r="F88" s="53">
        <f>손익계산서!F87</f>
        <v>2941.7935644272702</v>
      </c>
      <c r="G88" s="53">
        <f>손익계산서!G87</f>
        <v>3295.1222951838008</v>
      </c>
      <c r="H88" s="53">
        <f>손익계산서!H87</f>
        <v>3642.2946651488355</v>
      </c>
      <c r="I88" s="53">
        <f>손익계산서!I87</f>
        <v>4246.3780319075377</v>
      </c>
      <c r="J88" s="53">
        <f>손익계산서!J87</f>
        <v>4292.9203785420523</v>
      </c>
      <c r="K88" s="53">
        <f>손익계산서!K87</f>
        <v>4876.1021000850524</v>
      </c>
      <c r="L88" s="53">
        <f>손익계산서!L87</f>
        <v>5221.8132296383865</v>
      </c>
      <c r="M88" s="53">
        <f>손익계산서!M87</f>
        <v>4737.5016075134372</v>
      </c>
      <c r="N88" s="53">
        <f>손익계산서!N87</f>
        <v>4544.6661395877109</v>
      </c>
      <c r="O88" s="53">
        <f>손익계산서!O87</f>
        <v>4094.9196748683166</v>
      </c>
      <c r="P88" s="53">
        <f>손익계산서!P87</f>
        <v>3922.5044477109718</v>
      </c>
      <c r="Q88" s="21" t="s">
        <v>220</v>
      </c>
    </row>
    <row r="89" spans="2:17" ht="17.5" hidden="1" customHeight="1">
      <c r="B89" s="19" t="s">
        <v>84</v>
      </c>
      <c r="C89" s="35"/>
      <c r="D89" s="51">
        <f t="shared" si="17"/>
        <v>16483.016937140477</v>
      </c>
      <c r="E89" s="52">
        <f>손익계산서!E88</f>
        <v>1211.0115589360196</v>
      </c>
      <c r="F89" s="53">
        <f>손익계산서!F88</f>
        <v>980.59785480908999</v>
      </c>
      <c r="G89" s="53">
        <f>손익계산서!G88</f>
        <v>1098.3740983946002</v>
      </c>
      <c r="H89" s="53">
        <f>손익계산서!H88</f>
        <v>1214.0982217162784</v>
      </c>
      <c r="I89" s="53">
        <f>손익계산서!I88</f>
        <v>1415.4593439691791</v>
      </c>
      <c r="J89" s="53">
        <f>손익계산서!J88</f>
        <v>1430.9734595140176</v>
      </c>
      <c r="K89" s="53">
        <f>손익계산서!K88</f>
        <v>1625.3673666950176</v>
      </c>
      <c r="L89" s="53">
        <f>손익계산서!L88</f>
        <v>1740.6044098794621</v>
      </c>
      <c r="M89" s="53">
        <f>손익계산서!M88</f>
        <v>1579.1672025044791</v>
      </c>
      <c r="N89" s="53">
        <f>손익계산서!N88</f>
        <v>1514.8887131959036</v>
      </c>
      <c r="O89" s="53">
        <f>손익계산서!O88</f>
        <v>1364.9732249561055</v>
      </c>
      <c r="P89" s="53">
        <f>손익계산서!P88</f>
        <v>1307.5014825703238</v>
      </c>
      <c r="Q89" s="21" t="s">
        <v>221</v>
      </c>
    </row>
    <row r="90" spans="2:17" ht="17.5" hidden="1" customHeight="1">
      <c r="B90" s="19" t="s">
        <v>60</v>
      </c>
      <c r="C90" s="35"/>
      <c r="D90" s="51">
        <f t="shared" si="17"/>
        <v>300</v>
      </c>
      <c r="E90" s="52">
        <f>손익계산서!E89</f>
        <v>0</v>
      </c>
      <c r="F90" s="53">
        <f>손익계산서!F89</f>
        <v>0</v>
      </c>
      <c r="G90" s="53">
        <f>손익계산서!G89</f>
        <v>0</v>
      </c>
      <c r="H90" s="53">
        <f>손익계산서!H89</f>
        <v>0</v>
      </c>
      <c r="I90" s="53">
        <f>손익계산서!I89</f>
        <v>0</v>
      </c>
      <c r="J90" s="53">
        <f>손익계산서!J89</f>
        <v>150</v>
      </c>
      <c r="K90" s="53">
        <f>손익계산서!K89</f>
        <v>0</v>
      </c>
      <c r="L90" s="53">
        <f>손익계산서!L89</f>
        <v>0</v>
      </c>
      <c r="M90" s="53">
        <f>손익계산서!M89</f>
        <v>0</v>
      </c>
      <c r="N90" s="53">
        <f>손익계산서!N89</f>
        <v>0</v>
      </c>
      <c r="O90" s="53">
        <f>손익계산서!O89</f>
        <v>0</v>
      </c>
      <c r="P90" s="53">
        <f>손익계산서!P89</f>
        <v>150</v>
      </c>
      <c r="Q90" s="21" t="s">
        <v>225</v>
      </c>
    </row>
    <row r="91" spans="2:17" ht="17.5" hidden="1" customHeight="1">
      <c r="B91" s="19" t="s">
        <v>85</v>
      </c>
      <c r="C91" s="35"/>
      <c r="D91" s="51">
        <f t="shared" si="17"/>
        <v>3600</v>
      </c>
      <c r="E91" s="52">
        <f>손익계산서!E90</f>
        <v>300</v>
      </c>
      <c r="F91" s="53">
        <f>손익계산서!F90</f>
        <v>300</v>
      </c>
      <c r="G91" s="53">
        <f>손익계산서!G90</f>
        <v>300</v>
      </c>
      <c r="H91" s="53">
        <f>손익계산서!H90</f>
        <v>300</v>
      </c>
      <c r="I91" s="53">
        <f>손익계산서!I90</f>
        <v>300</v>
      </c>
      <c r="J91" s="53">
        <f>손익계산서!J90</f>
        <v>300</v>
      </c>
      <c r="K91" s="53">
        <f>손익계산서!K90</f>
        <v>300</v>
      </c>
      <c r="L91" s="53">
        <f>손익계산서!L90</f>
        <v>300</v>
      </c>
      <c r="M91" s="53">
        <f>손익계산서!M90</f>
        <v>300</v>
      </c>
      <c r="N91" s="53">
        <f>손익계산서!N90</f>
        <v>300</v>
      </c>
      <c r="O91" s="53">
        <f>손익계산서!O90</f>
        <v>300</v>
      </c>
      <c r="P91" s="53">
        <f>손익계산서!P90</f>
        <v>300</v>
      </c>
      <c r="Q91" s="21" t="s">
        <v>226</v>
      </c>
    </row>
    <row r="92" spans="2:17" ht="17.5" hidden="1" customHeight="1">
      <c r="B92" s="19" t="s">
        <v>86</v>
      </c>
      <c r="C92" s="35"/>
      <c r="D92" s="51">
        <f t="shared" si="17"/>
        <v>65932.067748561909</v>
      </c>
      <c r="E92" s="52">
        <f>손익계산서!E91</f>
        <v>4844.0462357440783</v>
      </c>
      <c r="F92" s="53">
        <f>손익계산서!F91</f>
        <v>3922.39141923636</v>
      </c>
      <c r="G92" s="53">
        <f>손익계산서!G91</f>
        <v>4393.4963935784008</v>
      </c>
      <c r="H92" s="53">
        <f>손익계산서!H91</f>
        <v>4856.3928868651137</v>
      </c>
      <c r="I92" s="53">
        <f>손익계산서!I91</f>
        <v>5661.8373758767166</v>
      </c>
      <c r="J92" s="53">
        <f>손익계산서!J91</f>
        <v>5723.8938380560703</v>
      </c>
      <c r="K92" s="53">
        <f>손익계산서!K91</f>
        <v>6501.4694667800704</v>
      </c>
      <c r="L92" s="53">
        <f>손익계산서!L91</f>
        <v>6962.4176395178483</v>
      </c>
      <c r="M92" s="53">
        <f>손익계산서!M91</f>
        <v>6316.6688100179163</v>
      </c>
      <c r="N92" s="53">
        <f>손익계산서!N91</f>
        <v>6059.5548527836145</v>
      </c>
      <c r="O92" s="53">
        <f>손익계산서!O91</f>
        <v>5459.8928998244219</v>
      </c>
      <c r="P92" s="53">
        <f>손익계산서!P91</f>
        <v>5230.0059302812952</v>
      </c>
      <c r="Q92" s="21" t="s">
        <v>222</v>
      </c>
    </row>
    <row r="93" spans="2:17" ht="17.5" hidden="1" customHeight="1">
      <c r="B93" s="19" t="s">
        <v>87</v>
      </c>
      <c r="C93" s="35"/>
      <c r="D93" s="51">
        <f t="shared" si="17"/>
        <v>4800</v>
      </c>
      <c r="E93" s="52">
        <f>손익계산서!E92</f>
        <v>400</v>
      </c>
      <c r="F93" s="53">
        <f>손익계산서!F92</f>
        <v>400</v>
      </c>
      <c r="G93" s="53">
        <f>손익계산서!G92</f>
        <v>400</v>
      </c>
      <c r="H93" s="53">
        <f>손익계산서!H92</f>
        <v>400</v>
      </c>
      <c r="I93" s="53">
        <f>손익계산서!I92</f>
        <v>400</v>
      </c>
      <c r="J93" s="53">
        <f>손익계산서!J92</f>
        <v>400</v>
      </c>
      <c r="K93" s="53">
        <f>손익계산서!K92</f>
        <v>400</v>
      </c>
      <c r="L93" s="53">
        <f>손익계산서!L92</f>
        <v>400</v>
      </c>
      <c r="M93" s="53">
        <f>손익계산서!M92</f>
        <v>400</v>
      </c>
      <c r="N93" s="53">
        <f>손익계산서!N92</f>
        <v>400</v>
      </c>
      <c r="O93" s="53">
        <f>손익계산서!O92</f>
        <v>400</v>
      </c>
      <c r="P93" s="53">
        <f>손익계산서!P92</f>
        <v>400</v>
      </c>
      <c r="Q93" s="21" t="s">
        <v>227</v>
      </c>
    </row>
    <row r="94" spans="2:17" ht="17.5" hidden="1" customHeight="1">
      <c r="B94" s="19" t="s">
        <v>88</v>
      </c>
      <c r="C94" s="35"/>
      <c r="D94" s="51">
        <f t="shared" si="17"/>
        <v>2400</v>
      </c>
      <c r="E94" s="52">
        <f>손익계산서!E93</f>
        <v>200</v>
      </c>
      <c r="F94" s="53">
        <f>손익계산서!F93</f>
        <v>200</v>
      </c>
      <c r="G94" s="53">
        <f>손익계산서!G93</f>
        <v>200</v>
      </c>
      <c r="H94" s="53">
        <f>손익계산서!H93</f>
        <v>200</v>
      </c>
      <c r="I94" s="53">
        <f>손익계산서!I93</f>
        <v>200</v>
      </c>
      <c r="J94" s="53">
        <f>손익계산서!J93</f>
        <v>200</v>
      </c>
      <c r="K94" s="53">
        <f>손익계산서!K93</f>
        <v>200</v>
      </c>
      <c r="L94" s="53">
        <f>손익계산서!L93</f>
        <v>200</v>
      </c>
      <c r="M94" s="53">
        <f>손익계산서!M93</f>
        <v>200</v>
      </c>
      <c r="N94" s="53">
        <f>손익계산서!N93</f>
        <v>200</v>
      </c>
      <c r="O94" s="53">
        <f>손익계산서!O93</f>
        <v>200</v>
      </c>
      <c r="P94" s="53">
        <f>손익계산서!P93</f>
        <v>200</v>
      </c>
      <c r="Q94" s="21" t="s">
        <v>228</v>
      </c>
    </row>
    <row r="95" spans="2:17" ht="17.5" hidden="1" customHeight="1">
      <c r="B95" s="19" t="s">
        <v>49</v>
      </c>
      <c r="C95" s="35"/>
      <c r="D95" s="51">
        <f t="shared" si="17"/>
        <v>0</v>
      </c>
      <c r="E95" s="52">
        <f>손익계산서!E94</f>
        <v>0</v>
      </c>
      <c r="F95" s="53">
        <f>손익계산서!F94</f>
        <v>0</v>
      </c>
      <c r="G95" s="53">
        <f>손익계산서!G94</f>
        <v>0</v>
      </c>
      <c r="H95" s="53">
        <f>손익계산서!H94</f>
        <v>0</v>
      </c>
      <c r="I95" s="53">
        <f>손익계산서!I94</f>
        <v>0</v>
      </c>
      <c r="J95" s="53">
        <f>손익계산서!J94</f>
        <v>0</v>
      </c>
      <c r="K95" s="53">
        <f>손익계산서!K94</f>
        <v>0</v>
      </c>
      <c r="L95" s="53">
        <f>손익계산서!L94</f>
        <v>0</v>
      </c>
      <c r="M95" s="53">
        <f>손익계산서!M94</f>
        <v>0</v>
      </c>
      <c r="N95" s="53">
        <f>손익계산서!N94</f>
        <v>0</v>
      </c>
      <c r="O95" s="53">
        <f>손익계산서!O94</f>
        <v>0</v>
      </c>
      <c r="P95" s="53">
        <f>손익계산서!P94</f>
        <v>0</v>
      </c>
      <c r="Q95" s="21" t="s">
        <v>195</v>
      </c>
    </row>
    <row r="96" spans="2:17" ht="17.5" hidden="1" customHeight="1">
      <c r="B96" s="22" t="s">
        <v>89</v>
      </c>
      <c r="C96" s="38"/>
      <c r="D96" s="239">
        <f t="shared" si="17"/>
        <v>192413.18630854526</v>
      </c>
      <c r="E96" s="63">
        <f>SUM(E87:E95)</f>
        <v>14221.127148296215</v>
      </c>
      <c r="F96" s="80">
        <f t="shared" ref="F96:P96" si="27">SUM(F87:F95)</f>
        <v>11686.576402899991</v>
      </c>
      <c r="G96" s="80">
        <f t="shared" si="27"/>
        <v>12982.115082340602</v>
      </c>
      <c r="H96" s="80">
        <f t="shared" si="27"/>
        <v>14255.080438879064</v>
      </c>
      <c r="I96" s="80">
        <f t="shared" si="27"/>
        <v>16470.052783660973</v>
      </c>
      <c r="J96" s="80">
        <f t="shared" si="27"/>
        <v>16790.708054654191</v>
      </c>
      <c r="K96" s="80">
        <f t="shared" si="27"/>
        <v>18779.041033645193</v>
      </c>
      <c r="L96" s="80">
        <f t="shared" si="27"/>
        <v>20046.648508674083</v>
      </c>
      <c r="M96" s="80">
        <f t="shared" si="27"/>
        <v>18270.83922754927</v>
      </c>
      <c r="N96" s="80">
        <f t="shared" si="27"/>
        <v>17563.775845154938</v>
      </c>
      <c r="O96" s="80">
        <f t="shared" si="27"/>
        <v>15914.705474517159</v>
      </c>
      <c r="P96" s="80">
        <f t="shared" si="27"/>
        <v>15432.516308273563</v>
      </c>
      <c r="Q96" s="24"/>
    </row>
    <row r="97" spans="2:17" ht="17.5" hidden="1" customHeight="1" thickBot="1">
      <c r="B97" s="28" t="s">
        <v>90</v>
      </c>
      <c r="C97" s="39"/>
      <c r="D97" s="241">
        <f t="shared" si="17"/>
        <v>8772294.2090316284</v>
      </c>
      <c r="E97" s="65">
        <f>SUM(E39,E40,E45,E56,E62,E63,E68,E69,E74,E83,E86,E96)</f>
        <v>676278.78896644735</v>
      </c>
      <c r="F97" s="240">
        <f t="shared" ref="F97:P97" si="28">SUM(F39,F40,F45,F56,F62,F63,F68,F69,F74,F83,F86,F96)</f>
        <v>607309.89751046326</v>
      </c>
      <c r="G97" s="240">
        <f t="shared" si="28"/>
        <v>645438.95290154382</v>
      </c>
      <c r="H97" s="240">
        <f t="shared" si="28"/>
        <v>676950.80384016631</v>
      </c>
      <c r="I97" s="240">
        <f t="shared" si="28"/>
        <v>736935.25706905685</v>
      </c>
      <c r="J97" s="240">
        <f t="shared" si="28"/>
        <v>745016.247753951</v>
      </c>
      <c r="K97" s="240">
        <f t="shared" si="28"/>
        <v>799821.60205500491</v>
      </c>
      <c r="L97" s="240">
        <f t="shared" si="28"/>
        <v>834184.79716985696</v>
      </c>
      <c r="M97" s="240">
        <f t="shared" si="28"/>
        <v>788737.79447258683</v>
      </c>
      <c r="N97" s="240">
        <f t="shared" si="28"/>
        <v>766419.8882709617</v>
      </c>
      <c r="O97" s="240">
        <f t="shared" si="28"/>
        <v>721634.37977906817</v>
      </c>
      <c r="P97" s="240">
        <f t="shared" si="28"/>
        <v>773565.79924252233</v>
      </c>
      <c r="Q97" s="39"/>
    </row>
    <row r="98" spans="2:17" ht="17">
      <c r="B98"/>
      <c r="C98"/>
    </row>
    <row r="99" spans="2:17" ht="17">
      <c r="B99"/>
      <c r="C99"/>
    </row>
    <row r="100" spans="2:17" ht="17">
      <c r="B100"/>
      <c r="C100"/>
    </row>
    <row r="109" spans="2:17">
      <c r="E109" s="159"/>
    </row>
  </sheetData>
  <mergeCells count="8">
    <mergeCell ref="B5:C6"/>
    <mergeCell ref="D5:D6"/>
    <mergeCell ref="E5:P5"/>
    <mergeCell ref="Q5:Q6"/>
    <mergeCell ref="B32:C33"/>
    <mergeCell ref="D32:D33"/>
    <mergeCell ref="E32:P32"/>
    <mergeCell ref="Q32:Q33"/>
  </mergeCells>
  <phoneticPr fontId="3" type="noConversion"/>
  <pageMargins left="0.39370078740157483" right="0.39370078740157483" top="0.51181102362204722" bottom="0.39370078740157483" header="0.31496062992125984" footer="0.31496062992125984"/>
  <pageSetup paperSize="9" scale="84" orientation="landscape" r:id="rId1"/>
  <rowBreaks count="1" manualBreakCount="1">
    <brk id="29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"/>
  <sheetViews>
    <sheetView showGridLines="0" view="pageBreakPreview" topLeftCell="A27" zoomScale="85" zoomScaleNormal="85" zoomScaleSheetLayoutView="85" workbookViewId="0">
      <selection activeCell="F64" sqref="F64"/>
    </sheetView>
  </sheetViews>
  <sheetFormatPr baseColWidth="10" defaultColWidth="9" defaultRowHeight="13"/>
  <cols>
    <col min="1" max="1" width="1.6640625" style="1" customWidth="1"/>
    <col min="2" max="2" width="2.33203125" style="1" customWidth="1"/>
    <col min="3" max="3" width="14.1640625" style="1" customWidth="1"/>
    <col min="4" max="16" width="6.6640625" style="1" customWidth="1"/>
    <col min="17" max="17" width="44.83203125" style="1" customWidth="1"/>
    <col min="18" max="18" width="1.6640625" style="1" customWidth="1"/>
    <col min="19" max="19" width="9" style="1"/>
    <col min="20" max="20" width="11.83203125" style="1" bestFit="1" customWidth="1"/>
    <col min="21" max="25" width="9" style="1"/>
    <col min="26" max="26" width="9" style="2"/>
    <col min="27" max="16384" width="9" style="1"/>
  </cols>
  <sheetData>
    <row r="1" spans="1:26" ht="19" hidden="1">
      <c r="A1" s="242" t="s">
        <v>284</v>
      </c>
    </row>
    <row r="2" spans="1:26" hidden="1"/>
    <row r="3" spans="1:26" s="3" customFormat="1" ht="14" hidden="1">
      <c r="A3" s="3" t="s">
        <v>92</v>
      </c>
      <c r="Z3" s="96"/>
    </row>
    <row r="4" spans="1:26" ht="14" hidden="1" thickBot="1">
      <c r="Q4" s="41" t="s">
        <v>96</v>
      </c>
    </row>
    <row r="5" spans="1:26" ht="18" hidden="1" customHeight="1">
      <c r="B5" s="308" t="s">
        <v>27</v>
      </c>
      <c r="C5" s="309"/>
      <c r="D5" s="312" t="s">
        <v>39</v>
      </c>
      <c r="E5" s="303" t="s">
        <v>264</v>
      </c>
      <c r="F5" s="304"/>
      <c r="G5" s="304"/>
      <c r="H5" s="304"/>
      <c r="I5" s="304"/>
      <c r="J5" s="304"/>
      <c r="K5" s="304"/>
      <c r="L5" s="304"/>
      <c r="M5" s="304"/>
      <c r="N5" s="304"/>
      <c r="O5" s="304"/>
      <c r="P5" s="305"/>
      <c r="Q5" s="306" t="s">
        <v>91</v>
      </c>
    </row>
    <row r="6" spans="1:26" ht="18" hidden="1" customHeight="1">
      <c r="B6" s="310"/>
      <c r="C6" s="311"/>
      <c r="D6" s="313"/>
      <c r="E6" s="154">
        <v>1</v>
      </c>
      <c r="F6" s="237">
        <v>2</v>
      </c>
      <c r="G6" s="237">
        <v>3</v>
      </c>
      <c r="H6" s="237">
        <v>4</v>
      </c>
      <c r="I6" s="237">
        <v>5</v>
      </c>
      <c r="J6" s="237">
        <v>6</v>
      </c>
      <c r="K6" s="237">
        <v>7</v>
      </c>
      <c r="L6" s="237">
        <v>8</v>
      </c>
      <c r="M6" s="237">
        <v>9</v>
      </c>
      <c r="N6" s="237">
        <v>10</v>
      </c>
      <c r="O6" s="237">
        <v>11</v>
      </c>
      <c r="P6" s="237">
        <v>12</v>
      </c>
      <c r="Q6" s="307"/>
    </row>
    <row r="7" spans="1:26" ht="18" hidden="1" customHeight="1">
      <c r="B7" s="9" t="s">
        <v>0</v>
      </c>
      <c r="C7" s="26"/>
      <c r="D7" s="233">
        <f t="shared" ref="D7:D8" si="0">SUM(E7:P7)</f>
        <v>16483016.937140476</v>
      </c>
      <c r="E7" s="46">
        <f>E8</f>
        <v>1211011.5589360197</v>
      </c>
      <c r="F7" s="47">
        <f t="shared" ref="F7:P7" si="1">F8</f>
        <v>980597.85480909003</v>
      </c>
      <c r="G7" s="47">
        <f t="shared" si="1"/>
        <v>1098374.0983946002</v>
      </c>
      <c r="H7" s="47">
        <f t="shared" si="1"/>
        <v>1214098.2217162785</v>
      </c>
      <c r="I7" s="47">
        <f t="shared" si="1"/>
        <v>1415459.3439691791</v>
      </c>
      <c r="J7" s="47">
        <f t="shared" si="1"/>
        <v>1430973.4595140174</v>
      </c>
      <c r="K7" s="47">
        <f t="shared" si="1"/>
        <v>1625367.3666950176</v>
      </c>
      <c r="L7" s="47">
        <f t="shared" si="1"/>
        <v>1740604.4098794621</v>
      </c>
      <c r="M7" s="47">
        <f t="shared" si="1"/>
        <v>1579167.2025044791</v>
      </c>
      <c r="N7" s="47">
        <f t="shared" si="1"/>
        <v>1514888.7131959037</v>
      </c>
      <c r="O7" s="47">
        <f t="shared" si="1"/>
        <v>1364973.2249561055</v>
      </c>
      <c r="P7" s="47">
        <f t="shared" si="1"/>
        <v>1307501.4825703239</v>
      </c>
      <c r="Q7" s="12"/>
    </row>
    <row r="8" spans="1:26" ht="18" hidden="1" customHeight="1">
      <c r="B8" s="5"/>
      <c r="C8" s="246" t="s">
        <v>29</v>
      </c>
      <c r="D8" s="51">
        <f t="shared" si="0"/>
        <v>16483016.937140476</v>
      </c>
      <c r="E8" s="52">
        <f>매출목표!H9</f>
        <v>1211011.5589360197</v>
      </c>
      <c r="F8" s="53">
        <f>매출목표!I9</f>
        <v>980597.85480909003</v>
      </c>
      <c r="G8" s="53">
        <f>매출목표!J9</f>
        <v>1098374.0983946002</v>
      </c>
      <c r="H8" s="53">
        <f>매출목표!K9</f>
        <v>1214098.2217162785</v>
      </c>
      <c r="I8" s="53">
        <f>매출목표!L9</f>
        <v>1415459.3439691791</v>
      </c>
      <c r="J8" s="53">
        <f>매출목표!M9</f>
        <v>1430973.4595140174</v>
      </c>
      <c r="K8" s="53">
        <f>매출목표!N9</f>
        <v>1625367.3666950176</v>
      </c>
      <c r="L8" s="53">
        <f>매출목표!O9</f>
        <v>1740604.4098794621</v>
      </c>
      <c r="M8" s="53">
        <f>매출목표!P9</f>
        <v>1579167.2025044791</v>
      </c>
      <c r="N8" s="53">
        <f>매출목표!Q9</f>
        <v>1514888.7131959037</v>
      </c>
      <c r="O8" s="53">
        <f>매출목표!R9</f>
        <v>1364973.2249561055</v>
      </c>
      <c r="P8" s="53">
        <f>매출목표!S9</f>
        <v>1307501.4825703239</v>
      </c>
      <c r="Q8" s="14" t="s">
        <v>273</v>
      </c>
    </row>
    <row r="9" spans="1:26" ht="18" hidden="1" customHeight="1">
      <c r="B9" s="9" t="s">
        <v>1</v>
      </c>
      <c r="C9" s="26"/>
      <c r="D9" s="45">
        <f t="shared" ref="D9:D22" si="2">SUM(E9:P9)</f>
        <v>8772294.2090316284</v>
      </c>
      <c r="E9" s="46">
        <f>SUM(E10:E21)</f>
        <v>676278.78896644735</v>
      </c>
      <c r="F9" s="47">
        <f t="shared" ref="F9:P9" si="3">SUM(F10:F21)</f>
        <v>607309.89751046326</v>
      </c>
      <c r="G9" s="47">
        <f t="shared" si="3"/>
        <v>645438.95290154382</v>
      </c>
      <c r="H9" s="47">
        <f t="shared" si="3"/>
        <v>676950.80384016631</v>
      </c>
      <c r="I9" s="47">
        <f t="shared" si="3"/>
        <v>736935.25706905685</v>
      </c>
      <c r="J9" s="47">
        <f t="shared" si="3"/>
        <v>745016.247753951</v>
      </c>
      <c r="K9" s="47">
        <f t="shared" si="3"/>
        <v>799821.60205500491</v>
      </c>
      <c r="L9" s="47">
        <f t="shared" si="3"/>
        <v>834184.79716985696</v>
      </c>
      <c r="M9" s="47">
        <f t="shared" si="3"/>
        <v>788737.79447258683</v>
      </c>
      <c r="N9" s="47">
        <f t="shared" si="3"/>
        <v>766419.8882709617</v>
      </c>
      <c r="O9" s="47">
        <f t="shared" si="3"/>
        <v>721634.37977906817</v>
      </c>
      <c r="P9" s="47">
        <f t="shared" si="3"/>
        <v>773565.79924252233</v>
      </c>
      <c r="Q9" s="12"/>
    </row>
    <row r="10" spans="1:26" ht="18" hidden="1" customHeight="1">
      <c r="B10" s="4"/>
      <c r="C10" s="31" t="s">
        <v>40</v>
      </c>
      <c r="D10" s="48">
        <f t="shared" si="2"/>
        <v>928527.0717773221</v>
      </c>
      <c r="E10" s="49">
        <f>E38</f>
        <v>71928.153447539022</v>
      </c>
      <c r="F10" s="50">
        <f t="shared" ref="F10:P10" si="4">F38</f>
        <v>71928.153447539022</v>
      </c>
      <c r="G10" s="50">
        <f t="shared" si="4"/>
        <v>71928.153447539022</v>
      </c>
      <c r="H10" s="50">
        <f t="shared" si="4"/>
        <v>71928.153447539022</v>
      </c>
      <c r="I10" s="50">
        <f t="shared" si="4"/>
        <v>71928.153447539022</v>
      </c>
      <c r="J10" s="50">
        <f t="shared" si="4"/>
        <v>71928.153447539022</v>
      </c>
      <c r="K10" s="50">
        <f t="shared" si="4"/>
        <v>71928.153447539022</v>
      </c>
      <c r="L10" s="50">
        <f t="shared" si="4"/>
        <v>71928.153447539022</v>
      </c>
      <c r="M10" s="50">
        <f t="shared" si="4"/>
        <v>71928.153447539022</v>
      </c>
      <c r="N10" s="50">
        <f t="shared" si="4"/>
        <v>71928.153447539022</v>
      </c>
      <c r="O10" s="50">
        <f t="shared" si="4"/>
        <v>71928.153447539022</v>
      </c>
      <c r="P10" s="50">
        <f t="shared" si="4"/>
        <v>137317.38385439268</v>
      </c>
      <c r="Q10" s="13" t="s">
        <v>295</v>
      </c>
    </row>
    <row r="11" spans="1:26" ht="18" hidden="1" customHeight="1">
      <c r="B11" s="5"/>
      <c r="C11" s="1" t="s">
        <v>41</v>
      </c>
      <c r="D11" s="51">
        <f t="shared" si="2"/>
        <v>0</v>
      </c>
      <c r="E11" s="52">
        <f>E39</f>
        <v>0</v>
      </c>
      <c r="F11" s="53">
        <f t="shared" ref="F11:P11" si="5">F39</f>
        <v>0</v>
      </c>
      <c r="G11" s="53">
        <f t="shared" si="5"/>
        <v>0</v>
      </c>
      <c r="H11" s="53">
        <f t="shared" si="5"/>
        <v>0</v>
      </c>
      <c r="I11" s="53">
        <f t="shared" si="5"/>
        <v>0</v>
      </c>
      <c r="J11" s="53">
        <f t="shared" si="5"/>
        <v>0</v>
      </c>
      <c r="K11" s="53">
        <f t="shared" si="5"/>
        <v>0</v>
      </c>
      <c r="L11" s="53">
        <f t="shared" si="5"/>
        <v>0</v>
      </c>
      <c r="M11" s="53">
        <f t="shared" si="5"/>
        <v>0</v>
      </c>
      <c r="N11" s="53">
        <f t="shared" si="5"/>
        <v>0</v>
      </c>
      <c r="O11" s="53">
        <f t="shared" si="5"/>
        <v>0</v>
      </c>
      <c r="P11" s="53">
        <f t="shared" si="5"/>
        <v>0</v>
      </c>
      <c r="Q11" s="14" t="s">
        <v>274</v>
      </c>
    </row>
    <row r="12" spans="1:26" ht="18" hidden="1" customHeight="1">
      <c r="B12" s="5"/>
      <c r="C12" s="1" t="s">
        <v>2</v>
      </c>
      <c r="D12" s="51">
        <f t="shared" si="2"/>
        <v>2010992.8519381022</v>
      </c>
      <c r="E12" s="52">
        <f>E44</f>
        <v>166769.87173238007</v>
      </c>
      <c r="F12" s="53">
        <f t="shared" ref="F12:P12" si="6">F44</f>
        <v>165617.8032117454</v>
      </c>
      <c r="G12" s="53">
        <f t="shared" si="6"/>
        <v>166206.68442967295</v>
      </c>
      <c r="H12" s="53">
        <f t="shared" si="6"/>
        <v>166785.30504628137</v>
      </c>
      <c r="I12" s="53">
        <f t="shared" si="6"/>
        <v>167792.11065754585</v>
      </c>
      <c r="J12" s="53">
        <f t="shared" si="6"/>
        <v>167869.68123527005</v>
      </c>
      <c r="K12" s="53">
        <f t="shared" si="6"/>
        <v>168841.65077117505</v>
      </c>
      <c r="L12" s="53">
        <f t="shared" si="6"/>
        <v>169417.83598709726</v>
      </c>
      <c r="M12" s="53">
        <f t="shared" si="6"/>
        <v>168610.64995022235</v>
      </c>
      <c r="N12" s="53">
        <f t="shared" si="6"/>
        <v>168289.25750367949</v>
      </c>
      <c r="O12" s="53">
        <f t="shared" si="6"/>
        <v>167539.6800624805</v>
      </c>
      <c r="P12" s="53">
        <f t="shared" si="6"/>
        <v>167252.32135055159</v>
      </c>
      <c r="Q12" s="14" t="s">
        <v>275</v>
      </c>
    </row>
    <row r="13" spans="1:26" ht="18" hidden="1" customHeight="1">
      <c r="B13" s="5"/>
      <c r="C13" s="1" t="s">
        <v>6</v>
      </c>
      <c r="D13" s="51">
        <f t="shared" si="2"/>
        <v>203423.8764882244</v>
      </c>
      <c r="E13" s="52">
        <f>E55</f>
        <v>16918.656374018701</v>
      </c>
      <c r="F13" s="53">
        <f t="shared" ref="F13:P13" si="7">F55</f>
        <v>16918.656374018701</v>
      </c>
      <c r="G13" s="53">
        <f t="shared" si="7"/>
        <v>16918.656374018701</v>
      </c>
      <c r="H13" s="53">
        <f t="shared" si="7"/>
        <v>16918.656374018701</v>
      </c>
      <c r="I13" s="53">
        <f t="shared" si="7"/>
        <v>16918.656374018701</v>
      </c>
      <c r="J13" s="53">
        <f t="shared" si="7"/>
        <v>16918.656374018701</v>
      </c>
      <c r="K13" s="53">
        <f t="shared" si="7"/>
        <v>17118.656374018701</v>
      </c>
      <c r="L13" s="53">
        <f t="shared" si="7"/>
        <v>17118.656374018701</v>
      </c>
      <c r="M13" s="53">
        <f t="shared" si="7"/>
        <v>16918.656374018701</v>
      </c>
      <c r="N13" s="53">
        <f t="shared" si="7"/>
        <v>16918.656374018701</v>
      </c>
      <c r="O13" s="53">
        <f t="shared" si="7"/>
        <v>16918.656374018701</v>
      </c>
      <c r="P13" s="53">
        <f t="shared" si="7"/>
        <v>16918.656374018701</v>
      </c>
      <c r="Q13" s="14" t="s">
        <v>296</v>
      </c>
    </row>
    <row r="14" spans="1:26" ht="18" hidden="1" customHeight="1">
      <c r="B14" s="5"/>
      <c r="C14" s="1" t="s">
        <v>3</v>
      </c>
      <c r="D14" s="51">
        <f t="shared" si="2"/>
        <v>1307103.24311524</v>
      </c>
      <c r="E14" s="52">
        <f>E61</f>
        <v>96033.216623626358</v>
      </c>
      <c r="F14" s="53">
        <f t="shared" ref="F14:P14" si="8">F61</f>
        <v>77761.409886360852</v>
      </c>
      <c r="G14" s="53">
        <f t="shared" si="8"/>
        <v>87101.066002691805</v>
      </c>
      <c r="H14" s="53">
        <f t="shared" si="8"/>
        <v>96277.988982100898</v>
      </c>
      <c r="I14" s="53">
        <f t="shared" si="8"/>
        <v>112245.92597675591</v>
      </c>
      <c r="J14" s="53">
        <f t="shared" si="8"/>
        <v>113476.19533946158</v>
      </c>
      <c r="K14" s="53">
        <f t="shared" si="8"/>
        <v>128891.63217891489</v>
      </c>
      <c r="L14" s="53">
        <f t="shared" si="8"/>
        <v>138029.92970344136</v>
      </c>
      <c r="M14" s="53">
        <f t="shared" si="8"/>
        <v>125227.95915860521</v>
      </c>
      <c r="N14" s="53">
        <f t="shared" si="8"/>
        <v>120130.67495643518</v>
      </c>
      <c r="O14" s="53">
        <f t="shared" si="8"/>
        <v>108242.37673901918</v>
      </c>
      <c r="P14" s="53">
        <f t="shared" si="8"/>
        <v>103684.8675678267</v>
      </c>
      <c r="Q14" s="14" t="s">
        <v>279</v>
      </c>
    </row>
    <row r="15" spans="1:26" ht="18" hidden="1" customHeight="1">
      <c r="B15" s="5"/>
      <c r="C15" s="1" t="s">
        <v>4</v>
      </c>
      <c r="D15" s="51">
        <f t="shared" si="2"/>
        <v>560422.57586277626</v>
      </c>
      <c r="E15" s="52">
        <f>E62</f>
        <v>41174.393003824669</v>
      </c>
      <c r="F15" s="53">
        <f t="shared" ref="F15:P15" si="9">F62</f>
        <v>33340.327063509067</v>
      </c>
      <c r="G15" s="53">
        <f t="shared" si="9"/>
        <v>37344.719345416408</v>
      </c>
      <c r="H15" s="53">
        <f t="shared" si="9"/>
        <v>41279.339538353473</v>
      </c>
      <c r="I15" s="53">
        <f t="shared" si="9"/>
        <v>48125.617694952096</v>
      </c>
      <c r="J15" s="53">
        <f t="shared" si="9"/>
        <v>48653.097623476599</v>
      </c>
      <c r="K15" s="53">
        <f t="shared" si="9"/>
        <v>55262.490467630603</v>
      </c>
      <c r="L15" s="53">
        <f t="shared" si="9"/>
        <v>59180.549935901712</v>
      </c>
      <c r="M15" s="53">
        <f t="shared" si="9"/>
        <v>53691.684885152295</v>
      </c>
      <c r="N15" s="53">
        <f t="shared" si="9"/>
        <v>51506.216248660727</v>
      </c>
      <c r="O15" s="53">
        <f t="shared" si="9"/>
        <v>46409.089648507586</v>
      </c>
      <c r="P15" s="53">
        <f t="shared" si="9"/>
        <v>44455.050407391012</v>
      </c>
      <c r="Q15" s="14" t="s">
        <v>278</v>
      </c>
    </row>
    <row r="16" spans="1:26" ht="18" hidden="1" customHeight="1">
      <c r="B16" s="5"/>
      <c r="C16" s="1" t="s">
        <v>5</v>
      </c>
      <c r="D16" s="51">
        <f t="shared" si="2"/>
        <v>3502196.5412484393</v>
      </c>
      <c r="E16" s="52">
        <f>E67</f>
        <v>264550.91870526003</v>
      </c>
      <c r="F16" s="53">
        <f t="shared" ref="F16:P16" si="10">F67</f>
        <v>225739.72604495133</v>
      </c>
      <c r="G16" s="53">
        <f t="shared" si="10"/>
        <v>245581.42501863293</v>
      </c>
      <c r="H16" s="53">
        <f t="shared" si="10"/>
        <v>265072.28475010145</v>
      </c>
      <c r="I16" s="53">
        <f t="shared" si="10"/>
        <v>298920.06431056559</v>
      </c>
      <c r="J16" s="53">
        <f t="shared" si="10"/>
        <v>301437.32279773965</v>
      </c>
      <c r="K16" s="53">
        <f t="shared" si="10"/>
        <v>334360.34794669971</v>
      </c>
      <c r="L16" s="53">
        <f t="shared" si="10"/>
        <v>353765.7748562108</v>
      </c>
      <c r="M16" s="53">
        <f t="shared" si="10"/>
        <v>326473.32167621353</v>
      </c>
      <c r="N16" s="53">
        <f t="shared" si="10"/>
        <v>315498.76338684151</v>
      </c>
      <c r="O16" s="53">
        <f t="shared" si="10"/>
        <v>290172.28526847379</v>
      </c>
      <c r="P16" s="53">
        <f t="shared" si="10"/>
        <v>280624.30648674874</v>
      </c>
      <c r="Q16" s="14" t="s">
        <v>276</v>
      </c>
    </row>
    <row r="17" spans="1:26" ht="18" hidden="1" customHeight="1">
      <c r="B17" s="5"/>
      <c r="C17" s="1" t="s">
        <v>7</v>
      </c>
      <c r="D17" s="51">
        <f t="shared" si="2"/>
        <v>8241.5084685702386</v>
      </c>
      <c r="E17" s="52">
        <f>E68</f>
        <v>605.50577946800979</v>
      </c>
      <c r="F17" s="53">
        <f t="shared" ref="F17:P17" si="11">F68</f>
        <v>490.298927404545</v>
      </c>
      <c r="G17" s="53">
        <f t="shared" si="11"/>
        <v>549.1870491973001</v>
      </c>
      <c r="H17" s="53">
        <f t="shared" si="11"/>
        <v>607.04911085813922</v>
      </c>
      <c r="I17" s="53">
        <f t="shared" si="11"/>
        <v>707.72967198458957</v>
      </c>
      <c r="J17" s="53">
        <f t="shared" si="11"/>
        <v>715.48672975700879</v>
      </c>
      <c r="K17" s="53">
        <f t="shared" si="11"/>
        <v>812.6836833475088</v>
      </c>
      <c r="L17" s="53">
        <f t="shared" si="11"/>
        <v>870.30220493973104</v>
      </c>
      <c r="M17" s="53">
        <f t="shared" si="11"/>
        <v>789.58360125223953</v>
      </c>
      <c r="N17" s="53">
        <f t="shared" si="11"/>
        <v>757.44435659795181</v>
      </c>
      <c r="O17" s="53">
        <f t="shared" si="11"/>
        <v>682.48661247805273</v>
      </c>
      <c r="P17" s="53">
        <f t="shared" si="11"/>
        <v>653.75074128516189</v>
      </c>
      <c r="Q17" s="14" t="s">
        <v>277</v>
      </c>
    </row>
    <row r="18" spans="1:26" ht="18" hidden="1" customHeight="1">
      <c r="B18" s="5"/>
      <c r="C18" s="1" t="s">
        <v>8</v>
      </c>
      <c r="D18" s="51">
        <f t="shared" si="2"/>
        <v>18000</v>
      </c>
      <c r="E18" s="52">
        <f>E73</f>
        <v>500</v>
      </c>
      <c r="F18" s="53">
        <f t="shared" ref="F18:P18" si="12">F73</f>
        <v>500</v>
      </c>
      <c r="G18" s="53">
        <f t="shared" si="12"/>
        <v>3500</v>
      </c>
      <c r="H18" s="53">
        <f t="shared" si="12"/>
        <v>500</v>
      </c>
      <c r="I18" s="53">
        <f t="shared" si="12"/>
        <v>500</v>
      </c>
      <c r="J18" s="53">
        <f t="shared" si="12"/>
        <v>3500</v>
      </c>
      <c r="K18" s="53">
        <f t="shared" si="12"/>
        <v>500</v>
      </c>
      <c r="L18" s="53">
        <f t="shared" si="12"/>
        <v>500</v>
      </c>
      <c r="M18" s="53">
        <f t="shared" si="12"/>
        <v>3500</v>
      </c>
      <c r="N18" s="53">
        <f t="shared" si="12"/>
        <v>500</v>
      </c>
      <c r="O18" s="53">
        <f t="shared" si="12"/>
        <v>500</v>
      </c>
      <c r="P18" s="53">
        <f t="shared" si="12"/>
        <v>3500</v>
      </c>
      <c r="Q18" s="14" t="s">
        <v>280</v>
      </c>
    </row>
    <row r="19" spans="1:26" ht="18" hidden="1" customHeight="1">
      <c r="B19" s="5"/>
      <c r="C19" s="1" t="s">
        <v>9</v>
      </c>
      <c r="D19" s="51">
        <f t="shared" si="2"/>
        <v>4973.3538244112206</v>
      </c>
      <c r="E19" s="52">
        <f>E82</f>
        <v>576.94615203426838</v>
      </c>
      <c r="F19" s="53">
        <f t="shared" ref="F19:P19" si="13">F82</f>
        <v>326.94615203426832</v>
      </c>
      <c r="G19" s="53">
        <f t="shared" si="13"/>
        <v>326.94615203426832</v>
      </c>
      <c r="H19" s="53">
        <f t="shared" si="13"/>
        <v>326.94615203426832</v>
      </c>
      <c r="I19" s="53">
        <f t="shared" si="13"/>
        <v>326.94615203426832</v>
      </c>
      <c r="J19" s="53">
        <f t="shared" si="13"/>
        <v>726.94615203426838</v>
      </c>
      <c r="K19" s="53">
        <f t="shared" si="13"/>
        <v>326.94615203426832</v>
      </c>
      <c r="L19" s="53">
        <f t="shared" si="13"/>
        <v>326.94615203426832</v>
      </c>
      <c r="M19" s="53">
        <f t="shared" si="13"/>
        <v>326.94615203426832</v>
      </c>
      <c r="N19" s="53">
        <f t="shared" si="13"/>
        <v>326.94615203426832</v>
      </c>
      <c r="O19" s="53">
        <f t="shared" si="13"/>
        <v>326.94615203426832</v>
      </c>
      <c r="P19" s="53">
        <f t="shared" si="13"/>
        <v>726.94615203426838</v>
      </c>
      <c r="Q19" s="14" t="s">
        <v>282</v>
      </c>
    </row>
    <row r="20" spans="1:26" ht="18" hidden="1" customHeight="1">
      <c r="B20" s="5"/>
      <c r="C20" s="1" t="s">
        <v>10</v>
      </c>
      <c r="D20" s="51">
        <f t="shared" si="2"/>
        <v>36000</v>
      </c>
      <c r="E20" s="52">
        <f>E85</f>
        <v>3000</v>
      </c>
      <c r="F20" s="53">
        <f t="shared" ref="F20:P20" si="14">F85</f>
        <v>3000</v>
      </c>
      <c r="G20" s="53">
        <f t="shared" si="14"/>
        <v>3000</v>
      </c>
      <c r="H20" s="53">
        <f t="shared" si="14"/>
        <v>3000</v>
      </c>
      <c r="I20" s="53">
        <f t="shared" si="14"/>
        <v>3000</v>
      </c>
      <c r="J20" s="53">
        <f t="shared" si="14"/>
        <v>3000</v>
      </c>
      <c r="K20" s="53">
        <f t="shared" si="14"/>
        <v>3000</v>
      </c>
      <c r="L20" s="53">
        <f t="shared" si="14"/>
        <v>3000</v>
      </c>
      <c r="M20" s="53">
        <f t="shared" si="14"/>
        <v>3000</v>
      </c>
      <c r="N20" s="53">
        <f t="shared" si="14"/>
        <v>3000</v>
      </c>
      <c r="O20" s="53">
        <f t="shared" si="14"/>
        <v>3000</v>
      </c>
      <c r="P20" s="53">
        <f t="shared" si="14"/>
        <v>3000</v>
      </c>
      <c r="Q20" s="14" t="s">
        <v>281</v>
      </c>
    </row>
    <row r="21" spans="1:26" ht="18" hidden="1" customHeight="1">
      <c r="B21" s="6"/>
      <c r="C21" s="32" t="s">
        <v>11</v>
      </c>
      <c r="D21" s="54">
        <f t="shared" si="2"/>
        <v>192413.18630854526</v>
      </c>
      <c r="E21" s="55">
        <f>E95</f>
        <v>14221.127148296215</v>
      </c>
      <c r="F21" s="56">
        <f t="shared" ref="F21:P21" si="15">F95</f>
        <v>11686.576402899991</v>
      </c>
      <c r="G21" s="56">
        <f t="shared" si="15"/>
        <v>12982.115082340602</v>
      </c>
      <c r="H21" s="56">
        <f t="shared" si="15"/>
        <v>14255.080438879064</v>
      </c>
      <c r="I21" s="56">
        <f t="shared" si="15"/>
        <v>16470.052783660973</v>
      </c>
      <c r="J21" s="56">
        <f t="shared" si="15"/>
        <v>16790.708054654191</v>
      </c>
      <c r="K21" s="56">
        <f t="shared" si="15"/>
        <v>18779.041033645193</v>
      </c>
      <c r="L21" s="56">
        <f t="shared" si="15"/>
        <v>20046.648508674083</v>
      </c>
      <c r="M21" s="56">
        <f t="shared" si="15"/>
        <v>18270.83922754927</v>
      </c>
      <c r="N21" s="56">
        <f t="shared" si="15"/>
        <v>17563.775845154938</v>
      </c>
      <c r="O21" s="56">
        <f t="shared" si="15"/>
        <v>15914.705474517159</v>
      </c>
      <c r="P21" s="56">
        <f t="shared" si="15"/>
        <v>15432.516308273563</v>
      </c>
      <c r="Q21" s="15" t="s">
        <v>283</v>
      </c>
    </row>
    <row r="22" spans="1:26" ht="18" hidden="1" customHeight="1">
      <c r="B22" s="232" t="s">
        <v>265</v>
      </c>
      <c r="C22" s="25"/>
      <c r="D22" s="233">
        <f t="shared" si="2"/>
        <v>7710722.7281088475</v>
      </c>
      <c r="E22" s="234">
        <f t="shared" ref="E22:P22" si="16">E7-E9</f>
        <v>534732.76996957231</v>
      </c>
      <c r="F22" s="235">
        <f t="shared" si="16"/>
        <v>373287.95729862677</v>
      </c>
      <c r="G22" s="235">
        <f t="shared" si="16"/>
        <v>452935.14549305639</v>
      </c>
      <c r="H22" s="235">
        <f t="shared" si="16"/>
        <v>537147.41787611216</v>
      </c>
      <c r="I22" s="235">
        <f t="shared" si="16"/>
        <v>678524.08690012223</v>
      </c>
      <c r="J22" s="235">
        <f t="shared" si="16"/>
        <v>685957.21176006645</v>
      </c>
      <c r="K22" s="235">
        <f t="shared" si="16"/>
        <v>825545.76464001264</v>
      </c>
      <c r="L22" s="235">
        <f t="shared" si="16"/>
        <v>906419.61270960514</v>
      </c>
      <c r="M22" s="235">
        <f t="shared" si="16"/>
        <v>790429.40803189226</v>
      </c>
      <c r="N22" s="235">
        <f t="shared" si="16"/>
        <v>748468.82492494199</v>
      </c>
      <c r="O22" s="235">
        <f t="shared" si="16"/>
        <v>643338.84517703729</v>
      </c>
      <c r="P22" s="235">
        <f t="shared" si="16"/>
        <v>533935.68332780153</v>
      </c>
      <c r="Q22" s="236"/>
    </row>
    <row r="23" spans="1:26" ht="18" hidden="1" customHeight="1">
      <c r="B23" s="22"/>
      <c r="C23" s="243" t="s">
        <v>285</v>
      </c>
      <c r="D23" s="250">
        <f>D22/D$7</f>
        <v>0.46779802250488539</v>
      </c>
      <c r="E23" s="244">
        <f>E22/E$7</f>
        <v>0.44155876632538682</v>
      </c>
      <c r="F23" s="245">
        <f>F22/F$7</f>
        <v>0.3806738465395697</v>
      </c>
      <c r="G23" s="245">
        <f>G22/G$7</f>
        <v>0.41236874226647652</v>
      </c>
      <c r="H23" s="245">
        <f>H22/H$7</f>
        <v>0.4424250099936623</v>
      </c>
      <c r="I23" s="245">
        <f t="shared" ref="I23:P23" si="17">I22/I$7</f>
        <v>0.47936670861731001</v>
      </c>
      <c r="J23" s="245">
        <f t="shared" si="17"/>
        <v>0.47936403516039283</v>
      </c>
      <c r="K23" s="245">
        <f t="shared" si="17"/>
        <v>0.50791333796657756</v>
      </c>
      <c r="L23" s="245">
        <f t="shared" si="17"/>
        <v>0.52074992316742164</v>
      </c>
      <c r="M23" s="245">
        <f t="shared" si="17"/>
        <v>0.50053560305603573</v>
      </c>
      <c r="N23" s="245">
        <f t="shared" si="17"/>
        <v>0.49407512142982801</v>
      </c>
      <c r="O23" s="245">
        <f t="shared" si="17"/>
        <v>0.47131975442062291</v>
      </c>
      <c r="P23" s="245">
        <f t="shared" si="17"/>
        <v>0.40836334829860038</v>
      </c>
      <c r="Q23" s="24"/>
    </row>
    <row r="24" spans="1:26" ht="18" hidden="1" customHeight="1">
      <c r="B24" s="226" t="s">
        <v>287</v>
      </c>
      <c r="C24" s="90"/>
      <c r="D24" s="227">
        <f t="shared" ref="D24" si="18">SUM(E24:P24)</f>
        <v>7170972.1371412277</v>
      </c>
      <c r="E24" s="228">
        <f t="shared" ref="E24:O24" si="19">E22</f>
        <v>534732.76996957231</v>
      </c>
      <c r="F24" s="70">
        <f t="shared" si="19"/>
        <v>373287.95729862677</v>
      </c>
      <c r="G24" s="70">
        <f t="shared" si="19"/>
        <v>452935.14549305639</v>
      </c>
      <c r="H24" s="70">
        <f t="shared" si="19"/>
        <v>537147.41787611216</v>
      </c>
      <c r="I24" s="70">
        <f t="shared" si="19"/>
        <v>678524.08690012223</v>
      </c>
      <c r="J24" s="70">
        <f t="shared" si="19"/>
        <v>685957.21176006645</v>
      </c>
      <c r="K24" s="70">
        <f t="shared" si="19"/>
        <v>825545.76464001264</v>
      </c>
      <c r="L24" s="70">
        <f t="shared" si="19"/>
        <v>906419.61270960514</v>
      </c>
      <c r="M24" s="70">
        <f t="shared" si="19"/>
        <v>790429.40803189226</v>
      </c>
      <c r="N24" s="70">
        <f t="shared" si="19"/>
        <v>748468.82492494199</v>
      </c>
      <c r="O24" s="70">
        <f t="shared" si="19"/>
        <v>643338.84517703729</v>
      </c>
      <c r="P24" s="70">
        <f>P22-(D22*7%)</f>
        <v>-5814.9076398178004</v>
      </c>
      <c r="Q24" s="229" t="s">
        <v>286</v>
      </c>
    </row>
    <row r="25" spans="1:26" ht="18" hidden="1" customHeight="1" thickBot="1">
      <c r="B25" s="91"/>
      <c r="C25" s="231" t="s">
        <v>285</v>
      </c>
      <c r="D25" s="247">
        <f>D24/D$7</f>
        <v>0.43505216092954341</v>
      </c>
      <c r="E25" s="248">
        <f t="shared" ref="E25" si="20">E24/E$7</f>
        <v>0.44155876632538682</v>
      </c>
      <c r="F25" s="249">
        <f t="shared" ref="F25" si="21">F24/F$7</f>
        <v>0.3806738465395697</v>
      </c>
      <c r="G25" s="249">
        <f t="shared" ref="G25" si="22">G24/G$7</f>
        <v>0.41236874226647652</v>
      </c>
      <c r="H25" s="249">
        <f t="shared" ref="H25" si="23">H24/H$7</f>
        <v>0.4424250099936623</v>
      </c>
      <c r="I25" s="249">
        <f t="shared" ref="I25" si="24">I24/I$7</f>
        <v>0.47936670861731001</v>
      </c>
      <c r="J25" s="249">
        <f t="shared" ref="J25" si="25">J24/J$7</f>
        <v>0.47936403516039283</v>
      </c>
      <c r="K25" s="249">
        <f t="shared" ref="K25" si="26">K24/K$7</f>
        <v>0.50791333796657756</v>
      </c>
      <c r="L25" s="249">
        <f t="shared" ref="L25" si="27">L24/L$7</f>
        <v>0.52074992316742164</v>
      </c>
      <c r="M25" s="249">
        <f t="shared" ref="M25" si="28">M24/M$7</f>
        <v>0.50053560305603573</v>
      </c>
      <c r="N25" s="249">
        <f t="shared" ref="N25" si="29">N24/N$7</f>
        <v>0.49407512142982801</v>
      </c>
      <c r="O25" s="249">
        <f t="shared" ref="O25" si="30">O24/O$7</f>
        <v>0.47131975442062291</v>
      </c>
      <c r="P25" s="249">
        <f t="shared" ref="P25" si="31">P24/P$7</f>
        <v>-4.4473430564580989E-3</v>
      </c>
      <c r="Q25" s="230"/>
    </row>
    <row r="26" spans="1:26" hidden="1"/>
    <row r="27" spans="1:26" ht="19">
      <c r="A27" s="242" t="s">
        <v>284</v>
      </c>
    </row>
    <row r="29" spans="1:26" s="3" customFormat="1" ht="14">
      <c r="A29" s="3" t="s">
        <v>288</v>
      </c>
      <c r="Z29" s="96"/>
    </row>
    <row r="30" spans="1:26" ht="14" thickBot="1">
      <c r="Q30" s="41" t="s">
        <v>96</v>
      </c>
    </row>
    <row r="31" spans="1:26" ht="17.5" customHeight="1">
      <c r="B31" s="299" t="s">
        <v>27</v>
      </c>
      <c r="C31" s="300"/>
      <c r="D31" s="301" t="s">
        <v>39</v>
      </c>
      <c r="E31" s="304" t="s">
        <v>264</v>
      </c>
      <c r="F31" s="304"/>
      <c r="G31" s="304"/>
      <c r="H31" s="304"/>
      <c r="I31" s="304"/>
      <c r="J31" s="304"/>
      <c r="K31" s="304"/>
      <c r="L31" s="304"/>
      <c r="M31" s="304"/>
      <c r="N31" s="304"/>
      <c r="O31" s="304"/>
      <c r="P31" s="305"/>
      <c r="Q31" s="306" t="s">
        <v>91</v>
      </c>
    </row>
    <row r="32" spans="1:26" ht="17.5" customHeight="1">
      <c r="B32" s="299"/>
      <c r="C32" s="300"/>
      <c r="D32" s="302"/>
      <c r="E32" s="154">
        <v>1</v>
      </c>
      <c r="F32" s="237">
        <v>2</v>
      </c>
      <c r="G32" s="237">
        <v>3</v>
      </c>
      <c r="H32" s="237">
        <v>4</v>
      </c>
      <c r="I32" s="237">
        <v>5</v>
      </c>
      <c r="J32" s="237">
        <v>6</v>
      </c>
      <c r="K32" s="237">
        <v>7</v>
      </c>
      <c r="L32" s="237">
        <v>8</v>
      </c>
      <c r="M32" s="237">
        <v>9</v>
      </c>
      <c r="N32" s="237">
        <v>10</v>
      </c>
      <c r="O32" s="237">
        <v>11</v>
      </c>
      <c r="P32" s="237">
        <v>12</v>
      </c>
      <c r="Q32" s="307"/>
    </row>
    <row r="33" spans="2:17" ht="17.5" customHeight="1">
      <c r="B33" s="4" t="s">
        <v>12</v>
      </c>
      <c r="C33" s="31"/>
      <c r="D33" s="51">
        <f>SUM(E33:P33)</f>
        <v>784670.7648822437</v>
      </c>
      <c r="E33" s="52">
        <f>'#)비용'!$E$6/12</f>
        <v>65389.230406853661</v>
      </c>
      <c r="F33" s="53">
        <f>'#)비용'!$E$6/12</f>
        <v>65389.230406853661</v>
      </c>
      <c r="G33" s="53">
        <f>'#)비용'!$E$6/12</f>
        <v>65389.230406853661</v>
      </c>
      <c r="H33" s="53">
        <f>'#)비용'!$E$6/12</f>
        <v>65389.230406853661</v>
      </c>
      <c r="I33" s="53">
        <f>'#)비용'!$E$6/12</f>
        <v>65389.230406853661</v>
      </c>
      <c r="J33" s="53">
        <f>'#)비용'!$E$6/12</f>
        <v>65389.230406853661</v>
      </c>
      <c r="K33" s="53">
        <f>'#)비용'!$E$6/12</f>
        <v>65389.230406853661</v>
      </c>
      <c r="L33" s="53">
        <f>'#)비용'!$E$6/12</f>
        <v>65389.230406853661</v>
      </c>
      <c r="M33" s="53">
        <f>'#)비용'!$E$6/12</f>
        <v>65389.230406853661</v>
      </c>
      <c r="N33" s="53">
        <f>'#)비용'!$E$6/12</f>
        <v>65389.230406853661</v>
      </c>
      <c r="O33" s="53">
        <f>'#)비용'!$E$6/12</f>
        <v>65389.230406853661</v>
      </c>
      <c r="P33" s="53">
        <f>'#)비용'!$E$6/12</f>
        <v>65389.230406853661</v>
      </c>
      <c r="Q33" s="13" t="s">
        <v>292</v>
      </c>
    </row>
    <row r="34" spans="2:17" ht="17.5" customHeight="1">
      <c r="B34" s="5" t="s">
        <v>13</v>
      </c>
      <c r="D34" s="51">
        <f t="shared" ref="D34:D96" si="32">SUM(E34:P34)</f>
        <v>0</v>
      </c>
      <c r="E34" s="52">
        <f>'#)비용'!$E$7/12</f>
        <v>0</v>
      </c>
      <c r="F34" s="53">
        <f>'#)비용'!$E$7/12</f>
        <v>0</v>
      </c>
      <c r="G34" s="53">
        <f>'#)비용'!$E$7/12</f>
        <v>0</v>
      </c>
      <c r="H34" s="53">
        <f>'#)비용'!$E$7/12</f>
        <v>0</v>
      </c>
      <c r="I34" s="53">
        <f>'#)비용'!$E$7/12</f>
        <v>0</v>
      </c>
      <c r="J34" s="53">
        <f>'#)비용'!$E$7/12</f>
        <v>0</v>
      </c>
      <c r="K34" s="53">
        <f>'#)비용'!$E$7/12</f>
        <v>0</v>
      </c>
      <c r="L34" s="53">
        <f>'#)비용'!$E$7/12</f>
        <v>0</v>
      </c>
      <c r="M34" s="53">
        <f>'#)비용'!$E$7/12</f>
        <v>0</v>
      </c>
      <c r="N34" s="53">
        <f>'#)비용'!$E$7/12</f>
        <v>0</v>
      </c>
      <c r="O34" s="53">
        <f>'#)비용'!$E$7/12</f>
        <v>0</v>
      </c>
      <c r="P34" s="53">
        <f>'#)비용'!$E$7/12</f>
        <v>0</v>
      </c>
      <c r="Q34" s="14" t="s">
        <v>195</v>
      </c>
    </row>
    <row r="35" spans="2:17" ht="17.5" customHeight="1">
      <c r="B35" s="5" t="s">
        <v>14</v>
      </c>
      <c r="D35" s="51">
        <f t="shared" si="32"/>
        <v>65389.230406853661</v>
      </c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>
        <f>'#)비용'!$E$8</f>
        <v>65389.230406853661</v>
      </c>
      <c r="Q35" s="14" t="s">
        <v>193</v>
      </c>
    </row>
    <row r="36" spans="2:17" ht="17.5" customHeight="1">
      <c r="B36" s="5" t="s">
        <v>15</v>
      </c>
      <c r="D36" s="51">
        <f t="shared" si="32"/>
        <v>0</v>
      </c>
      <c r="E36" s="52">
        <f>'#)비용'!$E$9/12</f>
        <v>0</v>
      </c>
      <c r="F36" s="53">
        <f>'#)비용'!$E$9/12</f>
        <v>0</v>
      </c>
      <c r="G36" s="53">
        <f>'#)비용'!$E$9/12</f>
        <v>0</v>
      </c>
      <c r="H36" s="53">
        <f>'#)비용'!$E$9/12</f>
        <v>0</v>
      </c>
      <c r="I36" s="53">
        <f>'#)비용'!$E$9/12</f>
        <v>0</v>
      </c>
      <c r="J36" s="53">
        <f>'#)비용'!$E$9/12</f>
        <v>0</v>
      </c>
      <c r="K36" s="53">
        <f>'#)비용'!$E$9/12</f>
        <v>0</v>
      </c>
      <c r="L36" s="53">
        <f>'#)비용'!$E$9/12</f>
        <v>0</v>
      </c>
      <c r="M36" s="53">
        <f>'#)비용'!$E$9/12</f>
        <v>0</v>
      </c>
      <c r="N36" s="53">
        <f>'#)비용'!$E$9/12</f>
        <v>0</v>
      </c>
      <c r="O36" s="53">
        <f>'#)비용'!$E$9/12</f>
        <v>0</v>
      </c>
      <c r="P36" s="53">
        <f>'#)비용'!$E$9/12</f>
        <v>0</v>
      </c>
      <c r="Q36" s="14" t="s">
        <v>202</v>
      </c>
    </row>
    <row r="37" spans="2:17" ht="17.5" customHeight="1">
      <c r="B37" s="19" t="s">
        <v>42</v>
      </c>
      <c r="C37" s="35"/>
      <c r="D37" s="51">
        <f t="shared" si="32"/>
        <v>78467.076488224397</v>
      </c>
      <c r="E37" s="52">
        <f>'#)비용'!$E$10/12</f>
        <v>6538.9230406853667</v>
      </c>
      <c r="F37" s="53">
        <f>'#)비용'!$E$10/12</f>
        <v>6538.9230406853667</v>
      </c>
      <c r="G37" s="53">
        <f>'#)비용'!$E$10/12</f>
        <v>6538.9230406853667</v>
      </c>
      <c r="H37" s="53">
        <f>'#)비용'!$E$10/12</f>
        <v>6538.9230406853667</v>
      </c>
      <c r="I37" s="53">
        <f>'#)비용'!$E$10/12</f>
        <v>6538.9230406853667</v>
      </c>
      <c r="J37" s="53">
        <f>'#)비용'!$E$10/12</f>
        <v>6538.9230406853667</v>
      </c>
      <c r="K37" s="53">
        <f>'#)비용'!$E$10/12</f>
        <v>6538.9230406853667</v>
      </c>
      <c r="L37" s="53">
        <f>'#)비용'!$E$10/12</f>
        <v>6538.9230406853667</v>
      </c>
      <c r="M37" s="53">
        <f>'#)비용'!$E$10/12</f>
        <v>6538.9230406853667</v>
      </c>
      <c r="N37" s="53">
        <f>'#)비용'!$E$10/12</f>
        <v>6538.9230406853667</v>
      </c>
      <c r="O37" s="53">
        <f>'#)비용'!$E$10/12</f>
        <v>6538.9230406853667</v>
      </c>
      <c r="P37" s="53">
        <f>'#)비용'!$E$10/12</f>
        <v>6538.9230406853667</v>
      </c>
      <c r="Q37" s="21" t="s">
        <v>218</v>
      </c>
    </row>
    <row r="38" spans="2:17" ht="17.5" customHeight="1">
      <c r="B38" s="16" t="s">
        <v>16</v>
      </c>
      <c r="C38" s="36"/>
      <c r="D38" s="239">
        <f t="shared" si="32"/>
        <v>928527.0717773221</v>
      </c>
      <c r="E38" s="63">
        <f t="shared" ref="E38:P38" si="33">SUM(E33:E37)</f>
        <v>71928.153447539022</v>
      </c>
      <c r="F38" s="80">
        <f t="shared" si="33"/>
        <v>71928.153447539022</v>
      </c>
      <c r="G38" s="80">
        <f t="shared" si="33"/>
        <v>71928.153447539022</v>
      </c>
      <c r="H38" s="80">
        <f t="shared" si="33"/>
        <v>71928.153447539022</v>
      </c>
      <c r="I38" s="80">
        <f t="shared" si="33"/>
        <v>71928.153447539022</v>
      </c>
      <c r="J38" s="80">
        <f t="shared" si="33"/>
        <v>71928.153447539022</v>
      </c>
      <c r="K38" s="80">
        <f t="shared" si="33"/>
        <v>71928.153447539022</v>
      </c>
      <c r="L38" s="80">
        <f t="shared" si="33"/>
        <v>71928.153447539022</v>
      </c>
      <c r="M38" s="80">
        <f t="shared" si="33"/>
        <v>71928.153447539022</v>
      </c>
      <c r="N38" s="80">
        <f t="shared" si="33"/>
        <v>71928.153447539022</v>
      </c>
      <c r="O38" s="80">
        <f t="shared" si="33"/>
        <v>71928.153447539022</v>
      </c>
      <c r="P38" s="80">
        <f t="shared" si="33"/>
        <v>137317.38385439268</v>
      </c>
      <c r="Q38" s="18"/>
    </row>
    <row r="39" spans="2:17" ht="17.5" customHeight="1">
      <c r="B39" s="26" t="s">
        <v>17</v>
      </c>
      <c r="C39" s="37"/>
      <c r="D39" s="238">
        <f t="shared" si="32"/>
        <v>0</v>
      </c>
      <c r="E39" s="46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12" t="s">
        <v>195</v>
      </c>
    </row>
    <row r="40" spans="2:17" ht="17.5" customHeight="1">
      <c r="B40" s="19" t="s">
        <v>20</v>
      </c>
      <c r="C40" s="35"/>
      <c r="D40" s="51">
        <f t="shared" si="32"/>
        <v>651849.37725239969</v>
      </c>
      <c r="E40" s="52">
        <f>'#)비용'!$E$13/12</f>
        <v>54320.781437699974</v>
      </c>
      <c r="F40" s="53">
        <f>'#)비용'!$E$13/12</f>
        <v>54320.781437699974</v>
      </c>
      <c r="G40" s="53">
        <f>'#)비용'!$E$13/12</f>
        <v>54320.781437699974</v>
      </c>
      <c r="H40" s="53">
        <f>'#)비용'!$E$13/12</f>
        <v>54320.781437699974</v>
      </c>
      <c r="I40" s="53">
        <f>'#)비용'!$E$13/12</f>
        <v>54320.781437699974</v>
      </c>
      <c r="J40" s="53">
        <f>'#)비용'!$E$13/12</f>
        <v>54320.781437699974</v>
      </c>
      <c r="K40" s="53">
        <f>'#)비용'!$E$13/12</f>
        <v>54320.781437699974</v>
      </c>
      <c r="L40" s="53">
        <f>'#)비용'!$E$13/12</f>
        <v>54320.781437699974</v>
      </c>
      <c r="M40" s="53">
        <f>'#)비용'!$E$13/12</f>
        <v>54320.781437699974</v>
      </c>
      <c r="N40" s="53">
        <f>'#)비용'!$E$13/12</f>
        <v>54320.781437699974</v>
      </c>
      <c r="O40" s="53">
        <f>'#)비용'!$E$13/12</f>
        <v>54320.781437699974</v>
      </c>
      <c r="P40" s="53">
        <f>'#)비용'!$E$13/12</f>
        <v>54320.781437699974</v>
      </c>
      <c r="Q40" s="13" t="s">
        <v>321</v>
      </c>
    </row>
    <row r="41" spans="2:17" ht="17.5" customHeight="1">
      <c r="B41" s="19" t="s">
        <v>21</v>
      </c>
      <c r="C41" s="35"/>
      <c r="D41" s="51">
        <f t="shared" si="32"/>
        <v>0</v>
      </c>
      <c r="E41" s="52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21" t="s">
        <v>195</v>
      </c>
    </row>
    <row r="42" spans="2:17" ht="17.5" customHeight="1">
      <c r="B42" s="19" t="s">
        <v>22</v>
      </c>
      <c r="C42" s="35"/>
      <c r="D42" s="51">
        <f t="shared" si="32"/>
        <v>82415.084685702372</v>
      </c>
      <c r="E42" s="52">
        <f t="shared" ref="E42:P42" si="34">E7*0.5%</f>
        <v>6055.0577946800986</v>
      </c>
      <c r="F42" s="53">
        <f t="shared" si="34"/>
        <v>4902.9892740454507</v>
      </c>
      <c r="G42" s="53">
        <f t="shared" si="34"/>
        <v>5491.8704919730008</v>
      </c>
      <c r="H42" s="53">
        <f t="shared" si="34"/>
        <v>6070.4911085813928</v>
      </c>
      <c r="I42" s="53">
        <f t="shared" si="34"/>
        <v>7077.2967198458955</v>
      </c>
      <c r="J42" s="53">
        <f t="shared" si="34"/>
        <v>7154.8672975700874</v>
      </c>
      <c r="K42" s="53">
        <f t="shared" si="34"/>
        <v>8126.8368334750876</v>
      </c>
      <c r="L42" s="53">
        <f t="shared" si="34"/>
        <v>8703.0220493973102</v>
      </c>
      <c r="M42" s="53">
        <f t="shared" si="34"/>
        <v>7895.8360125223953</v>
      </c>
      <c r="N42" s="53">
        <f t="shared" si="34"/>
        <v>7574.443565979519</v>
      </c>
      <c r="O42" s="53">
        <f t="shared" si="34"/>
        <v>6824.8661247805276</v>
      </c>
      <c r="P42" s="53">
        <f t="shared" si="34"/>
        <v>6537.5074128516198</v>
      </c>
      <c r="Q42" s="21" t="s">
        <v>207</v>
      </c>
    </row>
    <row r="43" spans="2:17" ht="17.5" customHeight="1">
      <c r="B43" s="19" t="s">
        <v>23</v>
      </c>
      <c r="C43" s="35"/>
      <c r="D43" s="51">
        <f t="shared" si="32"/>
        <v>1276728.3899999999</v>
      </c>
      <c r="E43" s="52">
        <f>'#)비용'!$E$16/12</f>
        <v>106394.03249999999</v>
      </c>
      <c r="F43" s="53">
        <f>'#)비용'!$E$16/12</f>
        <v>106394.03249999999</v>
      </c>
      <c r="G43" s="53">
        <f>'#)비용'!$E$16/12</f>
        <v>106394.03249999999</v>
      </c>
      <c r="H43" s="53">
        <f>'#)비용'!$E$16/12</f>
        <v>106394.03249999999</v>
      </c>
      <c r="I43" s="53">
        <f>'#)비용'!$E$16/12</f>
        <v>106394.03249999999</v>
      </c>
      <c r="J43" s="53">
        <f>'#)비용'!$E$16/12</f>
        <v>106394.03249999999</v>
      </c>
      <c r="K43" s="53">
        <f>'#)비용'!$E$16/12</f>
        <v>106394.03249999999</v>
      </c>
      <c r="L43" s="53">
        <f>'#)비용'!$E$16/12</f>
        <v>106394.03249999999</v>
      </c>
      <c r="M43" s="53">
        <f>'#)비용'!$E$16/12</f>
        <v>106394.03249999999</v>
      </c>
      <c r="N43" s="53">
        <f>'#)비용'!$E$16/12</f>
        <v>106394.03249999999</v>
      </c>
      <c r="O43" s="53">
        <f>'#)비용'!$E$16/12</f>
        <v>106394.03249999999</v>
      </c>
      <c r="P43" s="53">
        <f>'#)비용'!$E$16/12</f>
        <v>106394.03249999999</v>
      </c>
      <c r="Q43" s="21" t="s">
        <v>326</v>
      </c>
    </row>
    <row r="44" spans="2:17" ht="17.5" customHeight="1">
      <c r="B44" s="22" t="s">
        <v>24</v>
      </c>
      <c r="C44" s="38"/>
      <c r="D44" s="239">
        <f t="shared" si="32"/>
        <v>2010992.8519381022</v>
      </c>
      <c r="E44" s="63">
        <f>SUM(E40:E43)</f>
        <v>166769.87173238007</v>
      </c>
      <c r="F44" s="80">
        <f t="shared" ref="F44:P44" si="35">SUM(F40:F43)</f>
        <v>165617.8032117454</v>
      </c>
      <c r="G44" s="80">
        <f t="shared" si="35"/>
        <v>166206.68442967295</v>
      </c>
      <c r="H44" s="80">
        <f t="shared" si="35"/>
        <v>166785.30504628137</v>
      </c>
      <c r="I44" s="80">
        <f t="shared" si="35"/>
        <v>167792.11065754585</v>
      </c>
      <c r="J44" s="80">
        <f t="shared" si="35"/>
        <v>167869.68123527005</v>
      </c>
      <c r="K44" s="80">
        <f t="shared" si="35"/>
        <v>168841.65077117505</v>
      </c>
      <c r="L44" s="80">
        <f t="shared" si="35"/>
        <v>169417.83598709726</v>
      </c>
      <c r="M44" s="80">
        <f t="shared" si="35"/>
        <v>168610.64995022235</v>
      </c>
      <c r="N44" s="80">
        <f t="shared" si="35"/>
        <v>168289.25750367949</v>
      </c>
      <c r="O44" s="80">
        <f t="shared" si="35"/>
        <v>167539.6800624805</v>
      </c>
      <c r="P44" s="80">
        <f t="shared" si="35"/>
        <v>167252.32135055159</v>
      </c>
      <c r="Q44" s="24"/>
    </row>
    <row r="45" spans="2:17" ht="17.5" customHeight="1">
      <c r="B45" s="19" t="s">
        <v>43</v>
      </c>
      <c r="C45" s="35"/>
      <c r="D45" s="51">
        <f t="shared" si="32"/>
        <v>58396.80000000001</v>
      </c>
      <c r="E45" s="52">
        <f>'#)비용'!$E18/12</f>
        <v>4866.4000000000005</v>
      </c>
      <c r="F45" s="53">
        <f>'#)비용'!$E18/12</f>
        <v>4866.4000000000005</v>
      </c>
      <c r="G45" s="53">
        <f>'#)비용'!$E18/12</f>
        <v>4866.4000000000005</v>
      </c>
      <c r="H45" s="53">
        <f>'#)비용'!$E18/12</f>
        <v>4866.4000000000005</v>
      </c>
      <c r="I45" s="53">
        <f>'#)비용'!$E18/12</f>
        <v>4866.4000000000005</v>
      </c>
      <c r="J45" s="53">
        <f>'#)비용'!$E18/12</f>
        <v>4866.4000000000005</v>
      </c>
      <c r="K45" s="53">
        <f>'#)비용'!$E18/12</f>
        <v>4866.4000000000005</v>
      </c>
      <c r="L45" s="53">
        <f>'#)비용'!$E18/12</f>
        <v>4866.4000000000005</v>
      </c>
      <c r="M45" s="53">
        <f>'#)비용'!$E18/12</f>
        <v>4866.4000000000005</v>
      </c>
      <c r="N45" s="53">
        <f>'#)비용'!$E18/12</f>
        <v>4866.4000000000005</v>
      </c>
      <c r="O45" s="53">
        <f>'#)비용'!$E18/12</f>
        <v>4866.4000000000005</v>
      </c>
      <c r="P45" s="53">
        <f>'#)비용'!$E18/12</f>
        <v>4866.4000000000005</v>
      </c>
      <c r="Q45" s="21" t="s">
        <v>301</v>
      </c>
    </row>
    <row r="46" spans="2:17" ht="17.5" customHeight="1">
      <c r="B46" s="19" t="s">
        <v>44</v>
      </c>
      <c r="C46" s="35"/>
      <c r="D46" s="51">
        <f t="shared" ref="D46:D55" si="36">SUM(E46:P46)</f>
        <v>1200</v>
      </c>
      <c r="E46" s="52">
        <f>'#)비용'!$E19/12</f>
        <v>100</v>
      </c>
      <c r="F46" s="53">
        <f>'#)비용'!$E19/12</f>
        <v>100</v>
      </c>
      <c r="G46" s="53">
        <f>'#)비용'!$E19/12</f>
        <v>100</v>
      </c>
      <c r="H46" s="53">
        <f>'#)비용'!$E19/12</f>
        <v>100</v>
      </c>
      <c r="I46" s="53">
        <f>'#)비용'!$E19/12</f>
        <v>100</v>
      </c>
      <c r="J46" s="53">
        <f>'#)비용'!$E19/12</f>
        <v>100</v>
      </c>
      <c r="K46" s="53">
        <f>'#)비용'!$E19/12</f>
        <v>100</v>
      </c>
      <c r="L46" s="53">
        <f>'#)비용'!$E19/12</f>
        <v>100</v>
      </c>
      <c r="M46" s="53">
        <f>'#)비용'!$E19/12</f>
        <v>100</v>
      </c>
      <c r="N46" s="53">
        <f>'#)비용'!$E19/12</f>
        <v>100</v>
      </c>
      <c r="O46" s="53">
        <f>'#)비용'!$E19/12</f>
        <v>100</v>
      </c>
      <c r="P46" s="53">
        <f>'#)비용'!$E19/12</f>
        <v>100</v>
      </c>
      <c r="Q46" s="21" t="s">
        <v>328</v>
      </c>
    </row>
    <row r="47" spans="2:17" ht="17.5" customHeight="1">
      <c r="B47" s="19" t="s">
        <v>45</v>
      </c>
      <c r="C47" s="35"/>
      <c r="D47" s="51">
        <f t="shared" si="36"/>
        <v>1200</v>
      </c>
      <c r="E47" s="52">
        <f>'#)비용'!$E20/12</f>
        <v>100</v>
      </c>
      <c r="F47" s="53">
        <f>'#)비용'!$E20/12</f>
        <v>100</v>
      </c>
      <c r="G47" s="53">
        <f>'#)비용'!$E20/12</f>
        <v>100</v>
      </c>
      <c r="H47" s="53">
        <f>'#)비용'!$E20/12</f>
        <v>100</v>
      </c>
      <c r="I47" s="53">
        <f>'#)비용'!$E20/12</f>
        <v>100</v>
      </c>
      <c r="J47" s="53">
        <f>'#)비용'!$E20/12</f>
        <v>100</v>
      </c>
      <c r="K47" s="53">
        <f>'#)비용'!$E20/12</f>
        <v>100</v>
      </c>
      <c r="L47" s="53">
        <f>'#)비용'!$E20/12</f>
        <v>100</v>
      </c>
      <c r="M47" s="53">
        <f>'#)비용'!$E20/12</f>
        <v>100</v>
      </c>
      <c r="N47" s="53">
        <f>'#)비용'!$E20/12</f>
        <v>100</v>
      </c>
      <c r="O47" s="53">
        <f>'#)비용'!$E20/12</f>
        <v>100</v>
      </c>
      <c r="P47" s="53">
        <f>'#)비용'!$E20/12</f>
        <v>100</v>
      </c>
      <c r="Q47" s="21" t="s">
        <v>329</v>
      </c>
    </row>
    <row r="48" spans="2:17" ht="17.5" customHeight="1">
      <c r="B48" s="19" t="s">
        <v>46</v>
      </c>
      <c r="C48" s="35"/>
      <c r="D48" s="51">
        <f t="shared" si="36"/>
        <v>10000</v>
      </c>
      <c r="E48" s="52">
        <v>800</v>
      </c>
      <c r="F48" s="53">
        <v>800</v>
      </c>
      <c r="G48" s="53">
        <v>800</v>
      </c>
      <c r="H48" s="53">
        <v>800</v>
      </c>
      <c r="I48" s="53">
        <v>800</v>
      </c>
      <c r="J48" s="53">
        <v>800</v>
      </c>
      <c r="K48" s="53">
        <v>1000</v>
      </c>
      <c r="L48" s="53">
        <v>1000</v>
      </c>
      <c r="M48" s="53">
        <v>800</v>
      </c>
      <c r="N48" s="53">
        <v>800</v>
      </c>
      <c r="O48" s="53">
        <v>800</v>
      </c>
      <c r="P48" s="53">
        <v>800</v>
      </c>
      <c r="Q48" s="21" t="s">
        <v>315</v>
      </c>
    </row>
    <row r="49" spans="2:17" ht="17.5" customHeight="1">
      <c r="B49" s="19" t="s">
        <v>47</v>
      </c>
      <c r="C49" s="35"/>
      <c r="D49" s="51">
        <f t="shared" si="36"/>
        <v>3000</v>
      </c>
      <c r="E49" s="52">
        <f>'#)비용'!$E22/12</f>
        <v>250</v>
      </c>
      <c r="F49" s="53">
        <f>'#)비용'!$E22/12</f>
        <v>250</v>
      </c>
      <c r="G49" s="53">
        <f>'#)비용'!$E22/12</f>
        <v>250</v>
      </c>
      <c r="H49" s="53">
        <f>'#)비용'!$E22/12</f>
        <v>250</v>
      </c>
      <c r="I49" s="53">
        <f>'#)비용'!$E22/12</f>
        <v>250</v>
      </c>
      <c r="J49" s="53">
        <f>'#)비용'!$E22/12</f>
        <v>250</v>
      </c>
      <c r="K49" s="53">
        <f>'#)비용'!$E22/12</f>
        <v>250</v>
      </c>
      <c r="L49" s="53">
        <f>'#)비용'!$E22/12</f>
        <v>250</v>
      </c>
      <c r="M49" s="53">
        <f>'#)비용'!$E22/12</f>
        <v>250</v>
      </c>
      <c r="N49" s="53">
        <f>'#)비용'!$E22/12</f>
        <v>250</v>
      </c>
      <c r="O49" s="53">
        <f>'#)비용'!$E22/12</f>
        <v>250</v>
      </c>
      <c r="P49" s="53">
        <f>'#)비용'!$E22/12</f>
        <v>250</v>
      </c>
      <c r="Q49" s="21" t="s">
        <v>330</v>
      </c>
    </row>
    <row r="50" spans="2:17" ht="17.5" customHeight="1">
      <c r="B50" s="19" t="s">
        <v>55</v>
      </c>
      <c r="C50" s="35"/>
      <c r="D50" s="51">
        <f t="shared" si="36"/>
        <v>78467.076488224397</v>
      </c>
      <c r="E50" s="52">
        <f>'#)비용'!$E23/12</f>
        <v>6538.9230406853667</v>
      </c>
      <c r="F50" s="53">
        <f>'#)비용'!$E23/12</f>
        <v>6538.9230406853667</v>
      </c>
      <c r="G50" s="53">
        <f>'#)비용'!$E23/12</f>
        <v>6538.9230406853667</v>
      </c>
      <c r="H50" s="53">
        <f>'#)비용'!$E23/12</f>
        <v>6538.9230406853667</v>
      </c>
      <c r="I50" s="53">
        <f>'#)비용'!$E23/12</f>
        <v>6538.9230406853667</v>
      </c>
      <c r="J50" s="53">
        <f>'#)비용'!$E23/12</f>
        <v>6538.9230406853667</v>
      </c>
      <c r="K50" s="53">
        <f>'#)비용'!$E23/12</f>
        <v>6538.9230406853667</v>
      </c>
      <c r="L50" s="53">
        <f>'#)비용'!$E23/12</f>
        <v>6538.9230406853667</v>
      </c>
      <c r="M50" s="53">
        <f>'#)비용'!$E23/12</f>
        <v>6538.9230406853667</v>
      </c>
      <c r="N50" s="53">
        <f>'#)비용'!$E23/12</f>
        <v>6538.9230406853667</v>
      </c>
      <c r="O50" s="53">
        <f>'#)비용'!$E23/12</f>
        <v>6538.9230406853667</v>
      </c>
      <c r="P50" s="53">
        <f>'#)비용'!$E23/12</f>
        <v>6538.9230406853667</v>
      </c>
      <c r="Q50" s="21" t="s">
        <v>219</v>
      </c>
    </row>
    <row r="51" spans="2:17" ht="17.5" customHeight="1">
      <c r="B51" s="19" t="s">
        <v>54</v>
      </c>
      <c r="C51" s="35"/>
      <c r="D51" s="51">
        <f t="shared" si="36"/>
        <v>1599.9999999999998</v>
      </c>
      <c r="E51" s="52">
        <f>'#)비용'!$E24/12</f>
        <v>133.33333333333334</v>
      </c>
      <c r="F51" s="53">
        <f>'#)비용'!$E24/12</f>
        <v>133.33333333333334</v>
      </c>
      <c r="G51" s="53">
        <f>'#)비용'!$E24/12</f>
        <v>133.33333333333334</v>
      </c>
      <c r="H51" s="53">
        <f>'#)비용'!$E24/12</f>
        <v>133.33333333333334</v>
      </c>
      <c r="I51" s="53">
        <f>'#)비용'!$E24/12</f>
        <v>133.33333333333334</v>
      </c>
      <c r="J51" s="53">
        <f>'#)비용'!$E24/12</f>
        <v>133.33333333333334</v>
      </c>
      <c r="K51" s="53">
        <f>'#)비용'!$E24/12</f>
        <v>133.33333333333334</v>
      </c>
      <c r="L51" s="53">
        <f>'#)비용'!$E24/12</f>
        <v>133.33333333333334</v>
      </c>
      <c r="M51" s="53">
        <f>'#)비용'!$E24/12</f>
        <v>133.33333333333334</v>
      </c>
      <c r="N51" s="53">
        <f>'#)비용'!$E24/12</f>
        <v>133.33333333333334</v>
      </c>
      <c r="O51" s="53">
        <f>'#)비용'!$E24/12</f>
        <v>133.33333333333334</v>
      </c>
      <c r="P51" s="53">
        <f>'#)비용'!$E24/12</f>
        <v>133.33333333333334</v>
      </c>
      <c r="Q51" s="21" t="s">
        <v>203</v>
      </c>
    </row>
    <row r="52" spans="2:17" ht="17.5" customHeight="1">
      <c r="B52" s="19" t="s">
        <v>48</v>
      </c>
      <c r="C52" s="35"/>
      <c r="D52" s="51">
        <f t="shared" si="36"/>
        <v>7560</v>
      </c>
      <c r="E52" s="52">
        <f>'#)비용'!$E25/12</f>
        <v>630</v>
      </c>
      <c r="F52" s="53">
        <f>'#)비용'!$E25/12</f>
        <v>630</v>
      </c>
      <c r="G52" s="53">
        <f>'#)비용'!$E25/12</f>
        <v>630</v>
      </c>
      <c r="H52" s="53">
        <f>'#)비용'!$E25/12</f>
        <v>630</v>
      </c>
      <c r="I52" s="53">
        <f>'#)비용'!$E25/12</f>
        <v>630</v>
      </c>
      <c r="J52" s="53">
        <f>'#)비용'!$E25/12</f>
        <v>630</v>
      </c>
      <c r="K52" s="53">
        <f>'#)비용'!$E25/12</f>
        <v>630</v>
      </c>
      <c r="L52" s="53">
        <f>'#)비용'!$E25/12</f>
        <v>630</v>
      </c>
      <c r="M52" s="53">
        <f>'#)비용'!$E25/12</f>
        <v>630</v>
      </c>
      <c r="N52" s="53">
        <f>'#)비용'!$E25/12</f>
        <v>630</v>
      </c>
      <c r="O52" s="53">
        <f>'#)비용'!$E25/12</f>
        <v>630</v>
      </c>
      <c r="P52" s="53">
        <f>'#)비용'!$E25/12</f>
        <v>630</v>
      </c>
      <c r="Q52" s="21" t="s">
        <v>271</v>
      </c>
    </row>
    <row r="53" spans="2:17" ht="17.5" customHeight="1">
      <c r="B53" s="19" t="s">
        <v>56</v>
      </c>
      <c r="C53" s="35"/>
      <c r="D53" s="51">
        <f t="shared" si="36"/>
        <v>3600</v>
      </c>
      <c r="E53" s="52">
        <f>'#)비용'!$E26/12</f>
        <v>300</v>
      </c>
      <c r="F53" s="53">
        <f>'#)비용'!$E26/12</f>
        <v>300</v>
      </c>
      <c r="G53" s="53">
        <f>'#)비용'!$E26/12</f>
        <v>300</v>
      </c>
      <c r="H53" s="53">
        <f>'#)비용'!$E26/12</f>
        <v>300</v>
      </c>
      <c r="I53" s="53">
        <f>'#)비용'!$E26/12</f>
        <v>300</v>
      </c>
      <c r="J53" s="53">
        <f>'#)비용'!$E26/12</f>
        <v>300</v>
      </c>
      <c r="K53" s="53">
        <f>'#)비용'!$E26/12</f>
        <v>300</v>
      </c>
      <c r="L53" s="53">
        <f>'#)비용'!$E26/12</f>
        <v>300</v>
      </c>
      <c r="M53" s="53">
        <f>'#)비용'!$E26/12</f>
        <v>300</v>
      </c>
      <c r="N53" s="53">
        <f>'#)비용'!$E26/12</f>
        <v>300</v>
      </c>
      <c r="O53" s="53">
        <f>'#)비용'!$E26/12</f>
        <v>300</v>
      </c>
      <c r="P53" s="53">
        <f>'#)비용'!$E26/12</f>
        <v>300</v>
      </c>
      <c r="Q53" s="21" t="s">
        <v>331</v>
      </c>
    </row>
    <row r="54" spans="2:17" ht="17.5" customHeight="1">
      <c r="B54" s="19" t="s">
        <v>57</v>
      </c>
      <c r="C54" s="35"/>
      <c r="D54" s="51">
        <f t="shared" si="36"/>
        <v>38400</v>
      </c>
      <c r="E54" s="52">
        <f>'#)비용'!$E27/12</f>
        <v>3200</v>
      </c>
      <c r="F54" s="53">
        <f>'#)비용'!$E27/12</f>
        <v>3200</v>
      </c>
      <c r="G54" s="53">
        <f>'#)비용'!$E27/12</f>
        <v>3200</v>
      </c>
      <c r="H54" s="53">
        <f>'#)비용'!$E27/12</f>
        <v>3200</v>
      </c>
      <c r="I54" s="53">
        <f>'#)비용'!$E27/12</f>
        <v>3200</v>
      </c>
      <c r="J54" s="53">
        <f>'#)비용'!$E27/12</f>
        <v>3200</v>
      </c>
      <c r="K54" s="53">
        <f>'#)비용'!$E27/12</f>
        <v>3200</v>
      </c>
      <c r="L54" s="53">
        <f>'#)비용'!$E27/12</f>
        <v>3200</v>
      </c>
      <c r="M54" s="53">
        <f>'#)비용'!$E27/12</f>
        <v>3200</v>
      </c>
      <c r="N54" s="53">
        <f>'#)비용'!$E27/12</f>
        <v>3200</v>
      </c>
      <c r="O54" s="53">
        <f>'#)비용'!$E27/12</f>
        <v>3200</v>
      </c>
      <c r="P54" s="53">
        <f>'#)비용'!$E27/12</f>
        <v>3200</v>
      </c>
      <c r="Q54" s="21" t="s">
        <v>332</v>
      </c>
    </row>
    <row r="55" spans="2:17" ht="17.5" customHeight="1">
      <c r="B55" s="22" t="s">
        <v>18</v>
      </c>
      <c r="C55" s="38"/>
      <c r="D55" s="239">
        <f t="shared" si="36"/>
        <v>203423.8764882244</v>
      </c>
      <c r="E55" s="63">
        <f>SUM(E45:E54)</f>
        <v>16918.656374018701</v>
      </c>
      <c r="F55" s="80">
        <f t="shared" ref="F55:P55" si="37">SUM(F45:F54)</f>
        <v>16918.656374018701</v>
      </c>
      <c r="G55" s="80">
        <f t="shared" si="37"/>
        <v>16918.656374018701</v>
      </c>
      <c r="H55" s="80">
        <f t="shared" si="37"/>
        <v>16918.656374018701</v>
      </c>
      <c r="I55" s="80">
        <f t="shared" si="37"/>
        <v>16918.656374018701</v>
      </c>
      <c r="J55" s="80">
        <f t="shared" si="37"/>
        <v>16918.656374018701</v>
      </c>
      <c r="K55" s="80">
        <f t="shared" si="37"/>
        <v>17118.656374018701</v>
      </c>
      <c r="L55" s="80">
        <f t="shared" si="37"/>
        <v>17118.656374018701</v>
      </c>
      <c r="M55" s="80">
        <f t="shared" si="37"/>
        <v>16918.656374018701</v>
      </c>
      <c r="N55" s="80">
        <f t="shared" si="37"/>
        <v>16918.656374018701</v>
      </c>
      <c r="O55" s="80">
        <f t="shared" si="37"/>
        <v>16918.656374018701</v>
      </c>
      <c r="P55" s="80">
        <f t="shared" si="37"/>
        <v>16918.656374018701</v>
      </c>
      <c r="Q55" s="24"/>
    </row>
    <row r="56" spans="2:17" ht="17.5" customHeight="1">
      <c r="B56" s="19" t="s">
        <v>53</v>
      </c>
      <c r="C56" s="35"/>
      <c r="D56" s="51">
        <f t="shared" si="32"/>
        <v>278562.98623767408</v>
      </c>
      <c r="E56" s="52">
        <f>E$7*1.3%*1.3</f>
        <v>20466.095346018734</v>
      </c>
      <c r="F56" s="53">
        <f t="shared" ref="F56:P56" si="38">F$7*1.3%*1.3</f>
        <v>16572.103746273624</v>
      </c>
      <c r="G56" s="53">
        <f t="shared" si="38"/>
        <v>18562.522262868744</v>
      </c>
      <c r="H56" s="53">
        <f t="shared" si="38"/>
        <v>20518.25994700511</v>
      </c>
      <c r="I56" s="53">
        <f t="shared" si="38"/>
        <v>23921.262913079128</v>
      </c>
      <c r="J56" s="53">
        <f t="shared" si="38"/>
        <v>24183.451465786897</v>
      </c>
      <c r="K56" s="53">
        <f t="shared" si="38"/>
        <v>27468.708497145799</v>
      </c>
      <c r="L56" s="53">
        <f t="shared" si="38"/>
        <v>29416.214526962911</v>
      </c>
      <c r="M56" s="53">
        <f t="shared" si="38"/>
        <v>26687.925722325701</v>
      </c>
      <c r="N56" s="53">
        <f t="shared" si="38"/>
        <v>25601.619253010773</v>
      </c>
      <c r="O56" s="53">
        <f t="shared" si="38"/>
        <v>23068.047501758188</v>
      </c>
      <c r="P56" s="53">
        <f t="shared" si="38"/>
        <v>22096.775055438477</v>
      </c>
      <c r="Q56" s="286" t="s">
        <v>299</v>
      </c>
    </row>
    <row r="57" spans="2:17" ht="17.5" customHeight="1">
      <c r="B57" s="19" t="s">
        <v>52</v>
      </c>
      <c r="C57" s="35"/>
      <c r="D57" s="51">
        <f t="shared" si="32"/>
        <v>857116.88073130499</v>
      </c>
      <c r="E57" s="52">
        <f>E$7*5.2%</f>
        <v>62972.601064673028</v>
      </c>
      <c r="F57" s="53">
        <f t="shared" ref="F57:P57" si="39">F$7*5.2%</f>
        <v>50991.088450072682</v>
      </c>
      <c r="G57" s="53">
        <f t="shared" si="39"/>
        <v>57115.453116519217</v>
      </c>
      <c r="H57" s="53">
        <f t="shared" si="39"/>
        <v>63133.107529246488</v>
      </c>
      <c r="I57" s="53">
        <f t="shared" si="39"/>
        <v>73603.885886397315</v>
      </c>
      <c r="J57" s="53">
        <f t="shared" si="39"/>
        <v>74410.619894728909</v>
      </c>
      <c r="K57" s="53">
        <f t="shared" si="39"/>
        <v>84519.103068140917</v>
      </c>
      <c r="L57" s="53">
        <f t="shared" si="39"/>
        <v>90511.429313732035</v>
      </c>
      <c r="M57" s="53">
        <f t="shared" si="39"/>
        <v>82116.694530232926</v>
      </c>
      <c r="N57" s="53">
        <f t="shared" si="39"/>
        <v>78774.213086186995</v>
      </c>
      <c r="O57" s="53">
        <f t="shared" si="39"/>
        <v>70978.607697717496</v>
      </c>
      <c r="P57" s="53">
        <f t="shared" si="39"/>
        <v>67990.077093656844</v>
      </c>
      <c r="Q57" s="286" t="s">
        <v>322</v>
      </c>
    </row>
    <row r="58" spans="2:17" ht="17.5" customHeight="1">
      <c r="B58" s="19" t="s">
        <v>51</v>
      </c>
      <c r="C58" s="35"/>
      <c r="D58" s="51">
        <f t="shared" si="32"/>
        <v>0</v>
      </c>
      <c r="E58" s="52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286" t="s">
        <v>195</v>
      </c>
    </row>
    <row r="59" spans="2:17" ht="17.5" customHeight="1">
      <c r="B59" s="19" t="s">
        <v>50</v>
      </c>
      <c r="C59" s="35"/>
      <c r="D59" s="51">
        <f t="shared" si="32"/>
        <v>171423.37614626097</v>
      </c>
      <c r="E59" s="52">
        <f>E$7*0.8%*1.3</f>
        <v>12594.520212934603</v>
      </c>
      <c r="F59" s="53">
        <f t="shared" ref="F59:P59" si="40">F$7*0.8%*1.3</f>
        <v>10198.217690014537</v>
      </c>
      <c r="G59" s="53">
        <f t="shared" si="40"/>
        <v>11423.090623303842</v>
      </c>
      <c r="H59" s="53">
        <f t="shared" si="40"/>
        <v>12626.621505849296</v>
      </c>
      <c r="I59" s="53">
        <f t="shared" si="40"/>
        <v>14720.777177279464</v>
      </c>
      <c r="J59" s="53">
        <f t="shared" si="40"/>
        <v>14882.123978945783</v>
      </c>
      <c r="K59" s="53">
        <f t="shared" si="40"/>
        <v>16903.820613628184</v>
      </c>
      <c r="L59" s="53">
        <f t="shared" si="40"/>
        <v>18102.285862746405</v>
      </c>
      <c r="M59" s="53">
        <f t="shared" si="40"/>
        <v>16423.338906046582</v>
      </c>
      <c r="N59" s="53">
        <f t="shared" si="40"/>
        <v>15754.842617237398</v>
      </c>
      <c r="O59" s="53">
        <f t="shared" si="40"/>
        <v>14195.721539543498</v>
      </c>
      <c r="P59" s="53">
        <f t="shared" si="40"/>
        <v>13598.015418731367</v>
      </c>
      <c r="Q59" s="286" t="s">
        <v>300</v>
      </c>
    </row>
    <row r="60" spans="2:17" ht="17.5" customHeight="1">
      <c r="B60" s="19" t="s">
        <v>58</v>
      </c>
      <c r="C60" s="35"/>
      <c r="D60" s="51">
        <f t="shared" si="32"/>
        <v>0</v>
      </c>
      <c r="E60" s="52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286" t="s">
        <v>195</v>
      </c>
    </row>
    <row r="61" spans="2:17" ht="17.5" customHeight="1">
      <c r="B61" s="22" t="s">
        <v>19</v>
      </c>
      <c r="C61" s="38"/>
      <c r="D61" s="239">
        <f t="shared" si="32"/>
        <v>1307103.24311524</v>
      </c>
      <c r="E61" s="63">
        <f>SUM(E56:E60)</f>
        <v>96033.216623626358</v>
      </c>
      <c r="F61" s="80">
        <f t="shared" ref="F61:P61" si="41">SUM(F56:F60)</f>
        <v>77761.409886360852</v>
      </c>
      <c r="G61" s="80">
        <f t="shared" si="41"/>
        <v>87101.066002691805</v>
      </c>
      <c r="H61" s="80">
        <f t="shared" si="41"/>
        <v>96277.988982100898</v>
      </c>
      <c r="I61" s="80">
        <f t="shared" si="41"/>
        <v>112245.92597675591</v>
      </c>
      <c r="J61" s="80">
        <f t="shared" si="41"/>
        <v>113476.19533946158</v>
      </c>
      <c r="K61" s="80">
        <f t="shared" si="41"/>
        <v>128891.63217891489</v>
      </c>
      <c r="L61" s="80">
        <f t="shared" si="41"/>
        <v>138029.92970344136</v>
      </c>
      <c r="M61" s="80">
        <f t="shared" si="41"/>
        <v>125227.95915860521</v>
      </c>
      <c r="N61" s="80">
        <f t="shared" si="41"/>
        <v>120130.67495643518</v>
      </c>
      <c r="O61" s="80">
        <f t="shared" si="41"/>
        <v>108242.37673901918</v>
      </c>
      <c r="P61" s="80">
        <f t="shared" si="41"/>
        <v>103684.8675678267</v>
      </c>
      <c r="Q61" s="24" t="s">
        <v>289</v>
      </c>
    </row>
    <row r="62" spans="2:17" ht="17.5" customHeight="1">
      <c r="B62" s="26" t="s">
        <v>61</v>
      </c>
      <c r="C62" s="37"/>
      <c r="D62" s="238">
        <f t="shared" si="32"/>
        <v>560422.57586277626</v>
      </c>
      <c r="E62" s="46">
        <f t="shared" ref="E62:P62" si="42">E$7*3.4%</f>
        <v>41174.393003824669</v>
      </c>
      <c r="F62" s="47">
        <f t="shared" si="42"/>
        <v>33340.327063509067</v>
      </c>
      <c r="G62" s="47">
        <f t="shared" si="42"/>
        <v>37344.719345416408</v>
      </c>
      <c r="H62" s="47">
        <f t="shared" si="42"/>
        <v>41279.339538353473</v>
      </c>
      <c r="I62" s="47">
        <f t="shared" si="42"/>
        <v>48125.617694952096</v>
      </c>
      <c r="J62" s="47">
        <f t="shared" si="42"/>
        <v>48653.097623476599</v>
      </c>
      <c r="K62" s="47">
        <f t="shared" si="42"/>
        <v>55262.490467630603</v>
      </c>
      <c r="L62" s="47">
        <f t="shared" si="42"/>
        <v>59180.549935901712</v>
      </c>
      <c r="M62" s="47">
        <f t="shared" si="42"/>
        <v>53691.684885152295</v>
      </c>
      <c r="N62" s="47">
        <f t="shared" si="42"/>
        <v>51506.216248660727</v>
      </c>
      <c r="O62" s="47">
        <f t="shared" si="42"/>
        <v>46409.089648507586</v>
      </c>
      <c r="P62" s="47">
        <f t="shared" si="42"/>
        <v>44455.050407391012</v>
      </c>
      <c r="Q62" s="12" t="s">
        <v>210</v>
      </c>
    </row>
    <row r="63" spans="2:17" ht="17.5" customHeight="1">
      <c r="B63" s="19" t="s">
        <v>67</v>
      </c>
      <c r="C63" s="35"/>
      <c r="D63" s="51">
        <f t="shared" si="32"/>
        <v>247245.25405710717</v>
      </c>
      <c r="E63" s="52">
        <f>E$7*1.5%</f>
        <v>18165.173384040296</v>
      </c>
      <c r="F63" s="53">
        <f t="shared" ref="F63:P63" si="43">F$7*1.5%</f>
        <v>14708.96782213635</v>
      </c>
      <c r="G63" s="53">
        <f t="shared" si="43"/>
        <v>16475.611475919002</v>
      </c>
      <c r="H63" s="53">
        <f t="shared" si="43"/>
        <v>18211.473325744177</v>
      </c>
      <c r="I63" s="53">
        <f t="shared" si="43"/>
        <v>21231.890159537685</v>
      </c>
      <c r="J63" s="53">
        <f t="shared" si="43"/>
        <v>21464.60189271026</v>
      </c>
      <c r="K63" s="53">
        <f t="shared" si="43"/>
        <v>24380.510500425262</v>
      </c>
      <c r="L63" s="53">
        <f t="shared" si="43"/>
        <v>26109.066148191931</v>
      </c>
      <c r="M63" s="53">
        <f t="shared" si="43"/>
        <v>23687.508037567186</v>
      </c>
      <c r="N63" s="53">
        <f t="shared" si="43"/>
        <v>22723.330697938556</v>
      </c>
      <c r="O63" s="53">
        <f t="shared" si="43"/>
        <v>20474.598374341582</v>
      </c>
      <c r="P63" s="53">
        <f t="shared" si="43"/>
        <v>19612.522238554859</v>
      </c>
      <c r="Q63" s="286" t="s">
        <v>317</v>
      </c>
    </row>
    <row r="64" spans="2:17" ht="17.5" customHeight="1">
      <c r="B64" s="19" t="s">
        <v>69</v>
      </c>
      <c r="C64" s="35"/>
      <c r="D64" s="51">
        <f t="shared" si="32"/>
        <v>741735.76217132143</v>
      </c>
      <c r="E64" s="52">
        <f t="shared" ref="E64:P64" si="44">E$7*4.5%</f>
        <v>54495.52015212088</v>
      </c>
      <c r="F64" s="53">
        <f t="shared" si="44"/>
        <v>44126.90346640905</v>
      </c>
      <c r="G64" s="53">
        <f t="shared" si="44"/>
        <v>49426.834427757007</v>
      </c>
      <c r="H64" s="53">
        <f t="shared" si="44"/>
        <v>54634.41997723253</v>
      </c>
      <c r="I64" s="53">
        <f t="shared" si="44"/>
        <v>63695.670478613058</v>
      </c>
      <c r="J64" s="53">
        <f t="shared" si="44"/>
        <v>64393.805678130782</v>
      </c>
      <c r="K64" s="53">
        <f t="shared" si="44"/>
        <v>73141.531501275793</v>
      </c>
      <c r="L64" s="53">
        <f t="shared" si="44"/>
        <v>78327.198444575784</v>
      </c>
      <c r="M64" s="53">
        <f t="shared" si="44"/>
        <v>71062.524112701562</v>
      </c>
      <c r="N64" s="53">
        <f t="shared" si="44"/>
        <v>68169.992093815657</v>
      </c>
      <c r="O64" s="53">
        <f t="shared" si="44"/>
        <v>61423.795123024742</v>
      </c>
      <c r="P64" s="53">
        <f t="shared" si="44"/>
        <v>58837.566715664572</v>
      </c>
      <c r="Q64" s="21" t="s">
        <v>212</v>
      </c>
    </row>
    <row r="65" spans="2:22" ht="26.25" customHeight="1">
      <c r="B65" s="19" t="s">
        <v>68</v>
      </c>
      <c r="C65" s="35"/>
      <c r="D65" s="51">
        <f t="shared" si="32"/>
        <v>1805076.6937140478</v>
      </c>
      <c r="E65" s="52">
        <f>E$7*10%+SUM(Sheet1!Y23:Y25)*2.5+1500</f>
        <v>132878.65589360197</v>
      </c>
      <c r="F65" s="53">
        <f>F$7*10%+SUM(Sheet1!Z23:Z25)*2.5+1500</f>
        <v>107892.28548090901</v>
      </c>
      <c r="G65" s="53">
        <f>G$7*10%+SUM(Sheet1!AA23:AA25)*2.5+1500</f>
        <v>120667.40983946003</v>
      </c>
      <c r="H65" s="53">
        <f>H$7*10%+SUM(Sheet1!AB23:AB25)*2.5+1500</f>
        <v>133214.82217162783</v>
      </c>
      <c r="I65" s="53">
        <f>I$7*10%+SUM(Sheet1!AC23:AC25)*2.5+1500</f>
        <v>154980.9343969179</v>
      </c>
      <c r="J65" s="53">
        <f>J$7*10%+SUM(Sheet1!AD23:AD25)*2.5+1500</f>
        <v>156567.34595140174</v>
      </c>
      <c r="K65" s="53">
        <f>K$7*10%+SUM(Sheet1!AE23:AE25)*2.5+1500</f>
        <v>177826.73666950176</v>
      </c>
      <c r="L65" s="53">
        <f>L$7*10%+SUM(Sheet1!AF23:AF25)*2.5+1500</f>
        <v>190317.94098794623</v>
      </c>
      <c r="M65" s="53">
        <f>M$7*10%+SUM(Sheet1!AG23:AG25)*2.5+1500</f>
        <v>172711.72025044792</v>
      </c>
      <c r="N65" s="53">
        <f>N$7*10%+SUM(Sheet1!AH23:AH25)*2.5+1500</f>
        <v>165593.87131959037</v>
      </c>
      <c r="O65" s="53">
        <f>O$7*10%+SUM(Sheet1!AI23:AI25)*2.5+1500</f>
        <v>149262.32249561054</v>
      </c>
      <c r="P65" s="53">
        <f>P$7*10%+SUM(Sheet1!AJ23:AJ25)*2.5+1500</f>
        <v>143162.64825703239</v>
      </c>
      <c r="Q65" s="287" t="s">
        <v>337</v>
      </c>
    </row>
    <row r="66" spans="2:22" ht="17.5" customHeight="1">
      <c r="B66" s="19" t="s">
        <v>70</v>
      </c>
      <c r="C66" s="35"/>
      <c r="D66" s="51">
        <f t="shared" si="32"/>
        <v>708138.83130596264</v>
      </c>
      <c r="E66" s="52">
        <f>'#)비용'!$E$39/12</f>
        <v>59011.569275496906</v>
      </c>
      <c r="F66" s="53">
        <f>'#)비용'!$E$39/12</f>
        <v>59011.569275496906</v>
      </c>
      <c r="G66" s="53">
        <f>'#)비용'!$E$39/12</f>
        <v>59011.569275496906</v>
      </c>
      <c r="H66" s="53">
        <f>'#)비용'!$E$39/12</f>
        <v>59011.569275496906</v>
      </c>
      <c r="I66" s="53">
        <f>'#)비용'!$E$39/12</f>
        <v>59011.569275496906</v>
      </c>
      <c r="J66" s="53">
        <f>'#)비용'!$E$39/12</f>
        <v>59011.569275496906</v>
      </c>
      <c r="K66" s="53">
        <f>'#)비용'!$E$39/12</f>
        <v>59011.569275496906</v>
      </c>
      <c r="L66" s="53">
        <f>'#)비용'!$E$39/12</f>
        <v>59011.569275496906</v>
      </c>
      <c r="M66" s="53">
        <f>'#)비용'!$E$39/12</f>
        <v>59011.569275496906</v>
      </c>
      <c r="N66" s="53">
        <f>'#)비용'!$E$39/12</f>
        <v>59011.569275496906</v>
      </c>
      <c r="O66" s="53">
        <f>'#)비용'!$E$39/12</f>
        <v>59011.569275496906</v>
      </c>
      <c r="P66" s="53">
        <f>'#)비용'!$E$39/12</f>
        <v>59011.569275496906</v>
      </c>
      <c r="Q66" s="21" t="s">
        <v>324</v>
      </c>
    </row>
    <row r="67" spans="2:22" ht="17.5" customHeight="1">
      <c r="B67" s="22" t="s">
        <v>26</v>
      </c>
      <c r="C67" s="38"/>
      <c r="D67" s="239">
        <f t="shared" si="32"/>
        <v>3502196.5412484393</v>
      </c>
      <c r="E67" s="63">
        <f>SUM(E63:E66)</f>
        <v>264550.91870526003</v>
      </c>
      <c r="F67" s="80">
        <f t="shared" ref="F67:P67" si="45">SUM(F63:F66)</f>
        <v>225739.72604495133</v>
      </c>
      <c r="G67" s="80">
        <f t="shared" si="45"/>
        <v>245581.42501863293</v>
      </c>
      <c r="H67" s="80">
        <f t="shared" si="45"/>
        <v>265072.28475010145</v>
      </c>
      <c r="I67" s="80">
        <f t="shared" si="45"/>
        <v>298920.06431056559</v>
      </c>
      <c r="J67" s="80">
        <f t="shared" si="45"/>
        <v>301437.32279773965</v>
      </c>
      <c r="K67" s="80">
        <f t="shared" si="45"/>
        <v>334360.34794669971</v>
      </c>
      <c r="L67" s="80">
        <f t="shared" si="45"/>
        <v>353765.7748562108</v>
      </c>
      <c r="M67" s="80">
        <f t="shared" si="45"/>
        <v>326473.32167621353</v>
      </c>
      <c r="N67" s="80">
        <f t="shared" si="45"/>
        <v>315498.76338684151</v>
      </c>
      <c r="O67" s="80">
        <f t="shared" si="45"/>
        <v>290172.28526847379</v>
      </c>
      <c r="P67" s="80">
        <f t="shared" si="45"/>
        <v>280624.30648674874</v>
      </c>
      <c r="Q67" s="24"/>
    </row>
    <row r="68" spans="2:22" ht="17.5" customHeight="1">
      <c r="B68" s="26" t="s">
        <v>62</v>
      </c>
      <c r="C68" s="37"/>
      <c r="D68" s="238">
        <f t="shared" si="32"/>
        <v>8241.5084685702386</v>
      </c>
      <c r="E68" s="46">
        <f t="shared" ref="E68:P68" si="46">E$7*0.05%</f>
        <v>605.50577946800979</v>
      </c>
      <c r="F68" s="47">
        <f t="shared" si="46"/>
        <v>490.298927404545</v>
      </c>
      <c r="G68" s="47">
        <f t="shared" si="46"/>
        <v>549.1870491973001</v>
      </c>
      <c r="H68" s="47">
        <f t="shared" si="46"/>
        <v>607.04911085813922</v>
      </c>
      <c r="I68" s="47">
        <f t="shared" si="46"/>
        <v>707.72967198458957</v>
      </c>
      <c r="J68" s="47">
        <f t="shared" si="46"/>
        <v>715.48672975700879</v>
      </c>
      <c r="K68" s="47">
        <f t="shared" si="46"/>
        <v>812.6836833475088</v>
      </c>
      <c r="L68" s="47">
        <f t="shared" si="46"/>
        <v>870.30220493973104</v>
      </c>
      <c r="M68" s="47">
        <f t="shared" si="46"/>
        <v>789.58360125223953</v>
      </c>
      <c r="N68" s="47">
        <f t="shared" si="46"/>
        <v>757.44435659795181</v>
      </c>
      <c r="O68" s="47">
        <f t="shared" si="46"/>
        <v>682.48661247805273</v>
      </c>
      <c r="P68" s="47">
        <f t="shared" si="46"/>
        <v>653.75074128516189</v>
      </c>
      <c r="Q68" s="12" t="s">
        <v>214</v>
      </c>
    </row>
    <row r="69" spans="2:22" ht="17.5" customHeight="1">
      <c r="B69" s="19" t="s">
        <v>66</v>
      </c>
      <c r="C69" s="35"/>
      <c r="D69" s="51">
        <f t="shared" si="32"/>
        <v>6000</v>
      </c>
      <c r="E69" s="52">
        <v>500</v>
      </c>
      <c r="F69" s="53">
        <v>500</v>
      </c>
      <c r="G69" s="53">
        <v>500</v>
      </c>
      <c r="H69" s="53">
        <v>500</v>
      </c>
      <c r="I69" s="53">
        <v>500</v>
      </c>
      <c r="J69" s="53">
        <v>500</v>
      </c>
      <c r="K69" s="53">
        <v>500</v>
      </c>
      <c r="L69" s="53">
        <v>500</v>
      </c>
      <c r="M69" s="53">
        <v>500</v>
      </c>
      <c r="N69" s="53">
        <v>500</v>
      </c>
      <c r="O69" s="53">
        <v>500</v>
      </c>
      <c r="P69" s="53">
        <v>500</v>
      </c>
      <c r="Q69" s="21" t="s">
        <v>215</v>
      </c>
    </row>
    <row r="70" spans="2:22" ht="17.5" customHeight="1">
      <c r="B70" s="19" t="s">
        <v>63</v>
      </c>
      <c r="C70" s="35"/>
      <c r="D70" s="51">
        <f t="shared" si="32"/>
        <v>12000</v>
      </c>
      <c r="E70" s="52"/>
      <c r="F70" s="53"/>
      <c r="G70" s="53">
        <v>3000</v>
      </c>
      <c r="H70" s="53"/>
      <c r="I70" s="53"/>
      <c r="J70" s="53">
        <v>3000</v>
      </c>
      <c r="K70" s="53"/>
      <c r="L70" s="53"/>
      <c r="M70" s="53">
        <v>3000</v>
      </c>
      <c r="N70" s="53"/>
      <c r="O70" s="53"/>
      <c r="P70" s="53">
        <v>3000</v>
      </c>
      <c r="Q70" s="21" t="s">
        <v>216</v>
      </c>
    </row>
    <row r="71" spans="2:22" ht="17.5" hidden="1" customHeight="1">
      <c r="B71" s="19" t="s">
        <v>64</v>
      </c>
      <c r="C71" s="35"/>
      <c r="D71" s="51">
        <f t="shared" si="32"/>
        <v>0</v>
      </c>
      <c r="E71" s="52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21" t="s">
        <v>195</v>
      </c>
    </row>
    <row r="72" spans="2:22" ht="17.5" hidden="1" customHeight="1">
      <c r="B72" s="19" t="s">
        <v>65</v>
      </c>
      <c r="C72" s="35"/>
      <c r="D72" s="51">
        <f t="shared" si="32"/>
        <v>0</v>
      </c>
      <c r="E72" s="52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21" t="s">
        <v>195</v>
      </c>
    </row>
    <row r="73" spans="2:22" ht="17.5" customHeight="1">
      <c r="B73" s="22" t="s">
        <v>25</v>
      </c>
      <c r="C73" s="38"/>
      <c r="D73" s="239">
        <f t="shared" si="32"/>
        <v>18000</v>
      </c>
      <c r="E73" s="63">
        <f>SUM(E69:E72)</f>
        <v>500</v>
      </c>
      <c r="F73" s="80">
        <f t="shared" ref="F73:P73" si="47">SUM(F69:F72)</f>
        <v>500</v>
      </c>
      <c r="G73" s="80">
        <f t="shared" si="47"/>
        <v>3500</v>
      </c>
      <c r="H73" s="80">
        <f t="shared" si="47"/>
        <v>500</v>
      </c>
      <c r="I73" s="80">
        <f t="shared" si="47"/>
        <v>500</v>
      </c>
      <c r="J73" s="80">
        <f t="shared" si="47"/>
        <v>3500</v>
      </c>
      <c r="K73" s="80">
        <f t="shared" si="47"/>
        <v>500</v>
      </c>
      <c r="L73" s="80">
        <f t="shared" si="47"/>
        <v>500</v>
      </c>
      <c r="M73" s="80">
        <f t="shared" si="47"/>
        <v>3500</v>
      </c>
      <c r="N73" s="80">
        <f t="shared" si="47"/>
        <v>500</v>
      </c>
      <c r="O73" s="80">
        <f t="shared" si="47"/>
        <v>500</v>
      </c>
      <c r="P73" s="80">
        <f t="shared" si="47"/>
        <v>3500</v>
      </c>
      <c r="Q73" s="24"/>
    </row>
    <row r="74" spans="2:22" ht="17.5" customHeight="1">
      <c r="B74" s="19" t="s">
        <v>74</v>
      </c>
      <c r="C74" s="35"/>
      <c r="D74" s="51">
        <f t="shared" si="32"/>
        <v>0</v>
      </c>
      <c r="E74" s="52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288" t="s">
        <v>195</v>
      </c>
    </row>
    <row r="75" spans="2:22" ht="17.5" customHeight="1">
      <c r="B75" s="19" t="s">
        <v>75</v>
      </c>
      <c r="C75" s="35"/>
      <c r="D75" s="51">
        <f t="shared" si="32"/>
        <v>0</v>
      </c>
      <c r="E75" s="52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289" t="s">
        <v>293</v>
      </c>
      <c r="V75" s="158"/>
    </row>
    <row r="76" spans="2:22" ht="17.5" customHeight="1">
      <c r="B76" s="19" t="s">
        <v>76</v>
      </c>
      <c r="C76" s="35"/>
      <c r="D76" s="51">
        <f t="shared" si="32"/>
        <v>500</v>
      </c>
      <c r="E76" s="52"/>
      <c r="F76" s="53"/>
      <c r="G76" s="53"/>
      <c r="H76" s="53"/>
      <c r="I76" s="53"/>
      <c r="J76" s="53">
        <v>250</v>
      </c>
      <c r="K76" s="53"/>
      <c r="L76" s="53"/>
      <c r="M76" s="53"/>
      <c r="N76" s="53"/>
      <c r="O76" s="53"/>
      <c r="P76" s="53">
        <v>250</v>
      </c>
      <c r="Q76" s="21" t="s">
        <v>266</v>
      </c>
      <c r="V76" s="158"/>
    </row>
    <row r="77" spans="2:22" ht="17.5" customHeight="1">
      <c r="B77" s="19" t="s">
        <v>77</v>
      </c>
      <c r="C77" s="35"/>
      <c r="D77" s="51">
        <f t="shared" si="32"/>
        <v>250</v>
      </c>
      <c r="E77" s="52">
        <v>250</v>
      </c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21" t="s">
        <v>258</v>
      </c>
      <c r="T77" s="161"/>
      <c r="U77" s="161"/>
      <c r="V77" s="158"/>
    </row>
    <row r="78" spans="2:22" ht="17.5" customHeight="1">
      <c r="B78" s="19" t="s">
        <v>78</v>
      </c>
      <c r="C78" s="35"/>
      <c r="D78" s="51">
        <f t="shared" si="32"/>
        <v>3923.3538244112201</v>
      </c>
      <c r="E78" s="52">
        <f>E33*0.5%</f>
        <v>326.94615203426832</v>
      </c>
      <c r="F78" s="53">
        <f t="shared" ref="F78:P78" si="48">F33*0.5%</f>
        <v>326.94615203426832</v>
      </c>
      <c r="G78" s="53">
        <f t="shared" si="48"/>
        <v>326.94615203426832</v>
      </c>
      <c r="H78" s="53">
        <f t="shared" si="48"/>
        <v>326.94615203426832</v>
      </c>
      <c r="I78" s="53">
        <f t="shared" si="48"/>
        <v>326.94615203426832</v>
      </c>
      <c r="J78" s="53">
        <f t="shared" si="48"/>
        <v>326.94615203426832</v>
      </c>
      <c r="K78" s="53">
        <f t="shared" si="48"/>
        <v>326.94615203426832</v>
      </c>
      <c r="L78" s="53">
        <f t="shared" si="48"/>
        <v>326.94615203426832</v>
      </c>
      <c r="M78" s="53">
        <f t="shared" si="48"/>
        <v>326.94615203426832</v>
      </c>
      <c r="N78" s="53">
        <f t="shared" si="48"/>
        <v>326.94615203426832</v>
      </c>
      <c r="O78" s="53">
        <f t="shared" si="48"/>
        <v>326.94615203426832</v>
      </c>
      <c r="P78" s="53">
        <f t="shared" si="48"/>
        <v>326.94615203426832</v>
      </c>
      <c r="Q78" s="21" t="s">
        <v>217</v>
      </c>
      <c r="T78" s="161"/>
      <c r="U78" s="161"/>
    </row>
    <row r="79" spans="2:22" ht="17.5" customHeight="1">
      <c r="B79" s="19" t="s">
        <v>79</v>
      </c>
      <c r="C79" s="35"/>
      <c r="D79" s="51">
        <f t="shared" si="32"/>
        <v>300</v>
      </c>
      <c r="E79" s="52"/>
      <c r="F79" s="53"/>
      <c r="G79" s="53"/>
      <c r="H79" s="53"/>
      <c r="I79" s="53"/>
      <c r="J79" s="53">
        <v>150</v>
      </c>
      <c r="K79" s="53"/>
      <c r="L79" s="53"/>
      <c r="M79" s="53"/>
      <c r="N79" s="53"/>
      <c r="O79" s="53"/>
      <c r="P79" s="53">
        <v>150</v>
      </c>
      <c r="Q79" s="21" t="s">
        <v>267</v>
      </c>
      <c r="T79" s="159"/>
      <c r="U79" s="161"/>
    </row>
    <row r="80" spans="2:22" ht="17.5" hidden="1" customHeight="1">
      <c r="B80" s="19" t="s">
        <v>80</v>
      </c>
      <c r="C80" s="35"/>
      <c r="D80" s="51">
        <f t="shared" si="32"/>
        <v>0</v>
      </c>
      <c r="E80" s="52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21" t="s">
        <v>261</v>
      </c>
      <c r="T80" s="161"/>
      <c r="U80" s="161"/>
    </row>
    <row r="81" spans="2:21" ht="17.5" hidden="1" customHeight="1">
      <c r="B81" s="19" t="s">
        <v>81</v>
      </c>
      <c r="C81" s="35"/>
      <c r="D81" s="51">
        <f t="shared" si="32"/>
        <v>0</v>
      </c>
      <c r="E81" s="52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21" t="s">
        <v>294</v>
      </c>
      <c r="T81" s="161"/>
      <c r="U81" s="161"/>
    </row>
    <row r="82" spans="2:21" ht="17.5" customHeight="1">
      <c r="B82" s="22" t="s">
        <v>82</v>
      </c>
      <c r="C82" s="38"/>
      <c r="D82" s="239">
        <f t="shared" si="32"/>
        <v>4973.3538244112206</v>
      </c>
      <c r="E82" s="63">
        <f>SUM(E74:E81)</f>
        <v>576.94615203426838</v>
      </c>
      <c r="F82" s="80">
        <f t="shared" ref="F82:P82" si="49">SUM(F74:F81)</f>
        <v>326.94615203426832</v>
      </c>
      <c r="G82" s="80">
        <f t="shared" si="49"/>
        <v>326.94615203426832</v>
      </c>
      <c r="H82" s="80">
        <f t="shared" si="49"/>
        <v>326.94615203426832</v>
      </c>
      <c r="I82" s="80">
        <f t="shared" si="49"/>
        <v>326.94615203426832</v>
      </c>
      <c r="J82" s="80">
        <f t="shared" si="49"/>
        <v>726.94615203426838</v>
      </c>
      <c r="K82" s="80">
        <f t="shared" si="49"/>
        <v>326.94615203426832</v>
      </c>
      <c r="L82" s="80">
        <f t="shared" si="49"/>
        <v>326.94615203426832</v>
      </c>
      <c r="M82" s="80">
        <f t="shared" si="49"/>
        <v>326.94615203426832</v>
      </c>
      <c r="N82" s="80">
        <f t="shared" si="49"/>
        <v>326.94615203426832</v>
      </c>
      <c r="O82" s="80">
        <f t="shared" si="49"/>
        <v>326.94615203426832</v>
      </c>
      <c r="P82" s="80">
        <f t="shared" si="49"/>
        <v>726.94615203426838</v>
      </c>
      <c r="Q82" s="24"/>
      <c r="T82" s="161"/>
      <c r="U82" s="161"/>
    </row>
    <row r="83" spans="2:21" ht="17.5" customHeight="1">
      <c r="B83" s="19" t="s">
        <v>72</v>
      </c>
      <c r="C83" s="35"/>
      <c r="D83" s="51">
        <f t="shared" si="32"/>
        <v>36000</v>
      </c>
      <c r="E83" s="52">
        <f>'#)비용'!$E$56/12</f>
        <v>3000</v>
      </c>
      <c r="F83" s="53">
        <f>'#)비용'!$E$56/12</f>
        <v>3000</v>
      </c>
      <c r="G83" s="53">
        <f>'#)비용'!$E$56/12</f>
        <v>3000</v>
      </c>
      <c r="H83" s="53">
        <f>'#)비용'!$E$56/12</f>
        <v>3000</v>
      </c>
      <c r="I83" s="53">
        <f>'#)비용'!$E$56/12</f>
        <v>3000</v>
      </c>
      <c r="J83" s="53">
        <f>'#)비용'!$E$56/12</f>
        <v>3000</v>
      </c>
      <c r="K83" s="53">
        <f>'#)비용'!$E$56/12</f>
        <v>3000</v>
      </c>
      <c r="L83" s="53">
        <f>'#)비용'!$E$56/12</f>
        <v>3000</v>
      </c>
      <c r="M83" s="53">
        <f>'#)비용'!$E$56/12</f>
        <v>3000</v>
      </c>
      <c r="N83" s="53">
        <f>'#)비용'!$E$56/12</f>
        <v>3000</v>
      </c>
      <c r="O83" s="53">
        <f>'#)비용'!$E$56/12</f>
        <v>3000</v>
      </c>
      <c r="P83" s="53">
        <f>'#)비용'!$E$56/12</f>
        <v>3000</v>
      </c>
      <c r="Q83" s="14" t="s">
        <v>318</v>
      </c>
      <c r="T83" s="161"/>
      <c r="U83" s="161"/>
    </row>
    <row r="84" spans="2:21" ht="17.5" customHeight="1">
      <c r="B84" s="19" t="s">
        <v>71</v>
      </c>
      <c r="C84" s="35"/>
      <c r="D84" s="51">
        <f t="shared" si="32"/>
        <v>0</v>
      </c>
      <c r="E84" s="52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21"/>
      <c r="T84" s="161"/>
      <c r="U84" s="161"/>
    </row>
    <row r="85" spans="2:21" ht="17.5" customHeight="1">
      <c r="B85" s="22" t="s">
        <v>73</v>
      </c>
      <c r="C85" s="38"/>
      <c r="D85" s="239">
        <f t="shared" si="32"/>
        <v>36000</v>
      </c>
      <c r="E85" s="63">
        <f>SUM(E83:E84)</f>
        <v>3000</v>
      </c>
      <c r="F85" s="80">
        <f t="shared" ref="F85:P85" si="50">SUM(F83:F84)</f>
        <v>3000</v>
      </c>
      <c r="G85" s="80">
        <f t="shared" si="50"/>
        <v>3000</v>
      </c>
      <c r="H85" s="80">
        <f t="shared" si="50"/>
        <v>3000</v>
      </c>
      <c r="I85" s="80">
        <f t="shared" si="50"/>
        <v>3000</v>
      </c>
      <c r="J85" s="80">
        <f t="shared" si="50"/>
        <v>3000</v>
      </c>
      <c r="K85" s="80">
        <f t="shared" si="50"/>
        <v>3000</v>
      </c>
      <c r="L85" s="80">
        <f t="shared" si="50"/>
        <v>3000</v>
      </c>
      <c r="M85" s="80">
        <f t="shared" si="50"/>
        <v>3000</v>
      </c>
      <c r="N85" s="80">
        <f t="shared" si="50"/>
        <v>3000</v>
      </c>
      <c r="O85" s="80">
        <f t="shared" si="50"/>
        <v>3000</v>
      </c>
      <c r="P85" s="80">
        <f t="shared" si="50"/>
        <v>3000</v>
      </c>
      <c r="Q85" s="24"/>
      <c r="T85" s="161"/>
    </row>
    <row r="86" spans="2:21" ht="17.5" customHeight="1">
      <c r="B86" s="19" t="s">
        <v>83</v>
      </c>
      <c r="C86" s="35"/>
      <c r="D86" s="51">
        <f t="shared" si="32"/>
        <v>49449.050811421432</v>
      </c>
      <c r="E86" s="52">
        <f t="shared" ref="E86:P87" si="51">E$7*0.3%</f>
        <v>3633.034676808059</v>
      </c>
      <c r="F86" s="53">
        <f t="shared" si="51"/>
        <v>2941.7935644272702</v>
      </c>
      <c r="G86" s="53">
        <f t="shared" si="51"/>
        <v>3295.1222951838008</v>
      </c>
      <c r="H86" s="53">
        <f t="shared" si="51"/>
        <v>3642.2946651488355</v>
      </c>
      <c r="I86" s="53">
        <f t="shared" si="51"/>
        <v>4246.3780319075377</v>
      </c>
      <c r="J86" s="53">
        <f t="shared" si="51"/>
        <v>4292.9203785420523</v>
      </c>
      <c r="K86" s="53">
        <f t="shared" si="51"/>
        <v>4876.1021000850524</v>
      </c>
      <c r="L86" s="53">
        <f t="shared" si="51"/>
        <v>5221.8132296383865</v>
      </c>
      <c r="M86" s="53">
        <f t="shared" si="51"/>
        <v>4737.5016075134372</v>
      </c>
      <c r="N86" s="53">
        <f t="shared" si="51"/>
        <v>4544.6661395877109</v>
      </c>
      <c r="O86" s="53">
        <f t="shared" si="51"/>
        <v>4094.9196748683166</v>
      </c>
      <c r="P86" s="53">
        <f t="shared" si="51"/>
        <v>3922.5044477109718</v>
      </c>
      <c r="Q86" s="21" t="s">
        <v>220</v>
      </c>
      <c r="T86" s="161"/>
    </row>
    <row r="87" spans="2:21" ht="17.5" customHeight="1">
      <c r="B87" s="19" t="s">
        <v>59</v>
      </c>
      <c r="C87" s="35"/>
      <c r="D87" s="51">
        <f t="shared" si="32"/>
        <v>49449.050811421432</v>
      </c>
      <c r="E87" s="52">
        <f t="shared" si="51"/>
        <v>3633.034676808059</v>
      </c>
      <c r="F87" s="53">
        <f t="shared" si="51"/>
        <v>2941.7935644272702</v>
      </c>
      <c r="G87" s="53">
        <f t="shared" si="51"/>
        <v>3295.1222951838008</v>
      </c>
      <c r="H87" s="53">
        <f t="shared" si="51"/>
        <v>3642.2946651488355</v>
      </c>
      <c r="I87" s="53">
        <f t="shared" si="51"/>
        <v>4246.3780319075377</v>
      </c>
      <c r="J87" s="53">
        <f t="shared" si="51"/>
        <v>4292.9203785420523</v>
      </c>
      <c r="K87" s="53">
        <f t="shared" si="51"/>
        <v>4876.1021000850524</v>
      </c>
      <c r="L87" s="53">
        <f t="shared" si="51"/>
        <v>5221.8132296383865</v>
      </c>
      <c r="M87" s="53">
        <f t="shared" si="51"/>
        <v>4737.5016075134372</v>
      </c>
      <c r="N87" s="53">
        <f t="shared" si="51"/>
        <v>4544.6661395877109</v>
      </c>
      <c r="O87" s="53">
        <f t="shared" si="51"/>
        <v>4094.9196748683166</v>
      </c>
      <c r="P87" s="53">
        <f t="shared" si="51"/>
        <v>3922.5044477109718</v>
      </c>
      <c r="Q87" s="21" t="s">
        <v>220</v>
      </c>
    </row>
    <row r="88" spans="2:21" ht="17.5" customHeight="1">
      <c r="B88" s="19" t="s">
        <v>84</v>
      </c>
      <c r="C88" s="35"/>
      <c r="D88" s="51">
        <f t="shared" si="32"/>
        <v>16483.016937140477</v>
      </c>
      <c r="E88" s="52">
        <f t="shared" ref="E88:P88" si="52">E$7*0.1%</f>
        <v>1211.0115589360196</v>
      </c>
      <c r="F88" s="53">
        <f t="shared" si="52"/>
        <v>980.59785480908999</v>
      </c>
      <c r="G88" s="53">
        <f t="shared" si="52"/>
        <v>1098.3740983946002</v>
      </c>
      <c r="H88" s="53">
        <f t="shared" si="52"/>
        <v>1214.0982217162784</v>
      </c>
      <c r="I88" s="53">
        <f t="shared" si="52"/>
        <v>1415.4593439691791</v>
      </c>
      <c r="J88" s="53">
        <f t="shared" si="52"/>
        <v>1430.9734595140176</v>
      </c>
      <c r="K88" s="53">
        <f t="shared" si="52"/>
        <v>1625.3673666950176</v>
      </c>
      <c r="L88" s="53">
        <f t="shared" si="52"/>
        <v>1740.6044098794621</v>
      </c>
      <c r="M88" s="53">
        <f t="shared" si="52"/>
        <v>1579.1672025044791</v>
      </c>
      <c r="N88" s="53">
        <f t="shared" si="52"/>
        <v>1514.8887131959036</v>
      </c>
      <c r="O88" s="53">
        <f t="shared" si="52"/>
        <v>1364.9732249561055</v>
      </c>
      <c r="P88" s="53">
        <f t="shared" si="52"/>
        <v>1307.5014825703238</v>
      </c>
      <c r="Q88" s="21" t="s">
        <v>221</v>
      </c>
    </row>
    <row r="89" spans="2:21" ht="17.5" customHeight="1">
      <c r="B89" s="19" t="s">
        <v>60</v>
      </c>
      <c r="C89" s="35"/>
      <c r="D89" s="51">
        <f t="shared" si="32"/>
        <v>300</v>
      </c>
      <c r="E89" s="52"/>
      <c r="F89" s="53"/>
      <c r="G89" s="53"/>
      <c r="H89" s="53"/>
      <c r="I89" s="53"/>
      <c r="J89" s="53">
        <v>150</v>
      </c>
      <c r="K89" s="53"/>
      <c r="L89" s="53"/>
      <c r="M89" s="53"/>
      <c r="N89" s="53"/>
      <c r="O89" s="53"/>
      <c r="P89" s="53">
        <v>150</v>
      </c>
      <c r="Q89" s="21" t="s">
        <v>225</v>
      </c>
    </row>
    <row r="90" spans="2:21" ht="17.5" customHeight="1">
      <c r="B90" s="19" t="s">
        <v>85</v>
      </c>
      <c r="C90" s="35"/>
      <c r="D90" s="51">
        <f t="shared" si="32"/>
        <v>3600</v>
      </c>
      <c r="E90" s="52">
        <v>300</v>
      </c>
      <c r="F90" s="53">
        <v>300</v>
      </c>
      <c r="G90" s="53">
        <v>300</v>
      </c>
      <c r="H90" s="53">
        <v>300</v>
      </c>
      <c r="I90" s="53">
        <v>300</v>
      </c>
      <c r="J90" s="53">
        <v>300</v>
      </c>
      <c r="K90" s="53">
        <v>300</v>
      </c>
      <c r="L90" s="53">
        <v>300</v>
      </c>
      <c r="M90" s="53">
        <v>300</v>
      </c>
      <c r="N90" s="53">
        <v>300</v>
      </c>
      <c r="O90" s="53">
        <v>300</v>
      </c>
      <c r="P90" s="53">
        <v>300</v>
      </c>
      <c r="Q90" s="21" t="s">
        <v>226</v>
      </c>
    </row>
    <row r="91" spans="2:21" ht="17.5" customHeight="1">
      <c r="B91" s="19" t="s">
        <v>86</v>
      </c>
      <c r="C91" s="35"/>
      <c r="D91" s="51">
        <f t="shared" si="32"/>
        <v>65932.067748561909</v>
      </c>
      <c r="E91" s="52">
        <f t="shared" ref="E91:P91" si="53">E$7*0.4%</f>
        <v>4844.0462357440783</v>
      </c>
      <c r="F91" s="53">
        <f t="shared" si="53"/>
        <v>3922.39141923636</v>
      </c>
      <c r="G91" s="53">
        <f t="shared" si="53"/>
        <v>4393.4963935784008</v>
      </c>
      <c r="H91" s="53">
        <f t="shared" si="53"/>
        <v>4856.3928868651137</v>
      </c>
      <c r="I91" s="53">
        <f t="shared" si="53"/>
        <v>5661.8373758767166</v>
      </c>
      <c r="J91" s="53">
        <f t="shared" si="53"/>
        <v>5723.8938380560703</v>
      </c>
      <c r="K91" s="53">
        <f t="shared" si="53"/>
        <v>6501.4694667800704</v>
      </c>
      <c r="L91" s="53">
        <f t="shared" si="53"/>
        <v>6962.4176395178483</v>
      </c>
      <c r="M91" s="53">
        <f t="shared" si="53"/>
        <v>6316.6688100179163</v>
      </c>
      <c r="N91" s="53">
        <f t="shared" si="53"/>
        <v>6059.5548527836145</v>
      </c>
      <c r="O91" s="53">
        <f t="shared" si="53"/>
        <v>5459.8928998244219</v>
      </c>
      <c r="P91" s="53">
        <f t="shared" si="53"/>
        <v>5230.0059302812952</v>
      </c>
      <c r="Q91" s="21" t="s">
        <v>222</v>
      </c>
    </row>
    <row r="92" spans="2:21" ht="17.5" customHeight="1">
      <c r="B92" s="19" t="s">
        <v>87</v>
      </c>
      <c r="C92" s="35"/>
      <c r="D92" s="51">
        <f t="shared" si="32"/>
        <v>4800</v>
      </c>
      <c r="E92" s="52">
        <v>400</v>
      </c>
      <c r="F92" s="53">
        <v>400</v>
      </c>
      <c r="G92" s="53">
        <v>400</v>
      </c>
      <c r="H92" s="53">
        <v>400</v>
      </c>
      <c r="I92" s="53">
        <v>400</v>
      </c>
      <c r="J92" s="53">
        <v>400</v>
      </c>
      <c r="K92" s="53">
        <v>400</v>
      </c>
      <c r="L92" s="53">
        <v>400</v>
      </c>
      <c r="M92" s="53">
        <v>400</v>
      </c>
      <c r="N92" s="53">
        <v>400</v>
      </c>
      <c r="O92" s="53">
        <v>400</v>
      </c>
      <c r="P92" s="53">
        <v>400</v>
      </c>
      <c r="Q92" s="21" t="s">
        <v>227</v>
      </c>
    </row>
    <row r="93" spans="2:21" ht="17.5" customHeight="1">
      <c r="B93" s="19" t="s">
        <v>88</v>
      </c>
      <c r="C93" s="35"/>
      <c r="D93" s="51">
        <f t="shared" si="32"/>
        <v>2400</v>
      </c>
      <c r="E93" s="52">
        <v>200</v>
      </c>
      <c r="F93" s="53">
        <v>200</v>
      </c>
      <c r="G93" s="53">
        <v>200</v>
      </c>
      <c r="H93" s="53">
        <v>200</v>
      </c>
      <c r="I93" s="53">
        <v>200</v>
      </c>
      <c r="J93" s="53">
        <v>200</v>
      </c>
      <c r="K93" s="53">
        <v>200</v>
      </c>
      <c r="L93" s="53">
        <v>200</v>
      </c>
      <c r="M93" s="53">
        <v>200</v>
      </c>
      <c r="N93" s="53">
        <v>200</v>
      </c>
      <c r="O93" s="53">
        <v>200</v>
      </c>
      <c r="P93" s="53">
        <v>200</v>
      </c>
      <c r="Q93" s="21" t="s">
        <v>302</v>
      </c>
    </row>
    <row r="94" spans="2:21" ht="17.5" hidden="1" customHeight="1">
      <c r="B94" s="19" t="s">
        <v>49</v>
      </c>
      <c r="C94" s="35"/>
      <c r="D94" s="51">
        <f t="shared" si="32"/>
        <v>0</v>
      </c>
      <c r="E94" s="52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21" t="s">
        <v>195</v>
      </c>
    </row>
    <row r="95" spans="2:21" ht="17.5" customHeight="1">
      <c r="B95" s="22" t="s">
        <v>89</v>
      </c>
      <c r="C95" s="38"/>
      <c r="D95" s="239">
        <f t="shared" si="32"/>
        <v>192413.18630854526</v>
      </c>
      <c r="E95" s="63">
        <f>SUM(E86:E94)</f>
        <v>14221.127148296215</v>
      </c>
      <c r="F95" s="80">
        <f t="shared" ref="F95:P95" si="54">SUM(F86:F94)</f>
        <v>11686.576402899991</v>
      </c>
      <c r="G95" s="80">
        <f t="shared" si="54"/>
        <v>12982.115082340602</v>
      </c>
      <c r="H95" s="80">
        <f t="shared" si="54"/>
        <v>14255.080438879064</v>
      </c>
      <c r="I95" s="80">
        <f t="shared" si="54"/>
        <v>16470.052783660973</v>
      </c>
      <c r="J95" s="80">
        <f t="shared" si="54"/>
        <v>16790.708054654191</v>
      </c>
      <c r="K95" s="80">
        <f t="shared" si="54"/>
        <v>18779.041033645193</v>
      </c>
      <c r="L95" s="80">
        <f t="shared" si="54"/>
        <v>20046.648508674083</v>
      </c>
      <c r="M95" s="80">
        <f t="shared" si="54"/>
        <v>18270.83922754927</v>
      </c>
      <c r="N95" s="80">
        <f t="shared" si="54"/>
        <v>17563.775845154938</v>
      </c>
      <c r="O95" s="80">
        <f t="shared" si="54"/>
        <v>15914.705474517159</v>
      </c>
      <c r="P95" s="80">
        <f t="shared" si="54"/>
        <v>15432.516308273563</v>
      </c>
      <c r="Q95" s="24"/>
    </row>
    <row r="96" spans="2:21" ht="17.5" customHeight="1" thickBot="1">
      <c r="B96" s="28" t="s">
        <v>90</v>
      </c>
      <c r="C96" s="39"/>
      <c r="D96" s="241">
        <f t="shared" si="32"/>
        <v>8772294.2090316284</v>
      </c>
      <c r="E96" s="65">
        <f>SUM(E38,E39,E44,E55,E61,E62,E67,E68,E73,E82,E85,E95)</f>
        <v>676278.78896644735</v>
      </c>
      <c r="F96" s="240">
        <f t="shared" ref="F96:P96" si="55">SUM(F38,F39,F44,F55,F61,F62,F67,F68,F73,F82,F85,F95)</f>
        <v>607309.89751046326</v>
      </c>
      <c r="G96" s="240">
        <f t="shared" si="55"/>
        <v>645438.95290154382</v>
      </c>
      <c r="H96" s="240">
        <f t="shared" si="55"/>
        <v>676950.80384016631</v>
      </c>
      <c r="I96" s="240">
        <f t="shared" si="55"/>
        <v>736935.25706905685</v>
      </c>
      <c r="J96" s="240">
        <f t="shared" si="55"/>
        <v>745016.247753951</v>
      </c>
      <c r="K96" s="240">
        <f t="shared" si="55"/>
        <v>799821.60205500491</v>
      </c>
      <c r="L96" s="240">
        <f t="shared" si="55"/>
        <v>834184.79716985696</v>
      </c>
      <c r="M96" s="240">
        <f t="shared" si="55"/>
        <v>788737.79447258683</v>
      </c>
      <c r="N96" s="240">
        <f t="shared" si="55"/>
        <v>766419.8882709617</v>
      </c>
      <c r="O96" s="240">
        <f t="shared" si="55"/>
        <v>721634.37977906817</v>
      </c>
      <c r="P96" s="240">
        <f t="shared" si="55"/>
        <v>773565.79924252233</v>
      </c>
      <c r="Q96" s="39"/>
    </row>
    <row r="97" spans="2:3" ht="17">
      <c r="B97"/>
      <c r="C97"/>
    </row>
    <row r="98" spans="2:3" ht="17">
      <c r="B98"/>
      <c r="C98"/>
    </row>
    <row r="99" spans="2:3" ht="17">
      <c r="B99"/>
      <c r="C99"/>
    </row>
  </sheetData>
  <mergeCells count="8">
    <mergeCell ref="E5:P5"/>
    <mergeCell ref="B31:C32"/>
    <mergeCell ref="D31:D32"/>
    <mergeCell ref="E31:P31"/>
    <mergeCell ref="Q31:Q32"/>
    <mergeCell ref="Q5:Q6"/>
    <mergeCell ref="B5:C6"/>
    <mergeCell ref="D5:D6"/>
  </mergeCells>
  <phoneticPr fontId="3" type="noConversion"/>
  <pageMargins left="0.39370078740157483" right="0.39370078740157483" top="0.51181102362204722" bottom="0.39370078740157483" header="0.31496062992125984" footer="0.31496062992125984"/>
  <pageSetup paperSize="9" scale="84" orientation="landscape" r:id="rId1"/>
  <rowBreaks count="1" manualBreakCount="1">
    <brk id="26" max="1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Y116"/>
  <sheetViews>
    <sheetView showGridLines="0" topLeftCell="A61" zoomScale="85" zoomScaleNormal="85" zoomScaleSheetLayoutView="55" workbookViewId="0">
      <selection activeCell="P15" sqref="P15"/>
    </sheetView>
  </sheetViews>
  <sheetFormatPr baseColWidth="10" defaultColWidth="9" defaultRowHeight="13"/>
  <cols>
    <col min="1" max="1" width="1.6640625" style="1" customWidth="1"/>
    <col min="2" max="2" width="2.33203125" style="1" customWidth="1"/>
    <col min="3" max="3" width="9" style="1"/>
    <col min="4" max="15" width="8.1640625" style="1" customWidth="1"/>
    <col min="16" max="16" width="39.1640625" style="1" customWidth="1"/>
    <col min="17" max="17" width="1.6640625" style="1" customWidth="1"/>
    <col min="18" max="24" width="9" style="1"/>
    <col min="25" max="25" width="9" style="2"/>
    <col min="26" max="16384" width="9" style="1"/>
  </cols>
  <sheetData>
    <row r="3" spans="1:25" s="3" customFormat="1" ht="14">
      <c r="A3" s="3" t="s">
        <v>92</v>
      </c>
      <c r="Y3" s="96"/>
    </row>
    <row r="4" spans="1:25" ht="14" thickBot="1">
      <c r="P4" s="41" t="s">
        <v>96</v>
      </c>
    </row>
    <row r="5" spans="1:25" ht="18" customHeight="1">
      <c r="B5" s="299" t="s">
        <v>27</v>
      </c>
      <c r="C5" s="300"/>
      <c r="D5" s="301" t="s">
        <v>39</v>
      </c>
      <c r="E5" s="305" t="s">
        <v>29</v>
      </c>
      <c r="F5" s="299"/>
      <c r="G5" s="299"/>
      <c r="H5" s="299" t="s">
        <v>33</v>
      </c>
      <c r="I5" s="299"/>
      <c r="J5" s="299"/>
      <c r="K5" s="299" t="s">
        <v>34</v>
      </c>
      <c r="L5" s="299"/>
      <c r="M5" s="299"/>
      <c r="N5" s="299" t="s">
        <v>36</v>
      </c>
      <c r="O5" s="299"/>
      <c r="P5" s="306" t="s">
        <v>91</v>
      </c>
    </row>
    <row r="6" spans="1:25" ht="18" customHeight="1">
      <c r="B6" s="299"/>
      <c r="C6" s="300"/>
      <c r="D6" s="302"/>
      <c r="E6" s="33" t="s">
        <v>31</v>
      </c>
      <c r="F6" s="8" t="s">
        <v>148</v>
      </c>
      <c r="G6" s="8" t="s">
        <v>32</v>
      </c>
      <c r="H6" s="8" t="s">
        <v>98</v>
      </c>
      <c r="I6" s="8" t="s">
        <v>150</v>
      </c>
      <c r="J6" s="8" t="s">
        <v>32</v>
      </c>
      <c r="K6" s="8" t="s">
        <v>99</v>
      </c>
      <c r="L6" s="8" t="s">
        <v>150</v>
      </c>
      <c r="M6" s="8" t="s">
        <v>32</v>
      </c>
      <c r="N6" s="8" t="s">
        <v>38</v>
      </c>
      <c r="O6" s="8" t="s">
        <v>32</v>
      </c>
      <c r="P6" s="307"/>
    </row>
    <row r="7" spans="1:25" ht="31" customHeight="1">
      <c r="B7" s="10" t="s">
        <v>0</v>
      </c>
      <c r="C7" s="30"/>
      <c r="D7" s="42">
        <f>SUM(G7,J7,M7,O7)</f>
        <v>16858638.777252171</v>
      </c>
      <c r="E7" s="43">
        <f>'2)팀공통비'!E7</f>
        <v>16483016.937140476</v>
      </c>
      <c r="F7" s="44">
        <f>'2)팀공통비'!F7</f>
        <v>0</v>
      </c>
      <c r="G7" s="44">
        <f>SUM(E7:F7)</f>
        <v>16483016.937140476</v>
      </c>
      <c r="H7" s="44">
        <f>'2)팀공통비'!H7</f>
        <v>73941.840111695245</v>
      </c>
      <c r="I7" s="44">
        <f>'2)팀공통비'!I7</f>
        <v>0</v>
      </c>
      <c r="J7" s="44">
        <f>SUM(H7:I7)</f>
        <v>73941.840111695245</v>
      </c>
      <c r="K7" s="44">
        <f>'2)팀공통비'!K7</f>
        <v>0</v>
      </c>
      <c r="L7" s="44">
        <f>'2)팀공통비'!L7</f>
        <v>0</v>
      </c>
      <c r="M7" s="44">
        <f>SUM(K7:L7)</f>
        <v>0</v>
      </c>
      <c r="N7" s="44">
        <f>'2)팀공통비'!N7</f>
        <v>301680</v>
      </c>
      <c r="O7" s="44">
        <f>SUM(N7)</f>
        <v>301680</v>
      </c>
      <c r="P7" s="11"/>
    </row>
    <row r="8" spans="1:25" ht="31" customHeight="1">
      <c r="B8" s="9" t="s">
        <v>1</v>
      </c>
      <c r="C8" s="26"/>
      <c r="D8" s="45">
        <f>SUM(G8,J8,M8,O8)</f>
        <v>0</v>
      </c>
      <c r="E8" s="46">
        <f>SUM(E9:E20)</f>
        <v>0</v>
      </c>
      <c r="F8" s="47">
        <f>SUM(F9:F20)</f>
        <v>0</v>
      </c>
      <c r="G8" s="47">
        <f>SUM(E8:F8)</f>
        <v>0</v>
      </c>
      <c r="H8" s="47">
        <f>SUM(H9:H20)</f>
        <v>0</v>
      </c>
      <c r="I8" s="47">
        <f>SUM(I9:I20)</f>
        <v>0</v>
      </c>
      <c r="J8" s="47">
        <f>SUM(H8:I8)</f>
        <v>0</v>
      </c>
      <c r="K8" s="47">
        <f>SUM(K9:K20)</f>
        <v>0</v>
      </c>
      <c r="L8" s="47">
        <f>SUM(L9:L20)</f>
        <v>0</v>
      </c>
      <c r="M8" s="47">
        <f>SUM(K8:L8)</f>
        <v>0</v>
      </c>
      <c r="N8" s="47">
        <f>SUM(N9:N20)</f>
        <v>0</v>
      </c>
      <c r="O8" s="47">
        <f>SUM(N8)</f>
        <v>0</v>
      </c>
      <c r="P8" s="12"/>
    </row>
    <row r="9" spans="1:25" ht="31" customHeight="1">
      <c r="B9" s="4"/>
      <c r="C9" s="31" t="s">
        <v>40</v>
      </c>
      <c r="D9" s="48">
        <f t="shared" ref="D9:D21" si="0">SUM(G9,J9,M9,O9)</f>
        <v>0</v>
      </c>
      <c r="E9" s="49">
        <f>E35</f>
        <v>0</v>
      </c>
      <c r="F9" s="50">
        <f>F35</f>
        <v>0</v>
      </c>
      <c r="G9" s="50">
        <f t="shared" ref="G9:G20" si="1">SUM(E9:F9)</f>
        <v>0</v>
      </c>
      <c r="H9" s="50">
        <f t="shared" ref="H9:I10" si="2">H35</f>
        <v>0</v>
      </c>
      <c r="I9" s="50">
        <f t="shared" si="2"/>
        <v>0</v>
      </c>
      <c r="J9" s="50">
        <f t="shared" ref="J9:J20" si="3">SUM(H9:I9)</f>
        <v>0</v>
      </c>
      <c r="K9" s="50">
        <f t="shared" ref="K9:L10" si="4">K35</f>
        <v>0</v>
      </c>
      <c r="L9" s="50">
        <f t="shared" si="4"/>
        <v>0</v>
      </c>
      <c r="M9" s="50">
        <f t="shared" ref="M9:M20" si="5">SUM(K9:L9)</f>
        <v>0</v>
      </c>
      <c r="N9" s="50">
        <f>N35</f>
        <v>0</v>
      </c>
      <c r="O9" s="50">
        <f t="shared" ref="O9:O20" si="6">SUM(N9)</f>
        <v>0</v>
      </c>
      <c r="P9" s="13"/>
    </row>
    <row r="10" spans="1:25" ht="31" customHeight="1">
      <c r="B10" s="5"/>
      <c r="C10" s="1" t="s">
        <v>41</v>
      </c>
      <c r="D10" s="51">
        <f t="shared" si="0"/>
        <v>0</v>
      </c>
      <c r="E10" s="52">
        <f t="shared" ref="E10:F10" si="7">E36</f>
        <v>0</v>
      </c>
      <c r="F10" s="53">
        <f t="shared" si="7"/>
        <v>0</v>
      </c>
      <c r="G10" s="53">
        <f t="shared" si="1"/>
        <v>0</v>
      </c>
      <c r="H10" s="53">
        <f t="shared" si="2"/>
        <v>0</v>
      </c>
      <c r="I10" s="53">
        <f t="shared" si="2"/>
        <v>0</v>
      </c>
      <c r="J10" s="53">
        <f t="shared" si="3"/>
        <v>0</v>
      </c>
      <c r="K10" s="53">
        <f t="shared" si="4"/>
        <v>0</v>
      </c>
      <c r="L10" s="53">
        <f t="shared" si="4"/>
        <v>0</v>
      </c>
      <c r="M10" s="53">
        <f t="shared" si="5"/>
        <v>0</v>
      </c>
      <c r="N10" s="53">
        <f t="shared" ref="N10" si="8">N36</f>
        <v>0</v>
      </c>
      <c r="O10" s="53">
        <f t="shared" si="6"/>
        <v>0</v>
      </c>
      <c r="P10" s="14"/>
    </row>
    <row r="11" spans="1:25" ht="31" customHeight="1">
      <c r="B11" s="5"/>
      <c r="C11" s="1" t="s">
        <v>2</v>
      </c>
      <c r="D11" s="51">
        <f t="shared" si="0"/>
        <v>0</v>
      </c>
      <c r="E11" s="52">
        <f>E41</f>
        <v>0</v>
      </c>
      <c r="F11" s="53">
        <f>F41</f>
        <v>0</v>
      </c>
      <c r="G11" s="53">
        <f t="shared" si="1"/>
        <v>0</v>
      </c>
      <c r="H11" s="53">
        <f t="shared" ref="H11:I11" si="9">H41</f>
        <v>0</v>
      </c>
      <c r="I11" s="53">
        <f t="shared" si="9"/>
        <v>0</v>
      </c>
      <c r="J11" s="53">
        <f t="shared" si="3"/>
        <v>0</v>
      </c>
      <c r="K11" s="53">
        <f t="shared" ref="K11:L11" si="10">K41</f>
        <v>0</v>
      </c>
      <c r="L11" s="53">
        <f t="shared" si="10"/>
        <v>0</v>
      </c>
      <c r="M11" s="53">
        <f t="shared" si="5"/>
        <v>0</v>
      </c>
      <c r="N11" s="53">
        <f>N41</f>
        <v>0</v>
      </c>
      <c r="O11" s="53">
        <f t="shared" si="6"/>
        <v>0</v>
      </c>
      <c r="P11" s="14"/>
    </row>
    <row r="12" spans="1:25" ht="31" customHeight="1">
      <c r="B12" s="5"/>
      <c r="C12" s="1" t="s">
        <v>6</v>
      </c>
      <c r="D12" s="51">
        <f t="shared" ref="D12" si="11">SUM(G12,J12,M12,O12)</f>
        <v>0</v>
      </c>
      <c r="E12" s="52">
        <f>E52</f>
        <v>0</v>
      </c>
      <c r="F12" s="53">
        <f>F52</f>
        <v>0</v>
      </c>
      <c r="G12" s="53">
        <f t="shared" si="1"/>
        <v>0</v>
      </c>
      <c r="H12" s="53">
        <f t="shared" ref="H12:I12" si="12">H52</f>
        <v>0</v>
      </c>
      <c r="I12" s="53">
        <f t="shared" si="12"/>
        <v>0</v>
      </c>
      <c r="J12" s="53">
        <f t="shared" si="3"/>
        <v>0</v>
      </c>
      <c r="K12" s="53">
        <f t="shared" ref="K12:L12" si="13">K52</f>
        <v>0</v>
      </c>
      <c r="L12" s="53">
        <f t="shared" si="13"/>
        <v>0</v>
      </c>
      <c r="M12" s="53">
        <f t="shared" si="5"/>
        <v>0</v>
      </c>
      <c r="N12" s="53">
        <f>N52</f>
        <v>0</v>
      </c>
      <c r="O12" s="53">
        <f t="shared" si="6"/>
        <v>0</v>
      </c>
      <c r="P12" s="14"/>
    </row>
    <row r="13" spans="1:25" ht="31" customHeight="1">
      <c r="B13" s="5"/>
      <c r="C13" s="1" t="s">
        <v>3</v>
      </c>
      <c r="D13" s="51">
        <f t="shared" si="0"/>
        <v>0</v>
      </c>
      <c r="E13" s="52">
        <f>E58</f>
        <v>0</v>
      </c>
      <c r="F13" s="53">
        <f>F58</f>
        <v>0</v>
      </c>
      <c r="G13" s="53">
        <f t="shared" si="1"/>
        <v>0</v>
      </c>
      <c r="H13" s="53">
        <f t="shared" ref="H13:I14" si="14">H58</f>
        <v>0</v>
      </c>
      <c r="I13" s="53">
        <f t="shared" si="14"/>
        <v>0</v>
      </c>
      <c r="J13" s="53">
        <f t="shared" si="3"/>
        <v>0</v>
      </c>
      <c r="K13" s="53">
        <f t="shared" ref="K13:L14" si="15">K58</f>
        <v>0</v>
      </c>
      <c r="L13" s="53">
        <f t="shared" si="15"/>
        <v>0</v>
      </c>
      <c r="M13" s="53">
        <f t="shared" si="5"/>
        <v>0</v>
      </c>
      <c r="N13" s="53">
        <f>N58</f>
        <v>0</v>
      </c>
      <c r="O13" s="53">
        <f t="shared" si="6"/>
        <v>0</v>
      </c>
      <c r="P13" s="14"/>
    </row>
    <row r="14" spans="1:25" ht="31" customHeight="1">
      <c r="B14" s="5"/>
      <c r="C14" s="1" t="s">
        <v>4</v>
      </c>
      <c r="D14" s="51">
        <f t="shared" si="0"/>
        <v>0</v>
      </c>
      <c r="E14" s="52">
        <f>E59</f>
        <v>0</v>
      </c>
      <c r="F14" s="53">
        <f>F59</f>
        <v>0</v>
      </c>
      <c r="G14" s="53">
        <f t="shared" si="1"/>
        <v>0</v>
      </c>
      <c r="H14" s="53">
        <f t="shared" si="14"/>
        <v>0</v>
      </c>
      <c r="I14" s="53">
        <f t="shared" si="14"/>
        <v>0</v>
      </c>
      <c r="J14" s="53">
        <f t="shared" si="3"/>
        <v>0</v>
      </c>
      <c r="K14" s="53">
        <f t="shared" si="15"/>
        <v>0</v>
      </c>
      <c r="L14" s="53">
        <f t="shared" si="15"/>
        <v>0</v>
      </c>
      <c r="M14" s="53">
        <f t="shared" si="5"/>
        <v>0</v>
      </c>
      <c r="N14" s="53" t="str">
        <f>N59</f>
        <v/>
      </c>
      <c r="O14" s="53">
        <f t="shared" si="6"/>
        <v>0</v>
      </c>
      <c r="P14" s="14"/>
    </row>
    <row r="15" spans="1:25" ht="31" customHeight="1">
      <c r="B15" s="5"/>
      <c r="C15" s="1" t="s">
        <v>5</v>
      </c>
      <c r="D15" s="51">
        <f t="shared" si="0"/>
        <v>0</v>
      </c>
      <c r="E15" s="52">
        <f>E64</f>
        <v>0</v>
      </c>
      <c r="F15" s="53">
        <f>F64</f>
        <v>0</v>
      </c>
      <c r="G15" s="53">
        <f t="shared" si="1"/>
        <v>0</v>
      </c>
      <c r="H15" s="53">
        <f t="shared" ref="H15:I16" si="16">H64</f>
        <v>0</v>
      </c>
      <c r="I15" s="53">
        <f t="shared" si="16"/>
        <v>0</v>
      </c>
      <c r="J15" s="53">
        <f t="shared" si="3"/>
        <v>0</v>
      </c>
      <c r="K15" s="53">
        <f t="shared" ref="K15:L16" si="17">K64</f>
        <v>0</v>
      </c>
      <c r="L15" s="53">
        <f t="shared" si="17"/>
        <v>0</v>
      </c>
      <c r="M15" s="53">
        <f t="shared" si="5"/>
        <v>0</v>
      </c>
      <c r="N15" s="53">
        <f>N64</f>
        <v>0</v>
      </c>
      <c r="O15" s="53">
        <f t="shared" si="6"/>
        <v>0</v>
      </c>
      <c r="P15" s="14"/>
    </row>
    <row r="16" spans="1:25" ht="31" customHeight="1">
      <c r="B16" s="5"/>
      <c r="C16" s="1" t="s">
        <v>7</v>
      </c>
      <c r="D16" s="51">
        <f t="shared" si="0"/>
        <v>0</v>
      </c>
      <c r="E16" s="52">
        <f>E65</f>
        <v>0</v>
      </c>
      <c r="F16" s="53">
        <f>F65</f>
        <v>0</v>
      </c>
      <c r="G16" s="53">
        <f t="shared" si="1"/>
        <v>0</v>
      </c>
      <c r="H16" s="53">
        <f t="shared" si="16"/>
        <v>0</v>
      </c>
      <c r="I16" s="53">
        <f t="shared" si="16"/>
        <v>0</v>
      </c>
      <c r="J16" s="53">
        <f t="shared" si="3"/>
        <v>0</v>
      </c>
      <c r="K16" s="53">
        <f t="shared" si="17"/>
        <v>0</v>
      </c>
      <c r="L16" s="53">
        <f t="shared" si="17"/>
        <v>0</v>
      </c>
      <c r="M16" s="53">
        <f t="shared" si="5"/>
        <v>0</v>
      </c>
      <c r="N16" s="53" t="str">
        <f>N65</f>
        <v/>
      </c>
      <c r="O16" s="53">
        <f t="shared" si="6"/>
        <v>0</v>
      </c>
      <c r="P16" s="14"/>
    </row>
    <row r="17" spans="1:25" ht="31" customHeight="1">
      <c r="B17" s="5"/>
      <c r="C17" s="1" t="s">
        <v>8</v>
      </c>
      <c r="D17" s="51">
        <f t="shared" si="0"/>
        <v>0</v>
      </c>
      <c r="E17" s="52">
        <f>E70</f>
        <v>0</v>
      </c>
      <c r="F17" s="53">
        <f>F70</f>
        <v>0</v>
      </c>
      <c r="G17" s="53">
        <f t="shared" si="1"/>
        <v>0</v>
      </c>
      <c r="H17" s="53">
        <f t="shared" ref="H17:I17" si="18">H70</f>
        <v>0</v>
      </c>
      <c r="I17" s="53">
        <f t="shared" si="18"/>
        <v>0</v>
      </c>
      <c r="J17" s="53">
        <f t="shared" si="3"/>
        <v>0</v>
      </c>
      <c r="K17" s="53">
        <f t="shared" ref="K17:L17" si="19">K70</f>
        <v>0</v>
      </c>
      <c r="L17" s="53">
        <f t="shared" si="19"/>
        <v>0</v>
      </c>
      <c r="M17" s="53">
        <f t="shared" si="5"/>
        <v>0</v>
      </c>
      <c r="N17" s="53">
        <f>N70</f>
        <v>0</v>
      </c>
      <c r="O17" s="53">
        <f t="shared" si="6"/>
        <v>0</v>
      </c>
      <c r="P17" s="14"/>
    </row>
    <row r="18" spans="1:25" ht="31" customHeight="1">
      <c r="B18" s="5"/>
      <c r="C18" s="1" t="s">
        <v>9</v>
      </c>
      <c r="D18" s="51">
        <f t="shared" si="0"/>
        <v>0</v>
      </c>
      <c r="E18" s="52">
        <f>E79</f>
        <v>0</v>
      </c>
      <c r="F18" s="53">
        <f>F79</f>
        <v>0</v>
      </c>
      <c r="G18" s="53">
        <f t="shared" si="1"/>
        <v>0</v>
      </c>
      <c r="H18" s="53">
        <f t="shared" ref="H18:I18" si="20">H79</f>
        <v>0</v>
      </c>
      <c r="I18" s="53">
        <f t="shared" si="20"/>
        <v>0</v>
      </c>
      <c r="J18" s="53">
        <f t="shared" si="3"/>
        <v>0</v>
      </c>
      <c r="K18" s="53">
        <f t="shared" ref="K18:L18" si="21">K79</f>
        <v>0</v>
      </c>
      <c r="L18" s="53">
        <f t="shared" si="21"/>
        <v>0</v>
      </c>
      <c r="M18" s="53">
        <f t="shared" si="5"/>
        <v>0</v>
      </c>
      <c r="N18" s="53">
        <f>N79</f>
        <v>0</v>
      </c>
      <c r="O18" s="53">
        <f t="shared" si="6"/>
        <v>0</v>
      </c>
      <c r="P18" s="14"/>
    </row>
    <row r="19" spans="1:25" ht="31" customHeight="1">
      <c r="B19" s="5"/>
      <c r="C19" s="1" t="s">
        <v>10</v>
      </c>
      <c r="D19" s="51">
        <f t="shared" si="0"/>
        <v>0</v>
      </c>
      <c r="E19" s="52">
        <f>E82</f>
        <v>0</v>
      </c>
      <c r="F19" s="53">
        <f>F82</f>
        <v>0</v>
      </c>
      <c r="G19" s="53">
        <f t="shared" si="1"/>
        <v>0</v>
      </c>
      <c r="H19" s="53">
        <f t="shared" ref="H19:I19" si="22">H82</f>
        <v>0</v>
      </c>
      <c r="I19" s="53">
        <f t="shared" si="22"/>
        <v>0</v>
      </c>
      <c r="J19" s="53">
        <f t="shared" si="3"/>
        <v>0</v>
      </c>
      <c r="K19" s="53">
        <f t="shared" ref="K19:L19" si="23">K82</f>
        <v>0</v>
      </c>
      <c r="L19" s="53">
        <f t="shared" si="23"/>
        <v>0</v>
      </c>
      <c r="M19" s="53">
        <f t="shared" si="5"/>
        <v>0</v>
      </c>
      <c r="N19" s="53">
        <f>N82</f>
        <v>0</v>
      </c>
      <c r="O19" s="53">
        <f t="shared" si="6"/>
        <v>0</v>
      </c>
      <c r="P19" s="14"/>
    </row>
    <row r="20" spans="1:25" ht="31" customHeight="1">
      <c r="B20" s="6"/>
      <c r="C20" s="32" t="s">
        <v>11</v>
      </c>
      <c r="D20" s="54">
        <f t="shared" si="0"/>
        <v>0</v>
      </c>
      <c r="E20" s="55">
        <f>E92</f>
        <v>0</v>
      </c>
      <c r="F20" s="56">
        <f>F92</f>
        <v>0</v>
      </c>
      <c r="G20" s="56">
        <f t="shared" si="1"/>
        <v>0</v>
      </c>
      <c r="H20" s="56">
        <f t="shared" ref="H20:I20" si="24">H92</f>
        <v>0</v>
      </c>
      <c r="I20" s="56">
        <f t="shared" si="24"/>
        <v>0</v>
      </c>
      <c r="J20" s="56">
        <f t="shared" si="3"/>
        <v>0</v>
      </c>
      <c r="K20" s="56">
        <f t="shared" ref="K20:L20" si="25">K92</f>
        <v>0</v>
      </c>
      <c r="L20" s="56">
        <f t="shared" si="25"/>
        <v>0</v>
      </c>
      <c r="M20" s="56">
        <f t="shared" si="5"/>
        <v>0</v>
      </c>
      <c r="N20" s="56">
        <f>N92</f>
        <v>0</v>
      </c>
      <c r="O20" s="56">
        <f t="shared" si="6"/>
        <v>0</v>
      </c>
      <c r="P20" s="15"/>
    </row>
    <row r="21" spans="1:25" ht="31" customHeight="1">
      <c r="B21" s="9" t="s">
        <v>94</v>
      </c>
      <c r="C21" s="26"/>
      <c r="D21" s="45">
        <f t="shared" si="0"/>
        <v>16858638.777252171</v>
      </c>
      <c r="E21" s="46">
        <f>E7-E8</f>
        <v>16483016.937140476</v>
      </c>
      <c r="F21" s="47">
        <f>F7-F8</f>
        <v>0</v>
      </c>
      <c r="G21" s="47">
        <f t="shared" ref="G21" si="26">SUM(E21:F21)</f>
        <v>16483016.937140476</v>
      </c>
      <c r="H21" s="47">
        <f>H7-H8</f>
        <v>73941.840111695245</v>
      </c>
      <c r="I21" s="47">
        <f>I7-I8</f>
        <v>0</v>
      </c>
      <c r="J21" s="47">
        <f t="shared" ref="J21" si="27">SUM(H21:I21)</f>
        <v>73941.840111695245</v>
      </c>
      <c r="K21" s="47">
        <f>K7-K8</f>
        <v>0</v>
      </c>
      <c r="L21" s="47">
        <f>L7-L8</f>
        <v>0</v>
      </c>
      <c r="M21" s="47">
        <f t="shared" ref="M21" si="28">SUM(K21:L21)</f>
        <v>0</v>
      </c>
      <c r="N21" s="47">
        <f>N7-N8</f>
        <v>301680</v>
      </c>
      <c r="O21" s="47">
        <f t="shared" ref="O21:O22" si="29">SUM(N21)</f>
        <v>301680</v>
      </c>
      <c r="P21" s="12"/>
    </row>
    <row r="22" spans="1:25" ht="31" customHeight="1" thickBot="1">
      <c r="B22" s="40" t="s">
        <v>95</v>
      </c>
      <c r="C22" s="26"/>
      <c r="D22" s="57">
        <f t="shared" ref="D22" si="30">SUM(G22,J22,M22,O22)</f>
        <v>16858638.777252171</v>
      </c>
      <c r="E22" s="46">
        <f>E21+E19</f>
        <v>16483016.937140476</v>
      </c>
      <c r="F22" s="47">
        <f>F21+F19</f>
        <v>0</v>
      </c>
      <c r="G22" s="47">
        <f t="shared" ref="G22" si="31">SUM(E22:F22)</f>
        <v>16483016.937140476</v>
      </c>
      <c r="H22" s="47">
        <f t="shared" ref="H22:I22" si="32">H21+H19</f>
        <v>73941.840111695245</v>
      </c>
      <c r="I22" s="47">
        <f t="shared" si="32"/>
        <v>0</v>
      </c>
      <c r="J22" s="47">
        <f t="shared" ref="J22" si="33">SUM(H22:I22)</f>
        <v>73941.840111695245</v>
      </c>
      <c r="K22" s="47">
        <f t="shared" ref="K22:L22" si="34">K21+K19</f>
        <v>0</v>
      </c>
      <c r="L22" s="47">
        <f t="shared" si="34"/>
        <v>0</v>
      </c>
      <c r="M22" s="47">
        <f t="shared" ref="M22" si="35">SUM(K22:L22)</f>
        <v>0</v>
      </c>
      <c r="N22" s="47">
        <f>N21+N19</f>
        <v>301680</v>
      </c>
      <c r="O22" s="47">
        <f t="shared" si="29"/>
        <v>301680</v>
      </c>
      <c r="P22" s="12"/>
    </row>
    <row r="26" spans="1:25" s="3" customFormat="1" ht="14">
      <c r="A26" s="3" t="s">
        <v>93</v>
      </c>
      <c r="Q26" s="3" t="s">
        <v>141</v>
      </c>
      <c r="Y26" s="96"/>
    </row>
    <row r="27" spans="1:25" ht="14" thickBot="1"/>
    <row r="28" spans="1:25" ht="18" customHeight="1">
      <c r="B28" s="299" t="s">
        <v>27</v>
      </c>
      <c r="C28" s="300"/>
      <c r="D28" s="301" t="s">
        <v>39</v>
      </c>
      <c r="E28" s="305" t="s">
        <v>29</v>
      </c>
      <c r="F28" s="299"/>
      <c r="G28" s="299"/>
      <c r="H28" s="299" t="s">
        <v>33</v>
      </c>
      <c r="I28" s="299"/>
      <c r="J28" s="299"/>
      <c r="K28" s="299" t="s">
        <v>34</v>
      </c>
      <c r="L28" s="299"/>
      <c r="M28" s="299"/>
      <c r="N28" s="299" t="s">
        <v>36</v>
      </c>
      <c r="O28" s="299"/>
      <c r="P28" s="306" t="s">
        <v>91</v>
      </c>
      <c r="R28" s="299" t="s">
        <v>27</v>
      </c>
      <c r="S28" s="300"/>
      <c r="T28" s="301" t="s">
        <v>127</v>
      </c>
      <c r="U28" s="305" t="s">
        <v>101</v>
      </c>
      <c r="V28" s="299" t="s">
        <v>108</v>
      </c>
      <c r="W28" s="299" t="s">
        <v>110</v>
      </c>
      <c r="X28" s="299" t="s">
        <v>149</v>
      </c>
      <c r="Y28" s="305" t="s">
        <v>118</v>
      </c>
    </row>
    <row r="29" spans="1:25" ht="18" customHeight="1">
      <c r="B29" s="299"/>
      <c r="C29" s="300"/>
      <c r="D29" s="302"/>
      <c r="E29" s="33" t="s">
        <v>31</v>
      </c>
      <c r="F29" s="8" t="s">
        <v>148</v>
      </c>
      <c r="G29" s="8" t="s">
        <v>32</v>
      </c>
      <c r="H29" s="8" t="s">
        <v>98</v>
      </c>
      <c r="I29" s="8" t="s">
        <v>150</v>
      </c>
      <c r="J29" s="8" t="s">
        <v>32</v>
      </c>
      <c r="K29" s="8" t="s">
        <v>99</v>
      </c>
      <c r="L29" s="8" t="s">
        <v>150</v>
      </c>
      <c r="M29" s="8" t="s">
        <v>32</v>
      </c>
      <c r="N29" s="8" t="s">
        <v>38</v>
      </c>
      <c r="O29" s="8" t="s">
        <v>32</v>
      </c>
      <c r="P29" s="307"/>
      <c r="R29" s="299"/>
      <c r="S29" s="300"/>
      <c r="T29" s="302"/>
      <c r="U29" s="305"/>
      <c r="V29" s="299"/>
      <c r="W29" s="299"/>
      <c r="X29" s="299"/>
      <c r="Y29" s="305"/>
    </row>
    <row r="30" spans="1:25" ht="18" customHeight="1">
      <c r="B30" s="4" t="s">
        <v>12</v>
      </c>
      <c r="C30" s="31"/>
      <c r="D30" s="48">
        <f t="shared" ref="D30:D33" si="36">SUM(G30,J30,M30,O30)</f>
        <v>0</v>
      </c>
      <c r="E30" s="49">
        <f>IFERROR('2)팀공통비'!E30+$T30*E$102,"")</f>
        <v>0</v>
      </c>
      <c r="F30" s="49">
        <f>IFERROR('2)팀공통비'!F30+$T30*F$102,"")</f>
        <v>0</v>
      </c>
      <c r="G30" s="49">
        <f t="shared" ref="G30" si="37">SUM(E30:F30)</f>
        <v>0</v>
      </c>
      <c r="H30" s="49">
        <f>IFERROR('2)팀공통비'!H30+$T30*H$102,"")</f>
        <v>0</v>
      </c>
      <c r="I30" s="49">
        <f>IFERROR('2)팀공통비'!I30+$T30*I$102,"")</f>
        <v>0</v>
      </c>
      <c r="J30" s="49">
        <f t="shared" ref="J30" si="38">SUM(H30:I30)</f>
        <v>0</v>
      </c>
      <c r="K30" s="49">
        <f>IFERROR('2)팀공통비'!K30+$T30*K$102,"")</f>
        <v>0</v>
      </c>
      <c r="L30" s="49">
        <f>IFERROR('2)팀공통비'!L30+$T30*L$102,"")</f>
        <v>0</v>
      </c>
      <c r="M30" s="49">
        <f t="shared" ref="M30" si="39">SUM(K30:L30)</f>
        <v>0</v>
      </c>
      <c r="N30" s="49" t="str">
        <f>IFERROR('2)팀공통비'!N30+$T30*N$102,"")</f>
        <v/>
      </c>
      <c r="O30" s="49">
        <f t="shared" ref="O30:O91" si="40">SUM(N30)</f>
        <v>0</v>
      </c>
      <c r="P30" s="13"/>
      <c r="R30" s="4" t="s">
        <v>12</v>
      </c>
      <c r="S30" s="31"/>
      <c r="T30" s="124">
        <f>SUM(U30:X30)</f>
        <v>0</v>
      </c>
      <c r="U30" s="125"/>
      <c r="V30" s="126"/>
      <c r="W30" s="126"/>
      <c r="X30" s="126"/>
      <c r="Y30" s="117" t="s">
        <v>137</v>
      </c>
    </row>
    <row r="31" spans="1:25" ht="18" customHeight="1">
      <c r="B31" s="5" t="s">
        <v>13</v>
      </c>
      <c r="D31" s="51">
        <f t="shared" si="36"/>
        <v>0</v>
      </c>
      <c r="E31" s="52">
        <f>IFERROR('2)팀공통비'!E31+$T31*E$102,"")</f>
        <v>0</v>
      </c>
      <c r="F31" s="52">
        <f>IFERROR('2)팀공통비'!F31+$T31*F$102,"")</f>
        <v>0</v>
      </c>
      <c r="G31" s="52">
        <f t="shared" ref="G31:G34" si="41">SUM(E31:F31)</f>
        <v>0</v>
      </c>
      <c r="H31" s="52">
        <f>IFERROR('2)팀공통비'!H31+$T31*H$102,"")</f>
        <v>0</v>
      </c>
      <c r="I31" s="52">
        <f>IFERROR('2)팀공통비'!I31+$T31*I$102,"")</f>
        <v>0</v>
      </c>
      <c r="J31" s="52">
        <f t="shared" ref="J31:J34" si="42">SUM(H31:I31)</f>
        <v>0</v>
      </c>
      <c r="K31" s="52">
        <f>IFERROR('2)팀공통비'!K31+$T31*K$102,"")</f>
        <v>0</v>
      </c>
      <c r="L31" s="52">
        <f>IFERROR('2)팀공통비'!L31+$T31*L$102,"")</f>
        <v>0</v>
      </c>
      <c r="M31" s="52">
        <f t="shared" ref="M31:M34" si="43">SUM(K31:L31)</f>
        <v>0</v>
      </c>
      <c r="N31" s="52" t="str">
        <f>IFERROR('2)팀공통비'!N31+$T31*N$102,"")</f>
        <v/>
      </c>
      <c r="O31" s="52">
        <f t="shared" si="40"/>
        <v>0</v>
      </c>
      <c r="P31" s="14"/>
      <c r="R31" s="5" t="s">
        <v>13</v>
      </c>
      <c r="T31" s="127">
        <f t="shared" ref="T31:T34" si="44">SUM(U31:X31)</f>
        <v>0</v>
      </c>
      <c r="U31" s="128"/>
      <c r="V31" s="129"/>
      <c r="W31" s="129"/>
      <c r="X31" s="129"/>
      <c r="Y31" s="118" t="s">
        <v>136</v>
      </c>
    </row>
    <row r="32" spans="1:25" ht="18" customHeight="1">
      <c r="B32" s="5" t="s">
        <v>14</v>
      </c>
      <c r="D32" s="51">
        <f t="shared" si="36"/>
        <v>0</v>
      </c>
      <c r="E32" s="52">
        <f>IFERROR('2)팀공통비'!E32+$T32*E$102,"")</f>
        <v>0</v>
      </c>
      <c r="F32" s="52">
        <f>IFERROR('2)팀공통비'!F32+$T32*F$102,"")</f>
        <v>0</v>
      </c>
      <c r="G32" s="52">
        <f t="shared" si="41"/>
        <v>0</v>
      </c>
      <c r="H32" s="52">
        <f>IFERROR('2)팀공통비'!H32+$T32*H$102,"")</f>
        <v>0</v>
      </c>
      <c r="I32" s="52">
        <f>IFERROR('2)팀공통비'!I32+$T32*I$102,"")</f>
        <v>0</v>
      </c>
      <c r="J32" s="52">
        <f t="shared" si="42"/>
        <v>0</v>
      </c>
      <c r="K32" s="52">
        <f>IFERROR('2)팀공통비'!K32+$T32*K$102,"")</f>
        <v>0</v>
      </c>
      <c r="L32" s="52">
        <f>IFERROR('2)팀공통비'!L32+$T32*L$102,"")</f>
        <v>0</v>
      </c>
      <c r="M32" s="52">
        <f t="shared" si="43"/>
        <v>0</v>
      </c>
      <c r="N32" s="52" t="str">
        <f>IFERROR('2)팀공통비'!N32+$T32*N$102,"")</f>
        <v/>
      </c>
      <c r="O32" s="52">
        <f t="shared" si="40"/>
        <v>0</v>
      </c>
      <c r="P32" s="14"/>
      <c r="R32" s="5" t="s">
        <v>14</v>
      </c>
      <c r="T32" s="127">
        <f t="shared" si="44"/>
        <v>0</v>
      </c>
      <c r="U32" s="128"/>
      <c r="V32" s="129"/>
      <c r="W32" s="129"/>
      <c r="X32" s="129"/>
      <c r="Y32" s="118" t="s">
        <v>136</v>
      </c>
    </row>
    <row r="33" spans="2:25" ht="18" customHeight="1">
      <c r="B33" s="5" t="s">
        <v>15</v>
      </c>
      <c r="D33" s="51">
        <f t="shared" si="36"/>
        <v>0</v>
      </c>
      <c r="E33" s="52">
        <f>IFERROR('2)팀공통비'!E33+$T33*E$102,"")</f>
        <v>0</v>
      </c>
      <c r="F33" s="52">
        <f>IFERROR('2)팀공통비'!F33+$T33*F$102,"")</f>
        <v>0</v>
      </c>
      <c r="G33" s="52">
        <f t="shared" si="41"/>
        <v>0</v>
      </c>
      <c r="H33" s="52">
        <f>IFERROR('2)팀공통비'!H33+$T33*H$102,"")</f>
        <v>0</v>
      </c>
      <c r="I33" s="52">
        <f>IFERROR('2)팀공통비'!I33+$T33*I$102,"")</f>
        <v>0</v>
      </c>
      <c r="J33" s="52">
        <f t="shared" si="42"/>
        <v>0</v>
      </c>
      <c r="K33" s="52">
        <f>IFERROR('2)팀공통비'!K33+$T33*K$102,"")</f>
        <v>0</v>
      </c>
      <c r="L33" s="52">
        <f>IFERROR('2)팀공통비'!L33+$T33*L$102,"")</f>
        <v>0</v>
      </c>
      <c r="M33" s="52">
        <f t="shared" si="43"/>
        <v>0</v>
      </c>
      <c r="N33" s="52" t="str">
        <f>IFERROR('2)팀공통비'!N33+$T33*N$102,"")</f>
        <v/>
      </c>
      <c r="O33" s="52">
        <f t="shared" si="40"/>
        <v>0</v>
      </c>
      <c r="P33" s="14"/>
      <c r="R33" s="5" t="s">
        <v>15</v>
      </c>
      <c r="T33" s="127">
        <f t="shared" si="44"/>
        <v>0</v>
      </c>
      <c r="U33" s="128"/>
      <c r="V33" s="129"/>
      <c r="W33" s="129"/>
      <c r="X33" s="129"/>
      <c r="Y33" s="118" t="s">
        <v>136</v>
      </c>
    </row>
    <row r="34" spans="2:25" ht="18" customHeight="1">
      <c r="B34" s="19" t="s">
        <v>42</v>
      </c>
      <c r="C34" s="35"/>
      <c r="D34" s="58">
        <f t="shared" ref="D34:D86" si="45">SUM(G34,J34,M34,O34)</f>
        <v>0</v>
      </c>
      <c r="E34" s="59">
        <f>IFERROR('2)팀공통비'!E34+$T34*E$102,"")</f>
        <v>0</v>
      </c>
      <c r="F34" s="59">
        <f>IFERROR('2)팀공통비'!F34+$T34*F$102,"")</f>
        <v>0</v>
      </c>
      <c r="G34" s="59">
        <f t="shared" si="41"/>
        <v>0</v>
      </c>
      <c r="H34" s="59">
        <f>IFERROR('2)팀공통비'!H34+$T34*H$102,"")</f>
        <v>0</v>
      </c>
      <c r="I34" s="59">
        <f>IFERROR('2)팀공통비'!I34+$T34*I$102,"")</f>
        <v>0</v>
      </c>
      <c r="J34" s="59">
        <f t="shared" si="42"/>
        <v>0</v>
      </c>
      <c r="K34" s="59">
        <f>IFERROR('2)팀공통비'!K34+$T34*K$102,"")</f>
        <v>0</v>
      </c>
      <c r="L34" s="59">
        <f>IFERROR('2)팀공통비'!L34+$T34*L$102,"")</f>
        <v>0</v>
      </c>
      <c r="M34" s="59">
        <f t="shared" si="43"/>
        <v>0</v>
      </c>
      <c r="N34" s="59" t="str">
        <f>IFERROR('2)팀공통비'!N34+$T34*N$102,"")</f>
        <v/>
      </c>
      <c r="O34" s="59">
        <f t="shared" si="40"/>
        <v>0</v>
      </c>
      <c r="P34" s="21"/>
      <c r="R34" s="19" t="s">
        <v>42</v>
      </c>
      <c r="S34" s="35"/>
      <c r="T34" s="130">
        <f t="shared" si="44"/>
        <v>0</v>
      </c>
      <c r="U34" s="131"/>
      <c r="V34" s="132"/>
      <c r="W34" s="132"/>
      <c r="X34" s="132"/>
      <c r="Y34" s="119" t="s">
        <v>136</v>
      </c>
    </row>
    <row r="35" spans="2:25" ht="18" customHeight="1">
      <c r="B35" s="16" t="s">
        <v>16</v>
      </c>
      <c r="C35" s="36"/>
      <c r="D35" s="60">
        <f t="shared" si="45"/>
        <v>0</v>
      </c>
      <c r="E35" s="61">
        <f>SUM(E30:E34)</f>
        <v>0</v>
      </c>
      <c r="F35" s="61">
        <f>SUM(F30:F34)</f>
        <v>0</v>
      </c>
      <c r="G35" s="61">
        <f t="shared" ref="G35:G63" si="46">SUM(E35:F35)</f>
        <v>0</v>
      </c>
      <c r="H35" s="61">
        <f>SUM(H30:H34)</f>
        <v>0</v>
      </c>
      <c r="I35" s="61">
        <f>SUM(I30:I34)</f>
        <v>0</v>
      </c>
      <c r="J35" s="61">
        <f t="shared" ref="J35:J63" si="47">SUM(H35:I35)</f>
        <v>0</v>
      </c>
      <c r="K35" s="61">
        <f>SUM(K30:K34)</f>
        <v>0</v>
      </c>
      <c r="L35" s="61">
        <f>SUM(L30:L34)</f>
        <v>0</v>
      </c>
      <c r="M35" s="61">
        <f t="shared" ref="M35:M63" si="48">SUM(K35:L35)</f>
        <v>0</v>
      </c>
      <c r="N35" s="61">
        <f>SUM(N30:N34)</f>
        <v>0</v>
      </c>
      <c r="O35" s="61">
        <f t="shared" si="40"/>
        <v>0</v>
      </c>
      <c r="P35" s="18"/>
      <c r="R35" s="16" t="s">
        <v>16</v>
      </c>
      <c r="S35" s="36"/>
      <c r="T35" s="133">
        <f>SUM(T30:T34)</f>
        <v>0</v>
      </c>
      <c r="U35" s="134">
        <f>SUM(U30:U34)</f>
        <v>0</v>
      </c>
      <c r="V35" s="135">
        <f>SUM(V30:V34)</f>
        <v>0</v>
      </c>
      <c r="W35" s="135">
        <f>SUM(W30:W34)</f>
        <v>0</v>
      </c>
      <c r="X35" s="135">
        <f>SUM(X30:X34)</f>
        <v>0</v>
      </c>
      <c r="Y35" s="120"/>
    </row>
    <row r="36" spans="2:25" ht="18" customHeight="1">
      <c r="B36" s="26" t="s">
        <v>17</v>
      </c>
      <c r="C36" s="37"/>
      <c r="D36" s="45">
        <f t="shared" si="45"/>
        <v>0</v>
      </c>
      <c r="E36" s="46">
        <f>IFERROR('2)팀공통비'!E36,"")</f>
        <v>0</v>
      </c>
      <c r="F36" s="46">
        <f>IFERROR('2)팀공통비'!F36,"")</f>
        <v>0</v>
      </c>
      <c r="G36" s="46">
        <f t="shared" si="46"/>
        <v>0</v>
      </c>
      <c r="H36" s="46">
        <f>IFERROR('2)팀공통비'!H36,"")</f>
        <v>0</v>
      </c>
      <c r="I36" s="46">
        <f>IFERROR('2)팀공통비'!I36,"")</f>
        <v>0</v>
      </c>
      <c r="J36" s="46">
        <f t="shared" si="47"/>
        <v>0</v>
      </c>
      <c r="K36" s="46">
        <f>IFERROR('2)팀공통비'!K36,"")</f>
        <v>0</v>
      </c>
      <c r="L36" s="46">
        <f>IFERROR('2)팀공통비'!L36,"")</f>
        <v>0</v>
      </c>
      <c r="M36" s="46">
        <f t="shared" si="48"/>
        <v>0</v>
      </c>
      <c r="N36" s="46">
        <f>IFERROR('2)팀공통비'!N36,"")</f>
        <v>0</v>
      </c>
      <c r="O36" s="46">
        <f t="shared" si="40"/>
        <v>0</v>
      </c>
      <c r="P36" s="12"/>
      <c r="R36" s="26" t="s">
        <v>17</v>
      </c>
      <c r="S36" s="37"/>
      <c r="T36" s="136">
        <f t="shared" ref="T36:T40" si="49">SUM(U36:X36)</f>
        <v>0</v>
      </c>
      <c r="U36" s="137"/>
      <c r="V36" s="138"/>
      <c r="W36" s="138"/>
      <c r="X36" s="138"/>
      <c r="Y36" s="121" t="s">
        <v>138</v>
      </c>
    </row>
    <row r="37" spans="2:25" ht="18" customHeight="1">
      <c r="B37" s="19" t="s">
        <v>20</v>
      </c>
      <c r="C37" s="35"/>
      <c r="D37" s="58">
        <f t="shared" ref="D37:D41" si="50">SUM(G37,J37,M37,O37)</f>
        <v>0</v>
      </c>
      <c r="E37" s="59">
        <f>IFERROR('2)팀공통비'!E37+$T37*E$102,"")</f>
        <v>0</v>
      </c>
      <c r="F37" s="59">
        <f>IFERROR('2)팀공통비'!F37+$T37*F$102,"")</f>
        <v>0</v>
      </c>
      <c r="G37" s="59">
        <f t="shared" si="46"/>
        <v>0</v>
      </c>
      <c r="H37" s="59">
        <f>IFERROR('2)팀공통비'!H37+$T37*H$102,"")</f>
        <v>0</v>
      </c>
      <c r="I37" s="59">
        <f>IFERROR('2)팀공통비'!I37+$T37*I$102,"")</f>
        <v>0</v>
      </c>
      <c r="J37" s="59">
        <f t="shared" si="47"/>
        <v>0</v>
      </c>
      <c r="K37" s="59">
        <f>IFERROR('2)팀공통비'!K37+$T37*K$102,"")</f>
        <v>0</v>
      </c>
      <c r="L37" s="59">
        <f>IFERROR('2)팀공통비'!L37+$T37*L$102,"")</f>
        <v>0</v>
      </c>
      <c r="M37" s="59">
        <f t="shared" si="48"/>
        <v>0</v>
      </c>
      <c r="N37" s="59" t="str">
        <f>IFERROR('2)팀공통비'!N37+$T37*N$102,"")</f>
        <v/>
      </c>
      <c r="O37" s="59">
        <f t="shared" si="40"/>
        <v>0</v>
      </c>
      <c r="P37" s="21"/>
      <c r="R37" s="19" t="s">
        <v>20</v>
      </c>
      <c r="S37" s="35"/>
      <c r="T37" s="130">
        <f t="shared" si="49"/>
        <v>0</v>
      </c>
      <c r="U37" s="131"/>
      <c r="V37" s="132"/>
      <c r="W37" s="132"/>
      <c r="X37" s="132"/>
      <c r="Y37" s="119" t="s">
        <v>136</v>
      </c>
    </row>
    <row r="38" spans="2:25" ht="18" customHeight="1">
      <c r="B38" s="19" t="s">
        <v>21</v>
      </c>
      <c r="C38" s="35"/>
      <c r="D38" s="58">
        <f t="shared" si="50"/>
        <v>0</v>
      </c>
      <c r="E38" s="59">
        <f>IFERROR('2)팀공통비'!E38+$T38*E$102,"")</f>
        <v>0</v>
      </c>
      <c r="F38" s="59">
        <f>IFERROR('2)팀공통비'!F38+$T38*F$102,"")</f>
        <v>0</v>
      </c>
      <c r="G38" s="59">
        <f t="shared" si="46"/>
        <v>0</v>
      </c>
      <c r="H38" s="59">
        <f>IFERROR('2)팀공통비'!H38+$T38*H$102,"")</f>
        <v>0</v>
      </c>
      <c r="I38" s="59">
        <f>IFERROR('2)팀공통비'!I38+$T38*I$102,"")</f>
        <v>0</v>
      </c>
      <c r="J38" s="59">
        <f t="shared" si="47"/>
        <v>0</v>
      </c>
      <c r="K38" s="59">
        <f>IFERROR('2)팀공통비'!K38+$T38*K$102,"")</f>
        <v>0</v>
      </c>
      <c r="L38" s="59">
        <f>IFERROR('2)팀공통비'!L38+$T38*L$102,"")</f>
        <v>0</v>
      </c>
      <c r="M38" s="59">
        <f t="shared" si="48"/>
        <v>0</v>
      </c>
      <c r="N38" s="59" t="str">
        <f>IFERROR('2)팀공통비'!N38+$T38*N$102,"")</f>
        <v/>
      </c>
      <c r="O38" s="59">
        <f t="shared" si="40"/>
        <v>0</v>
      </c>
      <c r="P38" s="21"/>
      <c r="R38" s="19" t="s">
        <v>21</v>
      </c>
      <c r="S38" s="35"/>
      <c r="T38" s="130">
        <f t="shared" si="49"/>
        <v>0</v>
      </c>
      <c r="U38" s="131"/>
      <c r="V38" s="132"/>
      <c r="W38" s="132"/>
      <c r="X38" s="132"/>
      <c r="Y38" s="119" t="s">
        <v>136</v>
      </c>
    </row>
    <row r="39" spans="2:25" ht="18" customHeight="1">
      <c r="B39" s="19" t="s">
        <v>22</v>
      </c>
      <c r="C39" s="35"/>
      <c r="D39" s="58">
        <f t="shared" si="50"/>
        <v>0</v>
      </c>
      <c r="E39" s="59">
        <f>IFERROR('2)팀공통비'!E39+$T39*E$102,"")</f>
        <v>0</v>
      </c>
      <c r="F39" s="59">
        <f>IFERROR('2)팀공통비'!F39+$T39*F$102,"")</f>
        <v>0</v>
      </c>
      <c r="G39" s="59">
        <f t="shared" si="46"/>
        <v>0</v>
      </c>
      <c r="H39" s="59">
        <f>IFERROR('2)팀공통비'!H39+$T39*H$102,"")</f>
        <v>0</v>
      </c>
      <c r="I39" s="59">
        <f>IFERROR('2)팀공통비'!I39+$T39*I$102,"")</f>
        <v>0</v>
      </c>
      <c r="J39" s="59">
        <f t="shared" si="47"/>
        <v>0</v>
      </c>
      <c r="K39" s="59">
        <f>IFERROR('2)팀공통비'!K39+$T39*K$102,"")</f>
        <v>0</v>
      </c>
      <c r="L39" s="59">
        <f>IFERROR('2)팀공통비'!L39+$T39*L$102,"")</f>
        <v>0</v>
      </c>
      <c r="M39" s="59">
        <f t="shared" si="48"/>
        <v>0</v>
      </c>
      <c r="N39" s="59" t="str">
        <f>IFERROR('2)팀공통비'!N39+$T39*N$102,"")</f>
        <v/>
      </c>
      <c r="O39" s="59">
        <f t="shared" si="40"/>
        <v>0</v>
      </c>
      <c r="P39" s="21"/>
      <c r="R39" s="19" t="s">
        <v>22</v>
      </c>
      <c r="S39" s="35"/>
      <c r="T39" s="130">
        <f t="shared" si="49"/>
        <v>0</v>
      </c>
      <c r="U39" s="131"/>
      <c r="V39" s="132"/>
      <c r="W39" s="132"/>
      <c r="X39" s="132"/>
      <c r="Y39" s="119" t="s">
        <v>136</v>
      </c>
    </row>
    <row r="40" spans="2:25" ht="18" customHeight="1">
      <c r="B40" s="19" t="s">
        <v>23</v>
      </c>
      <c r="C40" s="35"/>
      <c r="D40" s="58">
        <f t="shared" si="50"/>
        <v>0</v>
      </c>
      <c r="E40" s="59">
        <f>IFERROR('2)팀공통비'!E40+$T40*E$102,"")</f>
        <v>0</v>
      </c>
      <c r="F40" s="59">
        <f>IFERROR('2)팀공통비'!F40+$T40*F$102,"")</f>
        <v>0</v>
      </c>
      <c r="G40" s="59">
        <f t="shared" si="46"/>
        <v>0</v>
      </c>
      <c r="H40" s="59">
        <f>IFERROR('2)팀공통비'!H40+$T40*H$102,"")</f>
        <v>0</v>
      </c>
      <c r="I40" s="59">
        <f>IFERROR('2)팀공통비'!I40+$T40*I$102,"")</f>
        <v>0</v>
      </c>
      <c r="J40" s="59">
        <f t="shared" si="47"/>
        <v>0</v>
      </c>
      <c r="K40" s="59">
        <f>IFERROR('2)팀공통비'!K40+$T40*K$102,"")</f>
        <v>0</v>
      </c>
      <c r="L40" s="59">
        <f>IFERROR('2)팀공통비'!L40+$T40*L$102,"")</f>
        <v>0</v>
      </c>
      <c r="M40" s="59">
        <f t="shared" si="48"/>
        <v>0</v>
      </c>
      <c r="N40" s="59" t="str">
        <f>IFERROR('2)팀공통비'!N40+$T40*N$102,"")</f>
        <v/>
      </c>
      <c r="O40" s="59">
        <f t="shared" si="40"/>
        <v>0</v>
      </c>
      <c r="P40" s="21"/>
      <c r="R40" s="19" t="s">
        <v>23</v>
      </c>
      <c r="S40" s="35"/>
      <c r="T40" s="130">
        <f t="shared" si="49"/>
        <v>0</v>
      </c>
      <c r="U40" s="131"/>
      <c r="V40" s="132"/>
      <c r="W40" s="132"/>
      <c r="X40" s="132"/>
      <c r="Y40" s="119" t="s">
        <v>136</v>
      </c>
    </row>
    <row r="41" spans="2:25" ht="18" customHeight="1">
      <c r="B41" s="22" t="s">
        <v>24</v>
      </c>
      <c r="C41" s="38"/>
      <c r="D41" s="62">
        <f t="shared" si="50"/>
        <v>0</v>
      </c>
      <c r="E41" s="63">
        <f>SUM(E37:E40)</f>
        <v>0</v>
      </c>
      <c r="F41" s="63">
        <f>SUM(F37:F40)</f>
        <v>0</v>
      </c>
      <c r="G41" s="63">
        <f t="shared" ref="G41" si="51">SUM(E41:F41)</f>
        <v>0</v>
      </c>
      <c r="H41" s="63">
        <f>SUM(H37:H40)</f>
        <v>0</v>
      </c>
      <c r="I41" s="63">
        <f>SUM(I37:I40)</f>
        <v>0</v>
      </c>
      <c r="J41" s="63">
        <f t="shared" ref="J41" si="52">SUM(H41:I41)</f>
        <v>0</v>
      </c>
      <c r="K41" s="63">
        <f>SUM(K37:K40)</f>
        <v>0</v>
      </c>
      <c r="L41" s="63">
        <f>SUM(L37:L40)</f>
        <v>0</v>
      </c>
      <c r="M41" s="63">
        <f t="shared" ref="M41" si="53">SUM(K41:L41)</f>
        <v>0</v>
      </c>
      <c r="N41" s="63">
        <f>SUM(N37:N40)</f>
        <v>0</v>
      </c>
      <c r="O41" s="63">
        <f t="shared" si="40"/>
        <v>0</v>
      </c>
      <c r="P41" s="24"/>
      <c r="R41" s="22" t="s">
        <v>24</v>
      </c>
      <c r="S41" s="38"/>
      <c r="T41" s="139">
        <f>SUM(T37:T40)</f>
        <v>0</v>
      </c>
      <c r="U41" s="140">
        <f>SUM(U37:U40)</f>
        <v>0</v>
      </c>
      <c r="V41" s="141">
        <f>SUM(V37:V40)</f>
        <v>0</v>
      </c>
      <c r="W41" s="141">
        <f>SUM(W37:W40)</f>
        <v>0</v>
      </c>
      <c r="X41" s="141">
        <f>SUM(X37:X40)</f>
        <v>0</v>
      </c>
      <c r="Y41" s="122"/>
    </row>
    <row r="42" spans="2:25" ht="18" customHeight="1">
      <c r="B42" s="19" t="s">
        <v>43</v>
      </c>
      <c r="C42" s="35"/>
      <c r="D42" s="58">
        <f t="shared" si="45"/>
        <v>0</v>
      </c>
      <c r="E42" s="59">
        <f>IFERROR('2)팀공통비'!E42+$T42*E$104,"")</f>
        <v>0</v>
      </c>
      <c r="F42" s="59">
        <f>IFERROR('2)팀공통비'!F42+$T42*F$104,"")</f>
        <v>0</v>
      </c>
      <c r="G42" s="59">
        <f t="shared" si="46"/>
        <v>0</v>
      </c>
      <c r="H42" s="59">
        <f>IFERROR('2)팀공통비'!H42+$T42*H$104,"")</f>
        <v>0</v>
      </c>
      <c r="I42" s="59">
        <f>IFERROR('2)팀공통비'!I42+$T42*I$104,"")</f>
        <v>0</v>
      </c>
      <c r="J42" s="59">
        <f t="shared" si="47"/>
        <v>0</v>
      </c>
      <c r="K42" s="59">
        <f>IFERROR('2)팀공통비'!K42+$T42*K$104,"")</f>
        <v>0</v>
      </c>
      <c r="L42" s="59">
        <f>IFERROR('2)팀공통비'!L42+$T42*L$104,"")</f>
        <v>0</v>
      </c>
      <c r="M42" s="59">
        <f t="shared" si="48"/>
        <v>0</v>
      </c>
      <c r="N42" s="59" t="str">
        <f>IFERROR('2)팀공통비'!N42+$T42*N$104,"")</f>
        <v/>
      </c>
      <c r="O42" s="59">
        <f t="shared" si="40"/>
        <v>0</v>
      </c>
      <c r="P42" s="21"/>
      <c r="R42" s="19" t="s">
        <v>43</v>
      </c>
      <c r="S42" s="35"/>
      <c r="T42" s="130">
        <f t="shared" ref="T42:T51" si="54">SUM(U42:X42)</f>
        <v>0</v>
      </c>
      <c r="U42" s="131"/>
      <c r="V42" s="132"/>
      <c r="W42" s="132"/>
      <c r="X42" s="132"/>
      <c r="Y42" s="119" t="s">
        <v>116</v>
      </c>
    </row>
    <row r="43" spans="2:25" ht="18" customHeight="1">
      <c r="B43" s="19" t="s">
        <v>44</v>
      </c>
      <c r="C43" s="35"/>
      <c r="D43" s="58">
        <f t="shared" si="45"/>
        <v>0</v>
      </c>
      <c r="E43" s="59">
        <f>IFERROR('2)팀공통비'!E43+$T43*E$102,"")</f>
        <v>0</v>
      </c>
      <c r="F43" s="59">
        <f>IFERROR('2)팀공통비'!F43+$T43*F$102,"")</f>
        <v>0</v>
      </c>
      <c r="G43" s="59">
        <f t="shared" si="46"/>
        <v>0</v>
      </c>
      <c r="H43" s="59">
        <f>IFERROR('2)팀공통비'!H43+$T43*H$102,"")</f>
        <v>0</v>
      </c>
      <c r="I43" s="59">
        <f>IFERROR('2)팀공통비'!I43+$T43*I$102,"")</f>
        <v>0</v>
      </c>
      <c r="J43" s="59">
        <f t="shared" si="47"/>
        <v>0</v>
      </c>
      <c r="K43" s="59">
        <f>IFERROR('2)팀공통비'!K43+$T43*K$102,"")</f>
        <v>0</v>
      </c>
      <c r="L43" s="59">
        <f>IFERROR('2)팀공통비'!L43+$T43*L$102,"")</f>
        <v>0</v>
      </c>
      <c r="M43" s="59">
        <f t="shared" si="48"/>
        <v>0</v>
      </c>
      <c r="N43" s="59" t="str">
        <f>IFERROR('2)팀공통비'!N43+$T43*N$102,"")</f>
        <v/>
      </c>
      <c r="O43" s="59">
        <f t="shared" si="40"/>
        <v>0</v>
      </c>
      <c r="P43" s="21"/>
      <c r="R43" s="19" t="s">
        <v>44</v>
      </c>
      <c r="S43" s="35"/>
      <c r="T43" s="130">
        <f t="shared" si="54"/>
        <v>0</v>
      </c>
      <c r="U43" s="131"/>
      <c r="V43" s="132"/>
      <c r="W43" s="132"/>
      <c r="X43" s="132"/>
      <c r="Y43" s="119" t="s">
        <v>136</v>
      </c>
    </row>
    <row r="44" spans="2:25" ht="18" customHeight="1">
      <c r="B44" s="19" t="s">
        <v>45</v>
      </c>
      <c r="C44" s="35"/>
      <c r="D44" s="58">
        <f t="shared" si="45"/>
        <v>0</v>
      </c>
      <c r="E44" s="59">
        <f>IFERROR('2)팀공통비'!E44+$T44*E$102,"")</f>
        <v>0</v>
      </c>
      <c r="F44" s="59">
        <f>IFERROR('2)팀공통비'!F44+$T44*F$102,"")</f>
        <v>0</v>
      </c>
      <c r="G44" s="59">
        <f t="shared" si="46"/>
        <v>0</v>
      </c>
      <c r="H44" s="59">
        <f>IFERROR('2)팀공통비'!H44+$T44*H$102,"")</f>
        <v>0</v>
      </c>
      <c r="I44" s="59">
        <f>IFERROR('2)팀공통비'!I44+$T44*I$102,"")</f>
        <v>0</v>
      </c>
      <c r="J44" s="59">
        <f t="shared" si="47"/>
        <v>0</v>
      </c>
      <c r="K44" s="59">
        <f>IFERROR('2)팀공통비'!K44+$T44*K$102,"")</f>
        <v>0</v>
      </c>
      <c r="L44" s="59">
        <f>IFERROR('2)팀공통비'!L44+$T44*L$102,"")</f>
        <v>0</v>
      </c>
      <c r="M44" s="59">
        <f t="shared" si="48"/>
        <v>0</v>
      </c>
      <c r="N44" s="59" t="str">
        <f>IFERROR('2)팀공통비'!N44+$T44*N$102,"")</f>
        <v/>
      </c>
      <c r="O44" s="59">
        <f t="shared" si="40"/>
        <v>0</v>
      </c>
      <c r="P44" s="21"/>
      <c r="R44" s="19" t="s">
        <v>45</v>
      </c>
      <c r="S44" s="35"/>
      <c r="T44" s="130">
        <f t="shared" si="54"/>
        <v>0</v>
      </c>
      <c r="U44" s="131"/>
      <c r="V44" s="132"/>
      <c r="W44" s="132"/>
      <c r="X44" s="132"/>
      <c r="Y44" s="119" t="s">
        <v>136</v>
      </c>
    </row>
    <row r="45" spans="2:25" ht="18" customHeight="1">
      <c r="B45" s="19" t="s">
        <v>46</v>
      </c>
      <c r="C45" s="35"/>
      <c r="D45" s="58">
        <f t="shared" si="45"/>
        <v>0</v>
      </c>
      <c r="E45" s="59">
        <f>IFERROR('2)팀공통비'!E45+$T45*E$102,"")</f>
        <v>0</v>
      </c>
      <c r="F45" s="59">
        <f>IFERROR('2)팀공통비'!F45+$T45*F$102,"")</f>
        <v>0</v>
      </c>
      <c r="G45" s="59">
        <f t="shared" si="46"/>
        <v>0</v>
      </c>
      <c r="H45" s="59">
        <f>IFERROR('2)팀공통비'!H45+$T45*H$102,"")</f>
        <v>0</v>
      </c>
      <c r="I45" s="59">
        <f>IFERROR('2)팀공통비'!I45+$T45*I$102,"")</f>
        <v>0</v>
      </c>
      <c r="J45" s="59">
        <f t="shared" si="47"/>
        <v>0</v>
      </c>
      <c r="K45" s="59">
        <f>IFERROR('2)팀공통비'!K45+$T45*K$102,"")</f>
        <v>0</v>
      </c>
      <c r="L45" s="59">
        <f>IFERROR('2)팀공통비'!L45+$T45*L$102,"")</f>
        <v>0</v>
      </c>
      <c r="M45" s="59">
        <f t="shared" si="48"/>
        <v>0</v>
      </c>
      <c r="N45" s="59" t="str">
        <f>IFERROR('2)팀공통비'!N45+$T45*N$102,"")</f>
        <v/>
      </c>
      <c r="O45" s="59">
        <f t="shared" si="40"/>
        <v>0</v>
      </c>
      <c r="P45" s="21"/>
      <c r="R45" s="19" t="s">
        <v>46</v>
      </c>
      <c r="S45" s="35"/>
      <c r="T45" s="130">
        <f t="shared" si="54"/>
        <v>0</v>
      </c>
      <c r="U45" s="131"/>
      <c r="V45" s="132"/>
      <c r="W45" s="132"/>
      <c r="X45" s="132"/>
      <c r="Y45" s="119" t="s">
        <v>136</v>
      </c>
    </row>
    <row r="46" spans="2:25" ht="18" customHeight="1">
      <c r="B46" s="19" t="s">
        <v>47</v>
      </c>
      <c r="C46" s="35"/>
      <c r="D46" s="58">
        <f t="shared" si="45"/>
        <v>0</v>
      </c>
      <c r="E46" s="59">
        <f>IFERROR('2)팀공통비'!E46+$T46*E$102,"")</f>
        <v>0</v>
      </c>
      <c r="F46" s="59">
        <f>IFERROR('2)팀공통비'!F46+$T46*F$102,"")</f>
        <v>0</v>
      </c>
      <c r="G46" s="59">
        <f t="shared" si="46"/>
        <v>0</v>
      </c>
      <c r="H46" s="59">
        <f>IFERROR('2)팀공통비'!H46+$T46*H$102,"")</f>
        <v>0</v>
      </c>
      <c r="I46" s="59">
        <f>IFERROR('2)팀공통비'!I46+$T46*I$102,"")</f>
        <v>0</v>
      </c>
      <c r="J46" s="59">
        <f t="shared" si="47"/>
        <v>0</v>
      </c>
      <c r="K46" s="59">
        <f>IFERROR('2)팀공통비'!K46+$T46*K$102,"")</f>
        <v>0</v>
      </c>
      <c r="L46" s="59">
        <f>IFERROR('2)팀공통비'!L46+$T46*L$102,"")</f>
        <v>0</v>
      </c>
      <c r="M46" s="59">
        <f t="shared" si="48"/>
        <v>0</v>
      </c>
      <c r="N46" s="59" t="str">
        <f>IFERROR('2)팀공통비'!N46+$T46*N$102,"")</f>
        <v/>
      </c>
      <c r="O46" s="59">
        <f t="shared" si="40"/>
        <v>0</v>
      </c>
      <c r="P46" s="21"/>
      <c r="R46" s="19" t="s">
        <v>47</v>
      </c>
      <c r="S46" s="35"/>
      <c r="T46" s="130">
        <f t="shared" si="54"/>
        <v>0</v>
      </c>
      <c r="U46" s="131"/>
      <c r="V46" s="132"/>
      <c r="W46" s="132"/>
      <c r="X46" s="132"/>
      <c r="Y46" s="119" t="s">
        <v>136</v>
      </c>
    </row>
    <row r="47" spans="2:25" ht="18" customHeight="1">
      <c r="B47" s="19" t="s">
        <v>55</v>
      </c>
      <c r="C47" s="35"/>
      <c r="D47" s="58">
        <f t="shared" si="45"/>
        <v>0</v>
      </c>
      <c r="E47" s="59">
        <f>IFERROR('2)팀공통비'!E47+$T47*E$102,"")</f>
        <v>0</v>
      </c>
      <c r="F47" s="59">
        <f>IFERROR('2)팀공통비'!F47+$T47*F$102,"")</f>
        <v>0</v>
      </c>
      <c r="G47" s="59">
        <f t="shared" si="46"/>
        <v>0</v>
      </c>
      <c r="H47" s="59">
        <f>IFERROR('2)팀공통비'!H47+$T47*H$102,"")</f>
        <v>0</v>
      </c>
      <c r="I47" s="59">
        <f>IFERROR('2)팀공통비'!I47+$T47*I$102,"")</f>
        <v>0</v>
      </c>
      <c r="J47" s="59">
        <f t="shared" si="47"/>
        <v>0</v>
      </c>
      <c r="K47" s="59">
        <f>IFERROR('2)팀공통비'!K47+$T47*K$102,"")</f>
        <v>0</v>
      </c>
      <c r="L47" s="59">
        <f>IFERROR('2)팀공통비'!L47+$T47*L$102,"")</f>
        <v>0</v>
      </c>
      <c r="M47" s="59">
        <f t="shared" si="48"/>
        <v>0</v>
      </c>
      <c r="N47" s="59" t="str">
        <f>IFERROR('2)팀공통비'!N47+$T47*N$102,"")</f>
        <v/>
      </c>
      <c r="O47" s="59">
        <f t="shared" si="40"/>
        <v>0</v>
      </c>
      <c r="P47" s="21"/>
      <c r="R47" s="19" t="s">
        <v>55</v>
      </c>
      <c r="S47" s="35"/>
      <c r="T47" s="130">
        <f t="shared" si="54"/>
        <v>0</v>
      </c>
      <c r="U47" s="131"/>
      <c r="V47" s="132"/>
      <c r="W47" s="132"/>
      <c r="X47" s="132"/>
      <c r="Y47" s="119" t="s">
        <v>136</v>
      </c>
    </row>
    <row r="48" spans="2:25" ht="18" customHeight="1">
      <c r="B48" s="19" t="s">
        <v>54</v>
      </c>
      <c r="C48" s="35"/>
      <c r="D48" s="58">
        <f t="shared" si="45"/>
        <v>0</v>
      </c>
      <c r="E48" s="59">
        <f>IFERROR('2)팀공통비'!E48+$T48*E$102,"")</f>
        <v>0</v>
      </c>
      <c r="F48" s="59">
        <f>IFERROR('2)팀공통비'!F48+$T48*F$102,"")</f>
        <v>0</v>
      </c>
      <c r="G48" s="59">
        <f t="shared" si="46"/>
        <v>0</v>
      </c>
      <c r="H48" s="59">
        <f>IFERROR('2)팀공통비'!H48+$T48*H$102,"")</f>
        <v>0</v>
      </c>
      <c r="I48" s="59">
        <f>IFERROR('2)팀공통비'!I48+$T48*I$102,"")</f>
        <v>0</v>
      </c>
      <c r="J48" s="59">
        <f t="shared" si="47"/>
        <v>0</v>
      </c>
      <c r="K48" s="59">
        <f>IFERROR('2)팀공통비'!K48+$T48*K$102,"")</f>
        <v>0</v>
      </c>
      <c r="L48" s="59">
        <f>IFERROR('2)팀공통비'!L48+$T48*L$102,"")</f>
        <v>0</v>
      </c>
      <c r="M48" s="59">
        <f t="shared" si="48"/>
        <v>0</v>
      </c>
      <c r="N48" s="59" t="str">
        <f>IFERROR('2)팀공통비'!N48+$T48*N$102,"")</f>
        <v/>
      </c>
      <c r="O48" s="59">
        <f t="shared" si="40"/>
        <v>0</v>
      </c>
      <c r="P48" s="21"/>
      <c r="R48" s="19" t="s">
        <v>54</v>
      </c>
      <c r="S48" s="35"/>
      <c r="T48" s="130">
        <f t="shared" si="54"/>
        <v>0</v>
      </c>
      <c r="U48" s="131"/>
      <c r="V48" s="132"/>
      <c r="W48" s="132"/>
      <c r="X48" s="132"/>
      <c r="Y48" s="119" t="s">
        <v>136</v>
      </c>
    </row>
    <row r="49" spans="2:25" ht="18" customHeight="1">
      <c r="B49" s="19" t="s">
        <v>48</v>
      </c>
      <c r="C49" s="35"/>
      <c r="D49" s="58">
        <f t="shared" si="45"/>
        <v>0</v>
      </c>
      <c r="E49" s="59">
        <f>IFERROR('2)팀공통비'!E49+$T49*E$102,"")</f>
        <v>0</v>
      </c>
      <c r="F49" s="59">
        <f>IFERROR('2)팀공통비'!F49+$T49*F$102,"")</f>
        <v>0</v>
      </c>
      <c r="G49" s="59">
        <f t="shared" si="46"/>
        <v>0</v>
      </c>
      <c r="H49" s="59">
        <f>IFERROR('2)팀공통비'!H49+$T49*H$102,"")</f>
        <v>0</v>
      </c>
      <c r="I49" s="59">
        <f>IFERROR('2)팀공통비'!I49+$T49*I$102,"")</f>
        <v>0</v>
      </c>
      <c r="J49" s="59">
        <f t="shared" si="47"/>
        <v>0</v>
      </c>
      <c r="K49" s="59">
        <f>IFERROR('2)팀공통비'!K49+$T49*K$102,"")</f>
        <v>0</v>
      </c>
      <c r="L49" s="59">
        <f>IFERROR('2)팀공통비'!L49+$T49*L$102,"")</f>
        <v>0</v>
      </c>
      <c r="M49" s="59">
        <f t="shared" si="48"/>
        <v>0</v>
      </c>
      <c r="N49" s="59" t="str">
        <f>IFERROR('2)팀공통비'!N49+$T49*N$102,"")</f>
        <v/>
      </c>
      <c r="O49" s="59">
        <f t="shared" si="40"/>
        <v>0</v>
      </c>
      <c r="P49" s="21"/>
      <c r="R49" s="19" t="s">
        <v>48</v>
      </c>
      <c r="S49" s="35"/>
      <c r="T49" s="130">
        <f t="shared" si="54"/>
        <v>0</v>
      </c>
      <c r="U49" s="131"/>
      <c r="V49" s="132"/>
      <c r="W49" s="132"/>
      <c r="X49" s="132"/>
      <c r="Y49" s="119" t="s">
        <v>136</v>
      </c>
    </row>
    <row r="50" spans="2:25" ht="18" customHeight="1">
      <c r="B50" s="19" t="s">
        <v>56</v>
      </c>
      <c r="C50" s="35"/>
      <c r="D50" s="58">
        <f t="shared" si="45"/>
        <v>0</v>
      </c>
      <c r="E50" s="59">
        <f>IFERROR('2)팀공통비'!E50+$T50*E$102,"")</f>
        <v>0</v>
      </c>
      <c r="F50" s="59">
        <f>IFERROR('2)팀공통비'!F50+$T50*F$102,"")</f>
        <v>0</v>
      </c>
      <c r="G50" s="59">
        <f t="shared" si="46"/>
        <v>0</v>
      </c>
      <c r="H50" s="59">
        <f>IFERROR('2)팀공통비'!H50+$T50*H$102,"")</f>
        <v>0</v>
      </c>
      <c r="I50" s="59">
        <f>IFERROR('2)팀공통비'!I50+$T50*I$102,"")</f>
        <v>0</v>
      </c>
      <c r="J50" s="59">
        <f t="shared" si="47"/>
        <v>0</v>
      </c>
      <c r="K50" s="59">
        <f>IFERROR('2)팀공통비'!K50+$T50*K$102,"")</f>
        <v>0</v>
      </c>
      <c r="L50" s="59">
        <f>IFERROR('2)팀공통비'!L50+$T50*L$102,"")</f>
        <v>0</v>
      </c>
      <c r="M50" s="59">
        <f t="shared" si="48"/>
        <v>0</v>
      </c>
      <c r="N50" s="59" t="str">
        <f>IFERROR('2)팀공통비'!N50+$T50*N$102,"")</f>
        <v/>
      </c>
      <c r="O50" s="59">
        <f t="shared" si="40"/>
        <v>0</v>
      </c>
      <c r="P50" s="21"/>
      <c r="R50" s="19" t="s">
        <v>56</v>
      </c>
      <c r="S50" s="35"/>
      <c r="T50" s="130">
        <f t="shared" si="54"/>
        <v>0</v>
      </c>
      <c r="U50" s="131"/>
      <c r="V50" s="132"/>
      <c r="W50" s="132"/>
      <c r="X50" s="132"/>
      <c r="Y50" s="119" t="s">
        <v>136</v>
      </c>
    </row>
    <row r="51" spans="2:25" ht="18" customHeight="1">
      <c r="B51" s="19" t="s">
        <v>57</v>
      </c>
      <c r="C51" s="35"/>
      <c r="D51" s="58">
        <f t="shared" si="45"/>
        <v>0</v>
      </c>
      <c r="E51" s="59">
        <f>IFERROR('2)팀공통비'!E51+$T51*E$102,"")</f>
        <v>0</v>
      </c>
      <c r="F51" s="59">
        <f>IFERROR('2)팀공통비'!F51+$T51*F$102,"")</f>
        <v>0</v>
      </c>
      <c r="G51" s="59">
        <f t="shared" si="46"/>
        <v>0</v>
      </c>
      <c r="H51" s="59">
        <f>IFERROR('2)팀공통비'!H51+$T51*H$102,"")</f>
        <v>0</v>
      </c>
      <c r="I51" s="59">
        <f>IFERROR('2)팀공통비'!I51+$T51*I$102,"")</f>
        <v>0</v>
      </c>
      <c r="J51" s="59">
        <f t="shared" si="47"/>
        <v>0</v>
      </c>
      <c r="K51" s="59">
        <f>IFERROR('2)팀공통비'!K51+$T51*K$102,"")</f>
        <v>0</v>
      </c>
      <c r="L51" s="59">
        <f>IFERROR('2)팀공통비'!L51+$T51*L$102,"")</f>
        <v>0</v>
      </c>
      <c r="M51" s="59">
        <f t="shared" si="48"/>
        <v>0</v>
      </c>
      <c r="N51" s="59" t="str">
        <f>IFERROR('2)팀공통비'!N51+$T51*N$102,"")</f>
        <v/>
      </c>
      <c r="O51" s="59">
        <f t="shared" si="40"/>
        <v>0</v>
      </c>
      <c r="P51" s="21"/>
      <c r="R51" s="19" t="s">
        <v>57</v>
      </c>
      <c r="S51" s="35"/>
      <c r="T51" s="130">
        <f t="shared" si="54"/>
        <v>0</v>
      </c>
      <c r="U51" s="131"/>
      <c r="V51" s="132"/>
      <c r="W51" s="132"/>
      <c r="X51" s="132"/>
      <c r="Y51" s="119" t="s">
        <v>136</v>
      </c>
    </row>
    <row r="52" spans="2:25" ht="18" customHeight="1">
      <c r="B52" s="22" t="s">
        <v>18</v>
      </c>
      <c r="C52" s="38"/>
      <c r="D52" s="62">
        <f t="shared" si="45"/>
        <v>0</v>
      </c>
      <c r="E52" s="63">
        <f>SUM(E42:E51)</f>
        <v>0</v>
      </c>
      <c r="F52" s="63">
        <f>SUM(F42:F51)</f>
        <v>0</v>
      </c>
      <c r="G52" s="63">
        <f t="shared" si="46"/>
        <v>0</v>
      </c>
      <c r="H52" s="63">
        <f>SUM(H42:H51)</f>
        <v>0</v>
      </c>
      <c r="I52" s="63">
        <f>SUM(I42:I51)</f>
        <v>0</v>
      </c>
      <c r="J52" s="63">
        <f t="shared" si="47"/>
        <v>0</v>
      </c>
      <c r="K52" s="63">
        <f>SUM(K42:K51)</f>
        <v>0</v>
      </c>
      <c r="L52" s="63">
        <f>SUM(L42:L51)</f>
        <v>0</v>
      </c>
      <c r="M52" s="63">
        <f t="shared" si="48"/>
        <v>0</v>
      </c>
      <c r="N52" s="63">
        <f>SUM(N42:N51)</f>
        <v>0</v>
      </c>
      <c r="O52" s="63">
        <f t="shared" si="40"/>
        <v>0</v>
      </c>
      <c r="P52" s="24"/>
      <c r="R52" s="22" t="s">
        <v>18</v>
      </c>
      <c r="S52" s="38"/>
      <c r="T52" s="139">
        <f>SUM(T42:T51)</f>
        <v>0</v>
      </c>
      <c r="U52" s="140">
        <f>SUM(U42:U51)</f>
        <v>0</v>
      </c>
      <c r="V52" s="141">
        <f>SUM(V42:V51)</f>
        <v>0</v>
      </c>
      <c r="W52" s="141">
        <f>SUM(W42:W51)</f>
        <v>0</v>
      </c>
      <c r="X52" s="141">
        <f>SUM(X42:X51)</f>
        <v>0</v>
      </c>
      <c r="Y52" s="122"/>
    </row>
    <row r="53" spans="2:25" ht="18" customHeight="1">
      <c r="B53" s="19" t="s">
        <v>53</v>
      </c>
      <c r="C53" s="35"/>
      <c r="D53" s="58">
        <f t="shared" si="45"/>
        <v>0</v>
      </c>
      <c r="E53" s="59" t="str">
        <f>IFERROR('2)팀공통비'!E53+$T53*E$106,"")</f>
        <v/>
      </c>
      <c r="F53" s="59" t="str">
        <f>IFERROR('2)팀공통비'!F53+$T53*F$106,"")</f>
        <v/>
      </c>
      <c r="G53" s="59">
        <f t="shared" si="46"/>
        <v>0</v>
      </c>
      <c r="H53" s="59" t="str">
        <f>IFERROR('2)팀공통비'!H53+$T53*H$106,"")</f>
        <v/>
      </c>
      <c r="I53" s="59" t="str">
        <f>IFERROR('2)팀공통비'!I53+$T53*I$106,"")</f>
        <v/>
      </c>
      <c r="J53" s="59">
        <f t="shared" si="47"/>
        <v>0</v>
      </c>
      <c r="K53" s="59" t="str">
        <f>IFERROR('2)팀공통비'!K53+$T53*K$106,"")</f>
        <v/>
      </c>
      <c r="L53" s="59" t="str">
        <f>IFERROR('2)팀공통비'!L53+$T53*L$106,"")</f>
        <v/>
      </c>
      <c r="M53" s="59">
        <f t="shared" si="48"/>
        <v>0</v>
      </c>
      <c r="N53" s="59" t="str">
        <f>IFERROR('2)팀공통비'!N53+$T53*N$106,"")</f>
        <v/>
      </c>
      <c r="O53" s="59">
        <f t="shared" si="40"/>
        <v>0</v>
      </c>
      <c r="P53" s="21"/>
      <c r="R53" s="19" t="s">
        <v>53</v>
      </c>
      <c r="S53" s="35"/>
      <c r="T53" s="130">
        <f t="shared" ref="T53:T57" si="55">SUM(U53:X53)</f>
        <v>0</v>
      </c>
      <c r="U53" s="131"/>
      <c r="V53" s="132"/>
      <c r="W53" s="132"/>
      <c r="X53" s="132"/>
      <c r="Y53" s="119" t="s">
        <v>140</v>
      </c>
    </row>
    <row r="54" spans="2:25" ht="18" customHeight="1">
      <c r="B54" s="19" t="s">
        <v>52</v>
      </c>
      <c r="C54" s="35"/>
      <c r="D54" s="58">
        <f t="shared" si="45"/>
        <v>0</v>
      </c>
      <c r="E54" s="59" t="str">
        <f>IFERROR('2)팀공통비'!E54+$T54*E$106,"")</f>
        <v/>
      </c>
      <c r="F54" s="59" t="str">
        <f>IFERROR('2)팀공통비'!F54+$T54*F$106,"")</f>
        <v/>
      </c>
      <c r="G54" s="59">
        <f t="shared" ref="G54:G57" si="56">SUM(E54:F54)</f>
        <v>0</v>
      </c>
      <c r="H54" s="59" t="str">
        <f>IFERROR('2)팀공통비'!H54+$T54*H$106,"")</f>
        <v/>
      </c>
      <c r="I54" s="59" t="str">
        <f>IFERROR('2)팀공통비'!I54+$T54*I$106,"")</f>
        <v/>
      </c>
      <c r="J54" s="59">
        <f t="shared" ref="J54:J57" si="57">SUM(H54:I54)</f>
        <v>0</v>
      </c>
      <c r="K54" s="59" t="str">
        <f>IFERROR('2)팀공통비'!K54+$T54*K$106,"")</f>
        <v/>
      </c>
      <c r="L54" s="59" t="str">
        <f>IFERROR('2)팀공통비'!L54+$T54*L$106,"")</f>
        <v/>
      </c>
      <c r="M54" s="59">
        <f t="shared" ref="M54:M57" si="58">SUM(K54:L54)</f>
        <v>0</v>
      </c>
      <c r="N54" s="59" t="str">
        <f>IFERROR('2)팀공통비'!N54+$T54*N$106,"")</f>
        <v/>
      </c>
      <c r="O54" s="59">
        <f t="shared" si="40"/>
        <v>0</v>
      </c>
      <c r="P54" s="21"/>
      <c r="R54" s="19" t="s">
        <v>52</v>
      </c>
      <c r="S54" s="35"/>
      <c r="T54" s="130">
        <f t="shared" si="55"/>
        <v>0</v>
      </c>
      <c r="U54" s="131"/>
      <c r="V54" s="132"/>
      <c r="W54" s="132"/>
      <c r="X54" s="132"/>
      <c r="Y54" s="119" t="s">
        <v>139</v>
      </c>
    </row>
    <row r="55" spans="2:25" ht="18" customHeight="1">
      <c r="B55" s="19" t="s">
        <v>51</v>
      </c>
      <c r="C55" s="35"/>
      <c r="D55" s="58">
        <f t="shared" si="45"/>
        <v>0</v>
      </c>
      <c r="E55" s="59" t="str">
        <f>IFERROR('2)팀공통비'!E55+$T55*E$106,"")</f>
        <v/>
      </c>
      <c r="F55" s="59" t="str">
        <f>IFERROR('2)팀공통비'!F55+$T55*F$106,"")</f>
        <v/>
      </c>
      <c r="G55" s="59">
        <f t="shared" si="56"/>
        <v>0</v>
      </c>
      <c r="H55" s="59" t="str">
        <f>IFERROR('2)팀공통비'!H55+$T55*H$106,"")</f>
        <v/>
      </c>
      <c r="I55" s="59" t="str">
        <f>IFERROR('2)팀공통비'!I55+$T55*I$106,"")</f>
        <v/>
      </c>
      <c r="J55" s="59">
        <f t="shared" si="57"/>
        <v>0</v>
      </c>
      <c r="K55" s="59" t="str">
        <f>IFERROR('2)팀공통비'!K55+$T55*K$106,"")</f>
        <v/>
      </c>
      <c r="L55" s="59" t="str">
        <f>IFERROR('2)팀공통비'!L55+$T55*L$106,"")</f>
        <v/>
      </c>
      <c r="M55" s="59">
        <f t="shared" si="58"/>
        <v>0</v>
      </c>
      <c r="N55" s="59" t="str">
        <f>IFERROR('2)팀공통비'!N55+$T55*N$106,"")</f>
        <v/>
      </c>
      <c r="O55" s="59">
        <f t="shared" si="40"/>
        <v>0</v>
      </c>
      <c r="P55" s="21"/>
      <c r="R55" s="19" t="s">
        <v>51</v>
      </c>
      <c r="S55" s="35"/>
      <c r="T55" s="130">
        <f t="shared" si="55"/>
        <v>0</v>
      </c>
      <c r="U55" s="131"/>
      <c r="V55" s="132"/>
      <c r="W55" s="132"/>
      <c r="X55" s="132"/>
      <c r="Y55" s="119" t="s">
        <v>139</v>
      </c>
    </row>
    <row r="56" spans="2:25" ht="18" customHeight="1">
      <c r="B56" s="19" t="s">
        <v>50</v>
      </c>
      <c r="C56" s="35"/>
      <c r="D56" s="58">
        <f t="shared" si="45"/>
        <v>0</v>
      </c>
      <c r="E56" s="59" t="str">
        <f>IFERROR('2)팀공통비'!E56+$T56*E$106,"")</f>
        <v/>
      </c>
      <c r="F56" s="59" t="str">
        <f>IFERROR('2)팀공통비'!F56+$T56*F$106,"")</f>
        <v/>
      </c>
      <c r="G56" s="59">
        <f t="shared" si="56"/>
        <v>0</v>
      </c>
      <c r="H56" s="59" t="str">
        <f>IFERROR('2)팀공통비'!H56+$T56*H$106,"")</f>
        <v/>
      </c>
      <c r="I56" s="59" t="str">
        <f>IFERROR('2)팀공통비'!I56+$T56*I$106,"")</f>
        <v/>
      </c>
      <c r="J56" s="59">
        <f t="shared" si="57"/>
        <v>0</v>
      </c>
      <c r="K56" s="59" t="str">
        <f>IFERROR('2)팀공통비'!K56+$T56*K$106,"")</f>
        <v/>
      </c>
      <c r="L56" s="59" t="str">
        <f>IFERROR('2)팀공통비'!L56+$T56*L$106,"")</f>
        <v/>
      </c>
      <c r="M56" s="59">
        <f t="shared" si="58"/>
        <v>0</v>
      </c>
      <c r="N56" s="59" t="str">
        <f>IFERROR('2)팀공통비'!N56+$T56*N$106,"")</f>
        <v/>
      </c>
      <c r="O56" s="59">
        <f t="shared" si="40"/>
        <v>0</v>
      </c>
      <c r="P56" s="21"/>
      <c r="R56" s="19" t="s">
        <v>50</v>
      </c>
      <c r="S56" s="35"/>
      <c r="T56" s="130">
        <f t="shared" si="55"/>
        <v>0</v>
      </c>
      <c r="U56" s="131"/>
      <c r="V56" s="132"/>
      <c r="W56" s="132"/>
      <c r="X56" s="132"/>
      <c r="Y56" s="119" t="s">
        <v>139</v>
      </c>
    </row>
    <row r="57" spans="2:25" ht="18" customHeight="1">
      <c r="B57" s="19" t="s">
        <v>58</v>
      </c>
      <c r="C57" s="35"/>
      <c r="D57" s="58">
        <f t="shared" si="45"/>
        <v>0</v>
      </c>
      <c r="E57" s="59" t="str">
        <f>IFERROR('2)팀공통비'!E57+$T57*E$106,"")</f>
        <v/>
      </c>
      <c r="F57" s="59" t="str">
        <f>IFERROR('2)팀공통비'!F57+$T57*F$106,"")</f>
        <v/>
      </c>
      <c r="G57" s="59">
        <f t="shared" si="56"/>
        <v>0</v>
      </c>
      <c r="H57" s="59" t="str">
        <f>IFERROR('2)팀공통비'!H57+$T57*H$106,"")</f>
        <v/>
      </c>
      <c r="I57" s="59" t="str">
        <f>IFERROR('2)팀공통비'!I57+$T57*I$106,"")</f>
        <v/>
      </c>
      <c r="J57" s="59">
        <f t="shared" si="57"/>
        <v>0</v>
      </c>
      <c r="K57" s="59" t="str">
        <f>IFERROR('2)팀공통비'!K57+$T57*K$106,"")</f>
        <v/>
      </c>
      <c r="L57" s="59" t="str">
        <f>IFERROR('2)팀공통비'!L57+$T57*L$106,"")</f>
        <v/>
      </c>
      <c r="M57" s="59">
        <f t="shared" si="58"/>
        <v>0</v>
      </c>
      <c r="N57" s="59" t="str">
        <f>IFERROR('2)팀공통비'!N57+$T57*N$106,"")</f>
        <v/>
      </c>
      <c r="O57" s="59">
        <f t="shared" si="40"/>
        <v>0</v>
      </c>
      <c r="P57" s="21"/>
      <c r="R57" s="19" t="s">
        <v>58</v>
      </c>
      <c r="S57" s="35"/>
      <c r="T57" s="130">
        <f t="shared" si="55"/>
        <v>0</v>
      </c>
      <c r="U57" s="131"/>
      <c r="V57" s="132"/>
      <c r="W57" s="132"/>
      <c r="X57" s="132"/>
      <c r="Y57" s="119" t="s">
        <v>139</v>
      </c>
    </row>
    <row r="58" spans="2:25" ht="18" customHeight="1">
      <c r="B58" s="22" t="s">
        <v>19</v>
      </c>
      <c r="C58" s="38"/>
      <c r="D58" s="62">
        <f t="shared" si="45"/>
        <v>0</v>
      </c>
      <c r="E58" s="63">
        <f>SUM(E53:E57)</f>
        <v>0</v>
      </c>
      <c r="F58" s="63">
        <f>SUM(F53:F57)</f>
        <v>0</v>
      </c>
      <c r="G58" s="63">
        <f t="shared" si="46"/>
        <v>0</v>
      </c>
      <c r="H58" s="63">
        <f>SUM(H53:H57)</f>
        <v>0</v>
      </c>
      <c r="I58" s="63">
        <f>SUM(I53:I57)</f>
        <v>0</v>
      </c>
      <c r="J58" s="63">
        <f t="shared" si="47"/>
        <v>0</v>
      </c>
      <c r="K58" s="63">
        <f>SUM(K53:K57)</f>
        <v>0</v>
      </c>
      <c r="L58" s="63">
        <f>SUM(L53:L57)</f>
        <v>0</v>
      </c>
      <c r="M58" s="63">
        <f t="shared" si="48"/>
        <v>0</v>
      </c>
      <c r="N58" s="63">
        <f>SUM(N53:N57)</f>
        <v>0</v>
      </c>
      <c r="O58" s="63">
        <f t="shared" si="40"/>
        <v>0</v>
      </c>
      <c r="P58" s="24"/>
      <c r="R58" s="22" t="s">
        <v>19</v>
      </c>
      <c r="S58" s="38"/>
      <c r="T58" s="139">
        <f>SUM(T53:T57)</f>
        <v>0</v>
      </c>
      <c r="U58" s="140">
        <f>SUM(U53:U57)</f>
        <v>0</v>
      </c>
      <c r="V58" s="141">
        <f>SUM(V53:V57)</f>
        <v>0</v>
      </c>
      <c r="W58" s="141">
        <f>SUM(W53:W57)</f>
        <v>0</v>
      </c>
      <c r="X58" s="141">
        <f>SUM(X53:X57)</f>
        <v>0</v>
      </c>
      <c r="Y58" s="122"/>
    </row>
    <row r="59" spans="2:25" ht="18" customHeight="1">
      <c r="B59" s="26" t="s">
        <v>61</v>
      </c>
      <c r="C59" s="37"/>
      <c r="D59" s="45">
        <f t="shared" si="45"/>
        <v>0</v>
      </c>
      <c r="E59" s="46">
        <f>IFERROR('2)팀공통비'!E59+$T59*E$102,"")</f>
        <v>0</v>
      </c>
      <c r="F59" s="46">
        <f>IFERROR('2)팀공통비'!F59+$T59*F$102,"")</f>
        <v>0</v>
      </c>
      <c r="G59" s="46">
        <f t="shared" si="46"/>
        <v>0</v>
      </c>
      <c r="H59" s="46">
        <f>IFERROR('2)팀공통비'!H59+$T59*H$102,"")</f>
        <v>0</v>
      </c>
      <c r="I59" s="46">
        <f>IFERROR('2)팀공통비'!I59+$T59*I$102,"")</f>
        <v>0</v>
      </c>
      <c r="J59" s="46">
        <f t="shared" si="47"/>
        <v>0</v>
      </c>
      <c r="K59" s="46">
        <f>IFERROR('2)팀공통비'!K59+$T59*K$102,"")</f>
        <v>0</v>
      </c>
      <c r="L59" s="46">
        <f>IFERROR('2)팀공통비'!L59+$T59*L$102,"")</f>
        <v>0</v>
      </c>
      <c r="M59" s="46">
        <f t="shared" si="48"/>
        <v>0</v>
      </c>
      <c r="N59" s="46" t="str">
        <f>IFERROR('2)팀공통비'!N59+$T59*N$102,"")</f>
        <v/>
      </c>
      <c r="O59" s="46">
        <f t="shared" si="40"/>
        <v>0</v>
      </c>
      <c r="P59" s="12"/>
      <c r="R59" s="26" t="s">
        <v>61</v>
      </c>
      <c r="S59" s="37"/>
      <c r="T59" s="136">
        <f t="shared" ref="T59:T63" si="59">SUM(U59:X59)</f>
        <v>0</v>
      </c>
      <c r="U59" s="137"/>
      <c r="V59" s="138"/>
      <c r="W59" s="138"/>
      <c r="X59" s="138"/>
      <c r="Y59" s="121" t="s">
        <v>136</v>
      </c>
    </row>
    <row r="60" spans="2:25" ht="18" customHeight="1">
      <c r="B60" s="19" t="s">
        <v>67</v>
      </c>
      <c r="C60" s="35"/>
      <c r="D60" s="58">
        <f t="shared" ref="D60:D61" si="60">SUM(G60,J60,M60,O60)</f>
        <v>0</v>
      </c>
      <c r="E60" s="59">
        <f>IFERROR('2)팀공통비'!E60+$T60*E$102,"")</f>
        <v>0</v>
      </c>
      <c r="F60" s="59">
        <f>IFERROR('2)팀공통비'!F60+$T60*F$102,"")</f>
        <v>0</v>
      </c>
      <c r="G60" s="59">
        <f t="shared" si="46"/>
        <v>0</v>
      </c>
      <c r="H60" s="59">
        <f>IFERROR('2)팀공통비'!H60+$T60*H$102,"")</f>
        <v>0</v>
      </c>
      <c r="I60" s="59">
        <f>IFERROR('2)팀공통비'!I60+$T60*I$102,"")</f>
        <v>0</v>
      </c>
      <c r="J60" s="59">
        <f t="shared" si="47"/>
        <v>0</v>
      </c>
      <c r="K60" s="59">
        <f>IFERROR('2)팀공통비'!K60+$T60*K$102,"")</f>
        <v>0</v>
      </c>
      <c r="L60" s="59">
        <f>IFERROR('2)팀공통비'!L60+$T60*L$102,"")</f>
        <v>0</v>
      </c>
      <c r="M60" s="59">
        <f t="shared" si="48"/>
        <v>0</v>
      </c>
      <c r="N60" s="59" t="str">
        <f>IFERROR('2)팀공통비'!N60+$T60*N$102,"")</f>
        <v/>
      </c>
      <c r="O60" s="59">
        <f t="shared" si="40"/>
        <v>0</v>
      </c>
      <c r="P60" s="21"/>
      <c r="R60" s="19" t="s">
        <v>67</v>
      </c>
      <c r="S60" s="35"/>
      <c r="T60" s="130">
        <f t="shared" si="59"/>
        <v>0</v>
      </c>
      <c r="U60" s="131"/>
      <c r="V60" s="132"/>
      <c r="W60" s="132"/>
      <c r="X60" s="132"/>
      <c r="Y60" s="119" t="s">
        <v>136</v>
      </c>
    </row>
    <row r="61" spans="2:25" ht="18" customHeight="1">
      <c r="B61" s="19" t="s">
        <v>69</v>
      </c>
      <c r="C61" s="35"/>
      <c r="D61" s="58">
        <f t="shared" si="60"/>
        <v>0</v>
      </c>
      <c r="E61" s="59">
        <f>IFERROR('2)팀공통비'!E61+$T61*E$102,"")</f>
        <v>0</v>
      </c>
      <c r="F61" s="59">
        <f>IFERROR('2)팀공통비'!F61+$T61*F$102,"")</f>
        <v>0</v>
      </c>
      <c r="G61" s="59">
        <f t="shared" si="46"/>
        <v>0</v>
      </c>
      <c r="H61" s="59">
        <f>IFERROR('2)팀공통비'!H61+$T61*H$102,"")</f>
        <v>0</v>
      </c>
      <c r="I61" s="59">
        <f>IFERROR('2)팀공통비'!I61+$T61*I$102,"")</f>
        <v>0</v>
      </c>
      <c r="J61" s="59">
        <f t="shared" si="47"/>
        <v>0</v>
      </c>
      <c r="K61" s="59">
        <f>IFERROR('2)팀공통비'!K61+$T61*K$102,"")</f>
        <v>0</v>
      </c>
      <c r="L61" s="59">
        <f>IFERROR('2)팀공통비'!L61+$T61*L$102,"")</f>
        <v>0</v>
      </c>
      <c r="M61" s="59">
        <f t="shared" si="48"/>
        <v>0</v>
      </c>
      <c r="N61" s="59" t="str">
        <f>IFERROR('2)팀공통비'!N61+$T61*N$102,"")</f>
        <v/>
      </c>
      <c r="O61" s="59">
        <f t="shared" si="40"/>
        <v>0</v>
      </c>
      <c r="P61" s="21"/>
      <c r="R61" s="19" t="s">
        <v>69</v>
      </c>
      <c r="S61" s="35"/>
      <c r="T61" s="130">
        <f t="shared" si="59"/>
        <v>0</v>
      </c>
      <c r="U61" s="131"/>
      <c r="V61" s="132"/>
      <c r="W61" s="132"/>
      <c r="X61" s="132"/>
      <c r="Y61" s="119" t="s">
        <v>136</v>
      </c>
    </row>
    <row r="62" spans="2:25" ht="18" customHeight="1">
      <c r="B62" s="19" t="s">
        <v>68</v>
      </c>
      <c r="C62" s="35"/>
      <c r="D62" s="58">
        <f t="shared" ref="D62" si="61">SUM(G62,J62,M62,O62)</f>
        <v>0</v>
      </c>
      <c r="E62" s="59">
        <f>IFERROR('2)팀공통비'!E62+$T62*E$102,"")</f>
        <v>0</v>
      </c>
      <c r="F62" s="59">
        <f>IFERROR('2)팀공통비'!F62+$T62*F$102,"")</f>
        <v>0</v>
      </c>
      <c r="G62" s="59">
        <f t="shared" si="46"/>
        <v>0</v>
      </c>
      <c r="H62" s="59">
        <f>IFERROR('2)팀공통비'!H62+$T62*H$102,"")</f>
        <v>0</v>
      </c>
      <c r="I62" s="59">
        <f>IFERROR('2)팀공통비'!I62+$T62*I$102,"")</f>
        <v>0</v>
      </c>
      <c r="J62" s="59">
        <f t="shared" si="47"/>
        <v>0</v>
      </c>
      <c r="K62" s="59">
        <f>IFERROR('2)팀공통비'!K62+$T62*K$102,"")</f>
        <v>0</v>
      </c>
      <c r="L62" s="59">
        <f>IFERROR('2)팀공통비'!L62+$T62*L$102,"")</f>
        <v>0</v>
      </c>
      <c r="M62" s="59">
        <f t="shared" si="48"/>
        <v>0</v>
      </c>
      <c r="N62" s="59" t="str">
        <f>IFERROR('2)팀공통비'!N62+$T62*N$102,"")</f>
        <v/>
      </c>
      <c r="O62" s="59">
        <f t="shared" si="40"/>
        <v>0</v>
      </c>
      <c r="P62" s="21"/>
      <c r="R62" s="19" t="s">
        <v>68</v>
      </c>
      <c r="S62" s="35"/>
      <c r="T62" s="130">
        <f t="shared" si="59"/>
        <v>0</v>
      </c>
      <c r="U62" s="131"/>
      <c r="V62" s="132"/>
      <c r="W62" s="132"/>
      <c r="X62" s="132"/>
      <c r="Y62" s="119" t="s">
        <v>136</v>
      </c>
    </row>
    <row r="63" spans="2:25" ht="18" customHeight="1">
      <c r="B63" s="19" t="s">
        <v>70</v>
      </c>
      <c r="C63" s="35"/>
      <c r="D63" s="58">
        <f t="shared" ref="D63:D68" si="62">SUM(G63,J63,M63,O63)</f>
        <v>0</v>
      </c>
      <c r="E63" s="59">
        <f>IFERROR('2)팀공통비'!E63+$T63*E$102,"")</f>
        <v>0</v>
      </c>
      <c r="F63" s="59">
        <f>IFERROR('2)팀공통비'!F63+$T63*F$102,"")</f>
        <v>0</v>
      </c>
      <c r="G63" s="59">
        <f t="shared" si="46"/>
        <v>0</v>
      </c>
      <c r="H63" s="59">
        <f>IFERROR('2)팀공통비'!H63+$T63*H$102,"")</f>
        <v>0</v>
      </c>
      <c r="I63" s="59">
        <f>IFERROR('2)팀공통비'!I63+$T63*I$102,"")</f>
        <v>0</v>
      </c>
      <c r="J63" s="59">
        <f t="shared" si="47"/>
        <v>0</v>
      </c>
      <c r="K63" s="59">
        <f>IFERROR('2)팀공통비'!K63+$T63*K$102,"")</f>
        <v>0</v>
      </c>
      <c r="L63" s="59">
        <f>IFERROR('2)팀공통비'!L63+$T63*L$102,"")</f>
        <v>0</v>
      </c>
      <c r="M63" s="59">
        <f t="shared" si="48"/>
        <v>0</v>
      </c>
      <c r="N63" s="59" t="str">
        <f>IFERROR('2)팀공통비'!N63+$T63*N$102,"")</f>
        <v/>
      </c>
      <c r="O63" s="59">
        <f t="shared" si="40"/>
        <v>0</v>
      </c>
      <c r="P63" s="21"/>
      <c r="R63" s="19" t="s">
        <v>70</v>
      </c>
      <c r="S63" s="35"/>
      <c r="T63" s="130">
        <f t="shared" si="59"/>
        <v>0</v>
      </c>
      <c r="U63" s="131"/>
      <c r="V63" s="132"/>
      <c r="W63" s="132"/>
      <c r="X63" s="132"/>
      <c r="Y63" s="119" t="s">
        <v>136</v>
      </c>
    </row>
    <row r="64" spans="2:25" ht="18" customHeight="1">
      <c r="B64" s="22" t="s">
        <v>26</v>
      </c>
      <c r="C64" s="38"/>
      <c r="D64" s="62">
        <f t="shared" si="62"/>
        <v>0</v>
      </c>
      <c r="E64" s="63">
        <f>SUM(E60:E63)</f>
        <v>0</v>
      </c>
      <c r="F64" s="63">
        <f>SUM(F60:F63)</f>
        <v>0</v>
      </c>
      <c r="G64" s="63">
        <f t="shared" ref="G64:G69" si="63">SUM(E64:F64)</f>
        <v>0</v>
      </c>
      <c r="H64" s="63">
        <f>SUM(H60:H63)</f>
        <v>0</v>
      </c>
      <c r="I64" s="63">
        <f>SUM(I60:I63)</f>
        <v>0</v>
      </c>
      <c r="J64" s="63">
        <f t="shared" ref="J64:J69" si="64">SUM(H64:I64)</f>
        <v>0</v>
      </c>
      <c r="K64" s="63">
        <f>SUM(K60:K63)</f>
        <v>0</v>
      </c>
      <c r="L64" s="63">
        <f>SUM(L60:L63)</f>
        <v>0</v>
      </c>
      <c r="M64" s="63">
        <f t="shared" ref="M64:M69" si="65">SUM(K64:L64)</f>
        <v>0</v>
      </c>
      <c r="N64" s="63">
        <f>SUM(N60:N63)</f>
        <v>0</v>
      </c>
      <c r="O64" s="63">
        <f t="shared" ref="O64" si="66">SUM(N64)</f>
        <v>0</v>
      </c>
      <c r="P64" s="24"/>
      <c r="R64" s="22" t="s">
        <v>26</v>
      </c>
      <c r="S64" s="38"/>
      <c r="T64" s="139">
        <f>SUM(T60:T63)</f>
        <v>0</v>
      </c>
      <c r="U64" s="140">
        <f>SUM(U60:U63)</f>
        <v>0</v>
      </c>
      <c r="V64" s="141">
        <f>SUM(V60:V63)</f>
        <v>0</v>
      </c>
      <c r="W64" s="141">
        <f>SUM(W60:W63)</f>
        <v>0</v>
      </c>
      <c r="X64" s="141">
        <f>SUM(X60:X63)</f>
        <v>0</v>
      </c>
      <c r="Y64" s="122"/>
    </row>
    <row r="65" spans="2:25" ht="18" customHeight="1">
      <c r="B65" s="26" t="s">
        <v>62</v>
      </c>
      <c r="C65" s="37"/>
      <c r="D65" s="45">
        <f t="shared" si="62"/>
        <v>0</v>
      </c>
      <c r="E65" s="46">
        <f>IFERROR('2)팀공통비'!E65+$T65*E$102,"")</f>
        <v>0</v>
      </c>
      <c r="F65" s="46">
        <f>IFERROR('2)팀공통비'!F65+$T65*F$102,"")</f>
        <v>0</v>
      </c>
      <c r="G65" s="46">
        <f t="shared" si="63"/>
        <v>0</v>
      </c>
      <c r="H65" s="46">
        <f>IFERROR('2)팀공통비'!H65+$T65*H$102,"")</f>
        <v>0</v>
      </c>
      <c r="I65" s="46">
        <f>IFERROR('2)팀공통비'!I65+$T65*I$102,"")</f>
        <v>0</v>
      </c>
      <c r="J65" s="46">
        <f t="shared" si="64"/>
        <v>0</v>
      </c>
      <c r="K65" s="46">
        <f>IFERROR('2)팀공통비'!K65+$T65*K$102,"")</f>
        <v>0</v>
      </c>
      <c r="L65" s="46">
        <f>IFERROR('2)팀공통비'!L65+$T65*L$102,"")</f>
        <v>0</v>
      </c>
      <c r="M65" s="46">
        <f t="shared" si="65"/>
        <v>0</v>
      </c>
      <c r="N65" s="46" t="str">
        <f>IFERROR('2)팀공통비'!N65+$T65*N$102,"")</f>
        <v/>
      </c>
      <c r="O65" s="46">
        <f t="shared" si="40"/>
        <v>0</v>
      </c>
      <c r="P65" s="12"/>
      <c r="R65" s="26" t="s">
        <v>62</v>
      </c>
      <c r="S65" s="37"/>
      <c r="T65" s="136">
        <f t="shared" ref="T65:T69" si="67">SUM(U65:X65)</f>
        <v>0</v>
      </c>
      <c r="U65" s="137"/>
      <c r="V65" s="138"/>
      <c r="W65" s="138"/>
      <c r="X65" s="138"/>
      <c r="Y65" s="121" t="s">
        <v>136</v>
      </c>
    </row>
    <row r="66" spans="2:25" ht="18" customHeight="1">
      <c r="B66" s="19" t="s">
        <v>66</v>
      </c>
      <c r="C66" s="35"/>
      <c r="D66" s="58">
        <f t="shared" si="62"/>
        <v>0</v>
      </c>
      <c r="E66" s="59">
        <f>IFERROR('2)팀공통비'!E66+$T66*E$102,"")</f>
        <v>0</v>
      </c>
      <c r="F66" s="59">
        <f>IFERROR('2)팀공통비'!F66+$T66*F$102,"")</f>
        <v>0</v>
      </c>
      <c r="G66" s="59">
        <f t="shared" si="63"/>
        <v>0</v>
      </c>
      <c r="H66" s="59">
        <f>IFERROR('2)팀공통비'!H66+$T66*H$102,"")</f>
        <v>0</v>
      </c>
      <c r="I66" s="59">
        <f>IFERROR('2)팀공통비'!I66+$T66*I$102,"")</f>
        <v>0</v>
      </c>
      <c r="J66" s="59">
        <f t="shared" si="64"/>
        <v>0</v>
      </c>
      <c r="K66" s="59">
        <f>IFERROR('2)팀공통비'!K66+$T66*K$102,"")</f>
        <v>0</v>
      </c>
      <c r="L66" s="59">
        <f>IFERROR('2)팀공통비'!L66+$T66*L$102,"")</f>
        <v>0</v>
      </c>
      <c r="M66" s="59">
        <f t="shared" si="65"/>
        <v>0</v>
      </c>
      <c r="N66" s="59" t="str">
        <f>IFERROR('2)팀공통비'!N66+$T66*N$102,"")</f>
        <v/>
      </c>
      <c r="O66" s="59">
        <f t="shared" si="40"/>
        <v>0</v>
      </c>
      <c r="P66" s="21"/>
      <c r="R66" s="19" t="s">
        <v>66</v>
      </c>
      <c r="S66" s="35"/>
      <c r="T66" s="130">
        <f t="shared" si="67"/>
        <v>0</v>
      </c>
      <c r="U66" s="131"/>
      <c r="V66" s="132"/>
      <c r="W66" s="132"/>
      <c r="X66" s="132"/>
      <c r="Y66" s="119" t="s">
        <v>136</v>
      </c>
    </row>
    <row r="67" spans="2:25" ht="18" customHeight="1">
      <c r="B67" s="19" t="s">
        <v>63</v>
      </c>
      <c r="C67" s="35"/>
      <c r="D67" s="58">
        <f t="shared" si="62"/>
        <v>0</v>
      </c>
      <c r="E67" s="59">
        <f>IFERROR('2)팀공통비'!E67+$T67*E$102,"")</f>
        <v>0</v>
      </c>
      <c r="F67" s="59">
        <f>IFERROR('2)팀공통비'!F67+$T67*F$102,"")</f>
        <v>0</v>
      </c>
      <c r="G67" s="59">
        <f t="shared" si="63"/>
        <v>0</v>
      </c>
      <c r="H67" s="59">
        <f>IFERROR('2)팀공통비'!H67+$T67*H$102,"")</f>
        <v>0</v>
      </c>
      <c r="I67" s="59">
        <f>IFERROR('2)팀공통비'!I67+$T67*I$102,"")</f>
        <v>0</v>
      </c>
      <c r="J67" s="59">
        <f t="shared" si="64"/>
        <v>0</v>
      </c>
      <c r="K67" s="59">
        <f>IFERROR('2)팀공통비'!K67+$T67*K$102,"")</f>
        <v>0</v>
      </c>
      <c r="L67" s="59">
        <f>IFERROR('2)팀공통비'!L67+$T67*L$102,"")</f>
        <v>0</v>
      </c>
      <c r="M67" s="59">
        <f t="shared" si="65"/>
        <v>0</v>
      </c>
      <c r="N67" s="59" t="str">
        <f>IFERROR('2)팀공통비'!N67+$T67*N$102,"")</f>
        <v/>
      </c>
      <c r="O67" s="59">
        <f t="shared" si="40"/>
        <v>0</v>
      </c>
      <c r="P67" s="21"/>
      <c r="R67" s="19" t="s">
        <v>63</v>
      </c>
      <c r="S67" s="35"/>
      <c r="T67" s="130">
        <f t="shared" si="67"/>
        <v>0</v>
      </c>
      <c r="U67" s="131"/>
      <c r="V67" s="132"/>
      <c r="W67" s="132"/>
      <c r="X67" s="132"/>
      <c r="Y67" s="119" t="s">
        <v>136</v>
      </c>
    </row>
    <row r="68" spans="2:25" ht="18" customHeight="1">
      <c r="B68" s="19" t="s">
        <v>64</v>
      </c>
      <c r="C68" s="35"/>
      <c r="D68" s="58">
        <f t="shared" si="62"/>
        <v>0</v>
      </c>
      <c r="E68" s="59">
        <f>IFERROR('2)팀공통비'!E68+$T68*E$102,"")</f>
        <v>0</v>
      </c>
      <c r="F68" s="59">
        <f>IFERROR('2)팀공통비'!F68+$T68*F$102,"")</f>
        <v>0</v>
      </c>
      <c r="G68" s="59">
        <f t="shared" si="63"/>
        <v>0</v>
      </c>
      <c r="H68" s="59">
        <f>IFERROR('2)팀공통비'!H68+$T68*H$102,"")</f>
        <v>0</v>
      </c>
      <c r="I68" s="59">
        <f>IFERROR('2)팀공통비'!I68+$T68*I$102,"")</f>
        <v>0</v>
      </c>
      <c r="J68" s="59">
        <f t="shared" si="64"/>
        <v>0</v>
      </c>
      <c r="K68" s="59">
        <f>IFERROR('2)팀공통비'!K68+$T68*K$102,"")</f>
        <v>0</v>
      </c>
      <c r="L68" s="59">
        <f>IFERROR('2)팀공통비'!L68+$T68*L$102,"")</f>
        <v>0</v>
      </c>
      <c r="M68" s="59">
        <f t="shared" si="65"/>
        <v>0</v>
      </c>
      <c r="N68" s="59" t="str">
        <f>IFERROR('2)팀공통비'!N68+$T68*N$102,"")</f>
        <v/>
      </c>
      <c r="O68" s="59">
        <f t="shared" si="40"/>
        <v>0</v>
      </c>
      <c r="P68" s="21"/>
      <c r="R68" s="19" t="s">
        <v>64</v>
      </c>
      <c r="S68" s="35"/>
      <c r="T68" s="130">
        <f t="shared" si="67"/>
        <v>0</v>
      </c>
      <c r="U68" s="131"/>
      <c r="V68" s="132"/>
      <c r="W68" s="132"/>
      <c r="X68" s="132"/>
      <c r="Y68" s="119" t="s">
        <v>136</v>
      </c>
    </row>
    <row r="69" spans="2:25" ht="18" customHeight="1">
      <c r="B69" s="19" t="s">
        <v>65</v>
      </c>
      <c r="C69" s="35"/>
      <c r="D69" s="58">
        <f t="shared" ref="D69" si="68">SUM(G69,J69,M69,O69)</f>
        <v>0</v>
      </c>
      <c r="E69" s="59">
        <f>IFERROR('2)팀공통비'!E69+$T69*E$102,"")</f>
        <v>0</v>
      </c>
      <c r="F69" s="59">
        <f>IFERROR('2)팀공통비'!F69+$T69*F$102,"")</f>
        <v>0</v>
      </c>
      <c r="G69" s="59">
        <f t="shared" si="63"/>
        <v>0</v>
      </c>
      <c r="H69" s="59">
        <f>IFERROR('2)팀공통비'!H69+$T69*H$102,"")</f>
        <v>0</v>
      </c>
      <c r="I69" s="59">
        <f>IFERROR('2)팀공통비'!I69+$T69*I$102,"")</f>
        <v>0</v>
      </c>
      <c r="J69" s="59">
        <f t="shared" si="64"/>
        <v>0</v>
      </c>
      <c r="K69" s="59">
        <f>IFERROR('2)팀공통비'!K69+$T69*K$102,"")</f>
        <v>0</v>
      </c>
      <c r="L69" s="59">
        <f>IFERROR('2)팀공통비'!L69+$T69*L$102,"")</f>
        <v>0</v>
      </c>
      <c r="M69" s="59">
        <f t="shared" si="65"/>
        <v>0</v>
      </c>
      <c r="N69" s="59" t="str">
        <f>IFERROR('2)팀공통비'!N69+$T69*N$102,"")</f>
        <v/>
      </c>
      <c r="O69" s="59">
        <f t="shared" si="40"/>
        <v>0</v>
      </c>
      <c r="P69" s="21"/>
      <c r="R69" s="19" t="s">
        <v>65</v>
      </c>
      <c r="S69" s="35"/>
      <c r="T69" s="130">
        <f t="shared" si="67"/>
        <v>0</v>
      </c>
      <c r="U69" s="131"/>
      <c r="V69" s="132"/>
      <c r="W69" s="132"/>
      <c r="X69" s="132"/>
      <c r="Y69" s="119" t="s">
        <v>136</v>
      </c>
    </row>
    <row r="70" spans="2:25" ht="18" customHeight="1">
      <c r="B70" s="22" t="s">
        <v>25</v>
      </c>
      <c r="C70" s="38"/>
      <c r="D70" s="62">
        <f t="shared" ref="D70:D78" si="69">SUM(G70,J70,M70,O70)</f>
        <v>0</v>
      </c>
      <c r="E70" s="63">
        <f>SUM(E66:E69)</f>
        <v>0</v>
      </c>
      <c r="F70" s="63">
        <f>SUM(F66:F69)</f>
        <v>0</v>
      </c>
      <c r="G70" s="63">
        <f t="shared" ref="G70:G78" si="70">SUM(E70:F70)</f>
        <v>0</v>
      </c>
      <c r="H70" s="63">
        <f>SUM(H66:H69)</f>
        <v>0</v>
      </c>
      <c r="I70" s="63">
        <f>SUM(I66:I69)</f>
        <v>0</v>
      </c>
      <c r="J70" s="63">
        <f t="shared" ref="J70:J78" si="71">SUM(H70:I70)</f>
        <v>0</v>
      </c>
      <c r="K70" s="63">
        <f>SUM(K66:K69)</f>
        <v>0</v>
      </c>
      <c r="L70" s="63">
        <f>SUM(L66:L69)</f>
        <v>0</v>
      </c>
      <c r="M70" s="63">
        <f t="shared" ref="M70:M78" si="72">SUM(K70:L70)</f>
        <v>0</v>
      </c>
      <c r="N70" s="63">
        <f>SUM(N66:N69)</f>
        <v>0</v>
      </c>
      <c r="O70" s="63">
        <f t="shared" si="40"/>
        <v>0</v>
      </c>
      <c r="P70" s="24"/>
      <c r="R70" s="22" t="s">
        <v>25</v>
      </c>
      <c r="S70" s="38"/>
      <c r="T70" s="139">
        <f>SUM(T66:T69)</f>
        <v>0</v>
      </c>
      <c r="U70" s="140">
        <f>SUM(U66:U69)</f>
        <v>0</v>
      </c>
      <c r="V70" s="141">
        <f>SUM(V66:V69)</f>
        <v>0</v>
      </c>
      <c r="W70" s="141">
        <f>SUM(W66:W69)</f>
        <v>0</v>
      </c>
      <c r="X70" s="141">
        <f>SUM(X66:X69)</f>
        <v>0</v>
      </c>
      <c r="Y70" s="122"/>
    </row>
    <row r="71" spans="2:25" ht="18" customHeight="1">
      <c r="B71" s="19" t="s">
        <v>74</v>
      </c>
      <c r="C71" s="35"/>
      <c r="D71" s="58">
        <f t="shared" si="69"/>
        <v>0</v>
      </c>
      <c r="E71" s="59" t="str">
        <f>IFERROR('2)팀공통비'!E71+$T71*E$106,"")</f>
        <v/>
      </c>
      <c r="F71" s="59" t="str">
        <f>IFERROR('2)팀공통비'!F71+$T71*F$106,"")</f>
        <v/>
      </c>
      <c r="G71" s="59">
        <f t="shared" si="70"/>
        <v>0</v>
      </c>
      <c r="H71" s="59" t="str">
        <f>IFERROR('2)팀공통비'!H71+$T71*H$106,"")</f>
        <v/>
      </c>
      <c r="I71" s="59" t="str">
        <f>IFERROR('2)팀공통비'!I71+$T71*I$106,"")</f>
        <v/>
      </c>
      <c r="J71" s="59">
        <f t="shared" si="71"/>
        <v>0</v>
      </c>
      <c r="K71" s="59" t="str">
        <f>IFERROR('2)팀공통비'!K71+$T71*K$106,"")</f>
        <v/>
      </c>
      <c r="L71" s="59" t="str">
        <f>IFERROR('2)팀공통비'!L71+$T71*L$106,"")</f>
        <v/>
      </c>
      <c r="M71" s="59">
        <f t="shared" si="72"/>
        <v>0</v>
      </c>
      <c r="N71" s="59" t="str">
        <f>IFERROR('2)팀공통비'!N71+$T71*N$106,"")</f>
        <v/>
      </c>
      <c r="O71" s="59">
        <f t="shared" si="40"/>
        <v>0</v>
      </c>
      <c r="P71" s="21"/>
      <c r="R71" s="19" t="s">
        <v>74</v>
      </c>
      <c r="S71" s="35"/>
      <c r="T71" s="130">
        <f t="shared" ref="T71:T78" si="73">SUM(U71:X71)</f>
        <v>0</v>
      </c>
      <c r="U71" s="131"/>
      <c r="V71" s="132"/>
      <c r="W71" s="132"/>
      <c r="X71" s="132"/>
      <c r="Y71" s="119" t="s">
        <v>139</v>
      </c>
    </row>
    <row r="72" spans="2:25" ht="18" customHeight="1">
      <c r="B72" s="19" t="s">
        <v>75</v>
      </c>
      <c r="C72" s="35"/>
      <c r="D72" s="58">
        <f t="shared" si="69"/>
        <v>0</v>
      </c>
      <c r="E72" s="59" t="str">
        <f>IFERROR('2)팀공통비'!E72+$T72*E$106,"")</f>
        <v/>
      </c>
      <c r="F72" s="59" t="str">
        <f>IFERROR('2)팀공통비'!F72+$T72*F$106,"")</f>
        <v/>
      </c>
      <c r="G72" s="59">
        <f t="shared" si="70"/>
        <v>0</v>
      </c>
      <c r="H72" s="59" t="str">
        <f>IFERROR('2)팀공통비'!H72+$T72*H$106,"")</f>
        <v/>
      </c>
      <c r="I72" s="59" t="str">
        <f>IFERROR('2)팀공통비'!I72+$T72*I$106,"")</f>
        <v/>
      </c>
      <c r="J72" s="59">
        <f t="shared" si="71"/>
        <v>0</v>
      </c>
      <c r="K72" s="59" t="str">
        <f>IFERROR('2)팀공통비'!K72+$T72*K$106,"")</f>
        <v/>
      </c>
      <c r="L72" s="59" t="str">
        <f>IFERROR('2)팀공통비'!L72+$T72*L$106,"")</f>
        <v/>
      </c>
      <c r="M72" s="59">
        <f t="shared" si="72"/>
        <v>0</v>
      </c>
      <c r="N72" s="59" t="str">
        <f>IFERROR('2)팀공통비'!N72+$T72*N$106,"")</f>
        <v/>
      </c>
      <c r="O72" s="59">
        <f t="shared" si="40"/>
        <v>0</v>
      </c>
      <c r="P72" s="21"/>
      <c r="R72" s="19" t="s">
        <v>75</v>
      </c>
      <c r="S72" s="35"/>
      <c r="T72" s="130">
        <f t="shared" si="73"/>
        <v>0</v>
      </c>
      <c r="U72" s="131"/>
      <c r="V72" s="132"/>
      <c r="W72" s="132"/>
      <c r="X72" s="132"/>
      <c r="Y72" s="119" t="s">
        <v>139</v>
      </c>
    </row>
    <row r="73" spans="2:25" ht="18" customHeight="1">
      <c r="B73" s="19" t="s">
        <v>76</v>
      </c>
      <c r="C73" s="35"/>
      <c r="D73" s="58">
        <f t="shared" si="69"/>
        <v>0</v>
      </c>
      <c r="E73" s="59">
        <f>IFERROR('2)팀공통비'!E73+$T73*E$102,"")</f>
        <v>0</v>
      </c>
      <c r="F73" s="59">
        <f>IFERROR('2)팀공통비'!F73+$T73*F$102,"")</f>
        <v>0</v>
      </c>
      <c r="G73" s="59">
        <f t="shared" si="70"/>
        <v>0</v>
      </c>
      <c r="H73" s="59">
        <f>IFERROR('2)팀공통비'!H73+$T73*H$102,"")</f>
        <v>0</v>
      </c>
      <c r="I73" s="59">
        <f>IFERROR('2)팀공통비'!I73+$T73*I$102,"")</f>
        <v>0</v>
      </c>
      <c r="J73" s="59">
        <f t="shared" si="71"/>
        <v>0</v>
      </c>
      <c r="K73" s="59">
        <f>IFERROR('2)팀공통비'!K73+$T73*K$102,"")</f>
        <v>0</v>
      </c>
      <c r="L73" s="59">
        <f>IFERROR('2)팀공통비'!L73+$T73*L$102,"")</f>
        <v>0</v>
      </c>
      <c r="M73" s="59">
        <f t="shared" si="72"/>
        <v>0</v>
      </c>
      <c r="N73" s="59" t="str">
        <f>IFERROR('2)팀공통비'!N73+$T73*N$102,"")</f>
        <v/>
      </c>
      <c r="O73" s="59">
        <f t="shared" si="40"/>
        <v>0</v>
      </c>
      <c r="P73" s="21"/>
      <c r="R73" s="19" t="s">
        <v>76</v>
      </c>
      <c r="S73" s="35"/>
      <c r="T73" s="130">
        <f t="shared" si="73"/>
        <v>0</v>
      </c>
      <c r="U73" s="131"/>
      <c r="V73" s="132"/>
      <c r="W73" s="132"/>
      <c r="X73" s="132"/>
      <c r="Y73" s="119" t="s">
        <v>136</v>
      </c>
    </row>
    <row r="74" spans="2:25" ht="18" customHeight="1">
      <c r="B74" s="19" t="s">
        <v>77</v>
      </c>
      <c r="C74" s="35"/>
      <c r="D74" s="58">
        <f t="shared" si="69"/>
        <v>0</v>
      </c>
      <c r="E74" s="59">
        <f>IFERROR('2)팀공통비'!E74+$T74*E$102,"")</f>
        <v>0</v>
      </c>
      <c r="F74" s="59">
        <f>IFERROR('2)팀공통비'!F74+$T74*F$102,"")</f>
        <v>0</v>
      </c>
      <c r="G74" s="59">
        <f t="shared" si="70"/>
        <v>0</v>
      </c>
      <c r="H74" s="59">
        <f>IFERROR('2)팀공통비'!H74+$T74*H$102,"")</f>
        <v>0</v>
      </c>
      <c r="I74" s="59">
        <f>IFERROR('2)팀공통비'!I74+$T74*I$102,"")</f>
        <v>0</v>
      </c>
      <c r="J74" s="59">
        <f t="shared" si="71"/>
        <v>0</v>
      </c>
      <c r="K74" s="59">
        <f>IFERROR('2)팀공통비'!K74+$T74*K$102,"")</f>
        <v>0</v>
      </c>
      <c r="L74" s="59">
        <f>IFERROR('2)팀공통비'!L74+$T74*L$102,"")</f>
        <v>0</v>
      </c>
      <c r="M74" s="59">
        <f t="shared" si="72"/>
        <v>0</v>
      </c>
      <c r="N74" s="59" t="str">
        <f>IFERROR('2)팀공통비'!N74+$T74*N$102,"")</f>
        <v/>
      </c>
      <c r="O74" s="59">
        <f t="shared" si="40"/>
        <v>0</v>
      </c>
      <c r="P74" s="21"/>
      <c r="R74" s="19" t="s">
        <v>77</v>
      </c>
      <c r="S74" s="35"/>
      <c r="T74" s="130">
        <f t="shared" si="73"/>
        <v>0</v>
      </c>
      <c r="U74" s="131"/>
      <c r="V74" s="132"/>
      <c r="W74" s="132"/>
      <c r="X74" s="132"/>
      <c r="Y74" s="119" t="s">
        <v>136</v>
      </c>
    </row>
    <row r="75" spans="2:25" ht="18" customHeight="1">
      <c r="B75" s="19" t="s">
        <v>78</v>
      </c>
      <c r="C75" s="35"/>
      <c r="D75" s="58">
        <f t="shared" si="69"/>
        <v>0</v>
      </c>
      <c r="E75" s="59">
        <f>IFERROR('2)팀공통비'!E75+$T75*E$102,"")</f>
        <v>0</v>
      </c>
      <c r="F75" s="59">
        <f>IFERROR('2)팀공통비'!F75+$T75*F$102,"")</f>
        <v>0</v>
      </c>
      <c r="G75" s="59">
        <f t="shared" si="70"/>
        <v>0</v>
      </c>
      <c r="H75" s="59">
        <f>IFERROR('2)팀공통비'!H75+$T75*H$102,"")</f>
        <v>0</v>
      </c>
      <c r="I75" s="59">
        <f>IFERROR('2)팀공통비'!I75+$T75*I$102,"")</f>
        <v>0</v>
      </c>
      <c r="J75" s="59">
        <f t="shared" si="71"/>
        <v>0</v>
      </c>
      <c r="K75" s="59">
        <f>IFERROR('2)팀공통비'!K75+$T75*K$102,"")</f>
        <v>0</v>
      </c>
      <c r="L75" s="59">
        <f>IFERROR('2)팀공통비'!L75+$T75*L$102,"")</f>
        <v>0</v>
      </c>
      <c r="M75" s="59">
        <f t="shared" si="72"/>
        <v>0</v>
      </c>
      <c r="N75" s="59" t="str">
        <f>IFERROR('2)팀공통비'!N75+$T75*N$102,"")</f>
        <v/>
      </c>
      <c r="O75" s="59">
        <f t="shared" si="40"/>
        <v>0</v>
      </c>
      <c r="P75" s="21"/>
      <c r="R75" s="19" t="s">
        <v>78</v>
      </c>
      <c r="S75" s="35"/>
      <c r="T75" s="130">
        <f t="shared" si="73"/>
        <v>0</v>
      </c>
      <c r="U75" s="131"/>
      <c r="V75" s="132"/>
      <c r="W75" s="132"/>
      <c r="X75" s="132"/>
      <c r="Y75" s="119" t="s">
        <v>136</v>
      </c>
    </row>
    <row r="76" spans="2:25" ht="18" customHeight="1">
      <c r="B76" s="19" t="s">
        <v>79</v>
      </c>
      <c r="C76" s="35"/>
      <c r="D76" s="58">
        <f t="shared" si="69"/>
        <v>0</v>
      </c>
      <c r="E76" s="59">
        <f>IFERROR('2)팀공통비'!E76+$T76*E$102,"")</f>
        <v>0</v>
      </c>
      <c r="F76" s="59">
        <f>IFERROR('2)팀공통비'!F76+$T76*F$102,"")</f>
        <v>0</v>
      </c>
      <c r="G76" s="59">
        <f t="shared" si="70"/>
        <v>0</v>
      </c>
      <c r="H76" s="59">
        <f>IFERROR('2)팀공통비'!H76+$T76*H$102,"")</f>
        <v>0</v>
      </c>
      <c r="I76" s="59">
        <f>IFERROR('2)팀공통비'!I76+$T76*I$102,"")</f>
        <v>0</v>
      </c>
      <c r="J76" s="59">
        <f t="shared" si="71"/>
        <v>0</v>
      </c>
      <c r="K76" s="59">
        <f>IFERROR('2)팀공통비'!K76+$T76*K$102,"")</f>
        <v>0</v>
      </c>
      <c r="L76" s="59">
        <f>IFERROR('2)팀공통비'!L76+$T76*L$102,"")</f>
        <v>0</v>
      </c>
      <c r="M76" s="59">
        <f t="shared" si="72"/>
        <v>0</v>
      </c>
      <c r="N76" s="59" t="str">
        <f>IFERROR('2)팀공통비'!N76+$T76*N$102,"")</f>
        <v/>
      </c>
      <c r="O76" s="59">
        <f t="shared" si="40"/>
        <v>0</v>
      </c>
      <c r="P76" s="21"/>
      <c r="R76" s="19" t="s">
        <v>79</v>
      </c>
      <c r="S76" s="35"/>
      <c r="T76" s="130">
        <f t="shared" si="73"/>
        <v>0</v>
      </c>
      <c r="U76" s="131"/>
      <c r="V76" s="132"/>
      <c r="W76" s="132"/>
      <c r="X76" s="132"/>
      <c r="Y76" s="119" t="s">
        <v>136</v>
      </c>
    </row>
    <row r="77" spans="2:25" ht="18" customHeight="1">
      <c r="B77" s="19" t="s">
        <v>80</v>
      </c>
      <c r="C77" s="35"/>
      <c r="D77" s="58">
        <f t="shared" si="69"/>
        <v>0</v>
      </c>
      <c r="E77" s="59">
        <f>IFERROR('2)팀공통비'!E77+$T77*E$102,"")</f>
        <v>0</v>
      </c>
      <c r="F77" s="59">
        <f>IFERROR('2)팀공통비'!F77+$T77*F$102,"")</f>
        <v>0</v>
      </c>
      <c r="G77" s="59">
        <f t="shared" si="70"/>
        <v>0</v>
      </c>
      <c r="H77" s="59">
        <f>IFERROR('2)팀공통비'!H77+$T77*H$102,"")</f>
        <v>0</v>
      </c>
      <c r="I77" s="59">
        <f>IFERROR('2)팀공통비'!I77+$T77*I$102,"")</f>
        <v>0</v>
      </c>
      <c r="J77" s="59">
        <f t="shared" si="71"/>
        <v>0</v>
      </c>
      <c r="K77" s="59">
        <f>IFERROR('2)팀공통비'!K77+$T77*K$102,"")</f>
        <v>0</v>
      </c>
      <c r="L77" s="59">
        <f>IFERROR('2)팀공통비'!L77+$T77*L$102,"")</f>
        <v>0</v>
      </c>
      <c r="M77" s="59">
        <f t="shared" si="72"/>
        <v>0</v>
      </c>
      <c r="N77" s="59" t="str">
        <f>IFERROR('2)팀공통비'!N77+$T77*N$102,"")</f>
        <v/>
      </c>
      <c r="O77" s="59">
        <f t="shared" si="40"/>
        <v>0</v>
      </c>
      <c r="P77" s="21"/>
      <c r="R77" s="19" t="s">
        <v>80</v>
      </c>
      <c r="S77" s="35"/>
      <c r="T77" s="130">
        <f t="shared" si="73"/>
        <v>0</v>
      </c>
      <c r="U77" s="131"/>
      <c r="V77" s="132"/>
      <c r="W77" s="132"/>
      <c r="X77" s="132"/>
      <c r="Y77" s="119" t="s">
        <v>136</v>
      </c>
    </row>
    <row r="78" spans="2:25" ht="18" customHeight="1">
      <c r="B78" s="19" t="s">
        <v>81</v>
      </c>
      <c r="C78" s="35"/>
      <c r="D78" s="58">
        <f t="shared" si="69"/>
        <v>0</v>
      </c>
      <c r="E78" s="59">
        <f>IFERROR('2)팀공통비'!E78+$T78*E$102,"")</f>
        <v>0</v>
      </c>
      <c r="F78" s="59">
        <f>IFERROR('2)팀공통비'!F78+$T78*F$102,"")</f>
        <v>0</v>
      </c>
      <c r="G78" s="59">
        <f t="shared" si="70"/>
        <v>0</v>
      </c>
      <c r="H78" s="59">
        <f>IFERROR('2)팀공통비'!H78+$T78*H$102,"")</f>
        <v>0</v>
      </c>
      <c r="I78" s="59">
        <f>IFERROR('2)팀공통비'!I78+$T78*I$102,"")</f>
        <v>0</v>
      </c>
      <c r="J78" s="59">
        <f t="shared" si="71"/>
        <v>0</v>
      </c>
      <c r="K78" s="59">
        <f>IFERROR('2)팀공통비'!K78+$T78*K$102,"")</f>
        <v>0</v>
      </c>
      <c r="L78" s="59">
        <f>IFERROR('2)팀공통비'!L78+$T78*L$102,"")</f>
        <v>0</v>
      </c>
      <c r="M78" s="59">
        <f t="shared" si="72"/>
        <v>0</v>
      </c>
      <c r="N78" s="59" t="str">
        <f>IFERROR('2)팀공통비'!N78+$T78*N$102,"")</f>
        <v/>
      </c>
      <c r="O78" s="59">
        <f t="shared" si="40"/>
        <v>0</v>
      </c>
      <c r="P78" s="21"/>
      <c r="R78" s="19" t="s">
        <v>81</v>
      </c>
      <c r="S78" s="35"/>
      <c r="T78" s="130">
        <f t="shared" si="73"/>
        <v>0</v>
      </c>
      <c r="U78" s="131"/>
      <c r="V78" s="132"/>
      <c r="W78" s="132"/>
      <c r="X78" s="132"/>
      <c r="Y78" s="119" t="s">
        <v>136</v>
      </c>
    </row>
    <row r="79" spans="2:25" ht="18" customHeight="1">
      <c r="B79" s="22" t="s">
        <v>82</v>
      </c>
      <c r="C79" s="38"/>
      <c r="D79" s="62">
        <f t="shared" ref="D79:D82" si="74">SUM(G79,J79,M79,O79)</f>
        <v>0</v>
      </c>
      <c r="E79" s="63">
        <f>SUM(E71:E78)</f>
        <v>0</v>
      </c>
      <c r="F79" s="63">
        <f>SUM(F71:F78)</f>
        <v>0</v>
      </c>
      <c r="G79" s="63">
        <f t="shared" ref="G79:G91" si="75">SUM(E79:F79)</f>
        <v>0</v>
      </c>
      <c r="H79" s="63">
        <f>SUM(H71:H78)</f>
        <v>0</v>
      </c>
      <c r="I79" s="63">
        <f>SUM(I71:I78)</f>
        <v>0</v>
      </c>
      <c r="J79" s="63">
        <f t="shared" ref="J79:J91" si="76">SUM(H79:I79)</f>
        <v>0</v>
      </c>
      <c r="K79" s="63">
        <f>SUM(K71:K78)</f>
        <v>0</v>
      </c>
      <c r="L79" s="63">
        <f>SUM(L71:L78)</f>
        <v>0</v>
      </c>
      <c r="M79" s="63">
        <f t="shared" ref="M79:M91" si="77">SUM(K79:L79)</f>
        <v>0</v>
      </c>
      <c r="N79" s="63">
        <f>SUM(N71:N78)</f>
        <v>0</v>
      </c>
      <c r="O79" s="63">
        <f t="shared" ref="O79:O82" si="78">SUM(N79)</f>
        <v>0</v>
      </c>
      <c r="P79" s="24"/>
      <c r="R79" s="22" t="s">
        <v>82</v>
      </c>
      <c r="S79" s="38"/>
      <c r="T79" s="139">
        <f>SUM(T71:T78)</f>
        <v>0</v>
      </c>
      <c r="U79" s="140">
        <f>SUM(U71:U78)</f>
        <v>0</v>
      </c>
      <c r="V79" s="141">
        <f>SUM(V71:V78)</f>
        <v>0</v>
      </c>
      <c r="W79" s="141">
        <f>SUM(W71:W78)</f>
        <v>0</v>
      </c>
      <c r="X79" s="141">
        <f>SUM(X71:X78)</f>
        <v>0</v>
      </c>
      <c r="Y79" s="122"/>
    </row>
    <row r="80" spans="2:25" ht="18" customHeight="1">
      <c r="B80" s="19" t="s">
        <v>72</v>
      </c>
      <c r="C80" s="35"/>
      <c r="D80" s="58">
        <f t="shared" si="74"/>
        <v>0</v>
      </c>
      <c r="E80" s="59" t="str">
        <f>IFERROR('2)팀공통비'!E80+$T80*E$106,"")</f>
        <v/>
      </c>
      <c r="F80" s="59" t="str">
        <f>IFERROR('2)팀공통비'!F80+$T80*F$106,"")</f>
        <v/>
      </c>
      <c r="G80" s="59">
        <f t="shared" si="75"/>
        <v>0</v>
      </c>
      <c r="H80" s="59" t="str">
        <f>IFERROR('2)팀공통비'!H80+$T80*H$106,"")</f>
        <v/>
      </c>
      <c r="I80" s="59" t="str">
        <f>IFERROR('2)팀공통비'!I80+$T80*I$106,"")</f>
        <v/>
      </c>
      <c r="J80" s="59">
        <f t="shared" si="76"/>
        <v>0</v>
      </c>
      <c r="K80" s="59" t="str">
        <f>IFERROR('2)팀공통비'!K80+$T80*K$106,"")</f>
        <v/>
      </c>
      <c r="L80" s="59" t="str">
        <f>IFERROR('2)팀공통비'!L80+$T80*L$106,"")</f>
        <v/>
      </c>
      <c r="M80" s="59">
        <f t="shared" si="77"/>
        <v>0</v>
      </c>
      <c r="N80" s="59" t="str">
        <f>IFERROR('2)팀공통비'!N80+$T80*N$106,"")</f>
        <v/>
      </c>
      <c r="O80" s="59">
        <f t="shared" si="40"/>
        <v>0</v>
      </c>
      <c r="P80" s="21"/>
      <c r="R80" s="19" t="s">
        <v>72</v>
      </c>
      <c r="S80" s="35"/>
      <c r="T80" s="130">
        <f t="shared" ref="T80:T81" si="79">SUM(U80:X80)</f>
        <v>0</v>
      </c>
      <c r="U80" s="131"/>
      <c r="V80" s="132"/>
      <c r="W80" s="132"/>
      <c r="X80" s="132"/>
      <c r="Y80" s="119" t="s">
        <v>139</v>
      </c>
    </row>
    <row r="81" spans="1:25" ht="18" customHeight="1">
      <c r="B81" s="19" t="s">
        <v>71</v>
      </c>
      <c r="C81" s="35"/>
      <c r="D81" s="58">
        <f t="shared" si="74"/>
        <v>0</v>
      </c>
      <c r="E81" s="59">
        <f>IFERROR('2)팀공통비'!E81+$T81*E$102,"")</f>
        <v>0</v>
      </c>
      <c r="F81" s="59">
        <f>IFERROR('2)팀공통비'!F81+$T81*F$102,"")</f>
        <v>0</v>
      </c>
      <c r="G81" s="59">
        <f t="shared" si="75"/>
        <v>0</v>
      </c>
      <c r="H81" s="59">
        <f>IFERROR('2)팀공통비'!H81+$T81*H$102,"")</f>
        <v>0</v>
      </c>
      <c r="I81" s="59">
        <f>IFERROR('2)팀공통비'!I81+$T81*I$102,"")</f>
        <v>0</v>
      </c>
      <c r="J81" s="59">
        <f t="shared" si="76"/>
        <v>0</v>
      </c>
      <c r="K81" s="59">
        <f>IFERROR('2)팀공통비'!K81+$T81*K$102,"")</f>
        <v>0</v>
      </c>
      <c r="L81" s="59">
        <f>IFERROR('2)팀공통비'!L81+$T81*L$102,"")</f>
        <v>0</v>
      </c>
      <c r="M81" s="59">
        <f t="shared" si="77"/>
        <v>0</v>
      </c>
      <c r="N81" s="59" t="str">
        <f>IFERROR('2)팀공통비'!N81+$T81*N$102,"")</f>
        <v/>
      </c>
      <c r="O81" s="59">
        <f t="shared" si="40"/>
        <v>0</v>
      </c>
      <c r="P81" s="21"/>
      <c r="R81" s="19" t="s">
        <v>71</v>
      </c>
      <c r="S81" s="35"/>
      <c r="T81" s="130">
        <f t="shared" si="79"/>
        <v>0</v>
      </c>
      <c r="U81" s="131"/>
      <c r="V81" s="132"/>
      <c r="W81" s="132"/>
      <c r="X81" s="132"/>
      <c r="Y81" s="119" t="s">
        <v>136</v>
      </c>
    </row>
    <row r="82" spans="1:25" ht="18" customHeight="1">
      <c r="B82" s="22" t="s">
        <v>73</v>
      </c>
      <c r="C82" s="38"/>
      <c r="D82" s="62">
        <f t="shared" si="74"/>
        <v>0</v>
      </c>
      <c r="E82" s="63">
        <f>SUM(E80:E81)</f>
        <v>0</v>
      </c>
      <c r="F82" s="63">
        <f>SUM(F80:F81)</f>
        <v>0</v>
      </c>
      <c r="G82" s="63">
        <f t="shared" si="75"/>
        <v>0</v>
      </c>
      <c r="H82" s="63">
        <f>SUM(H80:H81)</f>
        <v>0</v>
      </c>
      <c r="I82" s="63">
        <f>SUM(I80:I81)</f>
        <v>0</v>
      </c>
      <c r="J82" s="63">
        <f t="shared" si="76"/>
        <v>0</v>
      </c>
      <c r="K82" s="63">
        <f>SUM(K80:K81)</f>
        <v>0</v>
      </c>
      <c r="L82" s="63">
        <f>SUM(L80:L81)</f>
        <v>0</v>
      </c>
      <c r="M82" s="63">
        <f t="shared" si="77"/>
        <v>0</v>
      </c>
      <c r="N82" s="63">
        <f>SUM(N80:N81)</f>
        <v>0</v>
      </c>
      <c r="O82" s="63">
        <f t="shared" si="78"/>
        <v>0</v>
      </c>
      <c r="P82" s="24"/>
      <c r="R82" s="22" t="s">
        <v>73</v>
      </c>
      <c r="S82" s="38"/>
      <c r="T82" s="139">
        <f>SUM(T80:T81)</f>
        <v>0</v>
      </c>
      <c r="U82" s="140">
        <f>SUM(U80:U81)</f>
        <v>0</v>
      </c>
      <c r="V82" s="141">
        <f>SUM(V80:V81)</f>
        <v>0</v>
      </c>
      <c r="W82" s="141">
        <f>SUM(W80:W81)</f>
        <v>0</v>
      </c>
      <c r="X82" s="141">
        <f>SUM(X80:X81)</f>
        <v>0</v>
      </c>
      <c r="Y82" s="122"/>
    </row>
    <row r="83" spans="1:25" ht="18" customHeight="1">
      <c r="B83" s="19" t="s">
        <v>83</v>
      </c>
      <c r="C83" s="35"/>
      <c r="D83" s="58">
        <f t="shared" ref="D83" si="80">SUM(G83,J83,M83,O83)</f>
        <v>0</v>
      </c>
      <c r="E83" s="59">
        <f>IFERROR('2)팀공통비'!E83+$T83*E$102,"")</f>
        <v>0</v>
      </c>
      <c r="F83" s="59">
        <f>IFERROR('2)팀공통비'!F83+$T83*F$102,"")</f>
        <v>0</v>
      </c>
      <c r="G83" s="59">
        <f t="shared" si="75"/>
        <v>0</v>
      </c>
      <c r="H83" s="59">
        <f>IFERROR('2)팀공통비'!H83+$T83*H$102,"")</f>
        <v>0</v>
      </c>
      <c r="I83" s="59">
        <f>IFERROR('2)팀공통비'!I83+$T83*I$102,"")</f>
        <v>0</v>
      </c>
      <c r="J83" s="59">
        <f t="shared" si="76"/>
        <v>0</v>
      </c>
      <c r="K83" s="59">
        <f>IFERROR('2)팀공통비'!K83+$T83*K$102,"")</f>
        <v>0</v>
      </c>
      <c r="L83" s="59">
        <f>IFERROR('2)팀공통비'!L83+$T83*L$102,"")</f>
        <v>0</v>
      </c>
      <c r="M83" s="59">
        <f t="shared" si="77"/>
        <v>0</v>
      </c>
      <c r="N83" s="59" t="str">
        <f>IFERROR('2)팀공통비'!N83+$T83*N$102,"")</f>
        <v/>
      </c>
      <c r="O83" s="59">
        <f t="shared" si="40"/>
        <v>0</v>
      </c>
      <c r="P83" s="21"/>
      <c r="R83" s="19" t="s">
        <v>83</v>
      </c>
      <c r="S83" s="35"/>
      <c r="T83" s="130">
        <f t="shared" ref="T83:T91" si="81">SUM(U83:X83)</f>
        <v>0</v>
      </c>
      <c r="U83" s="131"/>
      <c r="V83" s="132"/>
      <c r="W83" s="132"/>
      <c r="X83" s="132"/>
      <c r="Y83" s="119" t="s">
        <v>136</v>
      </c>
    </row>
    <row r="84" spans="1:25" ht="18" customHeight="1">
      <c r="B84" s="19" t="s">
        <v>59</v>
      </c>
      <c r="C84" s="35"/>
      <c r="D84" s="58">
        <f t="shared" si="45"/>
        <v>0</v>
      </c>
      <c r="E84" s="59">
        <f>IFERROR('2)팀공통비'!E84+$T84*E$102,"")</f>
        <v>0</v>
      </c>
      <c r="F84" s="59">
        <f>IFERROR('2)팀공통비'!F84+$T84*F$102,"")</f>
        <v>0</v>
      </c>
      <c r="G84" s="59">
        <f t="shared" si="75"/>
        <v>0</v>
      </c>
      <c r="H84" s="59">
        <f>IFERROR('2)팀공통비'!H84+$T84*H$102,"")</f>
        <v>0</v>
      </c>
      <c r="I84" s="59">
        <f>IFERROR('2)팀공통비'!I84+$T84*I$102,"")</f>
        <v>0</v>
      </c>
      <c r="J84" s="59">
        <f t="shared" si="76"/>
        <v>0</v>
      </c>
      <c r="K84" s="59">
        <f>IFERROR('2)팀공통비'!K84+$T84*K$102,"")</f>
        <v>0</v>
      </c>
      <c r="L84" s="59">
        <f>IFERROR('2)팀공통비'!L84+$T84*L$102,"")</f>
        <v>0</v>
      </c>
      <c r="M84" s="59">
        <f t="shared" si="77"/>
        <v>0</v>
      </c>
      <c r="N84" s="59" t="str">
        <f>IFERROR('2)팀공통비'!N84+$T84*N$102,"")</f>
        <v/>
      </c>
      <c r="O84" s="59">
        <f t="shared" si="40"/>
        <v>0</v>
      </c>
      <c r="P84" s="21"/>
      <c r="R84" s="19" t="s">
        <v>59</v>
      </c>
      <c r="S84" s="35"/>
      <c r="T84" s="130">
        <f t="shared" si="81"/>
        <v>0</v>
      </c>
      <c r="U84" s="131"/>
      <c r="V84" s="132"/>
      <c r="W84" s="132"/>
      <c r="X84" s="132"/>
      <c r="Y84" s="119" t="s">
        <v>136</v>
      </c>
    </row>
    <row r="85" spans="1:25" ht="18" customHeight="1">
      <c r="B85" s="19" t="s">
        <v>84</v>
      </c>
      <c r="C85" s="35"/>
      <c r="D85" s="58">
        <f t="shared" si="45"/>
        <v>0</v>
      </c>
      <c r="E85" s="59">
        <f>IFERROR('2)팀공통비'!E85+$T85*E$102,"")</f>
        <v>0</v>
      </c>
      <c r="F85" s="59">
        <f>IFERROR('2)팀공통비'!F85+$T85*F$102,"")</f>
        <v>0</v>
      </c>
      <c r="G85" s="59">
        <f t="shared" si="75"/>
        <v>0</v>
      </c>
      <c r="H85" s="59">
        <f>IFERROR('2)팀공통비'!H85+$T85*H$102,"")</f>
        <v>0</v>
      </c>
      <c r="I85" s="59">
        <f>IFERROR('2)팀공통비'!I85+$T85*I$102,"")</f>
        <v>0</v>
      </c>
      <c r="J85" s="59">
        <f t="shared" si="76"/>
        <v>0</v>
      </c>
      <c r="K85" s="59">
        <f>IFERROR('2)팀공통비'!K85+$T85*K$102,"")</f>
        <v>0</v>
      </c>
      <c r="L85" s="59">
        <f>IFERROR('2)팀공통비'!L85+$T85*L$102,"")</f>
        <v>0</v>
      </c>
      <c r="M85" s="59">
        <f t="shared" si="77"/>
        <v>0</v>
      </c>
      <c r="N85" s="59" t="str">
        <f>IFERROR('2)팀공통비'!N85+$T85*N$102,"")</f>
        <v/>
      </c>
      <c r="O85" s="59">
        <f t="shared" si="40"/>
        <v>0</v>
      </c>
      <c r="P85" s="21"/>
      <c r="R85" s="19" t="s">
        <v>84</v>
      </c>
      <c r="S85" s="35"/>
      <c r="T85" s="130">
        <f t="shared" si="81"/>
        <v>0</v>
      </c>
      <c r="U85" s="131"/>
      <c r="V85" s="132"/>
      <c r="W85" s="132"/>
      <c r="X85" s="132"/>
      <c r="Y85" s="119" t="s">
        <v>136</v>
      </c>
    </row>
    <row r="86" spans="1:25" ht="18" customHeight="1">
      <c r="B86" s="19" t="s">
        <v>60</v>
      </c>
      <c r="C86" s="35"/>
      <c r="D86" s="58">
        <f t="shared" si="45"/>
        <v>0</v>
      </c>
      <c r="E86" s="59">
        <f>IFERROR('2)팀공통비'!E86+$T86*E$102,"")</f>
        <v>0</v>
      </c>
      <c r="F86" s="59">
        <f>IFERROR('2)팀공통비'!F86+$T86*F$102,"")</f>
        <v>0</v>
      </c>
      <c r="G86" s="59">
        <f t="shared" si="75"/>
        <v>0</v>
      </c>
      <c r="H86" s="59">
        <f>IFERROR('2)팀공통비'!H86+$T86*H$102,"")</f>
        <v>0</v>
      </c>
      <c r="I86" s="59">
        <f>IFERROR('2)팀공통비'!I86+$T86*I$102,"")</f>
        <v>0</v>
      </c>
      <c r="J86" s="59">
        <f t="shared" si="76"/>
        <v>0</v>
      </c>
      <c r="K86" s="59">
        <f>IFERROR('2)팀공통비'!K86+$T86*K$102,"")</f>
        <v>0</v>
      </c>
      <c r="L86" s="59">
        <f>IFERROR('2)팀공통비'!L86+$T86*L$102,"")</f>
        <v>0</v>
      </c>
      <c r="M86" s="59">
        <f t="shared" si="77"/>
        <v>0</v>
      </c>
      <c r="N86" s="59" t="str">
        <f>IFERROR('2)팀공통비'!N86+$T86*N$102,"")</f>
        <v/>
      </c>
      <c r="O86" s="59">
        <f t="shared" si="40"/>
        <v>0</v>
      </c>
      <c r="P86" s="21"/>
      <c r="R86" s="19" t="s">
        <v>60</v>
      </c>
      <c r="S86" s="35"/>
      <c r="T86" s="130">
        <f t="shared" si="81"/>
        <v>0</v>
      </c>
      <c r="U86" s="131"/>
      <c r="V86" s="132"/>
      <c r="W86" s="132"/>
      <c r="X86" s="132"/>
      <c r="Y86" s="119" t="s">
        <v>136</v>
      </c>
    </row>
    <row r="87" spans="1:25" ht="18" customHeight="1">
      <c r="B87" s="19" t="s">
        <v>85</v>
      </c>
      <c r="C87" s="35"/>
      <c r="D87" s="58">
        <f t="shared" ref="D87:D92" si="82">SUM(G87,J87,M87,O87)</f>
        <v>0</v>
      </c>
      <c r="E87" s="59">
        <f>IFERROR('2)팀공통비'!E87+$T87*E$102,"")</f>
        <v>0</v>
      </c>
      <c r="F87" s="59">
        <f>IFERROR('2)팀공통비'!F87+$T87*F$102,"")</f>
        <v>0</v>
      </c>
      <c r="G87" s="59">
        <f t="shared" si="75"/>
        <v>0</v>
      </c>
      <c r="H87" s="59">
        <f>IFERROR('2)팀공통비'!H87+$T87*H$102,"")</f>
        <v>0</v>
      </c>
      <c r="I87" s="59">
        <f>IFERROR('2)팀공통비'!I87+$T87*I$102,"")</f>
        <v>0</v>
      </c>
      <c r="J87" s="59">
        <f t="shared" si="76"/>
        <v>0</v>
      </c>
      <c r="K87" s="59">
        <f>IFERROR('2)팀공통비'!K87+$T87*K$102,"")</f>
        <v>0</v>
      </c>
      <c r="L87" s="59">
        <f>IFERROR('2)팀공통비'!L87+$T87*L$102,"")</f>
        <v>0</v>
      </c>
      <c r="M87" s="59">
        <f t="shared" si="77"/>
        <v>0</v>
      </c>
      <c r="N87" s="59" t="str">
        <f>IFERROR('2)팀공통비'!N87+$T87*N$102,"")</f>
        <v/>
      </c>
      <c r="O87" s="59">
        <f t="shared" si="40"/>
        <v>0</v>
      </c>
      <c r="P87" s="21"/>
      <c r="R87" s="19" t="s">
        <v>85</v>
      </c>
      <c r="S87" s="35"/>
      <c r="T87" s="130">
        <f t="shared" si="81"/>
        <v>0</v>
      </c>
      <c r="U87" s="131"/>
      <c r="V87" s="132"/>
      <c r="W87" s="132"/>
      <c r="X87" s="132"/>
      <c r="Y87" s="119" t="s">
        <v>136</v>
      </c>
    </row>
    <row r="88" spans="1:25" ht="18" customHeight="1">
      <c r="B88" s="19" t="s">
        <v>86</v>
      </c>
      <c r="C88" s="35"/>
      <c r="D88" s="58">
        <f t="shared" si="82"/>
        <v>0</v>
      </c>
      <c r="E88" s="59">
        <f>IFERROR('2)팀공통비'!E88+$T88*E$102,"")</f>
        <v>0</v>
      </c>
      <c r="F88" s="59">
        <f>IFERROR('2)팀공통비'!F88+$T88*F$102,"")</f>
        <v>0</v>
      </c>
      <c r="G88" s="59">
        <f t="shared" si="75"/>
        <v>0</v>
      </c>
      <c r="H88" s="59">
        <f>IFERROR('2)팀공통비'!H88+$T88*H$102,"")</f>
        <v>0</v>
      </c>
      <c r="I88" s="59">
        <f>IFERROR('2)팀공통비'!I88+$T88*I$102,"")</f>
        <v>0</v>
      </c>
      <c r="J88" s="59">
        <f t="shared" si="76"/>
        <v>0</v>
      </c>
      <c r="K88" s="59">
        <f>IFERROR('2)팀공통비'!K88+$T88*K$102,"")</f>
        <v>0</v>
      </c>
      <c r="L88" s="59">
        <f>IFERROR('2)팀공통비'!L88+$T88*L$102,"")</f>
        <v>0</v>
      </c>
      <c r="M88" s="59">
        <f t="shared" si="77"/>
        <v>0</v>
      </c>
      <c r="N88" s="59" t="str">
        <f>IFERROR('2)팀공통비'!N88+$T88*N$102,"")</f>
        <v/>
      </c>
      <c r="O88" s="59">
        <f t="shared" si="40"/>
        <v>0</v>
      </c>
      <c r="P88" s="21"/>
      <c r="R88" s="19" t="s">
        <v>86</v>
      </c>
      <c r="S88" s="35"/>
      <c r="T88" s="130">
        <f t="shared" si="81"/>
        <v>0</v>
      </c>
      <c r="U88" s="131"/>
      <c r="V88" s="132"/>
      <c r="W88" s="132"/>
      <c r="X88" s="132"/>
      <c r="Y88" s="119" t="s">
        <v>136</v>
      </c>
    </row>
    <row r="89" spans="1:25" ht="18" customHeight="1">
      <c r="B89" s="19" t="s">
        <v>87</v>
      </c>
      <c r="C89" s="35"/>
      <c r="D89" s="58">
        <f t="shared" ref="D89" si="83">SUM(G89,J89,M89,O89)</f>
        <v>0</v>
      </c>
      <c r="E89" s="59">
        <f>IFERROR('2)팀공통비'!E89+$T89*E$102,"")</f>
        <v>0</v>
      </c>
      <c r="F89" s="59">
        <f>IFERROR('2)팀공통비'!F89+$T89*F$102,"")</f>
        <v>0</v>
      </c>
      <c r="G89" s="59">
        <f t="shared" si="75"/>
        <v>0</v>
      </c>
      <c r="H89" s="59">
        <f>IFERROR('2)팀공통비'!H89+$T89*H$102,"")</f>
        <v>0</v>
      </c>
      <c r="I89" s="59">
        <f>IFERROR('2)팀공통비'!I89+$T89*I$102,"")</f>
        <v>0</v>
      </c>
      <c r="J89" s="59">
        <f t="shared" si="76"/>
        <v>0</v>
      </c>
      <c r="K89" s="59">
        <f>IFERROR('2)팀공통비'!K89+$T89*K$102,"")</f>
        <v>0</v>
      </c>
      <c r="L89" s="59">
        <f>IFERROR('2)팀공통비'!L89+$T89*L$102,"")</f>
        <v>0</v>
      </c>
      <c r="M89" s="59">
        <f t="shared" si="77"/>
        <v>0</v>
      </c>
      <c r="N89" s="59" t="str">
        <f>IFERROR('2)팀공통비'!N89+$T89*N$102,"")</f>
        <v/>
      </c>
      <c r="O89" s="59">
        <f t="shared" si="40"/>
        <v>0</v>
      </c>
      <c r="P89" s="21"/>
      <c r="R89" s="19" t="s">
        <v>87</v>
      </c>
      <c r="S89" s="35"/>
      <c r="T89" s="130">
        <f t="shared" si="81"/>
        <v>0</v>
      </c>
      <c r="U89" s="131"/>
      <c r="V89" s="132"/>
      <c r="W89" s="132"/>
      <c r="X89" s="132"/>
      <c r="Y89" s="119" t="s">
        <v>136</v>
      </c>
    </row>
    <row r="90" spans="1:25" ht="18" customHeight="1">
      <c r="B90" s="19" t="s">
        <v>88</v>
      </c>
      <c r="C90" s="35"/>
      <c r="D90" s="58">
        <f t="shared" si="82"/>
        <v>0</v>
      </c>
      <c r="E90" s="59">
        <f>IFERROR('2)팀공통비'!E90+$T90*E$102,"")</f>
        <v>0</v>
      </c>
      <c r="F90" s="59">
        <f>IFERROR('2)팀공통비'!F90+$T90*F$102,"")</f>
        <v>0</v>
      </c>
      <c r="G90" s="59">
        <f t="shared" si="75"/>
        <v>0</v>
      </c>
      <c r="H90" s="59">
        <f>IFERROR('2)팀공통비'!H90+$T90*H$102,"")</f>
        <v>0</v>
      </c>
      <c r="I90" s="59">
        <f>IFERROR('2)팀공통비'!I90+$T90*I$102,"")</f>
        <v>0</v>
      </c>
      <c r="J90" s="59">
        <f t="shared" si="76"/>
        <v>0</v>
      </c>
      <c r="K90" s="59">
        <f>IFERROR('2)팀공통비'!K90+$T90*K$102,"")</f>
        <v>0</v>
      </c>
      <c r="L90" s="59">
        <f>IFERROR('2)팀공통비'!L90+$T90*L$102,"")</f>
        <v>0</v>
      </c>
      <c r="M90" s="59">
        <f t="shared" si="77"/>
        <v>0</v>
      </c>
      <c r="N90" s="59" t="str">
        <f>IFERROR('2)팀공통비'!N90+$T90*N$102,"")</f>
        <v/>
      </c>
      <c r="O90" s="59">
        <f t="shared" si="40"/>
        <v>0</v>
      </c>
      <c r="P90" s="21"/>
      <c r="R90" s="19" t="s">
        <v>88</v>
      </c>
      <c r="S90" s="35"/>
      <c r="T90" s="130">
        <f t="shared" si="81"/>
        <v>0</v>
      </c>
      <c r="U90" s="131"/>
      <c r="V90" s="132"/>
      <c r="W90" s="132"/>
      <c r="X90" s="132"/>
      <c r="Y90" s="119" t="s">
        <v>136</v>
      </c>
    </row>
    <row r="91" spans="1:25" ht="18" customHeight="1">
      <c r="B91" s="19" t="s">
        <v>49</v>
      </c>
      <c r="C91" s="35"/>
      <c r="D91" s="58">
        <f t="shared" si="82"/>
        <v>0</v>
      </c>
      <c r="E91" s="59">
        <f>IFERROR('2)팀공통비'!E91+$T91*E$102,"")</f>
        <v>0</v>
      </c>
      <c r="F91" s="59">
        <f>IFERROR('2)팀공통비'!F91+$T91*F$102,"")</f>
        <v>0</v>
      </c>
      <c r="G91" s="59">
        <f t="shared" si="75"/>
        <v>0</v>
      </c>
      <c r="H91" s="59">
        <f>IFERROR('2)팀공통비'!H91+$T91*H$102,"")</f>
        <v>0</v>
      </c>
      <c r="I91" s="59">
        <f>IFERROR('2)팀공통비'!I91+$T91*I$102,"")</f>
        <v>0</v>
      </c>
      <c r="J91" s="59">
        <f t="shared" si="76"/>
        <v>0</v>
      </c>
      <c r="K91" s="59">
        <f>IFERROR('2)팀공통비'!K91+$T91*K$102,"")</f>
        <v>0</v>
      </c>
      <c r="L91" s="59">
        <f>IFERROR('2)팀공통비'!L91+$T91*L$102,"")</f>
        <v>0</v>
      </c>
      <c r="M91" s="59">
        <f t="shared" si="77"/>
        <v>0</v>
      </c>
      <c r="N91" s="59" t="str">
        <f>IFERROR('2)팀공통비'!N91+$T91*N$102,"")</f>
        <v/>
      </c>
      <c r="O91" s="59">
        <f t="shared" si="40"/>
        <v>0</v>
      </c>
      <c r="P91" s="21"/>
      <c r="R91" s="19" t="s">
        <v>49</v>
      </c>
      <c r="S91" s="35"/>
      <c r="T91" s="130">
        <f t="shared" si="81"/>
        <v>0</v>
      </c>
      <c r="U91" s="131"/>
      <c r="V91" s="132"/>
      <c r="W91" s="132"/>
      <c r="X91" s="132"/>
      <c r="Y91" s="119" t="s">
        <v>136</v>
      </c>
    </row>
    <row r="92" spans="1:25" ht="18" customHeight="1">
      <c r="B92" s="22" t="s">
        <v>89</v>
      </c>
      <c r="C92" s="38"/>
      <c r="D92" s="62">
        <f t="shared" si="82"/>
        <v>0</v>
      </c>
      <c r="E92" s="63">
        <f>SUM(E83:E91)</f>
        <v>0</v>
      </c>
      <c r="F92" s="63">
        <f>SUM(F83:F91)</f>
        <v>0</v>
      </c>
      <c r="G92" s="63">
        <f t="shared" ref="G92" si="84">SUM(E92:F92)</f>
        <v>0</v>
      </c>
      <c r="H92" s="63">
        <f>SUM(H83:H91)</f>
        <v>0</v>
      </c>
      <c r="I92" s="63">
        <f>SUM(I83:I91)</f>
        <v>0</v>
      </c>
      <c r="J92" s="63">
        <f t="shared" ref="J92" si="85">SUM(H92:I92)</f>
        <v>0</v>
      </c>
      <c r="K92" s="63">
        <f>SUM(K83:K91)</f>
        <v>0</v>
      </c>
      <c r="L92" s="63">
        <f>SUM(L83:L91)</f>
        <v>0</v>
      </c>
      <c r="M92" s="63">
        <f t="shared" ref="M92" si="86">SUM(K92:L92)</f>
        <v>0</v>
      </c>
      <c r="N92" s="63">
        <f>SUM(N83:N91)</f>
        <v>0</v>
      </c>
      <c r="O92" s="63">
        <f t="shared" ref="O92:O93" si="87">SUM(N92)</f>
        <v>0</v>
      </c>
      <c r="P92" s="24"/>
      <c r="R92" s="22" t="s">
        <v>89</v>
      </c>
      <c r="S92" s="38"/>
      <c r="T92" s="139">
        <f>SUM(T83:T91)</f>
        <v>0</v>
      </c>
      <c r="U92" s="140">
        <f>SUM(U83:U91)</f>
        <v>0</v>
      </c>
      <c r="V92" s="141">
        <f>SUM(V83:V91)</f>
        <v>0</v>
      </c>
      <c r="W92" s="141">
        <f>SUM(W83:W91)</f>
        <v>0</v>
      </c>
      <c r="X92" s="141">
        <f>SUM(X83:X91)</f>
        <v>0</v>
      </c>
      <c r="Y92" s="122"/>
    </row>
    <row r="93" spans="1:25" ht="18" customHeight="1" thickBot="1">
      <c r="B93" s="28" t="s">
        <v>90</v>
      </c>
      <c r="C93" s="39"/>
      <c r="D93" s="64">
        <f t="shared" ref="D93" si="88">SUM(G93,J93,M93,O93)</f>
        <v>0</v>
      </c>
      <c r="E93" s="65">
        <f>SUM(E35,E36,E41,E52,E58,E59,E64,E65,E70,E79,E82,E92)</f>
        <v>0</v>
      </c>
      <c r="F93" s="65">
        <f>SUM(F35,F36,F41,F52,F58,F59,F64,F65,F70,F79,F82,F92)</f>
        <v>0</v>
      </c>
      <c r="G93" s="65">
        <f t="shared" ref="G93" si="89">SUM(E93:F93)</f>
        <v>0</v>
      </c>
      <c r="H93" s="65">
        <f>SUM(H35,H36,H41,H52,H58,H59,H64,H65,H70,H79,H82,H92)</f>
        <v>0</v>
      </c>
      <c r="I93" s="65">
        <f>SUM(I35,I36,I41,I52,I58,I59,I64,I65,I70,I79,I82,I92)</f>
        <v>0</v>
      </c>
      <c r="J93" s="65">
        <f t="shared" ref="J93" si="90">SUM(H93:I93)</f>
        <v>0</v>
      </c>
      <c r="K93" s="65">
        <f>SUM(K35,K36,K41,K52,K58,K59,K64,K65,K70,K79,K82,K92)</f>
        <v>0</v>
      </c>
      <c r="L93" s="65">
        <f>SUM(L35,L36,L41,L52,L58,L59,L64,L65,L70,L79,L82,L92)</f>
        <v>0</v>
      </c>
      <c r="M93" s="65">
        <f t="shared" ref="M93" si="91">SUM(K93:L93)</f>
        <v>0</v>
      </c>
      <c r="N93" s="65">
        <f>SUM(N35,N36,N41,N52,N58,N59,N64,N65,N70,N79,N82,N92)</f>
        <v>0</v>
      </c>
      <c r="O93" s="65">
        <f t="shared" si="87"/>
        <v>0</v>
      </c>
      <c r="P93" s="29"/>
      <c r="R93" s="28" t="s">
        <v>90</v>
      </c>
      <c r="S93" s="39"/>
      <c r="T93" s="142">
        <f>SUM(T35,T36,T41,T52,T58,T59,T64,T65,T70,T79,T82,T92)</f>
        <v>0</v>
      </c>
      <c r="U93" s="143">
        <f>SUM(U35,U36,U41,U52,U58,U59,U64,U65,U70,U79,U82,U92)</f>
        <v>0</v>
      </c>
      <c r="V93" s="144">
        <f>SUM(V35,V36,V41,V52,V58,V59,V64,V65,V70,V79,V82,V92)</f>
        <v>0</v>
      </c>
      <c r="W93" s="144">
        <f>SUM(W35,W36,W41,W52,W58,W59,W64,W65,W70,W79,W82,W92)</f>
        <v>0</v>
      </c>
      <c r="X93" s="144">
        <f>SUM(X35,X36,X41,X52,X58,X59,X64,X65,X70,X79,X82,X92)</f>
        <v>0</v>
      </c>
      <c r="Y93" s="123"/>
    </row>
    <row r="94" spans="1:25">
      <c r="U94" s="2"/>
      <c r="Y94" s="1"/>
    </row>
    <row r="95" spans="1:25">
      <c r="U95" s="2"/>
      <c r="Y95" s="1"/>
    </row>
    <row r="96" spans="1:25" s="3" customFormat="1" ht="14">
      <c r="A96" s="3" t="s">
        <v>142</v>
      </c>
      <c r="U96" s="96"/>
    </row>
    <row r="97" spans="2:25" s="3" customFormat="1" ht="14">
      <c r="U97" s="96"/>
    </row>
    <row r="98" spans="2:25" ht="14" thickBot="1">
      <c r="B98" s="1" t="s">
        <v>163</v>
      </c>
      <c r="U98" s="2"/>
      <c r="Y98" s="1"/>
    </row>
    <row r="99" spans="2:25" ht="18" customHeight="1">
      <c r="B99" s="299" t="s">
        <v>27</v>
      </c>
      <c r="C99" s="300"/>
      <c r="D99" s="301" t="s">
        <v>39</v>
      </c>
      <c r="E99" s="305" t="s">
        <v>29</v>
      </c>
      <c r="F99" s="299"/>
      <c r="G99" s="299"/>
      <c r="H99" s="299" t="s">
        <v>33</v>
      </c>
      <c r="I99" s="299"/>
      <c r="J99" s="299"/>
      <c r="K99" s="299" t="s">
        <v>34</v>
      </c>
      <c r="L99" s="299"/>
      <c r="M99" s="299"/>
      <c r="N99" s="299" t="s">
        <v>36</v>
      </c>
      <c r="O99" s="299"/>
      <c r="P99" s="306" t="s">
        <v>91</v>
      </c>
      <c r="U99" s="2"/>
      <c r="Y99" s="1"/>
    </row>
    <row r="100" spans="2:25" ht="18" customHeight="1">
      <c r="B100" s="299"/>
      <c r="C100" s="300"/>
      <c r="D100" s="302"/>
      <c r="E100" s="33" t="s">
        <v>31</v>
      </c>
      <c r="F100" s="8" t="s">
        <v>148</v>
      </c>
      <c r="G100" s="8" t="s">
        <v>32</v>
      </c>
      <c r="H100" s="8" t="s">
        <v>98</v>
      </c>
      <c r="I100" s="8" t="s">
        <v>150</v>
      </c>
      <c r="J100" s="8" t="s">
        <v>32</v>
      </c>
      <c r="K100" s="8" t="s">
        <v>99</v>
      </c>
      <c r="L100" s="8" t="s">
        <v>150</v>
      </c>
      <c r="M100" s="8" t="s">
        <v>32</v>
      </c>
      <c r="N100" s="8" t="s">
        <v>38</v>
      </c>
      <c r="O100" s="8" t="s">
        <v>32</v>
      </c>
      <c r="P100" s="307"/>
      <c r="U100" s="2"/>
      <c r="Y100" s="1"/>
    </row>
    <row r="101" spans="2:25" ht="18" customHeight="1">
      <c r="B101" s="31" t="s">
        <v>156</v>
      </c>
      <c r="C101" s="31"/>
      <c r="D101" s="34">
        <f>SUM(G101,J101,M101,O101)</f>
        <v>16858638.777252171</v>
      </c>
      <c r="E101" s="104">
        <f>E7</f>
        <v>16483016.937140476</v>
      </c>
      <c r="F101" s="7">
        <f>F7</f>
        <v>0</v>
      </c>
      <c r="G101" s="7">
        <f>SUM(E101:F101)</f>
        <v>16483016.937140476</v>
      </c>
      <c r="H101" s="7">
        <f t="shared" ref="H101:I101" si="92">H7</f>
        <v>73941.840111695245</v>
      </c>
      <c r="I101" s="7">
        <f t="shared" si="92"/>
        <v>0</v>
      </c>
      <c r="J101" s="7">
        <f t="shared" ref="J101:J106" si="93">SUM(H101:I101)</f>
        <v>73941.840111695245</v>
      </c>
      <c r="K101" s="7">
        <f t="shared" ref="K101:N101" si="94">K7</f>
        <v>0</v>
      </c>
      <c r="L101" s="7">
        <f t="shared" si="94"/>
        <v>0</v>
      </c>
      <c r="M101" s="7">
        <f t="shared" ref="M101:M106" si="95">SUM(K101:L101)</f>
        <v>0</v>
      </c>
      <c r="N101" s="7">
        <f t="shared" si="94"/>
        <v>301680</v>
      </c>
      <c r="O101" s="7">
        <f>SUM(N101)</f>
        <v>301680</v>
      </c>
      <c r="P101" s="31"/>
      <c r="U101" s="2"/>
      <c r="Y101" s="1"/>
    </row>
    <row r="102" spans="2:25" ht="18" customHeight="1">
      <c r="B102" s="32" t="s">
        <v>144</v>
      </c>
      <c r="C102" s="32"/>
      <c r="D102" s="108">
        <f>IFERROR(D101/$D$101,"")</f>
        <v>1</v>
      </c>
      <c r="E102" s="109">
        <f>IFERROR(E101/$D$101,"")</f>
        <v>0.97771932567779241</v>
      </c>
      <c r="F102" s="110">
        <f>IFERROR(F101/$D$101,"")</f>
        <v>0</v>
      </c>
      <c r="G102" s="110">
        <f t="shared" ref="G102:G106" si="96">SUM(E102:F102)</f>
        <v>0.97771932567779241</v>
      </c>
      <c r="H102" s="110">
        <f>IFERROR(H101/$D$101,"")</f>
        <v>4.3859911282675456E-3</v>
      </c>
      <c r="I102" s="110">
        <f>IFERROR(I101/$D$101,"")</f>
        <v>0</v>
      </c>
      <c r="J102" s="110">
        <f t="shared" si="93"/>
        <v>4.3859911282675456E-3</v>
      </c>
      <c r="K102" s="110">
        <f>IFERROR(K101/$D$101,"")</f>
        <v>0</v>
      </c>
      <c r="L102" s="110">
        <f>IFERROR(L101/$D$101,"")</f>
        <v>0</v>
      </c>
      <c r="M102" s="110">
        <f t="shared" si="95"/>
        <v>0</v>
      </c>
      <c r="N102" s="110">
        <f>IFERROR(N101/$D$101,"")</f>
        <v>1.7894683193940022E-2</v>
      </c>
      <c r="O102" s="110">
        <f>SUM(N102)</f>
        <v>1.7894683193940022E-2</v>
      </c>
      <c r="P102" s="32"/>
      <c r="U102" s="2"/>
      <c r="Y102" s="1"/>
    </row>
    <row r="103" spans="2:25" ht="18" customHeight="1">
      <c r="B103" s="31" t="s">
        <v>157</v>
      </c>
      <c r="C103" s="31"/>
      <c r="D103" s="105">
        <f>SUM(G103,J103,M103,O103)</f>
        <v>8</v>
      </c>
      <c r="E103" s="106">
        <f>SUMIFS('#)참고자료'!$G:$G,'#)참고자료'!$M:$M,$E$99,'#)참고자료'!$N:$N,"직접비")</f>
        <v>8</v>
      </c>
      <c r="F103" s="107"/>
      <c r="G103" s="107">
        <f t="shared" si="96"/>
        <v>8</v>
      </c>
      <c r="H103" s="107">
        <f>SUMIFS('#)참고자료'!$G:$G,'#)참고자료'!$M:$M,$H$99,'#)참고자료'!$N:$N,"직접비")</f>
        <v>0</v>
      </c>
      <c r="I103" s="107"/>
      <c r="J103" s="107">
        <f t="shared" si="93"/>
        <v>0</v>
      </c>
      <c r="K103" s="107">
        <f>SUMIFS('#)참고자료'!$G:$G,'#)참고자료'!$M:$M,$K$99,'#)참고자료'!$N:$N,"직접비")</f>
        <v>0</v>
      </c>
      <c r="L103" s="107"/>
      <c r="M103" s="107">
        <f t="shared" si="95"/>
        <v>0</v>
      </c>
      <c r="N103" s="107">
        <v>0</v>
      </c>
      <c r="O103" s="107">
        <f t="shared" ref="O103:O106" si="97">SUM(N103)</f>
        <v>0</v>
      </c>
      <c r="P103" s="31"/>
      <c r="U103" s="2"/>
      <c r="Y103" s="1"/>
    </row>
    <row r="104" spans="2:25" ht="18" customHeight="1">
      <c r="B104" s="32" t="s">
        <v>145</v>
      </c>
      <c r="C104" s="32"/>
      <c r="D104" s="108">
        <f>IFERROR(D103/$D$103,"")</f>
        <v>1</v>
      </c>
      <c r="E104" s="109">
        <f t="shared" ref="E104:F104" si="98">IFERROR(E103/$D$103,"")</f>
        <v>1</v>
      </c>
      <c r="F104" s="110">
        <f t="shared" si="98"/>
        <v>0</v>
      </c>
      <c r="G104" s="110">
        <f t="shared" si="96"/>
        <v>1</v>
      </c>
      <c r="H104" s="110">
        <f t="shared" ref="H104:I104" si="99">IFERROR(H103/$D$103,"")</f>
        <v>0</v>
      </c>
      <c r="I104" s="110">
        <f t="shared" si="99"/>
        <v>0</v>
      </c>
      <c r="J104" s="110">
        <f t="shared" si="93"/>
        <v>0</v>
      </c>
      <c r="K104" s="110">
        <f t="shared" ref="K104:L104" si="100">IFERROR(K103/$D$103,"")</f>
        <v>0</v>
      </c>
      <c r="L104" s="110">
        <f t="shared" si="100"/>
        <v>0</v>
      </c>
      <c r="M104" s="110">
        <f t="shared" si="95"/>
        <v>0</v>
      </c>
      <c r="N104" s="153">
        <f t="shared" ref="N104" si="101">IFERROR(N103/$D$103,"")</f>
        <v>0</v>
      </c>
      <c r="O104" s="110">
        <f t="shared" si="97"/>
        <v>0</v>
      </c>
      <c r="P104" s="32"/>
      <c r="U104" s="2"/>
      <c r="Y104" s="1"/>
    </row>
    <row r="105" spans="2:25" ht="18" customHeight="1">
      <c r="B105" s="31" t="s">
        <v>158</v>
      </c>
      <c r="C105" s="31"/>
      <c r="D105" s="105">
        <f>SUM(G105,J105,M105,O105)</f>
        <v>0</v>
      </c>
      <c r="E105" s="106">
        <f>'#)참고자료'!$E$31</f>
        <v>0</v>
      </c>
      <c r="F105" s="107"/>
      <c r="G105" s="107">
        <f t="shared" si="96"/>
        <v>0</v>
      </c>
      <c r="H105" s="107">
        <f>'#)참고자료'!$E$33</f>
        <v>0</v>
      </c>
      <c r="I105" s="107">
        <f>'#)참고자료'!$E$34</f>
        <v>0</v>
      </c>
      <c r="J105" s="107">
        <f t="shared" si="93"/>
        <v>0</v>
      </c>
      <c r="K105" s="107">
        <f>'#)참고자료'!$E$35</f>
        <v>0</v>
      </c>
      <c r="L105" s="107">
        <f>'#)참고자료'!$E$36</f>
        <v>0</v>
      </c>
      <c r="M105" s="107">
        <f t="shared" si="95"/>
        <v>0</v>
      </c>
      <c r="N105" s="107">
        <f>'#)참고자료'!$E$37</f>
        <v>0</v>
      </c>
      <c r="O105" s="107">
        <f t="shared" si="97"/>
        <v>0</v>
      </c>
      <c r="P105" s="31" t="s">
        <v>152</v>
      </c>
      <c r="U105" s="2"/>
      <c r="Y105" s="1"/>
    </row>
    <row r="106" spans="2:25" ht="18" customHeight="1" thickBot="1">
      <c r="B106" s="32" t="s">
        <v>143</v>
      </c>
      <c r="C106" s="32"/>
      <c r="D106" s="111" t="str">
        <f>IFERROR(D105/$D$105,"")</f>
        <v/>
      </c>
      <c r="E106" s="109" t="str">
        <f t="shared" ref="E106:F106" si="102">IFERROR(E105/$D$105,"")</f>
        <v/>
      </c>
      <c r="F106" s="110" t="str">
        <f t="shared" si="102"/>
        <v/>
      </c>
      <c r="G106" s="110">
        <f t="shared" si="96"/>
        <v>0</v>
      </c>
      <c r="H106" s="110" t="str">
        <f t="shared" ref="H106:I106" si="103">IFERROR(H105/$D$105,"")</f>
        <v/>
      </c>
      <c r="I106" s="110" t="str">
        <f t="shared" si="103"/>
        <v/>
      </c>
      <c r="J106" s="110">
        <f t="shared" si="93"/>
        <v>0</v>
      </c>
      <c r="K106" s="110" t="str">
        <f t="shared" ref="K106:N106" si="104">IFERROR(K105/$D$105,"")</f>
        <v/>
      </c>
      <c r="L106" s="110" t="str">
        <f t="shared" si="104"/>
        <v/>
      </c>
      <c r="M106" s="110">
        <f t="shared" si="95"/>
        <v>0</v>
      </c>
      <c r="N106" s="153" t="str">
        <f t="shared" si="104"/>
        <v/>
      </c>
      <c r="O106" s="110">
        <f t="shared" si="97"/>
        <v>0</v>
      </c>
      <c r="P106" s="32"/>
      <c r="U106" s="2"/>
      <c r="Y106" s="1"/>
    </row>
    <row r="107" spans="2:25" ht="18" customHeight="1"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2"/>
      <c r="O107" s="151"/>
      <c r="U107" s="2"/>
      <c r="Y107" s="1"/>
    </row>
    <row r="108" spans="2:25" ht="14" thickBot="1">
      <c r="B108" s="1" t="s">
        <v>164</v>
      </c>
      <c r="U108" s="2"/>
      <c r="Y108" s="1"/>
    </row>
    <row r="109" spans="2:25" ht="18" customHeight="1">
      <c r="B109" s="299" t="s">
        <v>27</v>
      </c>
      <c r="C109" s="300"/>
      <c r="D109" s="301" t="s">
        <v>39</v>
      </c>
      <c r="E109" s="305" t="s">
        <v>29</v>
      </c>
      <c r="F109" s="299"/>
      <c r="G109" s="299"/>
      <c r="H109" s="299" t="s">
        <v>33</v>
      </c>
      <c r="I109" s="299"/>
      <c r="J109" s="299"/>
      <c r="K109" s="299" t="s">
        <v>34</v>
      </c>
      <c r="L109" s="299"/>
      <c r="M109" s="299"/>
      <c r="N109" s="299" t="s">
        <v>36</v>
      </c>
      <c r="O109" s="299"/>
      <c r="P109" s="306" t="s">
        <v>91</v>
      </c>
      <c r="U109" s="2"/>
      <c r="Y109" s="1"/>
    </row>
    <row r="110" spans="2:25" ht="18" customHeight="1">
      <c r="B110" s="299"/>
      <c r="C110" s="300"/>
      <c r="D110" s="302"/>
      <c r="E110" s="33" t="s">
        <v>31</v>
      </c>
      <c r="F110" s="8" t="s">
        <v>148</v>
      </c>
      <c r="G110" s="8" t="s">
        <v>32</v>
      </c>
      <c r="H110" s="8" t="s">
        <v>98</v>
      </c>
      <c r="I110" s="8" t="s">
        <v>150</v>
      </c>
      <c r="J110" s="8" t="s">
        <v>32</v>
      </c>
      <c r="K110" s="8" t="s">
        <v>99</v>
      </c>
      <c r="L110" s="8" t="s">
        <v>150</v>
      </c>
      <c r="M110" s="8" t="s">
        <v>32</v>
      </c>
      <c r="N110" s="8" t="s">
        <v>38</v>
      </c>
      <c r="O110" s="8" t="s">
        <v>32</v>
      </c>
      <c r="P110" s="307"/>
      <c r="U110" s="2"/>
      <c r="Y110" s="1"/>
    </row>
    <row r="111" spans="2:25" ht="18" customHeight="1">
      <c r="B111" s="31" t="s">
        <v>156</v>
      </c>
      <c r="C111" s="31"/>
      <c r="D111" s="34">
        <f>SUM(G111,J111,M111)</f>
        <v>16556958.777252171</v>
      </c>
      <c r="E111" s="104">
        <f>E101</f>
        <v>16483016.937140476</v>
      </c>
      <c r="F111" s="7">
        <f>F101</f>
        <v>0</v>
      </c>
      <c r="G111" s="7">
        <f>SUM(E111:F111)</f>
        <v>16483016.937140476</v>
      </c>
      <c r="H111" s="7">
        <f t="shared" ref="H111:I111" si="105">H101</f>
        <v>73941.840111695245</v>
      </c>
      <c r="I111" s="7">
        <f t="shared" si="105"/>
        <v>0</v>
      </c>
      <c r="J111" s="7">
        <f t="shared" ref="J111:J116" si="106">SUM(H111:I111)</f>
        <v>73941.840111695245</v>
      </c>
      <c r="K111" s="7">
        <f t="shared" ref="K111:L111" si="107">K101</f>
        <v>0</v>
      </c>
      <c r="L111" s="7">
        <f t="shared" si="107"/>
        <v>0</v>
      </c>
      <c r="M111" s="7">
        <f t="shared" ref="M111:M116" si="108">SUM(K111:L111)</f>
        <v>0</v>
      </c>
      <c r="N111" s="112" t="s">
        <v>147</v>
      </c>
      <c r="O111" s="7">
        <f>SUM(N111)</f>
        <v>0</v>
      </c>
      <c r="P111" s="31"/>
      <c r="U111" s="2"/>
      <c r="Y111" s="1"/>
    </row>
    <row r="112" spans="2:25" ht="18" customHeight="1">
      <c r="B112" s="32" t="s">
        <v>144</v>
      </c>
      <c r="C112" s="32"/>
      <c r="D112" s="108">
        <f>IFERROR(D111/$D$111,"")</f>
        <v>1</v>
      </c>
      <c r="E112" s="109">
        <f t="shared" ref="E112:F112" si="109">IFERROR(E111/$D$111,"")</f>
        <v>0.99553409287862182</v>
      </c>
      <c r="F112" s="110">
        <f t="shared" si="109"/>
        <v>0</v>
      </c>
      <c r="G112" s="110">
        <f t="shared" ref="G112:G116" si="110">SUM(E112:F112)</f>
        <v>0.99553409287862182</v>
      </c>
      <c r="H112" s="110">
        <f t="shared" ref="H112:I112" si="111">IFERROR(H111/$D$111,"")</f>
        <v>4.4659071213781687E-3</v>
      </c>
      <c r="I112" s="110">
        <f t="shared" si="111"/>
        <v>0</v>
      </c>
      <c r="J112" s="110">
        <f t="shared" si="106"/>
        <v>4.4659071213781687E-3</v>
      </c>
      <c r="K112" s="110">
        <f t="shared" ref="K112:L112" si="112">IFERROR(K111/$D$111,"")</f>
        <v>0</v>
      </c>
      <c r="L112" s="110">
        <f t="shared" si="112"/>
        <v>0</v>
      </c>
      <c r="M112" s="110">
        <f t="shared" si="108"/>
        <v>0</v>
      </c>
      <c r="N112" s="113" t="s">
        <v>146</v>
      </c>
      <c r="O112" s="110">
        <f>SUM(N112)</f>
        <v>0</v>
      </c>
      <c r="P112" s="32"/>
      <c r="U112" s="2"/>
      <c r="Y112" s="1"/>
    </row>
    <row r="113" spans="2:25" ht="18" customHeight="1">
      <c r="B113" s="31" t="s">
        <v>157</v>
      </c>
      <c r="C113" s="31"/>
      <c r="D113" s="105">
        <f>SUM(G113,J113,M113)</f>
        <v>8</v>
      </c>
      <c r="E113" s="106">
        <f>E103</f>
        <v>8</v>
      </c>
      <c r="F113" s="107">
        <f>F103</f>
        <v>0</v>
      </c>
      <c r="G113" s="107">
        <f t="shared" si="110"/>
        <v>8</v>
      </c>
      <c r="H113" s="107">
        <f t="shared" ref="H113:I113" si="113">H103</f>
        <v>0</v>
      </c>
      <c r="I113" s="107">
        <f t="shared" si="113"/>
        <v>0</v>
      </c>
      <c r="J113" s="107">
        <f t="shared" si="106"/>
        <v>0</v>
      </c>
      <c r="K113" s="107">
        <f t="shared" ref="K113:L113" si="114">K103</f>
        <v>0</v>
      </c>
      <c r="L113" s="107">
        <f t="shared" si="114"/>
        <v>0</v>
      </c>
      <c r="M113" s="107">
        <f t="shared" si="108"/>
        <v>0</v>
      </c>
      <c r="N113" s="114" t="s">
        <v>146</v>
      </c>
      <c r="O113" s="107">
        <f t="shared" ref="O113:O116" si="115">SUM(N113)</f>
        <v>0</v>
      </c>
      <c r="P113" s="31"/>
      <c r="U113" s="2"/>
      <c r="Y113" s="1"/>
    </row>
    <row r="114" spans="2:25" ht="18" customHeight="1">
      <c r="B114" s="32" t="s">
        <v>145</v>
      </c>
      <c r="C114" s="32"/>
      <c r="D114" s="108">
        <f>IFERROR(D113/$D$113,"")</f>
        <v>1</v>
      </c>
      <c r="E114" s="109">
        <f t="shared" ref="E114:F114" si="116">IFERROR(E113/$D$113,"")</f>
        <v>1</v>
      </c>
      <c r="F114" s="110">
        <f t="shared" si="116"/>
        <v>0</v>
      </c>
      <c r="G114" s="110">
        <f t="shared" si="110"/>
        <v>1</v>
      </c>
      <c r="H114" s="110">
        <f t="shared" ref="H114:I114" si="117">IFERROR(H113/$D$113,"")</f>
        <v>0</v>
      </c>
      <c r="I114" s="110">
        <f t="shared" si="117"/>
        <v>0</v>
      </c>
      <c r="J114" s="110">
        <f t="shared" si="106"/>
        <v>0</v>
      </c>
      <c r="K114" s="110">
        <f t="shared" ref="K114:L114" si="118">IFERROR(K113/$D$113,"")</f>
        <v>0</v>
      </c>
      <c r="L114" s="110">
        <f t="shared" si="118"/>
        <v>0</v>
      </c>
      <c r="M114" s="110">
        <f t="shared" si="108"/>
        <v>0</v>
      </c>
      <c r="N114" s="113" t="s">
        <v>146</v>
      </c>
      <c r="O114" s="110">
        <f t="shared" si="115"/>
        <v>0</v>
      </c>
      <c r="P114" s="32"/>
      <c r="U114" s="2"/>
      <c r="Y114" s="1"/>
    </row>
    <row r="115" spans="2:25" ht="18" customHeight="1">
      <c r="B115" s="31" t="s">
        <v>158</v>
      </c>
      <c r="C115" s="31"/>
      <c r="D115" s="105">
        <f>SUM(G115,J115,M115)</f>
        <v>0</v>
      </c>
      <c r="E115" s="106">
        <f>'#)참고자료'!$E$31</f>
        <v>0</v>
      </c>
      <c r="F115" s="107"/>
      <c r="G115" s="107">
        <f t="shared" si="110"/>
        <v>0</v>
      </c>
      <c r="H115" s="107">
        <f>'#)참고자료'!$E$33</f>
        <v>0</v>
      </c>
      <c r="I115" s="107">
        <f>'#)참고자료'!$E$34</f>
        <v>0</v>
      </c>
      <c r="J115" s="107">
        <f t="shared" si="106"/>
        <v>0</v>
      </c>
      <c r="K115" s="107">
        <f>'#)참고자료'!$E$35</f>
        <v>0</v>
      </c>
      <c r="L115" s="107">
        <f>'#)참고자료'!$E$36</f>
        <v>0</v>
      </c>
      <c r="M115" s="107">
        <f t="shared" si="108"/>
        <v>0</v>
      </c>
      <c r="N115" s="112" t="s">
        <v>146</v>
      </c>
      <c r="O115" s="7">
        <f t="shared" si="115"/>
        <v>0</v>
      </c>
      <c r="P115" s="31" t="s">
        <v>152</v>
      </c>
      <c r="U115" s="2"/>
      <c r="Y115" s="1"/>
    </row>
    <row r="116" spans="2:25" ht="18" customHeight="1" thickBot="1">
      <c r="B116" s="32" t="s">
        <v>143</v>
      </c>
      <c r="C116" s="32"/>
      <c r="D116" s="111" t="str">
        <f>IFERROR(D115/$D$115,"")</f>
        <v/>
      </c>
      <c r="E116" s="109" t="str">
        <f t="shared" ref="E116:F116" si="119">IFERROR(E115/$D$115,"")</f>
        <v/>
      </c>
      <c r="F116" s="110" t="str">
        <f t="shared" si="119"/>
        <v/>
      </c>
      <c r="G116" s="110">
        <f t="shared" si="110"/>
        <v>0</v>
      </c>
      <c r="H116" s="110" t="str">
        <f t="shared" ref="H116:I116" si="120">IFERROR(H115/$D$115,"")</f>
        <v/>
      </c>
      <c r="I116" s="110" t="str">
        <f t="shared" si="120"/>
        <v/>
      </c>
      <c r="J116" s="110">
        <f t="shared" si="106"/>
        <v>0</v>
      </c>
      <c r="K116" s="110" t="str">
        <f t="shared" ref="K116:L116" si="121">IFERROR(K115/$D$115,"")</f>
        <v/>
      </c>
      <c r="L116" s="110" t="str">
        <f t="shared" si="121"/>
        <v/>
      </c>
      <c r="M116" s="110">
        <f t="shared" si="108"/>
        <v>0</v>
      </c>
      <c r="N116" s="113" t="s">
        <v>146</v>
      </c>
      <c r="O116" s="110">
        <f t="shared" si="115"/>
        <v>0</v>
      </c>
      <c r="P116" s="32"/>
      <c r="U116" s="2"/>
      <c r="Y116" s="1"/>
    </row>
  </sheetData>
  <mergeCells count="35">
    <mergeCell ref="B109:C110"/>
    <mergeCell ref="D109:D110"/>
    <mergeCell ref="E109:G109"/>
    <mergeCell ref="H109:J109"/>
    <mergeCell ref="K109:M109"/>
    <mergeCell ref="N109:O109"/>
    <mergeCell ref="P109:P110"/>
    <mergeCell ref="R28:S29"/>
    <mergeCell ref="U28:U29"/>
    <mergeCell ref="Y28:Y29"/>
    <mergeCell ref="V28:V29"/>
    <mergeCell ref="X28:X29"/>
    <mergeCell ref="T28:T29"/>
    <mergeCell ref="W28:W29"/>
    <mergeCell ref="N99:O99"/>
    <mergeCell ref="P99:P100"/>
    <mergeCell ref="N28:O28"/>
    <mergeCell ref="B99:C100"/>
    <mergeCell ref="D99:D100"/>
    <mergeCell ref="E99:G99"/>
    <mergeCell ref="H99:J99"/>
    <mergeCell ref="K99:M99"/>
    <mergeCell ref="D5:D6"/>
    <mergeCell ref="B5:C6"/>
    <mergeCell ref="P5:P6"/>
    <mergeCell ref="P28:P29"/>
    <mergeCell ref="E5:G5"/>
    <mergeCell ref="H5:J5"/>
    <mergeCell ref="K5:M5"/>
    <mergeCell ref="N5:O5"/>
    <mergeCell ref="B28:C29"/>
    <mergeCell ref="D28:D29"/>
    <mergeCell ref="E28:G28"/>
    <mergeCell ref="H28:J28"/>
    <mergeCell ref="K28:M28"/>
  </mergeCells>
  <phoneticPr fontId="3" type="noConversion"/>
  <pageMargins left="0.39370078740157483" right="0.39370078740157483" top="0.59055118110236227" bottom="0.59055118110236227" header="0.31496062992125984" footer="0.31496062992125984"/>
  <pageSetup paperSize="9" scale="8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U116"/>
  <sheetViews>
    <sheetView showGridLines="0" zoomScale="85" zoomScaleNormal="85" zoomScaleSheetLayoutView="55" workbookViewId="0">
      <selection activeCell="P14" sqref="P14"/>
    </sheetView>
  </sheetViews>
  <sheetFormatPr baseColWidth="10" defaultColWidth="9" defaultRowHeight="13"/>
  <cols>
    <col min="1" max="1" width="1.6640625" style="1" customWidth="1"/>
    <col min="2" max="2" width="2.33203125" style="1" customWidth="1"/>
    <col min="3" max="3" width="9" style="1"/>
    <col min="4" max="15" width="8.1640625" style="1" customWidth="1"/>
    <col min="16" max="16" width="39.1640625" style="1" customWidth="1"/>
    <col min="17" max="17" width="1.6640625" style="1" customWidth="1"/>
    <col min="18" max="20" width="9" style="1"/>
    <col min="21" max="21" width="9" style="2"/>
    <col min="22" max="16384" width="9" style="1"/>
  </cols>
  <sheetData>
    <row r="3" spans="1:21" s="3" customFormat="1" ht="14">
      <c r="A3" s="3" t="s">
        <v>92</v>
      </c>
      <c r="U3" s="96"/>
    </row>
    <row r="4" spans="1:21" ht="14" thickBot="1">
      <c r="P4" s="41" t="s">
        <v>96</v>
      </c>
    </row>
    <row r="5" spans="1:21" ht="18" customHeight="1">
      <c r="B5" s="299" t="s">
        <v>27</v>
      </c>
      <c r="C5" s="300"/>
      <c r="D5" s="301" t="s">
        <v>39</v>
      </c>
      <c r="E5" s="305" t="s">
        <v>29</v>
      </c>
      <c r="F5" s="299"/>
      <c r="G5" s="299"/>
      <c r="H5" s="299" t="s">
        <v>33</v>
      </c>
      <c r="I5" s="299"/>
      <c r="J5" s="299"/>
      <c r="K5" s="299" t="s">
        <v>34</v>
      </c>
      <c r="L5" s="299"/>
      <c r="M5" s="299"/>
      <c r="N5" s="299" t="s">
        <v>36</v>
      </c>
      <c r="O5" s="299"/>
      <c r="P5" s="306" t="s">
        <v>91</v>
      </c>
    </row>
    <row r="6" spans="1:21" ht="18" customHeight="1">
      <c r="B6" s="299"/>
      <c r="C6" s="300"/>
      <c r="D6" s="302"/>
      <c r="E6" s="33" t="s">
        <v>31</v>
      </c>
      <c r="F6" s="8" t="s">
        <v>148</v>
      </c>
      <c r="G6" s="8" t="s">
        <v>32</v>
      </c>
      <c r="H6" s="8" t="s">
        <v>98</v>
      </c>
      <c r="I6" s="8" t="s">
        <v>150</v>
      </c>
      <c r="J6" s="8" t="s">
        <v>32</v>
      </c>
      <c r="K6" s="8" t="s">
        <v>99</v>
      </c>
      <c r="L6" s="8" t="s">
        <v>150</v>
      </c>
      <c r="M6" s="8" t="s">
        <v>32</v>
      </c>
      <c r="N6" s="8" t="s">
        <v>38</v>
      </c>
      <c r="O6" s="8" t="s">
        <v>32</v>
      </c>
      <c r="P6" s="307"/>
    </row>
    <row r="7" spans="1:21" ht="31" customHeight="1">
      <c r="B7" s="10" t="s">
        <v>0</v>
      </c>
      <c r="C7" s="30"/>
      <c r="D7" s="42">
        <f>SUM(G7,J7,M7,O7)</f>
        <v>16858638.777252171</v>
      </c>
      <c r="E7" s="43">
        <f>'3)직접비'!E7</f>
        <v>16483016.937140476</v>
      </c>
      <c r="F7" s="44">
        <f>'3)직접비'!F7</f>
        <v>0</v>
      </c>
      <c r="G7" s="44">
        <f>SUM(E7:F7)</f>
        <v>16483016.937140476</v>
      </c>
      <c r="H7" s="44">
        <f>'3)직접비'!H7</f>
        <v>73941.840111695245</v>
      </c>
      <c r="I7" s="44">
        <f>'3)직접비'!I7</f>
        <v>0</v>
      </c>
      <c r="J7" s="44">
        <f>SUM(H7:I7)</f>
        <v>73941.840111695245</v>
      </c>
      <c r="K7" s="44">
        <f>'3)직접비'!K7</f>
        <v>0</v>
      </c>
      <c r="L7" s="44">
        <f>'3)직접비'!L7</f>
        <v>0</v>
      </c>
      <c r="M7" s="44">
        <f>SUM(K7:L7)</f>
        <v>0</v>
      </c>
      <c r="N7" s="44">
        <f>'3)직접비'!N7</f>
        <v>301680</v>
      </c>
      <c r="O7" s="44">
        <f>SUM(N7)</f>
        <v>301680</v>
      </c>
      <c r="P7" s="11"/>
    </row>
    <row r="8" spans="1:21" ht="31" customHeight="1">
      <c r="B8" s="9" t="s">
        <v>1</v>
      </c>
      <c r="C8" s="26"/>
      <c r="D8" s="45">
        <f>SUM(G8,J8,M8,O8)</f>
        <v>0</v>
      </c>
      <c r="E8" s="46">
        <f>SUM(E9:E20)</f>
        <v>0</v>
      </c>
      <c r="F8" s="47">
        <f>SUM(F9:F20)</f>
        <v>0</v>
      </c>
      <c r="G8" s="47">
        <f>SUM(E8:F8)</f>
        <v>0</v>
      </c>
      <c r="H8" s="47">
        <f>SUM(H9:H20)</f>
        <v>0</v>
      </c>
      <c r="I8" s="47">
        <f>SUM(I9:I20)</f>
        <v>0</v>
      </c>
      <c r="J8" s="47">
        <f>SUM(H8:I8)</f>
        <v>0</v>
      </c>
      <c r="K8" s="47">
        <f>SUM(K9:K20)</f>
        <v>0</v>
      </c>
      <c r="L8" s="47">
        <f>SUM(L9:L20)</f>
        <v>0</v>
      </c>
      <c r="M8" s="47">
        <f>SUM(K8:L8)</f>
        <v>0</v>
      </c>
      <c r="N8" s="47">
        <f>SUM(N9:N20)</f>
        <v>0</v>
      </c>
      <c r="O8" s="47">
        <f>SUM(N8)</f>
        <v>0</v>
      </c>
      <c r="P8" s="12"/>
    </row>
    <row r="9" spans="1:21" ht="31" customHeight="1">
      <c r="B9" s="4"/>
      <c r="C9" s="31" t="s">
        <v>40</v>
      </c>
      <c r="D9" s="48">
        <f t="shared" ref="D9:D22" si="0">SUM(G9,J9,M9,O9)</f>
        <v>0</v>
      </c>
      <c r="E9" s="49">
        <f>E35</f>
        <v>0</v>
      </c>
      <c r="F9" s="50">
        <f>F35</f>
        <v>0</v>
      </c>
      <c r="G9" s="50">
        <f t="shared" ref="G9:G20" si="1">SUM(E9:F9)</f>
        <v>0</v>
      </c>
      <c r="H9" s="50">
        <f t="shared" ref="H9:I10" si="2">H35</f>
        <v>0</v>
      </c>
      <c r="I9" s="50">
        <f t="shared" si="2"/>
        <v>0</v>
      </c>
      <c r="J9" s="50">
        <f t="shared" ref="J9:J20" si="3">SUM(H9:I9)</f>
        <v>0</v>
      </c>
      <c r="K9" s="50">
        <f t="shared" ref="K9:L10" si="4">K35</f>
        <v>0</v>
      </c>
      <c r="L9" s="50">
        <f t="shared" si="4"/>
        <v>0</v>
      </c>
      <c r="M9" s="50">
        <f t="shared" ref="M9:M20" si="5">SUM(K9:L9)</f>
        <v>0</v>
      </c>
      <c r="N9" s="50">
        <f>N35</f>
        <v>0</v>
      </c>
      <c r="O9" s="50">
        <f t="shared" ref="O9:O20" si="6">SUM(N9)</f>
        <v>0</v>
      </c>
      <c r="P9" s="13"/>
    </row>
    <row r="10" spans="1:21" ht="31" customHeight="1">
      <c r="B10" s="5"/>
      <c r="C10" s="1" t="s">
        <v>41</v>
      </c>
      <c r="D10" s="51">
        <f t="shared" si="0"/>
        <v>0</v>
      </c>
      <c r="E10" s="52">
        <f t="shared" ref="E10:F10" si="7">E36</f>
        <v>0</v>
      </c>
      <c r="F10" s="53">
        <f t="shared" si="7"/>
        <v>0</v>
      </c>
      <c r="G10" s="53">
        <f t="shared" si="1"/>
        <v>0</v>
      </c>
      <c r="H10" s="53">
        <f t="shared" si="2"/>
        <v>0</v>
      </c>
      <c r="I10" s="53">
        <f t="shared" si="2"/>
        <v>0</v>
      </c>
      <c r="J10" s="53">
        <f t="shared" si="3"/>
        <v>0</v>
      </c>
      <c r="K10" s="53">
        <f t="shared" si="4"/>
        <v>0</v>
      </c>
      <c r="L10" s="53">
        <f t="shared" si="4"/>
        <v>0</v>
      </c>
      <c r="M10" s="53">
        <f t="shared" si="5"/>
        <v>0</v>
      </c>
      <c r="N10" s="53">
        <f t="shared" ref="N10" si="8">N36</f>
        <v>0</v>
      </c>
      <c r="O10" s="53">
        <f t="shared" si="6"/>
        <v>0</v>
      </c>
      <c r="P10" s="14"/>
    </row>
    <row r="11" spans="1:21" ht="31" customHeight="1">
      <c r="B11" s="5"/>
      <c r="C11" s="1" t="s">
        <v>2</v>
      </c>
      <c r="D11" s="51">
        <f t="shared" si="0"/>
        <v>0</v>
      </c>
      <c r="E11" s="52">
        <f>E41</f>
        <v>0</v>
      </c>
      <c r="F11" s="53">
        <f>F41</f>
        <v>0</v>
      </c>
      <c r="G11" s="53">
        <f t="shared" si="1"/>
        <v>0</v>
      </c>
      <c r="H11" s="53">
        <f t="shared" ref="H11:I11" si="9">H41</f>
        <v>0</v>
      </c>
      <c r="I11" s="53">
        <f t="shared" si="9"/>
        <v>0</v>
      </c>
      <c r="J11" s="53">
        <f t="shared" si="3"/>
        <v>0</v>
      </c>
      <c r="K11" s="53">
        <f t="shared" ref="K11:L11" si="10">K41</f>
        <v>0</v>
      </c>
      <c r="L11" s="53">
        <f t="shared" si="10"/>
        <v>0</v>
      </c>
      <c r="M11" s="53">
        <f t="shared" si="5"/>
        <v>0</v>
      </c>
      <c r="N11" s="53">
        <f>N41</f>
        <v>0</v>
      </c>
      <c r="O11" s="53">
        <f t="shared" si="6"/>
        <v>0</v>
      </c>
      <c r="P11" s="14"/>
    </row>
    <row r="12" spans="1:21" ht="31" customHeight="1">
      <c r="B12" s="5"/>
      <c r="C12" s="1" t="s">
        <v>6</v>
      </c>
      <c r="D12" s="51">
        <f t="shared" si="0"/>
        <v>0</v>
      </c>
      <c r="E12" s="52">
        <f>E52</f>
        <v>0</v>
      </c>
      <c r="F12" s="53">
        <f>F52</f>
        <v>0</v>
      </c>
      <c r="G12" s="53">
        <f t="shared" si="1"/>
        <v>0</v>
      </c>
      <c r="H12" s="53">
        <f t="shared" ref="H12:I12" si="11">H52</f>
        <v>0</v>
      </c>
      <c r="I12" s="53">
        <f t="shared" si="11"/>
        <v>0</v>
      </c>
      <c r="J12" s="53">
        <f t="shared" si="3"/>
        <v>0</v>
      </c>
      <c r="K12" s="53">
        <f t="shared" ref="K12:L12" si="12">K52</f>
        <v>0</v>
      </c>
      <c r="L12" s="53">
        <f t="shared" si="12"/>
        <v>0</v>
      </c>
      <c r="M12" s="53">
        <f t="shared" si="5"/>
        <v>0</v>
      </c>
      <c r="N12" s="53">
        <f>N52</f>
        <v>0</v>
      </c>
      <c r="O12" s="53">
        <f t="shared" si="6"/>
        <v>0</v>
      </c>
      <c r="P12" s="14"/>
    </row>
    <row r="13" spans="1:21" ht="31" customHeight="1">
      <c r="B13" s="5"/>
      <c r="C13" s="1" t="s">
        <v>3</v>
      </c>
      <c r="D13" s="51">
        <f t="shared" si="0"/>
        <v>0</v>
      </c>
      <c r="E13" s="52">
        <f>E58</f>
        <v>0</v>
      </c>
      <c r="F13" s="53">
        <f>F58</f>
        <v>0</v>
      </c>
      <c r="G13" s="53">
        <f t="shared" si="1"/>
        <v>0</v>
      </c>
      <c r="H13" s="53">
        <f t="shared" ref="H13:I14" si="13">H58</f>
        <v>0</v>
      </c>
      <c r="I13" s="53">
        <f t="shared" si="13"/>
        <v>0</v>
      </c>
      <c r="J13" s="53">
        <f t="shared" si="3"/>
        <v>0</v>
      </c>
      <c r="K13" s="53">
        <f t="shared" ref="K13:L14" si="14">K58</f>
        <v>0</v>
      </c>
      <c r="L13" s="53">
        <f t="shared" si="14"/>
        <v>0</v>
      </c>
      <c r="M13" s="53">
        <f t="shared" si="5"/>
        <v>0</v>
      </c>
      <c r="N13" s="53">
        <f>N58</f>
        <v>0</v>
      </c>
      <c r="O13" s="53">
        <f t="shared" si="6"/>
        <v>0</v>
      </c>
      <c r="P13" s="14"/>
    </row>
    <row r="14" spans="1:21" ht="31" customHeight="1">
      <c r="B14" s="5"/>
      <c r="C14" s="1" t="s">
        <v>4</v>
      </c>
      <c r="D14" s="51">
        <f t="shared" si="0"/>
        <v>0</v>
      </c>
      <c r="E14" s="52">
        <f>E59</f>
        <v>0</v>
      </c>
      <c r="F14" s="53">
        <f>F59</f>
        <v>0</v>
      </c>
      <c r="G14" s="53">
        <f t="shared" si="1"/>
        <v>0</v>
      </c>
      <c r="H14" s="53">
        <f t="shared" si="13"/>
        <v>0</v>
      </c>
      <c r="I14" s="53">
        <f t="shared" si="13"/>
        <v>0</v>
      </c>
      <c r="J14" s="53">
        <f t="shared" si="3"/>
        <v>0</v>
      </c>
      <c r="K14" s="53">
        <f t="shared" si="14"/>
        <v>0</v>
      </c>
      <c r="L14" s="53">
        <f t="shared" si="14"/>
        <v>0</v>
      </c>
      <c r="M14" s="53">
        <f t="shared" si="5"/>
        <v>0</v>
      </c>
      <c r="N14" s="53" t="str">
        <f>N59</f>
        <v/>
      </c>
      <c r="O14" s="53">
        <f t="shared" si="6"/>
        <v>0</v>
      </c>
      <c r="P14" s="14"/>
    </row>
    <row r="15" spans="1:21" ht="31" customHeight="1">
      <c r="B15" s="5"/>
      <c r="C15" s="1" t="s">
        <v>5</v>
      </c>
      <c r="D15" s="51">
        <f t="shared" si="0"/>
        <v>0</v>
      </c>
      <c r="E15" s="52">
        <f>E64</f>
        <v>0</v>
      </c>
      <c r="F15" s="53">
        <f>F64</f>
        <v>0</v>
      </c>
      <c r="G15" s="53">
        <f t="shared" si="1"/>
        <v>0</v>
      </c>
      <c r="H15" s="53">
        <f t="shared" ref="H15:I16" si="15">H64</f>
        <v>0</v>
      </c>
      <c r="I15" s="53">
        <f t="shared" si="15"/>
        <v>0</v>
      </c>
      <c r="J15" s="53">
        <f t="shared" si="3"/>
        <v>0</v>
      </c>
      <c r="K15" s="53">
        <f t="shared" ref="K15:L16" si="16">K64</f>
        <v>0</v>
      </c>
      <c r="L15" s="53">
        <f t="shared" si="16"/>
        <v>0</v>
      </c>
      <c r="M15" s="53">
        <f t="shared" si="5"/>
        <v>0</v>
      </c>
      <c r="N15" s="53">
        <f>N64</f>
        <v>0</v>
      </c>
      <c r="O15" s="53">
        <f t="shared" si="6"/>
        <v>0</v>
      </c>
      <c r="P15" s="14"/>
    </row>
    <row r="16" spans="1:21" ht="31" customHeight="1">
      <c r="B16" s="5"/>
      <c r="C16" s="1" t="s">
        <v>7</v>
      </c>
      <c r="D16" s="51">
        <f t="shared" si="0"/>
        <v>0</v>
      </c>
      <c r="E16" s="52">
        <f>E65</f>
        <v>0</v>
      </c>
      <c r="F16" s="53">
        <f>F65</f>
        <v>0</v>
      </c>
      <c r="G16" s="53">
        <f t="shared" si="1"/>
        <v>0</v>
      </c>
      <c r="H16" s="53">
        <f t="shared" si="15"/>
        <v>0</v>
      </c>
      <c r="I16" s="53">
        <f t="shared" si="15"/>
        <v>0</v>
      </c>
      <c r="J16" s="53">
        <f t="shared" si="3"/>
        <v>0</v>
      </c>
      <c r="K16" s="53">
        <f t="shared" si="16"/>
        <v>0</v>
      </c>
      <c r="L16" s="53">
        <f t="shared" si="16"/>
        <v>0</v>
      </c>
      <c r="M16" s="53">
        <f t="shared" si="5"/>
        <v>0</v>
      </c>
      <c r="N16" s="53" t="str">
        <f>N65</f>
        <v/>
      </c>
      <c r="O16" s="53">
        <f t="shared" si="6"/>
        <v>0</v>
      </c>
      <c r="P16" s="14"/>
    </row>
    <row r="17" spans="1:21" ht="31" customHeight="1">
      <c r="B17" s="5"/>
      <c r="C17" s="1" t="s">
        <v>8</v>
      </c>
      <c r="D17" s="51">
        <f t="shared" si="0"/>
        <v>0</v>
      </c>
      <c r="E17" s="52">
        <f>E70</f>
        <v>0</v>
      </c>
      <c r="F17" s="53">
        <f>F70</f>
        <v>0</v>
      </c>
      <c r="G17" s="53">
        <f t="shared" si="1"/>
        <v>0</v>
      </c>
      <c r="H17" s="53">
        <f t="shared" ref="H17:I17" si="17">H70</f>
        <v>0</v>
      </c>
      <c r="I17" s="53">
        <f t="shared" si="17"/>
        <v>0</v>
      </c>
      <c r="J17" s="53">
        <f t="shared" si="3"/>
        <v>0</v>
      </c>
      <c r="K17" s="53">
        <f t="shared" ref="K17:L17" si="18">K70</f>
        <v>0</v>
      </c>
      <c r="L17" s="53">
        <f t="shared" si="18"/>
        <v>0</v>
      </c>
      <c r="M17" s="53">
        <f t="shared" si="5"/>
        <v>0</v>
      </c>
      <c r="N17" s="53">
        <f>N70</f>
        <v>0</v>
      </c>
      <c r="O17" s="53">
        <f t="shared" si="6"/>
        <v>0</v>
      </c>
      <c r="P17" s="14"/>
    </row>
    <row r="18" spans="1:21" ht="31" customHeight="1">
      <c r="B18" s="5"/>
      <c r="C18" s="1" t="s">
        <v>9</v>
      </c>
      <c r="D18" s="51">
        <f t="shared" si="0"/>
        <v>0</v>
      </c>
      <c r="E18" s="52">
        <f>E79</f>
        <v>0</v>
      </c>
      <c r="F18" s="53">
        <f>F79</f>
        <v>0</v>
      </c>
      <c r="G18" s="53">
        <f t="shared" si="1"/>
        <v>0</v>
      </c>
      <c r="H18" s="53">
        <f t="shared" ref="H18:I18" si="19">H79</f>
        <v>0</v>
      </c>
      <c r="I18" s="53">
        <f t="shared" si="19"/>
        <v>0</v>
      </c>
      <c r="J18" s="53">
        <f t="shared" si="3"/>
        <v>0</v>
      </c>
      <c r="K18" s="53">
        <f t="shared" ref="K18:L18" si="20">K79</f>
        <v>0</v>
      </c>
      <c r="L18" s="53">
        <f t="shared" si="20"/>
        <v>0</v>
      </c>
      <c r="M18" s="53">
        <f t="shared" si="5"/>
        <v>0</v>
      </c>
      <c r="N18" s="53">
        <f>N79</f>
        <v>0</v>
      </c>
      <c r="O18" s="53">
        <f t="shared" si="6"/>
        <v>0</v>
      </c>
      <c r="P18" s="14"/>
    </row>
    <row r="19" spans="1:21" ht="31" customHeight="1">
      <c r="B19" s="5"/>
      <c r="C19" s="1" t="s">
        <v>10</v>
      </c>
      <c r="D19" s="51">
        <f t="shared" si="0"/>
        <v>0</v>
      </c>
      <c r="E19" s="52">
        <f>E82</f>
        <v>0</v>
      </c>
      <c r="F19" s="53">
        <f>F82</f>
        <v>0</v>
      </c>
      <c r="G19" s="53">
        <f t="shared" si="1"/>
        <v>0</v>
      </c>
      <c r="H19" s="53">
        <f t="shared" ref="H19:I19" si="21">H82</f>
        <v>0</v>
      </c>
      <c r="I19" s="53">
        <f t="shared" si="21"/>
        <v>0</v>
      </c>
      <c r="J19" s="53">
        <f t="shared" si="3"/>
        <v>0</v>
      </c>
      <c r="K19" s="53">
        <f t="shared" ref="K19:L19" si="22">K82</f>
        <v>0</v>
      </c>
      <c r="L19" s="53">
        <f t="shared" si="22"/>
        <v>0</v>
      </c>
      <c r="M19" s="53">
        <f t="shared" si="5"/>
        <v>0</v>
      </c>
      <c r="N19" s="53">
        <f>N82</f>
        <v>0</v>
      </c>
      <c r="O19" s="53">
        <f t="shared" si="6"/>
        <v>0</v>
      </c>
      <c r="P19" s="14"/>
    </row>
    <row r="20" spans="1:21" ht="31" customHeight="1">
      <c r="B20" s="6"/>
      <c r="C20" s="32" t="s">
        <v>11</v>
      </c>
      <c r="D20" s="54">
        <f t="shared" si="0"/>
        <v>0</v>
      </c>
      <c r="E20" s="55">
        <f>E92</f>
        <v>0</v>
      </c>
      <c r="F20" s="56">
        <f>F92</f>
        <v>0</v>
      </c>
      <c r="G20" s="56">
        <f t="shared" si="1"/>
        <v>0</v>
      </c>
      <c r="H20" s="56">
        <f t="shared" ref="H20:I20" si="23">H92</f>
        <v>0</v>
      </c>
      <c r="I20" s="56">
        <f t="shared" si="23"/>
        <v>0</v>
      </c>
      <c r="J20" s="56">
        <f t="shared" si="3"/>
        <v>0</v>
      </c>
      <c r="K20" s="56">
        <f t="shared" ref="K20:L20" si="24">K92</f>
        <v>0</v>
      </c>
      <c r="L20" s="56">
        <f t="shared" si="24"/>
        <v>0</v>
      </c>
      <c r="M20" s="56">
        <f t="shared" si="5"/>
        <v>0</v>
      </c>
      <c r="N20" s="56">
        <f>N92</f>
        <v>0</v>
      </c>
      <c r="O20" s="56">
        <f t="shared" si="6"/>
        <v>0</v>
      </c>
      <c r="P20" s="15"/>
    </row>
    <row r="21" spans="1:21" ht="31" customHeight="1">
      <c r="B21" s="9" t="s">
        <v>94</v>
      </c>
      <c r="C21" s="26"/>
      <c r="D21" s="45">
        <f t="shared" si="0"/>
        <v>16858638.777252171</v>
      </c>
      <c r="E21" s="46">
        <f>E7-E8</f>
        <v>16483016.937140476</v>
      </c>
      <c r="F21" s="47">
        <f>F7-F8</f>
        <v>0</v>
      </c>
      <c r="G21" s="47">
        <f t="shared" ref="G21:G22" si="25">SUM(E21:F21)</f>
        <v>16483016.937140476</v>
      </c>
      <c r="H21" s="47">
        <f>H7-H8</f>
        <v>73941.840111695245</v>
      </c>
      <c r="I21" s="47">
        <f>I7-I8</f>
        <v>0</v>
      </c>
      <c r="J21" s="47">
        <f t="shared" ref="J21:J22" si="26">SUM(H21:I21)</f>
        <v>73941.840111695245</v>
      </c>
      <c r="K21" s="47">
        <f>K7-K8</f>
        <v>0</v>
      </c>
      <c r="L21" s="47">
        <f>L7-L8</f>
        <v>0</v>
      </c>
      <c r="M21" s="47">
        <f t="shared" ref="M21:M22" si="27">SUM(K21:L21)</f>
        <v>0</v>
      </c>
      <c r="N21" s="47">
        <f>N7-N8</f>
        <v>301680</v>
      </c>
      <c r="O21" s="47">
        <f t="shared" ref="O21:O22" si="28">SUM(N21)</f>
        <v>301680</v>
      </c>
      <c r="P21" s="12"/>
    </row>
    <row r="22" spans="1:21" ht="31" customHeight="1" thickBot="1">
      <c r="B22" s="40" t="s">
        <v>95</v>
      </c>
      <c r="C22" s="26"/>
      <c r="D22" s="57">
        <f t="shared" si="0"/>
        <v>16858638.777252171</v>
      </c>
      <c r="E22" s="46">
        <f>E21+E19</f>
        <v>16483016.937140476</v>
      </c>
      <c r="F22" s="47">
        <f>F21+F19</f>
        <v>0</v>
      </c>
      <c r="G22" s="47">
        <f t="shared" si="25"/>
        <v>16483016.937140476</v>
      </c>
      <c r="H22" s="47">
        <f t="shared" ref="H22:I22" si="29">H21+H19</f>
        <v>73941.840111695245</v>
      </c>
      <c r="I22" s="47">
        <f t="shared" si="29"/>
        <v>0</v>
      </c>
      <c r="J22" s="47">
        <f t="shared" si="26"/>
        <v>73941.840111695245</v>
      </c>
      <c r="K22" s="47">
        <f t="shared" ref="K22:L22" si="30">K21+K19</f>
        <v>0</v>
      </c>
      <c r="L22" s="47">
        <f t="shared" si="30"/>
        <v>0</v>
      </c>
      <c r="M22" s="47">
        <f t="shared" si="27"/>
        <v>0</v>
      </c>
      <c r="N22" s="47">
        <f>N21+N19</f>
        <v>301680</v>
      </c>
      <c r="O22" s="47">
        <f t="shared" si="28"/>
        <v>301680</v>
      </c>
      <c r="P22" s="12"/>
    </row>
    <row r="26" spans="1:21" s="3" customFormat="1" ht="14">
      <c r="A26" s="3" t="s">
        <v>93</v>
      </c>
      <c r="Q26" s="3" t="s">
        <v>141</v>
      </c>
      <c r="U26" s="96"/>
    </row>
    <row r="27" spans="1:21" ht="14" thickBot="1"/>
    <row r="28" spans="1:21" ht="18" customHeight="1">
      <c r="B28" s="299" t="s">
        <v>27</v>
      </c>
      <c r="C28" s="300"/>
      <c r="D28" s="301" t="s">
        <v>39</v>
      </c>
      <c r="E28" s="305" t="s">
        <v>29</v>
      </c>
      <c r="F28" s="299"/>
      <c r="G28" s="299"/>
      <c r="H28" s="299" t="s">
        <v>33</v>
      </c>
      <c r="I28" s="299"/>
      <c r="J28" s="299"/>
      <c r="K28" s="299" t="s">
        <v>34</v>
      </c>
      <c r="L28" s="299"/>
      <c r="M28" s="299"/>
      <c r="N28" s="299" t="s">
        <v>36</v>
      </c>
      <c r="O28" s="299"/>
      <c r="P28" s="306" t="s">
        <v>91</v>
      </c>
      <c r="R28" s="299" t="s">
        <v>27</v>
      </c>
      <c r="S28" s="300"/>
      <c r="T28" s="301" t="s">
        <v>135</v>
      </c>
      <c r="U28" s="314" t="s">
        <v>118</v>
      </c>
    </row>
    <row r="29" spans="1:21" ht="18" customHeight="1">
      <c r="B29" s="299"/>
      <c r="C29" s="300"/>
      <c r="D29" s="302"/>
      <c r="E29" s="33" t="s">
        <v>31</v>
      </c>
      <c r="F29" s="8" t="s">
        <v>148</v>
      </c>
      <c r="G29" s="8" t="s">
        <v>32</v>
      </c>
      <c r="H29" s="8" t="s">
        <v>98</v>
      </c>
      <c r="I29" s="8" t="s">
        <v>150</v>
      </c>
      <c r="J29" s="8" t="s">
        <v>32</v>
      </c>
      <c r="K29" s="8" t="s">
        <v>99</v>
      </c>
      <c r="L29" s="8" t="s">
        <v>150</v>
      </c>
      <c r="M29" s="8" t="s">
        <v>32</v>
      </c>
      <c r="N29" s="8" t="s">
        <v>38</v>
      </c>
      <c r="O29" s="8" t="s">
        <v>32</v>
      </c>
      <c r="P29" s="307"/>
      <c r="R29" s="299"/>
      <c r="S29" s="300"/>
      <c r="T29" s="302"/>
      <c r="U29" s="314"/>
    </row>
    <row r="30" spans="1:21" ht="18" customHeight="1">
      <c r="B30" s="4" t="s">
        <v>12</v>
      </c>
      <c r="C30" s="31"/>
      <c r="D30" s="48">
        <f t="shared" ref="D30:D93" si="31">SUM(G30,J30,M30,O30)</f>
        <v>0</v>
      </c>
      <c r="E30" s="49">
        <f>IFERROR('3)직접비'!E30+$T30*E$112,"")</f>
        <v>0</v>
      </c>
      <c r="F30" s="49">
        <f>IFERROR('3)직접비'!F30+$T30*F$112,"")</f>
        <v>0</v>
      </c>
      <c r="G30" s="49">
        <f t="shared" ref="G30:G93" si="32">SUM(E30:F30)</f>
        <v>0</v>
      </c>
      <c r="H30" s="49">
        <f>IFERROR('3)직접비'!H30+$T30*H$112,"")</f>
        <v>0</v>
      </c>
      <c r="I30" s="49">
        <f>IFERROR('3)직접비'!I30+$T30*I$112,"")</f>
        <v>0</v>
      </c>
      <c r="J30" s="49">
        <f t="shared" ref="J30:J93" si="33">SUM(H30:I30)</f>
        <v>0</v>
      </c>
      <c r="K30" s="49">
        <f>IFERROR('3)직접비'!K30+$T30*K$112,"")</f>
        <v>0</v>
      </c>
      <c r="L30" s="49">
        <f>IFERROR('3)직접비'!L30+$T30*L$112,"")</f>
        <v>0</v>
      </c>
      <c r="M30" s="49">
        <f t="shared" ref="M30:M93" si="34">SUM(K30:L30)</f>
        <v>0</v>
      </c>
      <c r="N30" s="49" t="str">
        <f>IFERROR('3)직접비'!N30+$T30*N$112,"")</f>
        <v/>
      </c>
      <c r="O30" s="49">
        <f t="shared" ref="O30:O93" si="35">SUM(N30)</f>
        <v>0</v>
      </c>
      <c r="P30" s="13"/>
      <c r="R30" s="4" t="s">
        <v>12</v>
      </c>
      <c r="S30" s="31"/>
      <c r="T30" s="48"/>
      <c r="U30" s="97" t="s">
        <v>137</v>
      </c>
    </row>
    <row r="31" spans="1:21" ht="18" customHeight="1">
      <c r="B31" s="5" t="s">
        <v>13</v>
      </c>
      <c r="D31" s="51">
        <f t="shared" si="31"/>
        <v>0</v>
      </c>
      <c r="E31" s="52">
        <f>IFERROR('3)직접비'!E31+$T31*E$112,"")</f>
        <v>0</v>
      </c>
      <c r="F31" s="52">
        <f>IFERROR('3)직접비'!F31+$T31*F$112,"")</f>
        <v>0</v>
      </c>
      <c r="G31" s="52">
        <f t="shared" ref="G31:G34" si="36">SUM(E31:F31)</f>
        <v>0</v>
      </c>
      <c r="H31" s="52">
        <f>IFERROR('3)직접비'!H31+$T31*H$112,"")</f>
        <v>0</v>
      </c>
      <c r="I31" s="52">
        <f>IFERROR('3)직접비'!I31+$T31*I$112,"")</f>
        <v>0</v>
      </c>
      <c r="J31" s="52">
        <f t="shared" ref="J31:J34" si="37">SUM(H31:I31)</f>
        <v>0</v>
      </c>
      <c r="K31" s="52">
        <f>IFERROR('3)직접비'!K31+$T31*K$112,"")</f>
        <v>0</v>
      </c>
      <c r="L31" s="52">
        <f>IFERROR('3)직접비'!L31+$T31*L$112,"")</f>
        <v>0</v>
      </c>
      <c r="M31" s="52">
        <f t="shared" ref="M31:M34" si="38">SUM(K31:L31)</f>
        <v>0</v>
      </c>
      <c r="N31" s="52" t="str">
        <f>IFERROR('3)직접비'!N31+$T31*N$112,"")</f>
        <v/>
      </c>
      <c r="O31" s="52">
        <f t="shared" si="35"/>
        <v>0</v>
      </c>
      <c r="P31" s="14"/>
      <c r="R31" s="5" t="s">
        <v>13</v>
      </c>
      <c r="T31" s="51"/>
      <c r="U31" s="98" t="s">
        <v>136</v>
      </c>
    </row>
    <row r="32" spans="1:21" ht="18" customHeight="1">
      <c r="B32" s="5" t="s">
        <v>14</v>
      </c>
      <c r="D32" s="51">
        <f t="shared" si="31"/>
        <v>0</v>
      </c>
      <c r="E32" s="52">
        <f>IFERROR('3)직접비'!E32+$T32*E$112,"")</f>
        <v>0</v>
      </c>
      <c r="F32" s="52">
        <f>IFERROR('3)직접비'!F32+$T32*F$112,"")</f>
        <v>0</v>
      </c>
      <c r="G32" s="52">
        <f t="shared" si="36"/>
        <v>0</v>
      </c>
      <c r="H32" s="52">
        <f>IFERROR('3)직접비'!H32+$T32*H$112,"")</f>
        <v>0</v>
      </c>
      <c r="I32" s="52">
        <f>IFERROR('3)직접비'!I32+$T32*I$112,"")</f>
        <v>0</v>
      </c>
      <c r="J32" s="52">
        <f t="shared" si="37"/>
        <v>0</v>
      </c>
      <c r="K32" s="52">
        <f>IFERROR('3)직접비'!K32+$T32*K$112,"")</f>
        <v>0</v>
      </c>
      <c r="L32" s="52">
        <f>IFERROR('3)직접비'!L32+$T32*L$112,"")</f>
        <v>0</v>
      </c>
      <c r="M32" s="52">
        <f t="shared" si="38"/>
        <v>0</v>
      </c>
      <c r="N32" s="52" t="str">
        <f>IFERROR('3)직접비'!N32+$T32*N$112,"")</f>
        <v/>
      </c>
      <c r="O32" s="52">
        <f t="shared" si="35"/>
        <v>0</v>
      </c>
      <c r="P32" s="14"/>
      <c r="R32" s="5" t="s">
        <v>14</v>
      </c>
      <c r="T32" s="51"/>
      <c r="U32" s="98" t="s">
        <v>136</v>
      </c>
    </row>
    <row r="33" spans="2:21" ht="18" customHeight="1">
      <c r="B33" s="5" t="s">
        <v>15</v>
      </c>
      <c r="D33" s="51">
        <f t="shared" si="31"/>
        <v>0</v>
      </c>
      <c r="E33" s="52">
        <f>IFERROR('3)직접비'!E33+$T33*E$112,"")</f>
        <v>0</v>
      </c>
      <c r="F33" s="52">
        <f>IFERROR('3)직접비'!F33+$T33*F$112,"")</f>
        <v>0</v>
      </c>
      <c r="G33" s="52">
        <f t="shared" si="36"/>
        <v>0</v>
      </c>
      <c r="H33" s="52">
        <f>IFERROR('3)직접비'!H33+$T33*H$112,"")</f>
        <v>0</v>
      </c>
      <c r="I33" s="52">
        <f>IFERROR('3)직접비'!I33+$T33*I$112,"")</f>
        <v>0</v>
      </c>
      <c r="J33" s="52">
        <f t="shared" si="37"/>
        <v>0</v>
      </c>
      <c r="K33" s="52">
        <f>IFERROR('3)직접비'!K33+$T33*K$112,"")</f>
        <v>0</v>
      </c>
      <c r="L33" s="52">
        <f>IFERROR('3)직접비'!L33+$T33*L$112,"")</f>
        <v>0</v>
      </c>
      <c r="M33" s="52">
        <f t="shared" si="38"/>
        <v>0</v>
      </c>
      <c r="N33" s="52" t="str">
        <f>IFERROR('3)직접비'!N33+$T33*N$112,"")</f>
        <v/>
      </c>
      <c r="O33" s="52">
        <f t="shared" si="35"/>
        <v>0</v>
      </c>
      <c r="P33" s="14"/>
      <c r="R33" s="5" t="s">
        <v>15</v>
      </c>
      <c r="T33" s="51"/>
      <c r="U33" s="98" t="s">
        <v>136</v>
      </c>
    </row>
    <row r="34" spans="2:21" ht="18" customHeight="1">
      <c r="B34" s="19" t="s">
        <v>42</v>
      </c>
      <c r="C34" s="35"/>
      <c r="D34" s="58">
        <f t="shared" si="31"/>
        <v>0</v>
      </c>
      <c r="E34" s="59">
        <f>IFERROR('3)직접비'!E34+$T34*E$112,"")</f>
        <v>0</v>
      </c>
      <c r="F34" s="59">
        <f>IFERROR('3)직접비'!F34+$T34*F$112,"")</f>
        <v>0</v>
      </c>
      <c r="G34" s="59">
        <f t="shared" si="36"/>
        <v>0</v>
      </c>
      <c r="H34" s="59">
        <f>IFERROR('3)직접비'!H34+$T34*H$112,"")</f>
        <v>0</v>
      </c>
      <c r="I34" s="59">
        <f>IFERROR('3)직접비'!I34+$T34*I$112,"")</f>
        <v>0</v>
      </c>
      <c r="J34" s="59">
        <f t="shared" si="37"/>
        <v>0</v>
      </c>
      <c r="K34" s="59">
        <f>IFERROR('3)직접비'!K34+$T34*K$112,"")</f>
        <v>0</v>
      </c>
      <c r="L34" s="59">
        <f>IFERROR('3)직접비'!L34+$T34*L$112,"")</f>
        <v>0</v>
      </c>
      <c r="M34" s="59">
        <f t="shared" si="38"/>
        <v>0</v>
      </c>
      <c r="N34" s="59" t="str">
        <f>IFERROR('3)직접비'!N34+$T34*N$112,"")</f>
        <v/>
      </c>
      <c r="O34" s="59">
        <f t="shared" si="35"/>
        <v>0</v>
      </c>
      <c r="P34" s="21"/>
      <c r="R34" s="19" t="s">
        <v>42</v>
      </c>
      <c r="S34" s="35"/>
      <c r="T34" s="58"/>
      <c r="U34" s="99" t="s">
        <v>136</v>
      </c>
    </row>
    <row r="35" spans="2:21" ht="18" customHeight="1">
      <c r="B35" s="16" t="s">
        <v>16</v>
      </c>
      <c r="C35" s="36"/>
      <c r="D35" s="60">
        <f t="shared" si="31"/>
        <v>0</v>
      </c>
      <c r="E35" s="61">
        <f>SUM(E30:E34)</f>
        <v>0</v>
      </c>
      <c r="F35" s="61">
        <f>SUM(F30:F34)</f>
        <v>0</v>
      </c>
      <c r="G35" s="61">
        <f t="shared" si="32"/>
        <v>0</v>
      </c>
      <c r="H35" s="61">
        <f>SUM(H30:H34)</f>
        <v>0</v>
      </c>
      <c r="I35" s="61">
        <f>SUM(I30:I34)</f>
        <v>0</v>
      </c>
      <c r="J35" s="61">
        <f t="shared" si="33"/>
        <v>0</v>
      </c>
      <c r="K35" s="61">
        <f>SUM(K30:K34)</f>
        <v>0</v>
      </c>
      <c r="L35" s="61">
        <f>SUM(L30:L34)</f>
        <v>0</v>
      </c>
      <c r="M35" s="61">
        <f t="shared" si="34"/>
        <v>0</v>
      </c>
      <c r="N35" s="61">
        <f>SUM(N30:N34)</f>
        <v>0</v>
      </c>
      <c r="O35" s="61">
        <f t="shared" si="35"/>
        <v>0</v>
      </c>
      <c r="P35" s="18"/>
      <c r="R35" s="16" t="s">
        <v>16</v>
      </c>
      <c r="S35" s="36"/>
      <c r="T35" s="60">
        <f>SUM(T30:T34)</f>
        <v>0</v>
      </c>
      <c r="U35" s="100"/>
    </row>
    <row r="36" spans="2:21" ht="18" customHeight="1">
      <c r="B36" s="26" t="s">
        <v>17</v>
      </c>
      <c r="C36" s="37"/>
      <c r="D36" s="45">
        <f t="shared" si="31"/>
        <v>0</v>
      </c>
      <c r="E36" s="46">
        <f>IFERROR('3)직접비'!E36,"")</f>
        <v>0</v>
      </c>
      <c r="F36" s="46">
        <f>IFERROR('3)직접비'!F36,"")</f>
        <v>0</v>
      </c>
      <c r="G36" s="46">
        <f t="shared" si="32"/>
        <v>0</v>
      </c>
      <c r="H36" s="46">
        <f>IFERROR('3)직접비'!H36,"")</f>
        <v>0</v>
      </c>
      <c r="I36" s="46">
        <f>IFERROR('3)직접비'!I36,"")</f>
        <v>0</v>
      </c>
      <c r="J36" s="46">
        <f t="shared" si="33"/>
        <v>0</v>
      </c>
      <c r="K36" s="46">
        <f>IFERROR('3)직접비'!K36,"")</f>
        <v>0</v>
      </c>
      <c r="L36" s="46">
        <f>IFERROR('3)직접비'!L36,"")</f>
        <v>0</v>
      </c>
      <c r="M36" s="46">
        <f t="shared" si="34"/>
        <v>0</v>
      </c>
      <c r="N36" s="46">
        <f>IFERROR('3)직접비'!N36,"")</f>
        <v>0</v>
      </c>
      <c r="O36" s="46">
        <f t="shared" si="35"/>
        <v>0</v>
      </c>
      <c r="P36" s="12"/>
      <c r="R36" s="26" t="s">
        <v>17</v>
      </c>
      <c r="S36" s="37"/>
      <c r="T36" s="45"/>
      <c r="U36" s="101" t="s">
        <v>138</v>
      </c>
    </row>
    <row r="37" spans="2:21" ht="18" customHeight="1">
      <c r="B37" s="19" t="s">
        <v>20</v>
      </c>
      <c r="C37" s="35"/>
      <c r="D37" s="58">
        <f t="shared" si="31"/>
        <v>0</v>
      </c>
      <c r="E37" s="59">
        <f>IFERROR('3)직접비'!E37+$T37*E$112,"")</f>
        <v>0</v>
      </c>
      <c r="F37" s="59">
        <f>IFERROR('3)직접비'!F37+$T37*F$112,"")</f>
        <v>0</v>
      </c>
      <c r="G37" s="59">
        <f t="shared" ref="G37:G40" si="39">SUM(E37:F37)</f>
        <v>0</v>
      </c>
      <c r="H37" s="59">
        <f>IFERROR('3)직접비'!H37+$T37*H$112,"")</f>
        <v>0</v>
      </c>
      <c r="I37" s="59">
        <f>IFERROR('3)직접비'!I37+$T37*I$112,"")</f>
        <v>0</v>
      </c>
      <c r="J37" s="59">
        <f t="shared" ref="J37:J40" si="40">SUM(H37:I37)</f>
        <v>0</v>
      </c>
      <c r="K37" s="59">
        <f>IFERROR('3)직접비'!K37+$T37*K$112,"")</f>
        <v>0</v>
      </c>
      <c r="L37" s="59">
        <f>IFERROR('3)직접비'!L37+$T37*L$112,"")</f>
        <v>0</v>
      </c>
      <c r="M37" s="59">
        <f t="shared" ref="M37:M40" si="41">SUM(K37:L37)</f>
        <v>0</v>
      </c>
      <c r="N37" s="59" t="str">
        <f>IFERROR('3)직접비'!N37+$T37*N$112,"")</f>
        <v/>
      </c>
      <c r="O37" s="59">
        <f t="shared" si="35"/>
        <v>0</v>
      </c>
      <c r="P37" s="21"/>
      <c r="R37" s="19" t="s">
        <v>20</v>
      </c>
      <c r="S37" s="35"/>
      <c r="T37" s="58"/>
      <c r="U37" s="99" t="s">
        <v>136</v>
      </c>
    </row>
    <row r="38" spans="2:21" ht="18" customHeight="1">
      <c r="B38" s="19" t="s">
        <v>21</v>
      </c>
      <c r="C38" s="35"/>
      <c r="D38" s="58">
        <f t="shared" si="31"/>
        <v>0</v>
      </c>
      <c r="E38" s="59">
        <f>IFERROR('3)직접비'!E38+$T38*E$112,"")</f>
        <v>0</v>
      </c>
      <c r="F38" s="59">
        <f>IFERROR('3)직접비'!F38+$T38*F$112,"")</f>
        <v>0</v>
      </c>
      <c r="G38" s="59">
        <f t="shared" si="39"/>
        <v>0</v>
      </c>
      <c r="H38" s="59">
        <f>IFERROR('3)직접비'!H38+$T38*H$112,"")</f>
        <v>0</v>
      </c>
      <c r="I38" s="59">
        <f>IFERROR('3)직접비'!I38+$T38*I$112,"")</f>
        <v>0</v>
      </c>
      <c r="J38" s="59">
        <f t="shared" si="40"/>
        <v>0</v>
      </c>
      <c r="K38" s="59">
        <f>IFERROR('3)직접비'!K38+$T38*K$112,"")</f>
        <v>0</v>
      </c>
      <c r="L38" s="59">
        <f>IFERROR('3)직접비'!L38+$T38*L$112,"")</f>
        <v>0</v>
      </c>
      <c r="M38" s="59">
        <f t="shared" si="41"/>
        <v>0</v>
      </c>
      <c r="N38" s="59" t="str">
        <f>IFERROR('3)직접비'!N38+$T38*N$112,"")</f>
        <v/>
      </c>
      <c r="O38" s="59">
        <f t="shared" si="35"/>
        <v>0</v>
      </c>
      <c r="P38" s="21"/>
      <c r="R38" s="19" t="s">
        <v>21</v>
      </c>
      <c r="S38" s="35"/>
      <c r="T38" s="58"/>
      <c r="U38" s="99" t="s">
        <v>136</v>
      </c>
    </row>
    <row r="39" spans="2:21" ht="18" customHeight="1">
      <c r="B39" s="19" t="s">
        <v>22</v>
      </c>
      <c r="C39" s="35"/>
      <c r="D39" s="58">
        <f t="shared" si="31"/>
        <v>0</v>
      </c>
      <c r="E39" s="59">
        <f>IFERROR('3)직접비'!E39+$T39*E$112,"")</f>
        <v>0</v>
      </c>
      <c r="F39" s="59">
        <f>IFERROR('3)직접비'!F39+$T39*F$112,"")</f>
        <v>0</v>
      </c>
      <c r="G39" s="59">
        <f t="shared" si="39"/>
        <v>0</v>
      </c>
      <c r="H39" s="59">
        <f>IFERROR('3)직접비'!H39+$T39*H$112,"")</f>
        <v>0</v>
      </c>
      <c r="I39" s="59">
        <f>IFERROR('3)직접비'!I39+$T39*I$112,"")</f>
        <v>0</v>
      </c>
      <c r="J39" s="59">
        <f t="shared" si="40"/>
        <v>0</v>
      </c>
      <c r="K39" s="59">
        <f>IFERROR('3)직접비'!K39+$T39*K$112,"")</f>
        <v>0</v>
      </c>
      <c r="L39" s="59">
        <f>IFERROR('3)직접비'!L39+$T39*L$112,"")</f>
        <v>0</v>
      </c>
      <c r="M39" s="59">
        <f t="shared" si="41"/>
        <v>0</v>
      </c>
      <c r="N39" s="59" t="str">
        <f>IFERROR('3)직접비'!N39+$T39*N$112,"")</f>
        <v/>
      </c>
      <c r="O39" s="59">
        <f t="shared" si="35"/>
        <v>0</v>
      </c>
      <c r="P39" s="21"/>
      <c r="R39" s="19" t="s">
        <v>22</v>
      </c>
      <c r="S39" s="35"/>
      <c r="T39" s="58"/>
      <c r="U39" s="99" t="s">
        <v>136</v>
      </c>
    </row>
    <row r="40" spans="2:21" ht="18" customHeight="1">
      <c r="B40" s="19" t="s">
        <v>23</v>
      </c>
      <c r="C40" s="35"/>
      <c r="D40" s="58">
        <f t="shared" si="31"/>
        <v>0</v>
      </c>
      <c r="E40" s="59">
        <f>IFERROR('3)직접비'!E40+$T40*E$112,"")</f>
        <v>0</v>
      </c>
      <c r="F40" s="59">
        <f>IFERROR('3)직접비'!F40+$T40*F$112,"")</f>
        <v>0</v>
      </c>
      <c r="G40" s="59">
        <f t="shared" si="39"/>
        <v>0</v>
      </c>
      <c r="H40" s="59">
        <f>IFERROR('3)직접비'!H40+$T40*H$112,"")</f>
        <v>0</v>
      </c>
      <c r="I40" s="59">
        <f>IFERROR('3)직접비'!I40+$T40*I$112,"")</f>
        <v>0</v>
      </c>
      <c r="J40" s="59">
        <f t="shared" si="40"/>
        <v>0</v>
      </c>
      <c r="K40" s="59">
        <f>IFERROR('3)직접비'!K40+$T40*K$112,"")</f>
        <v>0</v>
      </c>
      <c r="L40" s="59">
        <f>IFERROR('3)직접비'!L40+$T40*L$112,"")</f>
        <v>0</v>
      </c>
      <c r="M40" s="59">
        <f t="shared" si="41"/>
        <v>0</v>
      </c>
      <c r="N40" s="59" t="str">
        <f>IFERROR('3)직접비'!N40+$T40*N$112,"")</f>
        <v/>
      </c>
      <c r="O40" s="59">
        <f t="shared" si="35"/>
        <v>0</v>
      </c>
      <c r="P40" s="21"/>
      <c r="R40" s="19" t="s">
        <v>23</v>
      </c>
      <c r="S40" s="35"/>
      <c r="T40" s="58"/>
      <c r="U40" s="99" t="s">
        <v>136</v>
      </c>
    </row>
    <row r="41" spans="2:21" ht="18" customHeight="1">
      <c r="B41" s="22" t="s">
        <v>24</v>
      </c>
      <c r="C41" s="38"/>
      <c r="D41" s="62">
        <f t="shared" si="31"/>
        <v>0</v>
      </c>
      <c r="E41" s="63">
        <f>SUM(E37:E40)</f>
        <v>0</v>
      </c>
      <c r="F41" s="63">
        <f>SUM(F37:F40)</f>
        <v>0</v>
      </c>
      <c r="G41" s="63">
        <f t="shared" si="32"/>
        <v>0</v>
      </c>
      <c r="H41" s="63">
        <f>SUM(H37:H40)</f>
        <v>0</v>
      </c>
      <c r="I41" s="63">
        <f>SUM(I37:I40)</f>
        <v>0</v>
      </c>
      <c r="J41" s="63">
        <f t="shared" si="33"/>
        <v>0</v>
      </c>
      <c r="K41" s="63">
        <f>SUM(K37:K40)</f>
        <v>0</v>
      </c>
      <c r="L41" s="63">
        <f>SUM(L37:L40)</f>
        <v>0</v>
      </c>
      <c r="M41" s="63">
        <f t="shared" si="34"/>
        <v>0</v>
      </c>
      <c r="N41" s="63">
        <f>SUM(N37:N40)</f>
        <v>0</v>
      </c>
      <c r="O41" s="63">
        <f t="shared" si="35"/>
        <v>0</v>
      </c>
      <c r="P41" s="24"/>
      <c r="R41" s="22" t="s">
        <v>24</v>
      </c>
      <c r="S41" s="38"/>
      <c r="T41" s="62">
        <f>SUM(T37:T40)</f>
        <v>0</v>
      </c>
      <c r="U41" s="102"/>
    </row>
    <row r="42" spans="2:21" ht="18" customHeight="1">
      <c r="B42" s="19" t="s">
        <v>43</v>
      </c>
      <c r="C42" s="35"/>
      <c r="D42" s="58">
        <f t="shared" si="31"/>
        <v>0</v>
      </c>
      <c r="E42" s="59">
        <f>IFERROR('3)직접비'!E42+$T42*E$114,"")</f>
        <v>0</v>
      </c>
      <c r="F42" s="59">
        <f>IFERROR('3)직접비'!F42+$T42*F$114,"")</f>
        <v>0</v>
      </c>
      <c r="G42" s="59">
        <f t="shared" si="32"/>
        <v>0</v>
      </c>
      <c r="H42" s="59">
        <f>IFERROR('3)직접비'!H42+$T42*H$114,"")</f>
        <v>0</v>
      </c>
      <c r="I42" s="59">
        <f>IFERROR('3)직접비'!I42+$T42*I$114,"")</f>
        <v>0</v>
      </c>
      <c r="J42" s="59">
        <f t="shared" si="33"/>
        <v>0</v>
      </c>
      <c r="K42" s="59">
        <f>IFERROR('3)직접비'!K42+$T42*K$114,"")</f>
        <v>0</v>
      </c>
      <c r="L42" s="59">
        <f>IFERROR('3)직접비'!L42+$T42*L$114,"")</f>
        <v>0</v>
      </c>
      <c r="M42" s="59">
        <f t="shared" si="34"/>
        <v>0</v>
      </c>
      <c r="N42" s="59" t="str">
        <f>IFERROR('3)직접비'!N42+$T42*N$114,"")</f>
        <v/>
      </c>
      <c r="O42" s="59">
        <f t="shared" si="35"/>
        <v>0</v>
      </c>
      <c r="P42" s="21"/>
      <c r="R42" s="19" t="s">
        <v>43</v>
      </c>
      <c r="S42" s="35"/>
      <c r="T42" s="58"/>
      <c r="U42" s="99" t="s">
        <v>116</v>
      </c>
    </row>
    <row r="43" spans="2:21" ht="18" customHeight="1">
      <c r="B43" s="19" t="s">
        <v>44</v>
      </c>
      <c r="C43" s="35"/>
      <c r="D43" s="58">
        <f t="shared" si="31"/>
        <v>0</v>
      </c>
      <c r="E43" s="59">
        <f>IFERROR('3)직접비'!E43+$T43*E$112,"")</f>
        <v>0</v>
      </c>
      <c r="F43" s="59">
        <f>IFERROR('3)직접비'!F43+$T43*F$112,"")</f>
        <v>0</v>
      </c>
      <c r="G43" s="59">
        <f t="shared" ref="G43:G51" si="42">SUM(E43:F43)</f>
        <v>0</v>
      </c>
      <c r="H43" s="59">
        <f>IFERROR('3)직접비'!H43+$T43*H$112,"")</f>
        <v>0</v>
      </c>
      <c r="I43" s="59">
        <f>IFERROR('3)직접비'!I43+$T43*I$112,"")</f>
        <v>0</v>
      </c>
      <c r="J43" s="59">
        <f t="shared" ref="J43:J51" si="43">SUM(H43:I43)</f>
        <v>0</v>
      </c>
      <c r="K43" s="59">
        <f>IFERROR('3)직접비'!K43+$T43*K$112,"")</f>
        <v>0</v>
      </c>
      <c r="L43" s="59">
        <f>IFERROR('3)직접비'!L43+$T43*L$112,"")</f>
        <v>0</v>
      </c>
      <c r="M43" s="59">
        <f t="shared" ref="M43:M51" si="44">SUM(K43:L43)</f>
        <v>0</v>
      </c>
      <c r="N43" s="59" t="str">
        <f>IFERROR('3)직접비'!N43+$T43*N$112,"")</f>
        <v/>
      </c>
      <c r="O43" s="59">
        <f t="shared" si="35"/>
        <v>0</v>
      </c>
      <c r="P43" s="21"/>
      <c r="R43" s="19" t="s">
        <v>44</v>
      </c>
      <c r="S43" s="35"/>
      <c r="T43" s="58"/>
      <c r="U43" s="99" t="s">
        <v>136</v>
      </c>
    </row>
    <row r="44" spans="2:21" ht="18" customHeight="1">
      <c r="B44" s="19" t="s">
        <v>45</v>
      </c>
      <c r="C44" s="35"/>
      <c r="D44" s="58">
        <f t="shared" si="31"/>
        <v>0</v>
      </c>
      <c r="E44" s="59">
        <f>IFERROR('3)직접비'!E44+$T44*E$112,"")</f>
        <v>0</v>
      </c>
      <c r="F44" s="59">
        <f>IFERROR('3)직접비'!F44+$T44*F$112,"")</f>
        <v>0</v>
      </c>
      <c r="G44" s="59">
        <f t="shared" si="42"/>
        <v>0</v>
      </c>
      <c r="H44" s="59">
        <f>IFERROR('3)직접비'!H44+$T44*H$112,"")</f>
        <v>0</v>
      </c>
      <c r="I44" s="59">
        <f>IFERROR('3)직접비'!I44+$T44*I$112,"")</f>
        <v>0</v>
      </c>
      <c r="J44" s="59">
        <f t="shared" si="43"/>
        <v>0</v>
      </c>
      <c r="K44" s="59">
        <f>IFERROR('3)직접비'!K44+$T44*K$112,"")</f>
        <v>0</v>
      </c>
      <c r="L44" s="59">
        <f>IFERROR('3)직접비'!L44+$T44*L$112,"")</f>
        <v>0</v>
      </c>
      <c r="M44" s="59">
        <f t="shared" si="44"/>
        <v>0</v>
      </c>
      <c r="N44" s="59" t="str">
        <f>IFERROR('3)직접비'!N44+$T44*N$112,"")</f>
        <v/>
      </c>
      <c r="O44" s="59">
        <f t="shared" si="35"/>
        <v>0</v>
      </c>
      <c r="P44" s="21"/>
      <c r="R44" s="19" t="s">
        <v>45</v>
      </c>
      <c r="S44" s="35"/>
      <c r="T44" s="58"/>
      <c r="U44" s="99" t="s">
        <v>136</v>
      </c>
    </row>
    <row r="45" spans="2:21" ht="18" customHeight="1">
      <c r="B45" s="19" t="s">
        <v>46</v>
      </c>
      <c r="C45" s="35"/>
      <c r="D45" s="58">
        <f t="shared" si="31"/>
        <v>0</v>
      </c>
      <c r="E45" s="59">
        <f>IFERROR('3)직접비'!E45+$T45*E$112,"")</f>
        <v>0</v>
      </c>
      <c r="F45" s="59">
        <f>IFERROR('3)직접비'!F45+$T45*F$112,"")</f>
        <v>0</v>
      </c>
      <c r="G45" s="59">
        <f t="shared" si="42"/>
        <v>0</v>
      </c>
      <c r="H45" s="59">
        <f>IFERROR('3)직접비'!H45+$T45*H$112,"")</f>
        <v>0</v>
      </c>
      <c r="I45" s="59">
        <f>IFERROR('3)직접비'!I45+$T45*I$112,"")</f>
        <v>0</v>
      </c>
      <c r="J45" s="59">
        <f t="shared" si="43"/>
        <v>0</v>
      </c>
      <c r="K45" s="59">
        <f>IFERROR('3)직접비'!K45+$T45*K$112,"")</f>
        <v>0</v>
      </c>
      <c r="L45" s="59">
        <f>IFERROR('3)직접비'!L45+$T45*L$112,"")</f>
        <v>0</v>
      </c>
      <c r="M45" s="59">
        <f t="shared" si="44"/>
        <v>0</v>
      </c>
      <c r="N45" s="59" t="str">
        <f>IFERROR('3)직접비'!N45+$T45*N$112,"")</f>
        <v/>
      </c>
      <c r="O45" s="59">
        <f t="shared" si="35"/>
        <v>0</v>
      </c>
      <c r="P45" s="21"/>
      <c r="R45" s="19" t="s">
        <v>46</v>
      </c>
      <c r="S45" s="35"/>
      <c r="T45" s="58"/>
      <c r="U45" s="99" t="s">
        <v>136</v>
      </c>
    </row>
    <row r="46" spans="2:21" ht="18" customHeight="1">
      <c r="B46" s="19" t="s">
        <v>47</v>
      </c>
      <c r="C46" s="35"/>
      <c r="D46" s="58">
        <f t="shared" si="31"/>
        <v>0</v>
      </c>
      <c r="E46" s="59">
        <f>IFERROR('3)직접비'!E46+$T46*E$112,"")</f>
        <v>0</v>
      </c>
      <c r="F46" s="59">
        <f>IFERROR('3)직접비'!F46+$T46*F$112,"")</f>
        <v>0</v>
      </c>
      <c r="G46" s="59">
        <f t="shared" si="42"/>
        <v>0</v>
      </c>
      <c r="H46" s="59">
        <f>IFERROR('3)직접비'!H46+$T46*H$112,"")</f>
        <v>0</v>
      </c>
      <c r="I46" s="59">
        <f>IFERROR('3)직접비'!I46+$T46*I$112,"")</f>
        <v>0</v>
      </c>
      <c r="J46" s="59">
        <f t="shared" si="43"/>
        <v>0</v>
      </c>
      <c r="K46" s="59">
        <f>IFERROR('3)직접비'!K46+$T46*K$112,"")</f>
        <v>0</v>
      </c>
      <c r="L46" s="59">
        <f>IFERROR('3)직접비'!L46+$T46*L$112,"")</f>
        <v>0</v>
      </c>
      <c r="M46" s="59">
        <f t="shared" si="44"/>
        <v>0</v>
      </c>
      <c r="N46" s="59" t="str">
        <f>IFERROR('3)직접비'!N46+$T46*N$112,"")</f>
        <v/>
      </c>
      <c r="O46" s="59">
        <f t="shared" si="35"/>
        <v>0</v>
      </c>
      <c r="P46" s="21"/>
      <c r="R46" s="19" t="s">
        <v>47</v>
      </c>
      <c r="S46" s="35"/>
      <c r="T46" s="58"/>
      <c r="U46" s="99" t="s">
        <v>136</v>
      </c>
    </row>
    <row r="47" spans="2:21" ht="18" customHeight="1">
      <c r="B47" s="19" t="s">
        <v>55</v>
      </c>
      <c r="C47" s="35"/>
      <c r="D47" s="58">
        <f t="shared" si="31"/>
        <v>0</v>
      </c>
      <c r="E47" s="59">
        <f>IFERROR('3)직접비'!E47+$T47*E$112,"")</f>
        <v>0</v>
      </c>
      <c r="F47" s="59">
        <f>IFERROR('3)직접비'!F47+$T47*F$112,"")</f>
        <v>0</v>
      </c>
      <c r="G47" s="59">
        <f t="shared" si="42"/>
        <v>0</v>
      </c>
      <c r="H47" s="59">
        <f>IFERROR('3)직접비'!H47+$T47*H$112,"")</f>
        <v>0</v>
      </c>
      <c r="I47" s="59">
        <f>IFERROR('3)직접비'!I47+$T47*I$112,"")</f>
        <v>0</v>
      </c>
      <c r="J47" s="59">
        <f t="shared" si="43"/>
        <v>0</v>
      </c>
      <c r="K47" s="59">
        <f>IFERROR('3)직접비'!K47+$T47*K$112,"")</f>
        <v>0</v>
      </c>
      <c r="L47" s="59">
        <f>IFERROR('3)직접비'!L47+$T47*L$112,"")</f>
        <v>0</v>
      </c>
      <c r="M47" s="59">
        <f t="shared" si="44"/>
        <v>0</v>
      </c>
      <c r="N47" s="59" t="str">
        <f>IFERROR('3)직접비'!N47+$T47*N$112,"")</f>
        <v/>
      </c>
      <c r="O47" s="59">
        <f t="shared" si="35"/>
        <v>0</v>
      </c>
      <c r="P47" s="21"/>
      <c r="R47" s="19" t="s">
        <v>55</v>
      </c>
      <c r="S47" s="35"/>
      <c r="T47" s="58"/>
      <c r="U47" s="99" t="s">
        <v>136</v>
      </c>
    </row>
    <row r="48" spans="2:21" ht="18" customHeight="1">
      <c r="B48" s="19" t="s">
        <v>54</v>
      </c>
      <c r="C48" s="35"/>
      <c r="D48" s="58">
        <f t="shared" si="31"/>
        <v>0</v>
      </c>
      <c r="E48" s="59">
        <f>IFERROR('3)직접비'!E48+$T48*E$112,"")</f>
        <v>0</v>
      </c>
      <c r="F48" s="59">
        <f>IFERROR('3)직접비'!F48+$T48*F$112,"")</f>
        <v>0</v>
      </c>
      <c r="G48" s="59">
        <f t="shared" si="42"/>
        <v>0</v>
      </c>
      <c r="H48" s="59">
        <f>IFERROR('3)직접비'!H48+$T48*H$112,"")</f>
        <v>0</v>
      </c>
      <c r="I48" s="59">
        <f>IFERROR('3)직접비'!I48+$T48*I$112,"")</f>
        <v>0</v>
      </c>
      <c r="J48" s="59">
        <f t="shared" si="43"/>
        <v>0</v>
      </c>
      <c r="K48" s="59">
        <f>IFERROR('3)직접비'!K48+$T48*K$112,"")</f>
        <v>0</v>
      </c>
      <c r="L48" s="59">
        <f>IFERROR('3)직접비'!L48+$T48*L$112,"")</f>
        <v>0</v>
      </c>
      <c r="M48" s="59">
        <f t="shared" si="44"/>
        <v>0</v>
      </c>
      <c r="N48" s="59" t="str">
        <f>IFERROR('3)직접비'!N48+$T48*N$112,"")</f>
        <v/>
      </c>
      <c r="O48" s="59">
        <f t="shared" si="35"/>
        <v>0</v>
      </c>
      <c r="P48" s="21"/>
      <c r="R48" s="19" t="s">
        <v>54</v>
      </c>
      <c r="S48" s="35"/>
      <c r="T48" s="58"/>
      <c r="U48" s="99" t="s">
        <v>136</v>
      </c>
    </row>
    <row r="49" spans="2:21" ht="18" customHeight="1">
      <c r="B49" s="19" t="s">
        <v>48</v>
      </c>
      <c r="C49" s="35"/>
      <c r="D49" s="58">
        <f t="shared" si="31"/>
        <v>0</v>
      </c>
      <c r="E49" s="59">
        <f>IFERROR('3)직접비'!E49+$T49*E$112,"")</f>
        <v>0</v>
      </c>
      <c r="F49" s="59">
        <f>IFERROR('3)직접비'!F49+$T49*F$112,"")</f>
        <v>0</v>
      </c>
      <c r="G49" s="59">
        <f t="shared" si="42"/>
        <v>0</v>
      </c>
      <c r="H49" s="59">
        <f>IFERROR('3)직접비'!H49+$T49*H$112,"")</f>
        <v>0</v>
      </c>
      <c r="I49" s="59">
        <f>IFERROR('3)직접비'!I49+$T49*I$112,"")</f>
        <v>0</v>
      </c>
      <c r="J49" s="59">
        <f t="shared" si="43"/>
        <v>0</v>
      </c>
      <c r="K49" s="59">
        <f>IFERROR('3)직접비'!K49+$T49*K$112,"")</f>
        <v>0</v>
      </c>
      <c r="L49" s="59">
        <f>IFERROR('3)직접비'!L49+$T49*L$112,"")</f>
        <v>0</v>
      </c>
      <c r="M49" s="59">
        <f t="shared" si="44"/>
        <v>0</v>
      </c>
      <c r="N49" s="59" t="str">
        <f>IFERROR('3)직접비'!N49+$T49*N$112,"")</f>
        <v/>
      </c>
      <c r="O49" s="59">
        <f t="shared" si="35"/>
        <v>0</v>
      </c>
      <c r="P49" s="21"/>
      <c r="R49" s="19" t="s">
        <v>48</v>
      </c>
      <c r="S49" s="35"/>
      <c r="T49" s="58"/>
      <c r="U49" s="99" t="s">
        <v>136</v>
      </c>
    </row>
    <row r="50" spans="2:21" ht="18" customHeight="1">
      <c r="B50" s="19" t="s">
        <v>56</v>
      </c>
      <c r="C50" s="35"/>
      <c r="D50" s="58">
        <f t="shared" si="31"/>
        <v>0</v>
      </c>
      <c r="E50" s="59">
        <f>IFERROR('3)직접비'!E50+$T50*E$112,"")</f>
        <v>0</v>
      </c>
      <c r="F50" s="59">
        <f>IFERROR('3)직접비'!F50+$T50*F$112,"")</f>
        <v>0</v>
      </c>
      <c r="G50" s="59">
        <f t="shared" si="42"/>
        <v>0</v>
      </c>
      <c r="H50" s="59">
        <f>IFERROR('3)직접비'!H50+$T50*H$112,"")</f>
        <v>0</v>
      </c>
      <c r="I50" s="59">
        <f>IFERROR('3)직접비'!I50+$T50*I$112,"")</f>
        <v>0</v>
      </c>
      <c r="J50" s="59">
        <f t="shared" si="43"/>
        <v>0</v>
      </c>
      <c r="K50" s="59">
        <f>IFERROR('3)직접비'!K50+$T50*K$112,"")</f>
        <v>0</v>
      </c>
      <c r="L50" s="59">
        <f>IFERROR('3)직접비'!L50+$T50*L$112,"")</f>
        <v>0</v>
      </c>
      <c r="M50" s="59">
        <f t="shared" si="44"/>
        <v>0</v>
      </c>
      <c r="N50" s="59" t="str">
        <f>IFERROR('3)직접비'!N50+$T50*N$112,"")</f>
        <v/>
      </c>
      <c r="O50" s="59">
        <f t="shared" si="35"/>
        <v>0</v>
      </c>
      <c r="P50" s="21"/>
      <c r="R50" s="19" t="s">
        <v>56</v>
      </c>
      <c r="S50" s="35"/>
      <c r="T50" s="58"/>
      <c r="U50" s="99" t="s">
        <v>136</v>
      </c>
    </row>
    <row r="51" spans="2:21" ht="18" customHeight="1">
      <c r="B51" s="19" t="s">
        <v>57</v>
      </c>
      <c r="C51" s="35"/>
      <c r="D51" s="58">
        <f t="shared" si="31"/>
        <v>0</v>
      </c>
      <c r="E51" s="59">
        <f>IFERROR('3)직접비'!E51+$T51*E$112,"")</f>
        <v>0</v>
      </c>
      <c r="F51" s="59">
        <f>IFERROR('3)직접비'!F51+$T51*F$112,"")</f>
        <v>0</v>
      </c>
      <c r="G51" s="59">
        <f t="shared" si="42"/>
        <v>0</v>
      </c>
      <c r="H51" s="59">
        <f>IFERROR('3)직접비'!H51+$T51*H$112,"")</f>
        <v>0</v>
      </c>
      <c r="I51" s="59">
        <f>IFERROR('3)직접비'!I51+$T51*I$112,"")</f>
        <v>0</v>
      </c>
      <c r="J51" s="59">
        <f t="shared" si="43"/>
        <v>0</v>
      </c>
      <c r="K51" s="59">
        <f>IFERROR('3)직접비'!K51+$T51*K$112,"")</f>
        <v>0</v>
      </c>
      <c r="L51" s="59">
        <f>IFERROR('3)직접비'!L51+$T51*L$112,"")</f>
        <v>0</v>
      </c>
      <c r="M51" s="59">
        <f t="shared" si="44"/>
        <v>0</v>
      </c>
      <c r="N51" s="59" t="str">
        <f>IFERROR('3)직접비'!N51+$T51*N$112,"")</f>
        <v/>
      </c>
      <c r="O51" s="59">
        <f t="shared" si="35"/>
        <v>0</v>
      </c>
      <c r="P51" s="21"/>
      <c r="R51" s="19" t="s">
        <v>57</v>
      </c>
      <c r="S51" s="35"/>
      <c r="T51" s="58"/>
      <c r="U51" s="99" t="s">
        <v>136</v>
      </c>
    </row>
    <row r="52" spans="2:21" ht="18" customHeight="1">
      <c r="B52" s="22" t="s">
        <v>18</v>
      </c>
      <c r="C52" s="38"/>
      <c r="D52" s="62">
        <f t="shared" si="31"/>
        <v>0</v>
      </c>
      <c r="E52" s="63">
        <f>SUM(E42:E51)</f>
        <v>0</v>
      </c>
      <c r="F52" s="63">
        <f>SUM(F42:F51)</f>
        <v>0</v>
      </c>
      <c r="G52" s="63">
        <f t="shared" si="32"/>
        <v>0</v>
      </c>
      <c r="H52" s="63">
        <f>SUM(H42:H51)</f>
        <v>0</v>
      </c>
      <c r="I52" s="63">
        <f>SUM(I42:I51)</f>
        <v>0</v>
      </c>
      <c r="J52" s="63">
        <f t="shared" si="33"/>
        <v>0</v>
      </c>
      <c r="K52" s="63">
        <f>SUM(K42:K51)</f>
        <v>0</v>
      </c>
      <c r="L52" s="63">
        <f>SUM(L42:L51)</f>
        <v>0</v>
      </c>
      <c r="M52" s="63">
        <f t="shared" si="34"/>
        <v>0</v>
      </c>
      <c r="N52" s="63">
        <f>SUM(N42:N51)</f>
        <v>0</v>
      </c>
      <c r="O52" s="63">
        <f t="shared" si="35"/>
        <v>0</v>
      </c>
      <c r="P52" s="24"/>
      <c r="R52" s="22" t="s">
        <v>18</v>
      </c>
      <c r="S52" s="38"/>
      <c r="T52" s="62">
        <f>SUM(T42:T51)</f>
        <v>0</v>
      </c>
      <c r="U52" s="102"/>
    </row>
    <row r="53" spans="2:21" ht="18" customHeight="1">
      <c r="B53" s="19" t="s">
        <v>53</v>
      </c>
      <c r="C53" s="35"/>
      <c r="D53" s="58">
        <f t="shared" si="31"/>
        <v>0</v>
      </c>
      <c r="E53" s="59" t="str">
        <f>IFERROR('3)직접비'!E53+$T53*E$116,"")</f>
        <v/>
      </c>
      <c r="F53" s="59" t="str">
        <f>IFERROR('3)직접비'!F53+$T53*F$116,"")</f>
        <v/>
      </c>
      <c r="G53" s="59">
        <f t="shared" si="32"/>
        <v>0</v>
      </c>
      <c r="H53" s="59" t="str">
        <f>IFERROR('3)직접비'!H53+$T53*H$116,"")</f>
        <v/>
      </c>
      <c r="I53" s="59" t="str">
        <f>IFERROR('3)직접비'!I53+$T53*I$116,"")</f>
        <v/>
      </c>
      <c r="J53" s="59">
        <f t="shared" si="33"/>
        <v>0</v>
      </c>
      <c r="K53" s="59" t="str">
        <f>IFERROR('3)직접비'!K53+$T53*K$116,"")</f>
        <v/>
      </c>
      <c r="L53" s="59" t="str">
        <f>IFERROR('3)직접비'!L53+$T53*L$116,"")</f>
        <v/>
      </c>
      <c r="M53" s="59">
        <f t="shared" si="34"/>
        <v>0</v>
      </c>
      <c r="N53" s="59" t="str">
        <f>IFERROR('3)직접비'!N53+$T53*N$116,"")</f>
        <v/>
      </c>
      <c r="O53" s="59">
        <f t="shared" si="35"/>
        <v>0</v>
      </c>
      <c r="P53" s="21"/>
      <c r="R53" s="19" t="s">
        <v>53</v>
      </c>
      <c r="S53" s="35"/>
      <c r="T53" s="58"/>
      <c r="U53" s="99" t="s">
        <v>140</v>
      </c>
    </row>
    <row r="54" spans="2:21" ht="18" customHeight="1">
      <c r="B54" s="19" t="s">
        <v>52</v>
      </c>
      <c r="C54" s="35"/>
      <c r="D54" s="58">
        <f t="shared" si="31"/>
        <v>0</v>
      </c>
      <c r="E54" s="59" t="str">
        <f>IFERROR('3)직접비'!E54+$T54*E$116,"")</f>
        <v/>
      </c>
      <c r="F54" s="59" t="str">
        <f>IFERROR('3)직접비'!F54+$T54*F$116,"")</f>
        <v/>
      </c>
      <c r="G54" s="59">
        <f t="shared" ref="G54:G57" si="45">SUM(E54:F54)</f>
        <v>0</v>
      </c>
      <c r="H54" s="59" t="str">
        <f>IFERROR('3)직접비'!H54+$T54*H$116,"")</f>
        <v/>
      </c>
      <c r="I54" s="59" t="str">
        <f>IFERROR('3)직접비'!I54+$T54*I$116,"")</f>
        <v/>
      </c>
      <c r="J54" s="59">
        <f t="shared" ref="J54:J57" si="46">SUM(H54:I54)</f>
        <v>0</v>
      </c>
      <c r="K54" s="59" t="str">
        <f>IFERROR('3)직접비'!K54+$T54*K$116,"")</f>
        <v/>
      </c>
      <c r="L54" s="59" t="str">
        <f>IFERROR('3)직접비'!L54+$T54*L$116,"")</f>
        <v/>
      </c>
      <c r="M54" s="59">
        <f t="shared" ref="M54:M57" si="47">SUM(K54:L54)</f>
        <v>0</v>
      </c>
      <c r="N54" s="59" t="str">
        <f>IFERROR('3)직접비'!N54+$T54*N$116,"")</f>
        <v/>
      </c>
      <c r="O54" s="59">
        <f t="shared" si="35"/>
        <v>0</v>
      </c>
      <c r="P54" s="21"/>
      <c r="R54" s="19" t="s">
        <v>52</v>
      </c>
      <c r="S54" s="35"/>
      <c r="T54" s="58"/>
      <c r="U54" s="99" t="s">
        <v>139</v>
      </c>
    </row>
    <row r="55" spans="2:21" ht="18" customHeight="1">
      <c r="B55" s="19" t="s">
        <v>51</v>
      </c>
      <c r="C55" s="35"/>
      <c r="D55" s="58">
        <f t="shared" si="31"/>
        <v>0</v>
      </c>
      <c r="E55" s="59" t="str">
        <f>IFERROR('3)직접비'!E55+$T55*E$116,"")</f>
        <v/>
      </c>
      <c r="F55" s="59" t="str">
        <f>IFERROR('3)직접비'!F55+$T55*F$116,"")</f>
        <v/>
      </c>
      <c r="G55" s="59">
        <f t="shared" si="45"/>
        <v>0</v>
      </c>
      <c r="H55" s="59" t="str">
        <f>IFERROR('3)직접비'!H55+$T55*H$116,"")</f>
        <v/>
      </c>
      <c r="I55" s="59" t="str">
        <f>IFERROR('3)직접비'!I55+$T55*I$116,"")</f>
        <v/>
      </c>
      <c r="J55" s="59">
        <f t="shared" si="46"/>
        <v>0</v>
      </c>
      <c r="K55" s="59" t="str">
        <f>IFERROR('3)직접비'!K55+$T55*K$116,"")</f>
        <v/>
      </c>
      <c r="L55" s="59" t="str">
        <f>IFERROR('3)직접비'!L55+$T55*L$116,"")</f>
        <v/>
      </c>
      <c r="M55" s="59">
        <f t="shared" si="47"/>
        <v>0</v>
      </c>
      <c r="N55" s="59" t="str">
        <f>IFERROR('3)직접비'!N55+$T55*N$116,"")</f>
        <v/>
      </c>
      <c r="O55" s="59">
        <f t="shared" si="35"/>
        <v>0</v>
      </c>
      <c r="P55" s="21"/>
      <c r="R55" s="19" t="s">
        <v>51</v>
      </c>
      <c r="S55" s="35"/>
      <c r="T55" s="58"/>
      <c r="U55" s="99" t="s">
        <v>139</v>
      </c>
    </row>
    <row r="56" spans="2:21" ht="18" customHeight="1">
      <c r="B56" s="19" t="s">
        <v>50</v>
      </c>
      <c r="C56" s="35"/>
      <c r="D56" s="58">
        <f t="shared" si="31"/>
        <v>0</v>
      </c>
      <c r="E56" s="59" t="str">
        <f>IFERROR('3)직접비'!E56+$T56*E$116,"")</f>
        <v/>
      </c>
      <c r="F56" s="59" t="str">
        <f>IFERROR('3)직접비'!F56+$T56*F$116,"")</f>
        <v/>
      </c>
      <c r="G56" s="59">
        <f t="shared" si="45"/>
        <v>0</v>
      </c>
      <c r="H56" s="59" t="str">
        <f>IFERROR('3)직접비'!H56+$T56*H$116,"")</f>
        <v/>
      </c>
      <c r="I56" s="59" t="str">
        <f>IFERROR('3)직접비'!I56+$T56*I$116,"")</f>
        <v/>
      </c>
      <c r="J56" s="59">
        <f t="shared" si="46"/>
        <v>0</v>
      </c>
      <c r="K56" s="59" t="str">
        <f>IFERROR('3)직접비'!K56+$T56*K$116,"")</f>
        <v/>
      </c>
      <c r="L56" s="59" t="str">
        <f>IFERROR('3)직접비'!L56+$T56*L$116,"")</f>
        <v/>
      </c>
      <c r="M56" s="59">
        <f t="shared" si="47"/>
        <v>0</v>
      </c>
      <c r="N56" s="59" t="str">
        <f>IFERROR('3)직접비'!N56+$T56*N$116,"")</f>
        <v/>
      </c>
      <c r="O56" s="59">
        <f t="shared" si="35"/>
        <v>0</v>
      </c>
      <c r="P56" s="21"/>
      <c r="R56" s="19" t="s">
        <v>50</v>
      </c>
      <c r="S56" s="35"/>
      <c r="T56" s="58"/>
      <c r="U56" s="99" t="s">
        <v>139</v>
      </c>
    </row>
    <row r="57" spans="2:21" ht="18" customHeight="1">
      <c r="B57" s="19" t="s">
        <v>58</v>
      </c>
      <c r="C57" s="35"/>
      <c r="D57" s="58">
        <f t="shared" si="31"/>
        <v>0</v>
      </c>
      <c r="E57" s="59" t="str">
        <f>IFERROR('3)직접비'!E57+$T57*E$116,"")</f>
        <v/>
      </c>
      <c r="F57" s="59" t="str">
        <f>IFERROR('3)직접비'!F57+$T57*F$116,"")</f>
        <v/>
      </c>
      <c r="G57" s="59">
        <f t="shared" si="45"/>
        <v>0</v>
      </c>
      <c r="H57" s="59" t="str">
        <f>IFERROR('3)직접비'!H57+$T57*H$116,"")</f>
        <v/>
      </c>
      <c r="I57" s="59" t="str">
        <f>IFERROR('3)직접비'!I57+$T57*I$116,"")</f>
        <v/>
      </c>
      <c r="J57" s="59">
        <f t="shared" si="46"/>
        <v>0</v>
      </c>
      <c r="K57" s="59" t="str">
        <f>IFERROR('3)직접비'!K57+$T57*K$116,"")</f>
        <v/>
      </c>
      <c r="L57" s="59" t="str">
        <f>IFERROR('3)직접비'!L57+$T57*L$116,"")</f>
        <v/>
      </c>
      <c r="M57" s="59">
        <f t="shared" si="47"/>
        <v>0</v>
      </c>
      <c r="N57" s="59" t="str">
        <f>IFERROR('3)직접비'!N57+$T57*N$116,"")</f>
        <v/>
      </c>
      <c r="O57" s="59">
        <f t="shared" si="35"/>
        <v>0</v>
      </c>
      <c r="P57" s="21"/>
      <c r="R57" s="19" t="s">
        <v>58</v>
      </c>
      <c r="S57" s="35"/>
      <c r="T57" s="58"/>
      <c r="U57" s="99" t="s">
        <v>139</v>
      </c>
    </row>
    <row r="58" spans="2:21" ht="18" customHeight="1">
      <c r="B58" s="22" t="s">
        <v>19</v>
      </c>
      <c r="C58" s="38"/>
      <c r="D58" s="62">
        <f t="shared" si="31"/>
        <v>0</v>
      </c>
      <c r="E58" s="63">
        <f>SUM(E53:E57)</f>
        <v>0</v>
      </c>
      <c r="F58" s="63">
        <f>SUM(F53:F57)</f>
        <v>0</v>
      </c>
      <c r="G58" s="63">
        <f t="shared" si="32"/>
        <v>0</v>
      </c>
      <c r="H58" s="63">
        <f>SUM(H53:H57)</f>
        <v>0</v>
      </c>
      <c r="I58" s="63">
        <f>SUM(I53:I57)</f>
        <v>0</v>
      </c>
      <c r="J58" s="63">
        <f t="shared" si="33"/>
        <v>0</v>
      </c>
      <c r="K58" s="63">
        <f>SUM(K53:K57)</f>
        <v>0</v>
      </c>
      <c r="L58" s="63">
        <f>SUM(L53:L57)</f>
        <v>0</v>
      </c>
      <c r="M58" s="63">
        <f t="shared" si="34"/>
        <v>0</v>
      </c>
      <c r="N58" s="63">
        <f>SUM(N53:N57)</f>
        <v>0</v>
      </c>
      <c r="O58" s="63">
        <f t="shared" si="35"/>
        <v>0</v>
      </c>
      <c r="P58" s="24"/>
      <c r="R58" s="22" t="s">
        <v>19</v>
      </c>
      <c r="S58" s="38"/>
      <c r="T58" s="62">
        <f>SUM(T53:T57)</f>
        <v>0</v>
      </c>
      <c r="U58" s="102"/>
    </row>
    <row r="59" spans="2:21" ht="18" customHeight="1">
      <c r="B59" s="26" t="s">
        <v>61</v>
      </c>
      <c r="C59" s="37"/>
      <c r="D59" s="45">
        <f t="shared" si="31"/>
        <v>0</v>
      </c>
      <c r="E59" s="46">
        <f>IFERROR('3)직접비'!E59+$T59*E$112,"")</f>
        <v>0</v>
      </c>
      <c r="F59" s="46">
        <f>IFERROR('3)직접비'!F59+$T59*F$112,"")</f>
        <v>0</v>
      </c>
      <c r="G59" s="46">
        <f t="shared" ref="G59:G63" si="48">SUM(E59:F59)</f>
        <v>0</v>
      </c>
      <c r="H59" s="46">
        <f>IFERROR('3)직접비'!H59+$T59*H$112,"")</f>
        <v>0</v>
      </c>
      <c r="I59" s="46">
        <f>IFERROR('3)직접비'!I59+$T59*I$112,"")</f>
        <v>0</v>
      </c>
      <c r="J59" s="46">
        <f t="shared" ref="J59:J63" si="49">SUM(H59:I59)</f>
        <v>0</v>
      </c>
      <c r="K59" s="46">
        <f>IFERROR('3)직접비'!K59+$T59*K$112,"")</f>
        <v>0</v>
      </c>
      <c r="L59" s="46">
        <f>IFERROR('3)직접비'!L59+$T59*L$112,"")</f>
        <v>0</v>
      </c>
      <c r="M59" s="46">
        <f t="shared" ref="M59:M63" si="50">SUM(K59:L59)</f>
        <v>0</v>
      </c>
      <c r="N59" s="46" t="str">
        <f>IFERROR('3)직접비'!N59+$T59*N$112,"")</f>
        <v/>
      </c>
      <c r="O59" s="46">
        <f t="shared" si="35"/>
        <v>0</v>
      </c>
      <c r="P59" s="12"/>
      <c r="R59" s="26" t="s">
        <v>61</v>
      </c>
      <c r="S59" s="37"/>
      <c r="T59" s="45"/>
      <c r="U59" s="101" t="s">
        <v>136</v>
      </c>
    </row>
    <row r="60" spans="2:21" ht="18" customHeight="1">
      <c r="B60" s="19" t="s">
        <v>67</v>
      </c>
      <c r="C60" s="35"/>
      <c r="D60" s="58">
        <f t="shared" si="31"/>
        <v>0</v>
      </c>
      <c r="E60" s="59">
        <f>IFERROR('3)직접비'!E60+$T60*E$112,"")</f>
        <v>0</v>
      </c>
      <c r="F60" s="59">
        <f>IFERROR('3)직접비'!F60+$T60*F$112,"")</f>
        <v>0</v>
      </c>
      <c r="G60" s="59">
        <f t="shared" si="48"/>
        <v>0</v>
      </c>
      <c r="H60" s="59">
        <f>IFERROR('3)직접비'!H60+$T60*H$112,"")</f>
        <v>0</v>
      </c>
      <c r="I60" s="59">
        <f>IFERROR('3)직접비'!I60+$T60*I$112,"")</f>
        <v>0</v>
      </c>
      <c r="J60" s="59">
        <f t="shared" si="49"/>
        <v>0</v>
      </c>
      <c r="K60" s="59">
        <f>IFERROR('3)직접비'!K60+$T60*K$112,"")</f>
        <v>0</v>
      </c>
      <c r="L60" s="59">
        <f>IFERROR('3)직접비'!L60+$T60*L$112,"")</f>
        <v>0</v>
      </c>
      <c r="M60" s="59">
        <f t="shared" si="50"/>
        <v>0</v>
      </c>
      <c r="N60" s="59" t="str">
        <f>IFERROR('3)직접비'!N60+$T60*N$112,"")</f>
        <v/>
      </c>
      <c r="O60" s="59">
        <f t="shared" si="35"/>
        <v>0</v>
      </c>
      <c r="P60" s="21"/>
      <c r="R60" s="19" t="s">
        <v>67</v>
      </c>
      <c r="S60" s="35"/>
      <c r="T60" s="58"/>
      <c r="U60" s="99" t="s">
        <v>136</v>
      </c>
    </row>
    <row r="61" spans="2:21" ht="18" customHeight="1">
      <c r="B61" s="19" t="s">
        <v>69</v>
      </c>
      <c r="C61" s="35"/>
      <c r="D61" s="58">
        <f t="shared" si="31"/>
        <v>0</v>
      </c>
      <c r="E61" s="59">
        <f>IFERROR('3)직접비'!E61+$T61*E$112,"")</f>
        <v>0</v>
      </c>
      <c r="F61" s="59">
        <f>IFERROR('3)직접비'!F61+$T61*F$112,"")</f>
        <v>0</v>
      </c>
      <c r="G61" s="59">
        <f t="shared" si="48"/>
        <v>0</v>
      </c>
      <c r="H61" s="59">
        <f>IFERROR('3)직접비'!H61+$T61*H$112,"")</f>
        <v>0</v>
      </c>
      <c r="I61" s="59">
        <f>IFERROR('3)직접비'!I61+$T61*I$112,"")</f>
        <v>0</v>
      </c>
      <c r="J61" s="59">
        <f t="shared" si="49"/>
        <v>0</v>
      </c>
      <c r="K61" s="59">
        <f>IFERROR('3)직접비'!K61+$T61*K$112,"")</f>
        <v>0</v>
      </c>
      <c r="L61" s="59">
        <f>IFERROR('3)직접비'!L61+$T61*L$112,"")</f>
        <v>0</v>
      </c>
      <c r="M61" s="59">
        <f t="shared" si="50"/>
        <v>0</v>
      </c>
      <c r="N61" s="59" t="str">
        <f>IFERROR('3)직접비'!N61+$T61*N$112,"")</f>
        <v/>
      </c>
      <c r="O61" s="59">
        <f t="shared" si="35"/>
        <v>0</v>
      </c>
      <c r="P61" s="21"/>
      <c r="R61" s="19" t="s">
        <v>69</v>
      </c>
      <c r="S61" s="35"/>
      <c r="T61" s="58"/>
      <c r="U61" s="99" t="s">
        <v>136</v>
      </c>
    </row>
    <row r="62" spans="2:21" ht="18" customHeight="1">
      <c r="B62" s="19" t="s">
        <v>68</v>
      </c>
      <c r="C62" s="35"/>
      <c r="D62" s="58">
        <f t="shared" si="31"/>
        <v>0</v>
      </c>
      <c r="E62" s="59">
        <f>IFERROR('3)직접비'!E62+$T62*E$112,"")</f>
        <v>0</v>
      </c>
      <c r="F62" s="59">
        <f>IFERROR('3)직접비'!F62+$T62*F$112,"")</f>
        <v>0</v>
      </c>
      <c r="G62" s="59">
        <f t="shared" si="48"/>
        <v>0</v>
      </c>
      <c r="H62" s="59">
        <f>IFERROR('3)직접비'!H62+$T62*H$112,"")</f>
        <v>0</v>
      </c>
      <c r="I62" s="59">
        <f>IFERROR('3)직접비'!I62+$T62*I$112,"")</f>
        <v>0</v>
      </c>
      <c r="J62" s="59">
        <f t="shared" si="49"/>
        <v>0</v>
      </c>
      <c r="K62" s="59">
        <f>IFERROR('3)직접비'!K62+$T62*K$112,"")</f>
        <v>0</v>
      </c>
      <c r="L62" s="59">
        <f>IFERROR('3)직접비'!L62+$T62*L$112,"")</f>
        <v>0</v>
      </c>
      <c r="M62" s="59">
        <f t="shared" si="50"/>
        <v>0</v>
      </c>
      <c r="N62" s="59" t="str">
        <f>IFERROR('3)직접비'!N62+$T62*N$112,"")</f>
        <v/>
      </c>
      <c r="O62" s="59">
        <f t="shared" si="35"/>
        <v>0</v>
      </c>
      <c r="P62" s="21"/>
      <c r="R62" s="19" t="s">
        <v>68</v>
      </c>
      <c r="S62" s="35"/>
      <c r="T62" s="58"/>
      <c r="U62" s="99" t="s">
        <v>136</v>
      </c>
    </row>
    <row r="63" spans="2:21" ht="18" customHeight="1">
      <c r="B63" s="19" t="s">
        <v>70</v>
      </c>
      <c r="C63" s="35"/>
      <c r="D63" s="58">
        <f t="shared" si="31"/>
        <v>0</v>
      </c>
      <c r="E63" s="59">
        <f>IFERROR('3)직접비'!E63+$T63*E$112,"")</f>
        <v>0</v>
      </c>
      <c r="F63" s="59">
        <f>IFERROR('3)직접비'!F63+$T63*F$112,"")</f>
        <v>0</v>
      </c>
      <c r="G63" s="59">
        <f t="shared" si="48"/>
        <v>0</v>
      </c>
      <c r="H63" s="59">
        <f>IFERROR('3)직접비'!H63+$T63*H$112,"")</f>
        <v>0</v>
      </c>
      <c r="I63" s="59">
        <f>IFERROR('3)직접비'!I63+$T63*I$112,"")</f>
        <v>0</v>
      </c>
      <c r="J63" s="59">
        <f t="shared" si="49"/>
        <v>0</v>
      </c>
      <c r="K63" s="59">
        <f>IFERROR('3)직접비'!K63+$T63*K$112,"")</f>
        <v>0</v>
      </c>
      <c r="L63" s="59">
        <f>IFERROR('3)직접비'!L63+$T63*L$112,"")</f>
        <v>0</v>
      </c>
      <c r="M63" s="59">
        <f t="shared" si="50"/>
        <v>0</v>
      </c>
      <c r="N63" s="59" t="str">
        <f>IFERROR('3)직접비'!N63+$T63*N$112,"")</f>
        <v/>
      </c>
      <c r="O63" s="59">
        <f t="shared" si="35"/>
        <v>0</v>
      </c>
      <c r="P63" s="21"/>
      <c r="R63" s="19" t="s">
        <v>70</v>
      </c>
      <c r="S63" s="35"/>
      <c r="T63" s="58"/>
      <c r="U63" s="99" t="s">
        <v>136</v>
      </c>
    </row>
    <row r="64" spans="2:21" ht="18" customHeight="1">
      <c r="B64" s="22" t="s">
        <v>26</v>
      </c>
      <c r="C64" s="38"/>
      <c r="D64" s="62">
        <f t="shared" si="31"/>
        <v>0</v>
      </c>
      <c r="E64" s="63">
        <f>SUM(E60:E63)</f>
        <v>0</v>
      </c>
      <c r="F64" s="63">
        <f>SUM(F60:F63)</f>
        <v>0</v>
      </c>
      <c r="G64" s="63">
        <f t="shared" si="32"/>
        <v>0</v>
      </c>
      <c r="H64" s="63">
        <f>SUM(H60:H63)</f>
        <v>0</v>
      </c>
      <c r="I64" s="63">
        <f>SUM(I60:I63)</f>
        <v>0</v>
      </c>
      <c r="J64" s="63">
        <f t="shared" si="33"/>
        <v>0</v>
      </c>
      <c r="K64" s="63">
        <f>SUM(K60:K63)</f>
        <v>0</v>
      </c>
      <c r="L64" s="63">
        <f>SUM(L60:L63)</f>
        <v>0</v>
      </c>
      <c r="M64" s="63">
        <f t="shared" si="34"/>
        <v>0</v>
      </c>
      <c r="N64" s="63">
        <f>SUM(N60:N63)</f>
        <v>0</v>
      </c>
      <c r="O64" s="63">
        <f t="shared" si="35"/>
        <v>0</v>
      </c>
      <c r="P64" s="24"/>
      <c r="R64" s="22" t="s">
        <v>26</v>
      </c>
      <c r="S64" s="38"/>
      <c r="T64" s="62">
        <f>SUM(T60:T63)</f>
        <v>0</v>
      </c>
      <c r="U64" s="102"/>
    </row>
    <row r="65" spans="2:21" ht="18" customHeight="1">
      <c r="B65" s="26" t="s">
        <v>62</v>
      </c>
      <c r="C65" s="37"/>
      <c r="D65" s="45">
        <f t="shared" si="31"/>
        <v>0</v>
      </c>
      <c r="E65" s="46">
        <f>IFERROR('3)직접비'!E65+$T65*E$112,"")</f>
        <v>0</v>
      </c>
      <c r="F65" s="46">
        <f>IFERROR('3)직접비'!F65+$T65*F$112,"")</f>
        <v>0</v>
      </c>
      <c r="G65" s="46">
        <f t="shared" ref="G65:G69" si="51">SUM(E65:F65)</f>
        <v>0</v>
      </c>
      <c r="H65" s="46">
        <f>IFERROR('3)직접비'!H65+$T65*H$112,"")</f>
        <v>0</v>
      </c>
      <c r="I65" s="46">
        <f>IFERROR('3)직접비'!I65+$T65*I$112,"")</f>
        <v>0</v>
      </c>
      <c r="J65" s="46">
        <f t="shared" ref="J65:J69" si="52">SUM(H65:I65)</f>
        <v>0</v>
      </c>
      <c r="K65" s="46">
        <f>IFERROR('3)직접비'!K65+$T65*K$112,"")</f>
        <v>0</v>
      </c>
      <c r="L65" s="46">
        <f>IFERROR('3)직접비'!L65+$T65*L$112,"")</f>
        <v>0</v>
      </c>
      <c r="M65" s="46">
        <f t="shared" ref="M65:M69" si="53">SUM(K65:L65)</f>
        <v>0</v>
      </c>
      <c r="N65" s="46" t="str">
        <f>IFERROR('3)직접비'!N65+$T65*N$112,"")</f>
        <v/>
      </c>
      <c r="O65" s="46">
        <f t="shared" si="35"/>
        <v>0</v>
      </c>
      <c r="P65" s="12"/>
      <c r="R65" s="26" t="s">
        <v>62</v>
      </c>
      <c r="S65" s="37"/>
      <c r="T65" s="45"/>
      <c r="U65" s="101" t="s">
        <v>136</v>
      </c>
    </row>
    <row r="66" spans="2:21" ht="18" customHeight="1">
      <c r="B66" s="19" t="s">
        <v>66</v>
      </c>
      <c r="C66" s="35"/>
      <c r="D66" s="58">
        <f t="shared" si="31"/>
        <v>0</v>
      </c>
      <c r="E66" s="59">
        <f>IFERROR('3)직접비'!E66+$T66*E$112,"")</f>
        <v>0</v>
      </c>
      <c r="F66" s="59">
        <f>IFERROR('3)직접비'!F66+$T66*F$112,"")</f>
        <v>0</v>
      </c>
      <c r="G66" s="59">
        <f t="shared" si="51"/>
        <v>0</v>
      </c>
      <c r="H66" s="59">
        <f>IFERROR('3)직접비'!H66+$T66*H$112,"")</f>
        <v>0</v>
      </c>
      <c r="I66" s="59">
        <f>IFERROR('3)직접비'!I66+$T66*I$112,"")</f>
        <v>0</v>
      </c>
      <c r="J66" s="59">
        <f t="shared" si="52"/>
        <v>0</v>
      </c>
      <c r="K66" s="59">
        <f>IFERROR('3)직접비'!K66+$T66*K$112,"")</f>
        <v>0</v>
      </c>
      <c r="L66" s="59">
        <f>IFERROR('3)직접비'!L66+$T66*L$112,"")</f>
        <v>0</v>
      </c>
      <c r="M66" s="59">
        <f t="shared" si="53"/>
        <v>0</v>
      </c>
      <c r="N66" s="59" t="str">
        <f>IFERROR('3)직접비'!N66+$T66*N$112,"")</f>
        <v/>
      </c>
      <c r="O66" s="59">
        <f t="shared" si="35"/>
        <v>0</v>
      </c>
      <c r="P66" s="21"/>
      <c r="R66" s="19" t="s">
        <v>66</v>
      </c>
      <c r="S66" s="35"/>
      <c r="T66" s="58"/>
      <c r="U66" s="99" t="s">
        <v>136</v>
      </c>
    </row>
    <row r="67" spans="2:21" ht="18" customHeight="1">
      <c r="B67" s="19" t="s">
        <v>63</v>
      </c>
      <c r="C67" s="35"/>
      <c r="D67" s="58">
        <f t="shared" si="31"/>
        <v>0</v>
      </c>
      <c r="E67" s="59">
        <f>IFERROR('3)직접비'!E67+$T67*E$112,"")</f>
        <v>0</v>
      </c>
      <c r="F67" s="59">
        <f>IFERROR('3)직접비'!F67+$T67*F$112,"")</f>
        <v>0</v>
      </c>
      <c r="G67" s="59">
        <f t="shared" si="51"/>
        <v>0</v>
      </c>
      <c r="H67" s="59">
        <f>IFERROR('3)직접비'!H67+$T67*H$112,"")</f>
        <v>0</v>
      </c>
      <c r="I67" s="59">
        <f>IFERROR('3)직접비'!I67+$T67*I$112,"")</f>
        <v>0</v>
      </c>
      <c r="J67" s="59">
        <f t="shared" si="52"/>
        <v>0</v>
      </c>
      <c r="K67" s="59">
        <f>IFERROR('3)직접비'!K67+$T67*K$112,"")</f>
        <v>0</v>
      </c>
      <c r="L67" s="59">
        <f>IFERROR('3)직접비'!L67+$T67*L$112,"")</f>
        <v>0</v>
      </c>
      <c r="M67" s="59">
        <f t="shared" si="53"/>
        <v>0</v>
      </c>
      <c r="N67" s="59" t="str">
        <f>IFERROR('3)직접비'!N67+$T67*N$112,"")</f>
        <v/>
      </c>
      <c r="O67" s="59">
        <f t="shared" si="35"/>
        <v>0</v>
      </c>
      <c r="P67" s="21"/>
      <c r="R67" s="19" t="s">
        <v>63</v>
      </c>
      <c r="S67" s="35"/>
      <c r="T67" s="58"/>
      <c r="U67" s="99" t="s">
        <v>136</v>
      </c>
    </row>
    <row r="68" spans="2:21" ht="18" customHeight="1">
      <c r="B68" s="19" t="s">
        <v>64</v>
      </c>
      <c r="C68" s="35"/>
      <c r="D68" s="58">
        <f t="shared" si="31"/>
        <v>0</v>
      </c>
      <c r="E68" s="59">
        <f>IFERROR('3)직접비'!E68+$T68*E$112,"")</f>
        <v>0</v>
      </c>
      <c r="F68" s="59">
        <f>IFERROR('3)직접비'!F68+$T68*F$112,"")</f>
        <v>0</v>
      </c>
      <c r="G68" s="59">
        <f t="shared" si="51"/>
        <v>0</v>
      </c>
      <c r="H68" s="59">
        <f>IFERROR('3)직접비'!H68+$T68*H$112,"")</f>
        <v>0</v>
      </c>
      <c r="I68" s="59">
        <f>IFERROR('3)직접비'!I68+$T68*I$112,"")</f>
        <v>0</v>
      </c>
      <c r="J68" s="59">
        <f t="shared" si="52"/>
        <v>0</v>
      </c>
      <c r="K68" s="59">
        <f>IFERROR('3)직접비'!K68+$T68*K$112,"")</f>
        <v>0</v>
      </c>
      <c r="L68" s="59">
        <f>IFERROR('3)직접비'!L68+$T68*L$112,"")</f>
        <v>0</v>
      </c>
      <c r="M68" s="59">
        <f t="shared" si="53"/>
        <v>0</v>
      </c>
      <c r="N68" s="59" t="str">
        <f>IFERROR('3)직접비'!N68+$T68*N$112,"")</f>
        <v/>
      </c>
      <c r="O68" s="59">
        <f t="shared" si="35"/>
        <v>0</v>
      </c>
      <c r="P68" s="21"/>
      <c r="R68" s="19" t="s">
        <v>64</v>
      </c>
      <c r="S68" s="35"/>
      <c r="T68" s="58"/>
      <c r="U68" s="99" t="s">
        <v>136</v>
      </c>
    </row>
    <row r="69" spans="2:21" ht="18" customHeight="1">
      <c r="B69" s="19" t="s">
        <v>65</v>
      </c>
      <c r="C69" s="35"/>
      <c r="D69" s="58">
        <f t="shared" si="31"/>
        <v>0</v>
      </c>
      <c r="E69" s="59">
        <f>IFERROR('3)직접비'!E69+$T69*E$112,"")</f>
        <v>0</v>
      </c>
      <c r="F69" s="59">
        <f>IFERROR('3)직접비'!F69+$T69*F$112,"")</f>
        <v>0</v>
      </c>
      <c r="G69" s="59">
        <f t="shared" si="51"/>
        <v>0</v>
      </c>
      <c r="H69" s="59">
        <f>IFERROR('3)직접비'!H69+$T69*H$112,"")</f>
        <v>0</v>
      </c>
      <c r="I69" s="59">
        <f>IFERROR('3)직접비'!I69+$T69*I$112,"")</f>
        <v>0</v>
      </c>
      <c r="J69" s="59">
        <f t="shared" si="52"/>
        <v>0</v>
      </c>
      <c r="K69" s="59">
        <f>IFERROR('3)직접비'!K69+$T69*K$112,"")</f>
        <v>0</v>
      </c>
      <c r="L69" s="59">
        <f>IFERROR('3)직접비'!L69+$T69*L$112,"")</f>
        <v>0</v>
      </c>
      <c r="M69" s="59">
        <f t="shared" si="53"/>
        <v>0</v>
      </c>
      <c r="N69" s="59" t="str">
        <f>IFERROR('3)직접비'!N69+$T69*N$112,"")</f>
        <v/>
      </c>
      <c r="O69" s="59">
        <f t="shared" si="35"/>
        <v>0</v>
      </c>
      <c r="P69" s="21"/>
      <c r="R69" s="19" t="s">
        <v>65</v>
      </c>
      <c r="S69" s="35"/>
      <c r="T69" s="58"/>
      <c r="U69" s="99" t="s">
        <v>136</v>
      </c>
    </row>
    <row r="70" spans="2:21" ht="18" customHeight="1">
      <c r="B70" s="22" t="s">
        <v>25</v>
      </c>
      <c r="C70" s="38"/>
      <c r="D70" s="62">
        <f t="shared" si="31"/>
        <v>0</v>
      </c>
      <c r="E70" s="63">
        <f>SUM(E66:E69)</f>
        <v>0</v>
      </c>
      <c r="F70" s="63">
        <f>SUM(F66:F69)</f>
        <v>0</v>
      </c>
      <c r="G70" s="63">
        <f t="shared" si="32"/>
        <v>0</v>
      </c>
      <c r="H70" s="63">
        <f>SUM(H66:H69)</f>
        <v>0</v>
      </c>
      <c r="I70" s="63">
        <f>SUM(I66:I69)</f>
        <v>0</v>
      </c>
      <c r="J70" s="63">
        <f t="shared" si="33"/>
        <v>0</v>
      </c>
      <c r="K70" s="63">
        <f>SUM(K66:K69)</f>
        <v>0</v>
      </c>
      <c r="L70" s="63">
        <f>SUM(L66:L69)</f>
        <v>0</v>
      </c>
      <c r="M70" s="63">
        <f t="shared" si="34"/>
        <v>0</v>
      </c>
      <c r="N70" s="63">
        <f>SUM(N66:N69)</f>
        <v>0</v>
      </c>
      <c r="O70" s="63">
        <f t="shared" si="35"/>
        <v>0</v>
      </c>
      <c r="P70" s="24"/>
      <c r="R70" s="22" t="s">
        <v>25</v>
      </c>
      <c r="S70" s="38"/>
      <c r="T70" s="62">
        <f>SUM(T66:T69)</f>
        <v>0</v>
      </c>
      <c r="U70" s="102"/>
    </row>
    <row r="71" spans="2:21" ht="18" customHeight="1">
      <c r="B71" s="19" t="s">
        <v>74</v>
      </c>
      <c r="C71" s="35"/>
      <c r="D71" s="58">
        <f t="shared" si="31"/>
        <v>0</v>
      </c>
      <c r="E71" s="59" t="str">
        <f>IFERROR('3)직접비'!E71+$T71*E$116,"")</f>
        <v/>
      </c>
      <c r="F71" s="59" t="str">
        <f>IFERROR('3)직접비'!F71+$T71*F$116,"")</f>
        <v/>
      </c>
      <c r="G71" s="59">
        <f t="shared" ref="G71:G72" si="54">SUM(E71:F71)</f>
        <v>0</v>
      </c>
      <c r="H71" s="59" t="str">
        <f>IFERROR('3)직접비'!H71+$T71*H$116,"")</f>
        <v/>
      </c>
      <c r="I71" s="59" t="str">
        <f>IFERROR('3)직접비'!I71+$T71*I$116,"")</f>
        <v/>
      </c>
      <c r="J71" s="59">
        <f t="shared" ref="J71:J72" si="55">SUM(H71:I71)</f>
        <v>0</v>
      </c>
      <c r="K71" s="59" t="str">
        <f>IFERROR('3)직접비'!K71+$T71*K$116,"")</f>
        <v/>
      </c>
      <c r="L71" s="59" t="str">
        <f>IFERROR('3)직접비'!L71+$T71*L$116,"")</f>
        <v/>
      </c>
      <c r="M71" s="59">
        <f t="shared" ref="M71:M72" si="56">SUM(K71:L71)</f>
        <v>0</v>
      </c>
      <c r="N71" s="59" t="str">
        <f>IFERROR('3)직접비'!N71+$T71*N$116,"")</f>
        <v/>
      </c>
      <c r="O71" s="59">
        <f t="shared" si="35"/>
        <v>0</v>
      </c>
      <c r="P71" s="21"/>
      <c r="R71" s="19" t="s">
        <v>74</v>
      </c>
      <c r="S71" s="35"/>
      <c r="T71" s="58"/>
      <c r="U71" s="99" t="s">
        <v>139</v>
      </c>
    </row>
    <row r="72" spans="2:21" ht="18" customHeight="1">
      <c r="B72" s="19" t="s">
        <v>75</v>
      </c>
      <c r="C72" s="35"/>
      <c r="D72" s="58">
        <f t="shared" si="31"/>
        <v>0</v>
      </c>
      <c r="E72" s="59" t="str">
        <f>IFERROR('3)직접비'!E72+$T72*E$116,"")</f>
        <v/>
      </c>
      <c r="F72" s="59" t="str">
        <f>IFERROR('3)직접비'!F72+$T72*F$116,"")</f>
        <v/>
      </c>
      <c r="G72" s="59">
        <f t="shared" si="54"/>
        <v>0</v>
      </c>
      <c r="H72" s="59" t="str">
        <f>IFERROR('3)직접비'!H72+$T72*H$116,"")</f>
        <v/>
      </c>
      <c r="I72" s="59" t="str">
        <f>IFERROR('3)직접비'!I72+$T72*I$116,"")</f>
        <v/>
      </c>
      <c r="J72" s="59">
        <f t="shared" si="55"/>
        <v>0</v>
      </c>
      <c r="K72" s="59" t="str">
        <f>IFERROR('3)직접비'!K72+$T72*K$116,"")</f>
        <v/>
      </c>
      <c r="L72" s="59" t="str">
        <f>IFERROR('3)직접비'!L72+$T72*L$116,"")</f>
        <v/>
      </c>
      <c r="M72" s="59">
        <f t="shared" si="56"/>
        <v>0</v>
      </c>
      <c r="N72" s="59" t="str">
        <f>IFERROR('3)직접비'!N72+$T72*N$116,"")</f>
        <v/>
      </c>
      <c r="O72" s="59">
        <f t="shared" si="35"/>
        <v>0</v>
      </c>
      <c r="P72" s="21"/>
      <c r="R72" s="19" t="s">
        <v>75</v>
      </c>
      <c r="S72" s="35"/>
      <c r="T72" s="58"/>
      <c r="U72" s="99" t="s">
        <v>139</v>
      </c>
    </row>
    <row r="73" spans="2:21" ht="18" customHeight="1">
      <c r="B73" s="19" t="s">
        <v>76</v>
      </c>
      <c r="C73" s="35"/>
      <c r="D73" s="58">
        <f t="shared" si="31"/>
        <v>0</v>
      </c>
      <c r="E73" s="59">
        <f>IFERROR('3)직접비'!E73+$T73*E$112,"")</f>
        <v>0</v>
      </c>
      <c r="F73" s="59">
        <f>IFERROR('3)직접비'!F73+$T73*F$112,"")</f>
        <v>0</v>
      </c>
      <c r="G73" s="59">
        <f t="shared" ref="G73:G78" si="57">SUM(E73:F73)</f>
        <v>0</v>
      </c>
      <c r="H73" s="59">
        <f>IFERROR('3)직접비'!H73+$T73*H$112,"")</f>
        <v>0</v>
      </c>
      <c r="I73" s="59">
        <f>IFERROR('3)직접비'!I73+$T73*I$112,"")</f>
        <v>0</v>
      </c>
      <c r="J73" s="59">
        <f t="shared" ref="J73:J78" si="58">SUM(H73:I73)</f>
        <v>0</v>
      </c>
      <c r="K73" s="59">
        <f>IFERROR('3)직접비'!K73+$T73*K$112,"")</f>
        <v>0</v>
      </c>
      <c r="L73" s="59">
        <f>IFERROR('3)직접비'!L73+$T73*L$112,"")</f>
        <v>0</v>
      </c>
      <c r="M73" s="59">
        <f t="shared" ref="M73:M78" si="59">SUM(K73:L73)</f>
        <v>0</v>
      </c>
      <c r="N73" s="59" t="str">
        <f>IFERROR('3)직접비'!N73+$T73*N$112,"")</f>
        <v/>
      </c>
      <c r="O73" s="59">
        <f t="shared" si="35"/>
        <v>0</v>
      </c>
      <c r="P73" s="21"/>
      <c r="R73" s="19" t="s">
        <v>76</v>
      </c>
      <c r="S73" s="35"/>
      <c r="T73" s="58"/>
      <c r="U73" s="99" t="s">
        <v>136</v>
      </c>
    </row>
    <row r="74" spans="2:21" ht="18" customHeight="1">
      <c r="B74" s="19" t="s">
        <v>77</v>
      </c>
      <c r="C74" s="35"/>
      <c r="D74" s="58">
        <f t="shared" si="31"/>
        <v>0</v>
      </c>
      <c r="E74" s="59">
        <f>IFERROR('3)직접비'!E74+$T74*E$112,"")</f>
        <v>0</v>
      </c>
      <c r="F74" s="59">
        <f>IFERROR('3)직접비'!F74+$T74*F$112,"")</f>
        <v>0</v>
      </c>
      <c r="G74" s="59">
        <f t="shared" si="57"/>
        <v>0</v>
      </c>
      <c r="H74" s="59">
        <f>IFERROR('3)직접비'!H74+$T74*H$112,"")</f>
        <v>0</v>
      </c>
      <c r="I74" s="59">
        <f>IFERROR('3)직접비'!I74+$T74*I$112,"")</f>
        <v>0</v>
      </c>
      <c r="J74" s="59">
        <f t="shared" si="58"/>
        <v>0</v>
      </c>
      <c r="K74" s="59">
        <f>IFERROR('3)직접비'!K74+$T74*K$112,"")</f>
        <v>0</v>
      </c>
      <c r="L74" s="59">
        <f>IFERROR('3)직접비'!L74+$T74*L$112,"")</f>
        <v>0</v>
      </c>
      <c r="M74" s="59">
        <f t="shared" si="59"/>
        <v>0</v>
      </c>
      <c r="N74" s="59" t="str">
        <f>IFERROR('3)직접비'!N74+$T74*N$112,"")</f>
        <v/>
      </c>
      <c r="O74" s="59">
        <f t="shared" si="35"/>
        <v>0</v>
      </c>
      <c r="P74" s="21"/>
      <c r="R74" s="19" t="s">
        <v>77</v>
      </c>
      <c r="S74" s="35"/>
      <c r="T74" s="58"/>
      <c r="U74" s="99" t="s">
        <v>136</v>
      </c>
    </row>
    <row r="75" spans="2:21" ht="18" customHeight="1">
      <c r="B75" s="19" t="s">
        <v>78</v>
      </c>
      <c r="C75" s="35"/>
      <c r="D75" s="58">
        <f t="shared" si="31"/>
        <v>0</v>
      </c>
      <c r="E75" s="59">
        <f>IFERROR('3)직접비'!E75+$T75*E$112,"")</f>
        <v>0</v>
      </c>
      <c r="F75" s="59">
        <f>IFERROR('3)직접비'!F75+$T75*F$112,"")</f>
        <v>0</v>
      </c>
      <c r="G75" s="59">
        <f t="shared" si="57"/>
        <v>0</v>
      </c>
      <c r="H75" s="59">
        <f>IFERROR('3)직접비'!H75+$T75*H$112,"")</f>
        <v>0</v>
      </c>
      <c r="I75" s="59">
        <f>IFERROR('3)직접비'!I75+$T75*I$112,"")</f>
        <v>0</v>
      </c>
      <c r="J75" s="59">
        <f t="shared" si="58"/>
        <v>0</v>
      </c>
      <c r="K75" s="59">
        <f>IFERROR('3)직접비'!K75+$T75*K$112,"")</f>
        <v>0</v>
      </c>
      <c r="L75" s="59">
        <f>IFERROR('3)직접비'!L75+$T75*L$112,"")</f>
        <v>0</v>
      </c>
      <c r="M75" s="59">
        <f t="shared" si="59"/>
        <v>0</v>
      </c>
      <c r="N75" s="59" t="str">
        <f>IFERROR('3)직접비'!N75+$T75*N$112,"")</f>
        <v/>
      </c>
      <c r="O75" s="59">
        <f t="shared" si="35"/>
        <v>0</v>
      </c>
      <c r="P75" s="21"/>
      <c r="R75" s="19" t="s">
        <v>78</v>
      </c>
      <c r="S75" s="35"/>
      <c r="T75" s="58"/>
      <c r="U75" s="99" t="s">
        <v>136</v>
      </c>
    </row>
    <row r="76" spans="2:21" ht="18" customHeight="1">
      <c r="B76" s="19" t="s">
        <v>79</v>
      </c>
      <c r="C76" s="35"/>
      <c r="D76" s="58">
        <f t="shared" si="31"/>
        <v>0</v>
      </c>
      <c r="E76" s="59">
        <f>IFERROR('3)직접비'!E76+$T76*E$112,"")</f>
        <v>0</v>
      </c>
      <c r="F76" s="59">
        <f>IFERROR('3)직접비'!F76+$T76*F$112,"")</f>
        <v>0</v>
      </c>
      <c r="G76" s="59">
        <f t="shared" si="57"/>
        <v>0</v>
      </c>
      <c r="H76" s="59">
        <f>IFERROR('3)직접비'!H76+$T76*H$112,"")</f>
        <v>0</v>
      </c>
      <c r="I76" s="59">
        <f>IFERROR('3)직접비'!I76+$T76*I$112,"")</f>
        <v>0</v>
      </c>
      <c r="J76" s="59">
        <f t="shared" si="58"/>
        <v>0</v>
      </c>
      <c r="K76" s="59">
        <f>IFERROR('3)직접비'!K76+$T76*K$112,"")</f>
        <v>0</v>
      </c>
      <c r="L76" s="59">
        <f>IFERROR('3)직접비'!L76+$T76*L$112,"")</f>
        <v>0</v>
      </c>
      <c r="M76" s="59">
        <f t="shared" si="59"/>
        <v>0</v>
      </c>
      <c r="N76" s="59" t="str">
        <f>IFERROR('3)직접비'!N76+$T76*N$112,"")</f>
        <v/>
      </c>
      <c r="O76" s="59">
        <f t="shared" si="35"/>
        <v>0</v>
      </c>
      <c r="P76" s="21"/>
      <c r="R76" s="19" t="s">
        <v>79</v>
      </c>
      <c r="S76" s="35"/>
      <c r="T76" s="58"/>
      <c r="U76" s="99" t="s">
        <v>136</v>
      </c>
    </row>
    <row r="77" spans="2:21" ht="18" customHeight="1">
      <c r="B77" s="19" t="s">
        <v>80</v>
      </c>
      <c r="C77" s="35"/>
      <c r="D77" s="58">
        <f t="shared" si="31"/>
        <v>0</v>
      </c>
      <c r="E77" s="59">
        <f>IFERROR('3)직접비'!E77+$T77*E$112,"")</f>
        <v>0</v>
      </c>
      <c r="F77" s="59">
        <f>IFERROR('3)직접비'!F77+$T77*F$112,"")</f>
        <v>0</v>
      </c>
      <c r="G77" s="59">
        <f t="shared" si="57"/>
        <v>0</v>
      </c>
      <c r="H77" s="59">
        <f>IFERROR('3)직접비'!H77+$T77*H$112,"")</f>
        <v>0</v>
      </c>
      <c r="I77" s="59">
        <f>IFERROR('3)직접비'!I77+$T77*I$112,"")</f>
        <v>0</v>
      </c>
      <c r="J77" s="59">
        <f t="shared" si="58"/>
        <v>0</v>
      </c>
      <c r="K77" s="59">
        <f>IFERROR('3)직접비'!K77+$T77*K$112,"")</f>
        <v>0</v>
      </c>
      <c r="L77" s="59">
        <f>IFERROR('3)직접비'!L77+$T77*L$112,"")</f>
        <v>0</v>
      </c>
      <c r="M77" s="59">
        <f t="shared" si="59"/>
        <v>0</v>
      </c>
      <c r="N77" s="59" t="str">
        <f>IFERROR('3)직접비'!N77+$T77*N$112,"")</f>
        <v/>
      </c>
      <c r="O77" s="59">
        <f t="shared" si="35"/>
        <v>0</v>
      </c>
      <c r="P77" s="21"/>
      <c r="R77" s="19" t="s">
        <v>80</v>
      </c>
      <c r="S77" s="35"/>
      <c r="T77" s="58"/>
      <c r="U77" s="99" t="s">
        <v>136</v>
      </c>
    </row>
    <row r="78" spans="2:21" ht="18" customHeight="1">
      <c r="B78" s="19" t="s">
        <v>81</v>
      </c>
      <c r="C78" s="35"/>
      <c r="D78" s="58">
        <f t="shared" si="31"/>
        <v>0</v>
      </c>
      <c r="E78" s="59">
        <f>IFERROR('3)직접비'!E78+$T78*E$112,"")</f>
        <v>0</v>
      </c>
      <c r="F78" s="59">
        <f>IFERROR('3)직접비'!F78+$T78*F$112,"")</f>
        <v>0</v>
      </c>
      <c r="G78" s="59">
        <f t="shared" si="57"/>
        <v>0</v>
      </c>
      <c r="H78" s="59">
        <f>IFERROR('3)직접비'!H78+$T78*H$112,"")</f>
        <v>0</v>
      </c>
      <c r="I78" s="59">
        <f>IFERROR('3)직접비'!I78+$T78*I$112,"")</f>
        <v>0</v>
      </c>
      <c r="J78" s="59">
        <f t="shared" si="58"/>
        <v>0</v>
      </c>
      <c r="K78" s="59">
        <f>IFERROR('3)직접비'!K78+$T78*K$112,"")</f>
        <v>0</v>
      </c>
      <c r="L78" s="59">
        <f>IFERROR('3)직접비'!L78+$T78*L$112,"")</f>
        <v>0</v>
      </c>
      <c r="M78" s="59">
        <f t="shared" si="59"/>
        <v>0</v>
      </c>
      <c r="N78" s="59" t="str">
        <f>IFERROR('3)직접비'!N78+$T78*N$112,"")</f>
        <v/>
      </c>
      <c r="O78" s="59">
        <f t="shared" si="35"/>
        <v>0</v>
      </c>
      <c r="P78" s="21"/>
      <c r="R78" s="19" t="s">
        <v>81</v>
      </c>
      <c r="S78" s="35"/>
      <c r="T78" s="58"/>
      <c r="U78" s="99" t="s">
        <v>136</v>
      </c>
    </row>
    <row r="79" spans="2:21" ht="18" customHeight="1">
      <c r="B79" s="22" t="s">
        <v>82</v>
      </c>
      <c r="C79" s="38"/>
      <c r="D79" s="62">
        <f t="shared" si="31"/>
        <v>0</v>
      </c>
      <c r="E79" s="63">
        <f>SUM(E71:E78)</f>
        <v>0</v>
      </c>
      <c r="F79" s="63">
        <f>SUM(F71:F78)</f>
        <v>0</v>
      </c>
      <c r="G79" s="63">
        <f t="shared" si="32"/>
        <v>0</v>
      </c>
      <c r="H79" s="63">
        <f>SUM(H71:H78)</f>
        <v>0</v>
      </c>
      <c r="I79" s="63">
        <f>SUM(I71:I78)</f>
        <v>0</v>
      </c>
      <c r="J79" s="63">
        <f t="shared" si="33"/>
        <v>0</v>
      </c>
      <c r="K79" s="63">
        <f>SUM(K71:K78)</f>
        <v>0</v>
      </c>
      <c r="L79" s="63">
        <f>SUM(L71:L78)</f>
        <v>0</v>
      </c>
      <c r="M79" s="63">
        <f t="shared" si="34"/>
        <v>0</v>
      </c>
      <c r="N79" s="63">
        <f>SUM(N71:N78)</f>
        <v>0</v>
      </c>
      <c r="O79" s="63">
        <f t="shared" si="35"/>
        <v>0</v>
      </c>
      <c r="P79" s="24"/>
      <c r="R79" s="22" t="s">
        <v>82</v>
      </c>
      <c r="S79" s="38"/>
      <c r="T79" s="62">
        <f>SUM(T71:T78)</f>
        <v>0</v>
      </c>
      <c r="U79" s="102"/>
    </row>
    <row r="80" spans="2:21" ht="18" customHeight="1">
      <c r="B80" s="19" t="s">
        <v>72</v>
      </c>
      <c r="C80" s="35"/>
      <c r="D80" s="58">
        <f t="shared" si="31"/>
        <v>0</v>
      </c>
      <c r="E80" s="59" t="str">
        <f>IFERROR('3)직접비'!E80+$T80*E$116,"")</f>
        <v/>
      </c>
      <c r="F80" s="59" t="str">
        <f>IFERROR('3)직접비'!F80+$T80*F$116,"")</f>
        <v/>
      </c>
      <c r="G80" s="59">
        <f t="shared" ref="G80" si="60">SUM(E80:F80)</f>
        <v>0</v>
      </c>
      <c r="H80" s="59" t="str">
        <f>IFERROR('3)직접비'!H80+$T80*H$116,"")</f>
        <v/>
      </c>
      <c r="I80" s="59" t="str">
        <f>IFERROR('3)직접비'!I80+$T80*I$116,"")</f>
        <v/>
      </c>
      <c r="J80" s="59">
        <f t="shared" ref="J80" si="61">SUM(H80:I80)</f>
        <v>0</v>
      </c>
      <c r="K80" s="59" t="str">
        <f>IFERROR('3)직접비'!K80+$T80*K$116,"")</f>
        <v/>
      </c>
      <c r="L80" s="59" t="str">
        <f>IFERROR('3)직접비'!L80+$T80*L$116,"")</f>
        <v/>
      </c>
      <c r="M80" s="59">
        <f t="shared" ref="M80" si="62">SUM(K80:L80)</f>
        <v>0</v>
      </c>
      <c r="N80" s="59" t="str">
        <f>IFERROR('3)직접비'!N80+$T80*N$116,"")</f>
        <v/>
      </c>
      <c r="O80" s="59">
        <f t="shared" si="35"/>
        <v>0</v>
      </c>
      <c r="P80" s="21"/>
      <c r="R80" s="19" t="s">
        <v>72</v>
      </c>
      <c r="S80" s="35"/>
      <c r="T80" s="58"/>
      <c r="U80" s="99" t="s">
        <v>139</v>
      </c>
    </row>
    <row r="81" spans="1:21" ht="18" customHeight="1">
      <c r="B81" s="19" t="s">
        <v>71</v>
      </c>
      <c r="C81" s="35"/>
      <c r="D81" s="58">
        <f t="shared" si="31"/>
        <v>0</v>
      </c>
      <c r="E81" s="59">
        <f>IFERROR('3)직접비'!E81+$T81*E$112,"")</f>
        <v>0</v>
      </c>
      <c r="F81" s="59">
        <f>IFERROR('3)직접비'!F81+$T81*F$112,"")</f>
        <v>0</v>
      </c>
      <c r="G81" s="59">
        <f t="shared" ref="G81" si="63">SUM(E81:F81)</f>
        <v>0</v>
      </c>
      <c r="H81" s="59">
        <f>IFERROR('3)직접비'!H81+$T81*H$112,"")</f>
        <v>0</v>
      </c>
      <c r="I81" s="59">
        <f>IFERROR('3)직접비'!I81+$T81*I$112,"")</f>
        <v>0</v>
      </c>
      <c r="J81" s="59">
        <f t="shared" ref="J81" si="64">SUM(H81:I81)</f>
        <v>0</v>
      </c>
      <c r="K81" s="59">
        <f>IFERROR('3)직접비'!K81+$T81*K$112,"")</f>
        <v>0</v>
      </c>
      <c r="L81" s="59">
        <f>IFERROR('3)직접비'!L81+$T81*L$112,"")</f>
        <v>0</v>
      </c>
      <c r="M81" s="59">
        <f t="shared" ref="M81" si="65">SUM(K81:L81)</f>
        <v>0</v>
      </c>
      <c r="N81" s="59" t="str">
        <f>IFERROR('3)직접비'!N81+$T81*N$112,"")</f>
        <v/>
      </c>
      <c r="O81" s="59">
        <f t="shared" si="35"/>
        <v>0</v>
      </c>
      <c r="P81" s="21"/>
      <c r="R81" s="19" t="s">
        <v>71</v>
      </c>
      <c r="S81" s="35"/>
      <c r="T81" s="58"/>
      <c r="U81" s="99" t="s">
        <v>136</v>
      </c>
    </row>
    <row r="82" spans="1:21" ht="18" customHeight="1">
      <c r="B82" s="22" t="s">
        <v>73</v>
      </c>
      <c r="C82" s="38"/>
      <c r="D82" s="62">
        <f t="shared" si="31"/>
        <v>0</v>
      </c>
      <c r="E82" s="63">
        <f>SUM(E80:E81)</f>
        <v>0</v>
      </c>
      <c r="F82" s="63">
        <f>SUM(F80:F81)</f>
        <v>0</v>
      </c>
      <c r="G82" s="63">
        <f t="shared" si="32"/>
        <v>0</v>
      </c>
      <c r="H82" s="63">
        <f>SUM(H80:H81)</f>
        <v>0</v>
      </c>
      <c r="I82" s="63">
        <f>SUM(I80:I81)</f>
        <v>0</v>
      </c>
      <c r="J82" s="63">
        <f t="shared" si="33"/>
        <v>0</v>
      </c>
      <c r="K82" s="63">
        <f>SUM(K80:K81)</f>
        <v>0</v>
      </c>
      <c r="L82" s="63">
        <f>SUM(L80:L81)</f>
        <v>0</v>
      </c>
      <c r="M82" s="63">
        <f t="shared" si="34"/>
        <v>0</v>
      </c>
      <c r="N82" s="63">
        <f>SUM(N80:N81)</f>
        <v>0</v>
      </c>
      <c r="O82" s="63">
        <f t="shared" si="35"/>
        <v>0</v>
      </c>
      <c r="P82" s="24"/>
      <c r="R82" s="22" t="s">
        <v>73</v>
      </c>
      <c r="S82" s="38"/>
      <c r="T82" s="62">
        <f>SUM(T80:T81)</f>
        <v>0</v>
      </c>
      <c r="U82" s="102"/>
    </row>
    <row r="83" spans="1:21" ht="18" customHeight="1">
      <c r="B83" s="19" t="s">
        <v>83</v>
      </c>
      <c r="C83" s="35"/>
      <c r="D83" s="58">
        <f t="shared" si="31"/>
        <v>0</v>
      </c>
      <c r="E83" s="59">
        <f>IFERROR('3)직접비'!E83+$T83*E$112,"")</f>
        <v>0</v>
      </c>
      <c r="F83" s="59">
        <f>IFERROR('3)직접비'!F83+$T83*F$112,"")</f>
        <v>0</v>
      </c>
      <c r="G83" s="59">
        <f t="shared" ref="G83:G91" si="66">SUM(E83:F83)</f>
        <v>0</v>
      </c>
      <c r="H83" s="59">
        <f>IFERROR('3)직접비'!H83+$T83*H$112,"")</f>
        <v>0</v>
      </c>
      <c r="I83" s="59">
        <f>IFERROR('3)직접비'!I83+$T83*I$112,"")</f>
        <v>0</v>
      </c>
      <c r="J83" s="59">
        <f t="shared" ref="J83:J91" si="67">SUM(H83:I83)</f>
        <v>0</v>
      </c>
      <c r="K83" s="59">
        <f>IFERROR('3)직접비'!K83+$T83*K$112,"")</f>
        <v>0</v>
      </c>
      <c r="L83" s="59">
        <f>IFERROR('3)직접비'!L83+$T83*L$112,"")</f>
        <v>0</v>
      </c>
      <c r="M83" s="59">
        <f t="shared" ref="M83:M91" si="68">SUM(K83:L83)</f>
        <v>0</v>
      </c>
      <c r="N83" s="59" t="str">
        <f>IFERROR('3)직접비'!N83+$T83*N$112,"")</f>
        <v/>
      </c>
      <c r="O83" s="59">
        <f t="shared" si="35"/>
        <v>0</v>
      </c>
      <c r="P83" s="21"/>
      <c r="R83" s="19" t="s">
        <v>83</v>
      </c>
      <c r="S83" s="35"/>
      <c r="T83" s="58"/>
      <c r="U83" s="99" t="s">
        <v>136</v>
      </c>
    </row>
    <row r="84" spans="1:21" ht="18" customHeight="1">
      <c r="B84" s="19" t="s">
        <v>59</v>
      </c>
      <c r="C84" s="35"/>
      <c r="D84" s="58">
        <f t="shared" si="31"/>
        <v>0</v>
      </c>
      <c r="E84" s="59">
        <f>IFERROR('3)직접비'!E84+$T84*E$112,"")</f>
        <v>0</v>
      </c>
      <c r="F84" s="59">
        <f>IFERROR('3)직접비'!F84+$T84*F$112,"")</f>
        <v>0</v>
      </c>
      <c r="G84" s="59">
        <f t="shared" si="66"/>
        <v>0</v>
      </c>
      <c r="H84" s="59">
        <f>IFERROR('3)직접비'!H84+$T84*H$112,"")</f>
        <v>0</v>
      </c>
      <c r="I84" s="59">
        <f>IFERROR('3)직접비'!I84+$T84*I$112,"")</f>
        <v>0</v>
      </c>
      <c r="J84" s="59">
        <f t="shared" si="67"/>
        <v>0</v>
      </c>
      <c r="K84" s="59">
        <f>IFERROR('3)직접비'!K84+$T84*K$112,"")</f>
        <v>0</v>
      </c>
      <c r="L84" s="59">
        <f>IFERROR('3)직접비'!L84+$T84*L$112,"")</f>
        <v>0</v>
      </c>
      <c r="M84" s="59">
        <f t="shared" si="68"/>
        <v>0</v>
      </c>
      <c r="N84" s="59" t="str">
        <f>IFERROR('3)직접비'!N84+$T84*N$112,"")</f>
        <v/>
      </c>
      <c r="O84" s="59">
        <f t="shared" si="35"/>
        <v>0</v>
      </c>
      <c r="P84" s="21"/>
      <c r="R84" s="19" t="s">
        <v>59</v>
      </c>
      <c r="S84" s="35"/>
      <c r="T84" s="58"/>
      <c r="U84" s="99" t="s">
        <v>136</v>
      </c>
    </row>
    <row r="85" spans="1:21" ht="18" customHeight="1">
      <c r="B85" s="19" t="s">
        <v>84</v>
      </c>
      <c r="C85" s="35"/>
      <c r="D85" s="58">
        <f t="shared" si="31"/>
        <v>0</v>
      </c>
      <c r="E85" s="59">
        <f>IFERROR('3)직접비'!E85+$T85*E$112,"")</f>
        <v>0</v>
      </c>
      <c r="F85" s="59">
        <f>IFERROR('3)직접비'!F85+$T85*F$112,"")</f>
        <v>0</v>
      </c>
      <c r="G85" s="59">
        <f t="shared" si="66"/>
        <v>0</v>
      </c>
      <c r="H85" s="59">
        <f>IFERROR('3)직접비'!H85+$T85*H$112,"")</f>
        <v>0</v>
      </c>
      <c r="I85" s="59">
        <f>IFERROR('3)직접비'!I85+$T85*I$112,"")</f>
        <v>0</v>
      </c>
      <c r="J85" s="59">
        <f t="shared" si="67"/>
        <v>0</v>
      </c>
      <c r="K85" s="59">
        <f>IFERROR('3)직접비'!K85+$T85*K$112,"")</f>
        <v>0</v>
      </c>
      <c r="L85" s="59">
        <f>IFERROR('3)직접비'!L85+$T85*L$112,"")</f>
        <v>0</v>
      </c>
      <c r="M85" s="59">
        <f t="shared" si="68"/>
        <v>0</v>
      </c>
      <c r="N85" s="59" t="str">
        <f>IFERROR('3)직접비'!N85+$T85*N$112,"")</f>
        <v/>
      </c>
      <c r="O85" s="59">
        <f t="shared" si="35"/>
        <v>0</v>
      </c>
      <c r="P85" s="21"/>
      <c r="R85" s="19" t="s">
        <v>84</v>
      </c>
      <c r="S85" s="35"/>
      <c r="T85" s="58"/>
      <c r="U85" s="99" t="s">
        <v>136</v>
      </c>
    </row>
    <row r="86" spans="1:21" ht="18" customHeight="1">
      <c r="B86" s="19" t="s">
        <v>60</v>
      </c>
      <c r="C86" s="35"/>
      <c r="D86" s="58">
        <f t="shared" si="31"/>
        <v>0</v>
      </c>
      <c r="E86" s="59">
        <f>IFERROR('3)직접비'!E86+$T86*E$112,"")</f>
        <v>0</v>
      </c>
      <c r="F86" s="59">
        <f>IFERROR('3)직접비'!F86+$T86*F$112,"")</f>
        <v>0</v>
      </c>
      <c r="G86" s="59">
        <f t="shared" si="66"/>
        <v>0</v>
      </c>
      <c r="H86" s="59">
        <f>IFERROR('3)직접비'!H86+$T86*H$112,"")</f>
        <v>0</v>
      </c>
      <c r="I86" s="59">
        <f>IFERROR('3)직접비'!I86+$T86*I$112,"")</f>
        <v>0</v>
      </c>
      <c r="J86" s="59">
        <f t="shared" si="67"/>
        <v>0</v>
      </c>
      <c r="K86" s="59">
        <f>IFERROR('3)직접비'!K86+$T86*K$112,"")</f>
        <v>0</v>
      </c>
      <c r="L86" s="59">
        <f>IFERROR('3)직접비'!L86+$T86*L$112,"")</f>
        <v>0</v>
      </c>
      <c r="M86" s="59">
        <f t="shared" si="68"/>
        <v>0</v>
      </c>
      <c r="N86" s="59" t="str">
        <f>IFERROR('3)직접비'!N86+$T86*N$112,"")</f>
        <v/>
      </c>
      <c r="O86" s="59">
        <f t="shared" si="35"/>
        <v>0</v>
      </c>
      <c r="P86" s="21"/>
      <c r="R86" s="19" t="s">
        <v>60</v>
      </c>
      <c r="S86" s="35"/>
      <c r="T86" s="58"/>
      <c r="U86" s="99" t="s">
        <v>136</v>
      </c>
    </row>
    <row r="87" spans="1:21" ht="18" customHeight="1">
      <c r="B87" s="19" t="s">
        <v>85</v>
      </c>
      <c r="C87" s="35"/>
      <c r="D87" s="58">
        <f t="shared" si="31"/>
        <v>0</v>
      </c>
      <c r="E87" s="59">
        <f>IFERROR('3)직접비'!E87+$T87*E$112,"")</f>
        <v>0</v>
      </c>
      <c r="F87" s="59">
        <f>IFERROR('3)직접비'!F87+$T87*F$112,"")</f>
        <v>0</v>
      </c>
      <c r="G87" s="59">
        <f t="shared" si="66"/>
        <v>0</v>
      </c>
      <c r="H87" s="59">
        <f>IFERROR('3)직접비'!H87+$T87*H$112,"")</f>
        <v>0</v>
      </c>
      <c r="I87" s="59">
        <f>IFERROR('3)직접비'!I87+$T87*I$112,"")</f>
        <v>0</v>
      </c>
      <c r="J87" s="59">
        <f t="shared" si="67"/>
        <v>0</v>
      </c>
      <c r="K87" s="59">
        <f>IFERROR('3)직접비'!K87+$T87*K$112,"")</f>
        <v>0</v>
      </c>
      <c r="L87" s="59">
        <f>IFERROR('3)직접비'!L87+$T87*L$112,"")</f>
        <v>0</v>
      </c>
      <c r="M87" s="59">
        <f t="shared" si="68"/>
        <v>0</v>
      </c>
      <c r="N87" s="59" t="str">
        <f>IFERROR('3)직접비'!N87+$T87*N$112,"")</f>
        <v/>
      </c>
      <c r="O87" s="59">
        <f t="shared" si="35"/>
        <v>0</v>
      </c>
      <c r="P87" s="21"/>
      <c r="R87" s="19" t="s">
        <v>85</v>
      </c>
      <c r="S87" s="35"/>
      <c r="T87" s="58"/>
      <c r="U87" s="99" t="s">
        <v>136</v>
      </c>
    </row>
    <row r="88" spans="1:21" ht="18" customHeight="1">
      <c r="B88" s="19" t="s">
        <v>86</v>
      </c>
      <c r="C88" s="35"/>
      <c r="D88" s="58">
        <f t="shared" si="31"/>
        <v>0</v>
      </c>
      <c r="E88" s="59">
        <f>IFERROR('3)직접비'!E88+$T88*E$112,"")</f>
        <v>0</v>
      </c>
      <c r="F88" s="59">
        <f>IFERROR('3)직접비'!F88+$T88*F$112,"")</f>
        <v>0</v>
      </c>
      <c r="G88" s="59">
        <f t="shared" si="66"/>
        <v>0</v>
      </c>
      <c r="H88" s="59">
        <f>IFERROR('3)직접비'!H88+$T88*H$112,"")</f>
        <v>0</v>
      </c>
      <c r="I88" s="59">
        <f>IFERROR('3)직접비'!I88+$T88*I$112,"")</f>
        <v>0</v>
      </c>
      <c r="J88" s="59">
        <f t="shared" si="67"/>
        <v>0</v>
      </c>
      <c r="K88" s="59">
        <f>IFERROR('3)직접비'!K88+$T88*K$112,"")</f>
        <v>0</v>
      </c>
      <c r="L88" s="59">
        <f>IFERROR('3)직접비'!L88+$T88*L$112,"")</f>
        <v>0</v>
      </c>
      <c r="M88" s="59">
        <f t="shared" si="68"/>
        <v>0</v>
      </c>
      <c r="N88" s="59" t="str">
        <f>IFERROR('3)직접비'!N88+$T88*N$112,"")</f>
        <v/>
      </c>
      <c r="O88" s="59">
        <f t="shared" si="35"/>
        <v>0</v>
      </c>
      <c r="P88" s="21"/>
      <c r="R88" s="19" t="s">
        <v>86</v>
      </c>
      <c r="S88" s="35"/>
      <c r="T88" s="58"/>
      <c r="U88" s="99" t="s">
        <v>136</v>
      </c>
    </row>
    <row r="89" spans="1:21" ht="18" customHeight="1">
      <c r="B89" s="19" t="s">
        <v>87</v>
      </c>
      <c r="C89" s="35"/>
      <c r="D89" s="58">
        <f t="shared" si="31"/>
        <v>0</v>
      </c>
      <c r="E89" s="59">
        <f>IFERROR('3)직접비'!E89+$T89*E$112,"")</f>
        <v>0</v>
      </c>
      <c r="F89" s="59">
        <f>IFERROR('3)직접비'!F89+$T89*F$112,"")</f>
        <v>0</v>
      </c>
      <c r="G89" s="59">
        <f t="shared" si="66"/>
        <v>0</v>
      </c>
      <c r="H89" s="59">
        <f>IFERROR('3)직접비'!H89+$T89*H$112,"")</f>
        <v>0</v>
      </c>
      <c r="I89" s="59">
        <f>IFERROR('3)직접비'!I89+$T89*I$112,"")</f>
        <v>0</v>
      </c>
      <c r="J89" s="59">
        <f t="shared" si="67"/>
        <v>0</v>
      </c>
      <c r="K89" s="59">
        <f>IFERROR('3)직접비'!K89+$T89*K$112,"")</f>
        <v>0</v>
      </c>
      <c r="L89" s="59">
        <f>IFERROR('3)직접비'!L89+$T89*L$112,"")</f>
        <v>0</v>
      </c>
      <c r="M89" s="59">
        <f t="shared" si="68"/>
        <v>0</v>
      </c>
      <c r="N89" s="59" t="str">
        <f>IFERROR('3)직접비'!N89+$T89*N$112,"")</f>
        <v/>
      </c>
      <c r="O89" s="59">
        <f t="shared" si="35"/>
        <v>0</v>
      </c>
      <c r="P89" s="21"/>
      <c r="R89" s="19" t="s">
        <v>87</v>
      </c>
      <c r="S89" s="35"/>
      <c r="T89" s="58"/>
      <c r="U89" s="99" t="s">
        <v>136</v>
      </c>
    </row>
    <row r="90" spans="1:21" ht="18" customHeight="1">
      <c r="B90" s="19" t="s">
        <v>88</v>
      </c>
      <c r="C90" s="35"/>
      <c r="D90" s="58">
        <f t="shared" si="31"/>
        <v>0</v>
      </c>
      <c r="E90" s="59">
        <f>IFERROR('3)직접비'!E90+$T90*E$112,"")</f>
        <v>0</v>
      </c>
      <c r="F90" s="59">
        <f>IFERROR('3)직접비'!F90+$T90*F$112,"")</f>
        <v>0</v>
      </c>
      <c r="G90" s="59">
        <f t="shared" si="66"/>
        <v>0</v>
      </c>
      <c r="H90" s="59">
        <f>IFERROR('3)직접비'!H90+$T90*H$112,"")</f>
        <v>0</v>
      </c>
      <c r="I90" s="59">
        <f>IFERROR('3)직접비'!I90+$T90*I$112,"")</f>
        <v>0</v>
      </c>
      <c r="J90" s="59">
        <f t="shared" si="67"/>
        <v>0</v>
      </c>
      <c r="K90" s="59">
        <f>IFERROR('3)직접비'!K90+$T90*K$112,"")</f>
        <v>0</v>
      </c>
      <c r="L90" s="59">
        <f>IFERROR('3)직접비'!L90+$T90*L$112,"")</f>
        <v>0</v>
      </c>
      <c r="M90" s="59">
        <f t="shared" si="68"/>
        <v>0</v>
      </c>
      <c r="N90" s="59" t="str">
        <f>IFERROR('3)직접비'!N90+$T90*N$112,"")</f>
        <v/>
      </c>
      <c r="O90" s="59">
        <f t="shared" si="35"/>
        <v>0</v>
      </c>
      <c r="P90" s="21"/>
      <c r="R90" s="19" t="s">
        <v>88</v>
      </c>
      <c r="S90" s="35"/>
      <c r="T90" s="58"/>
      <c r="U90" s="99" t="s">
        <v>136</v>
      </c>
    </row>
    <row r="91" spans="1:21" ht="18" customHeight="1">
      <c r="B91" s="19" t="s">
        <v>49</v>
      </c>
      <c r="C91" s="35"/>
      <c r="D91" s="58">
        <f t="shared" si="31"/>
        <v>0</v>
      </c>
      <c r="E91" s="59">
        <f>IFERROR('3)직접비'!E91+$T91*E$112,"")</f>
        <v>0</v>
      </c>
      <c r="F91" s="59">
        <f>IFERROR('3)직접비'!F91+$T91*F$112,"")</f>
        <v>0</v>
      </c>
      <c r="G91" s="59">
        <f t="shared" si="66"/>
        <v>0</v>
      </c>
      <c r="H91" s="59">
        <f>IFERROR('3)직접비'!H91+$T91*H$112,"")</f>
        <v>0</v>
      </c>
      <c r="I91" s="59">
        <f>IFERROR('3)직접비'!I91+$T91*I$112,"")</f>
        <v>0</v>
      </c>
      <c r="J91" s="59">
        <f t="shared" si="67"/>
        <v>0</v>
      </c>
      <c r="K91" s="59">
        <f>IFERROR('3)직접비'!K91+$T91*K$112,"")</f>
        <v>0</v>
      </c>
      <c r="L91" s="59">
        <f>IFERROR('3)직접비'!L91+$T91*L$112,"")</f>
        <v>0</v>
      </c>
      <c r="M91" s="59">
        <f t="shared" si="68"/>
        <v>0</v>
      </c>
      <c r="N91" s="59" t="str">
        <f>IFERROR('3)직접비'!N91+$T91*N$112,"")</f>
        <v/>
      </c>
      <c r="O91" s="59">
        <f t="shared" si="35"/>
        <v>0</v>
      </c>
      <c r="P91" s="21"/>
      <c r="R91" s="19" t="s">
        <v>49</v>
      </c>
      <c r="S91" s="35"/>
      <c r="T91" s="58"/>
      <c r="U91" s="99" t="s">
        <v>136</v>
      </c>
    </row>
    <row r="92" spans="1:21" ht="18" customHeight="1">
      <c r="B92" s="22" t="s">
        <v>89</v>
      </c>
      <c r="C92" s="38"/>
      <c r="D92" s="62">
        <f t="shared" si="31"/>
        <v>0</v>
      </c>
      <c r="E92" s="63">
        <f>SUM(E83:E91)</f>
        <v>0</v>
      </c>
      <c r="F92" s="63">
        <f>SUM(F83:F91)</f>
        <v>0</v>
      </c>
      <c r="G92" s="63">
        <f t="shared" si="32"/>
        <v>0</v>
      </c>
      <c r="H92" s="63">
        <f>SUM(H83:H91)</f>
        <v>0</v>
      </c>
      <c r="I92" s="63">
        <f>SUM(I83:I91)</f>
        <v>0</v>
      </c>
      <c r="J92" s="63">
        <f t="shared" si="33"/>
        <v>0</v>
      </c>
      <c r="K92" s="63">
        <f>SUM(K83:K91)</f>
        <v>0</v>
      </c>
      <c r="L92" s="63">
        <f>SUM(L83:L91)</f>
        <v>0</v>
      </c>
      <c r="M92" s="63">
        <f t="shared" si="34"/>
        <v>0</v>
      </c>
      <c r="N92" s="63">
        <f>SUM(N83:N91)</f>
        <v>0</v>
      </c>
      <c r="O92" s="63">
        <f t="shared" si="35"/>
        <v>0</v>
      </c>
      <c r="P92" s="24"/>
      <c r="R92" s="22" t="s">
        <v>89</v>
      </c>
      <c r="S92" s="38"/>
      <c r="T92" s="62">
        <f>SUM(T83:T91)</f>
        <v>0</v>
      </c>
      <c r="U92" s="102"/>
    </row>
    <row r="93" spans="1:21" ht="18" customHeight="1" thickBot="1">
      <c r="B93" s="28" t="s">
        <v>90</v>
      </c>
      <c r="C93" s="39"/>
      <c r="D93" s="64">
        <f t="shared" si="31"/>
        <v>0</v>
      </c>
      <c r="E93" s="65">
        <f>SUM(E35,E36,E41,E52,E58,E59,E64,E65,E70,E79,E82,E92)</f>
        <v>0</v>
      </c>
      <c r="F93" s="65">
        <f>SUM(F35,F36,F41,F52,F58,F59,F64,F65,F70,F79,F82,F92)</f>
        <v>0</v>
      </c>
      <c r="G93" s="65">
        <f t="shared" si="32"/>
        <v>0</v>
      </c>
      <c r="H93" s="65">
        <f>SUM(H35,H36,H41,H52,H58,H59,H64,H65,H70,H79,H82,H92)</f>
        <v>0</v>
      </c>
      <c r="I93" s="65">
        <f>SUM(I35,I36,I41,I52,I58,I59,I64,I65,I70,I79,I82,I92)</f>
        <v>0</v>
      </c>
      <c r="J93" s="65">
        <f t="shared" si="33"/>
        <v>0</v>
      </c>
      <c r="K93" s="65">
        <f>SUM(K35,K36,K41,K52,K58,K59,K64,K65,K70,K79,K82,K92)</f>
        <v>0</v>
      </c>
      <c r="L93" s="65">
        <f>SUM(L35,L36,L41,L52,L58,L59,L64,L65,L70,L79,L82,L92)</f>
        <v>0</v>
      </c>
      <c r="M93" s="65">
        <f t="shared" si="34"/>
        <v>0</v>
      </c>
      <c r="N93" s="65">
        <f>SUM(N35,N36,N41,N52,N58,N59,N64,N65,N70,N79,N82,N92)</f>
        <v>0</v>
      </c>
      <c r="O93" s="65">
        <f t="shared" si="35"/>
        <v>0</v>
      </c>
      <c r="P93" s="29"/>
      <c r="R93" s="28" t="s">
        <v>90</v>
      </c>
      <c r="S93" s="39"/>
      <c r="T93" s="64">
        <f>SUM(T35,T36,T41,T52,T58,T59,T64,T65,T70,T79,T82,T92)</f>
        <v>0</v>
      </c>
      <c r="U93" s="103"/>
    </row>
    <row r="96" spans="1:21" s="3" customFormat="1" ht="14">
      <c r="A96" s="3" t="s">
        <v>142</v>
      </c>
      <c r="U96" s="96"/>
    </row>
    <row r="97" spans="2:21" s="3" customFormat="1" ht="14">
      <c r="U97" s="96"/>
    </row>
    <row r="98" spans="2:21" ht="14" thickBot="1">
      <c r="B98" s="1" t="s">
        <v>163</v>
      </c>
    </row>
    <row r="99" spans="2:21" ht="18" customHeight="1">
      <c r="B99" s="299" t="s">
        <v>27</v>
      </c>
      <c r="C99" s="300"/>
      <c r="D99" s="301" t="s">
        <v>39</v>
      </c>
      <c r="E99" s="305" t="s">
        <v>29</v>
      </c>
      <c r="F99" s="299"/>
      <c r="G99" s="299"/>
      <c r="H99" s="299" t="s">
        <v>33</v>
      </c>
      <c r="I99" s="299"/>
      <c r="J99" s="299"/>
      <c r="K99" s="299" t="s">
        <v>34</v>
      </c>
      <c r="L99" s="299"/>
      <c r="M99" s="299"/>
      <c r="N99" s="299" t="s">
        <v>36</v>
      </c>
      <c r="O99" s="299"/>
      <c r="P99" s="306" t="s">
        <v>91</v>
      </c>
    </row>
    <row r="100" spans="2:21" ht="18" customHeight="1">
      <c r="B100" s="299"/>
      <c r="C100" s="300"/>
      <c r="D100" s="302"/>
      <c r="E100" s="33" t="s">
        <v>31</v>
      </c>
      <c r="F100" s="8" t="s">
        <v>148</v>
      </c>
      <c r="G100" s="8" t="s">
        <v>32</v>
      </c>
      <c r="H100" s="8" t="s">
        <v>98</v>
      </c>
      <c r="I100" s="8" t="s">
        <v>150</v>
      </c>
      <c r="J100" s="8" t="s">
        <v>32</v>
      </c>
      <c r="K100" s="8" t="s">
        <v>99</v>
      </c>
      <c r="L100" s="8" t="s">
        <v>150</v>
      </c>
      <c r="M100" s="8" t="s">
        <v>32</v>
      </c>
      <c r="N100" s="8" t="s">
        <v>38</v>
      </c>
      <c r="O100" s="8" t="s">
        <v>32</v>
      </c>
      <c r="P100" s="307"/>
    </row>
    <row r="101" spans="2:21" ht="18" customHeight="1">
      <c r="B101" s="31" t="s">
        <v>156</v>
      </c>
      <c r="C101" s="31"/>
      <c r="D101" s="34">
        <f>SUM(G101,J101,M101,O101)</f>
        <v>16858638.777252171</v>
      </c>
      <c r="E101" s="104">
        <f>E7</f>
        <v>16483016.937140476</v>
      </c>
      <c r="F101" s="7">
        <f>F7</f>
        <v>0</v>
      </c>
      <c r="G101" s="7">
        <f>SUM(E101:F101)</f>
        <v>16483016.937140476</v>
      </c>
      <c r="H101" s="7">
        <f t="shared" ref="H101:I101" si="69">H7</f>
        <v>73941.840111695245</v>
      </c>
      <c r="I101" s="7">
        <f t="shared" si="69"/>
        <v>0</v>
      </c>
      <c r="J101" s="7">
        <f t="shared" ref="J101:J106" si="70">SUM(H101:I101)</f>
        <v>73941.840111695245</v>
      </c>
      <c r="K101" s="7">
        <f t="shared" ref="K101:N101" si="71">K7</f>
        <v>0</v>
      </c>
      <c r="L101" s="7">
        <f t="shared" si="71"/>
        <v>0</v>
      </c>
      <c r="M101" s="7">
        <f t="shared" ref="M101:M106" si="72">SUM(K101:L101)</f>
        <v>0</v>
      </c>
      <c r="N101" s="7">
        <f t="shared" si="71"/>
        <v>301680</v>
      </c>
      <c r="O101" s="7">
        <f>SUM(N101)</f>
        <v>301680</v>
      </c>
      <c r="P101" s="31"/>
    </row>
    <row r="102" spans="2:21" ht="18" customHeight="1">
      <c r="B102" s="32" t="s">
        <v>144</v>
      </c>
      <c r="C102" s="32"/>
      <c r="D102" s="108">
        <f>IFERROR(D101/$D$101,"")</f>
        <v>1</v>
      </c>
      <c r="E102" s="109">
        <f>IFERROR(E101/$D$101,"")</f>
        <v>0.97771932567779241</v>
      </c>
      <c r="F102" s="110">
        <f>IFERROR(F101/$D$101,"")</f>
        <v>0</v>
      </c>
      <c r="G102" s="110">
        <f t="shared" ref="G102:G106" si="73">SUM(E102:F102)</f>
        <v>0.97771932567779241</v>
      </c>
      <c r="H102" s="110">
        <f>IFERROR(H101/$D$101,"")</f>
        <v>4.3859911282675456E-3</v>
      </c>
      <c r="I102" s="110">
        <f>IFERROR(I101/$D$101,"")</f>
        <v>0</v>
      </c>
      <c r="J102" s="110">
        <f t="shared" si="70"/>
        <v>4.3859911282675456E-3</v>
      </c>
      <c r="K102" s="110">
        <f>IFERROR(K101/$D$101,"")</f>
        <v>0</v>
      </c>
      <c r="L102" s="110">
        <f>IFERROR(L101/$D$101,"")</f>
        <v>0</v>
      </c>
      <c r="M102" s="110">
        <f t="shared" si="72"/>
        <v>0</v>
      </c>
      <c r="N102" s="110">
        <f>IFERROR(N101/$D$101,"")</f>
        <v>1.7894683193940022E-2</v>
      </c>
      <c r="O102" s="110">
        <f>SUM(N102)</f>
        <v>1.7894683193940022E-2</v>
      </c>
      <c r="P102" s="32"/>
    </row>
    <row r="103" spans="2:21" ht="18" customHeight="1">
      <c r="B103" s="31" t="s">
        <v>157</v>
      </c>
      <c r="C103" s="31"/>
      <c r="D103" s="105">
        <f>SUM(G103,J103,M103,O103)</f>
        <v>8</v>
      </c>
      <c r="E103" s="106">
        <f>SUMIFS('#)참고자료'!$G:$G,'#)참고자료'!$M:$M,$E$99,'#)참고자료'!$N:$N,"직접비")</f>
        <v>8</v>
      </c>
      <c r="F103" s="107"/>
      <c r="G103" s="107">
        <f t="shared" si="73"/>
        <v>8</v>
      </c>
      <c r="H103" s="107">
        <f>SUMIFS('#)참고자료'!$G:$G,'#)참고자료'!$M:$M,$H$99,'#)참고자료'!$N:$N,"직접비")</f>
        <v>0</v>
      </c>
      <c r="I103" s="107"/>
      <c r="J103" s="107">
        <f t="shared" si="70"/>
        <v>0</v>
      </c>
      <c r="K103" s="107">
        <f>SUMIFS('#)참고자료'!$G:$G,'#)참고자료'!$M:$M,$K$99,'#)참고자료'!$N:$N,"직접비")</f>
        <v>0</v>
      </c>
      <c r="L103" s="107"/>
      <c r="M103" s="107">
        <f t="shared" si="72"/>
        <v>0</v>
      </c>
      <c r="N103" s="107">
        <v>0</v>
      </c>
      <c r="O103" s="107">
        <f t="shared" ref="O103:O106" si="74">SUM(N103)</f>
        <v>0</v>
      </c>
      <c r="P103" s="31"/>
    </row>
    <row r="104" spans="2:21" ht="18" customHeight="1">
      <c r="B104" s="32" t="s">
        <v>145</v>
      </c>
      <c r="C104" s="32"/>
      <c r="D104" s="108">
        <f>IFERROR(D103/$D$103,"")</f>
        <v>1</v>
      </c>
      <c r="E104" s="109">
        <f t="shared" ref="E104:F104" si="75">IFERROR(E103/$D$103,"")</f>
        <v>1</v>
      </c>
      <c r="F104" s="110">
        <f t="shared" si="75"/>
        <v>0</v>
      </c>
      <c r="G104" s="110">
        <f t="shared" si="73"/>
        <v>1</v>
      </c>
      <c r="H104" s="110">
        <f t="shared" ref="H104" si="76">IFERROR(H103/$D$103,"")</f>
        <v>0</v>
      </c>
      <c r="I104" s="110">
        <f t="shared" ref="I104" si="77">IFERROR(I103/$D$103,"")</f>
        <v>0</v>
      </c>
      <c r="J104" s="110">
        <f t="shared" si="70"/>
        <v>0</v>
      </c>
      <c r="K104" s="110">
        <f t="shared" ref="K104" si="78">IFERROR(K103/$D$103,"")</f>
        <v>0</v>
      </c>
      <c r="L104" s="110">
        <f t="shared" ref="L104" si="79">IFERROR(L103/$D$103,"")</f>
        <v>0</v>
      </c>
      <c r="M104" s="110">
        <f t="shared" si="72"/>
        <v>0</v>
      </c>
      <c r="N104" s="153">
        <f t="shared" ref="N104" si="80">IFERROR(N103/$D$103,"")</f>
        <v>0</v>
      </c>
      <c r="O104" s="110">
        <f t="shared" si="74"/>
        <v>0</v>
      </c>
      <c r="P104" s="32"/>
    </row>
    <row r="105" spans="2:21" ht="18" customHeight="1">
      <c r="B105" s="31" t="s">
        <v>158</v>
      </c>
      <c r="C105" s="31"/>
      <c r="D105" s="105">
        <f>SUM(G105,J105,M105,O105)</f>
        <v>0</v>
      </c>
      <c r="E105" s="106">
        <f>'#)참고자료'!$E$31</f>
        <v>0</v>
      </c>
      <c r="F105" s="107"/>
      <c r="G105" s="107">
        <f t="shared" si="73"/>
        <v>0</v>
      </c>
      <c r="H105" s="107">
        <f>'#)참고자료'!$E$33</f>
        <v>0</v>
      </c>
      <c r="I105" s="107">
        <f>'#)참고자료'!$E$34</f>
        <v>0</v>
      </c>
      <c r="J105" s="107">
        <f t="shared" si="70"/>
        <v>0</v>
      </c>
      <c r="K105" s="107">
        <f>'#)참고자료'!$E$35</f>
        <v>0</v>
      </c>
      <c r="L105" s="107">
        <f>'#)참고자료'!$E$36</f>
        <v>0</v>
      </c>
      <c r="M105" s="107">
        <f t="shared" si="72"/>
        <v>0</v>
      </c>
      <c r="N105" s="107">
        <f>'#)참고자료'!$E$37</f>
        <v>0</v>
      </c>
      <c r="O105" s="107">
        <f t="shared" si="74"/>
        <v>0</v>
      </c>
      <c r="P105" s="31" t="s">
        <v>152</v>
      </c>
    </row>
    <row r="106" spans="2:21" ht="18" customHeight="1" thickBot="1">
      <c r="B106" s="32" t="s">
        <v>143</v>
      </c>
      <c r="C106" s="32"/>
      <c r="D106" s="111" t="str">
        <f>IFERROR(D105/$D$105,"")</f>
        <v/>
      </c>
      <c r="E106" s="109" t="str">
        <f t="shared" ref="E106:F106" si="81">IFERROR(E105/$D$105,"")</f>
        <v/>
      </c>
      <c r="F106" s="110" t="str">
        <f t="shared" si="81"/>
        <v/>
      </c>
      <c r="G106" s="110">
        <f t="shared" si="73"/>
        <v>0</v>
      </c>
      <c r="H106" s="110" t="str">
        <f t="shared" ref="H106" si="82">IFERROR(H105/$D$105,"")</f>
        <v/>
      </c>
      <c r="I106" s="110" t="str">
        <f t="shared" ref="I106" si="83">IFERROR(I105/$D$105,"")</f>
        <v/>
      </c>
      <c r="J106" s="110">
        <f t="shared" si="70"/>
        <v>0</v>
      </c>
      <c r="K106" s="110" t="str">
        <f t="shared" ref="K106" si="84">IFERROR(K105/$D$105,"")</f>
        <v/>
      </c>
      <c r="L106" s="110" t="str">
        <f t="shared" ref="L106:N106" si="85">IFERROR(L105/$D$105,"")</f>
        <v/>
      </c>
      <c r="M106" s="110">
        <f t="shared" si="72"/>
        <v>0</v>
      </c>
      <c r="N106" s="153" t="str">
        <f t="shared" si="85"/>
        <v/>
      </c>
      <c r="O106" s="110">
        <f t="shared" si="74"/>
        <v>0</v>
      </c>
      <c r="P106" s="32"/>
    </row>
    <row r="107" spans="2:21" ht="18" customHeight="1"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2"/>
      <c r="O107" s="151"/>
    </row>
    <row r="108" spans="2:21" ht="14" thickBot="1">
      <c r="B108" s="1" t="s">
        <v>164</v>
      </c>
    </row>
    <row r="109" spans="2:21" ht="18" customHeight="1">
      <c r="B109" s="299" t="s">
        <v>27</v>
      </c>
      <c r="C109" s="300"/>
      <c r="D109" s="301" t="s">
        <v>39</v>
      </c>
      <c r="E109" s="305" t="s">
        <v>29</v>
      </c>
      <c r="F109" s="299"/>
      <c r="G109" s="299"/>
      <c r="H109" s="299" t="s">
        <v>33</v>
      </c>
      <c r="I109" s="299"/>
      <c r="J109" s="299"/>
      <c r="K109" s="299" t="s">
        <v>34</v>
      </c>
      <c r="L109" s="299"/>
      <c r="M109" s="299"/>
      <c r="N109" s="299" t="s">
        <v>36</v>
      </c>
      <c r="O109" s="299"/>
      <c r="P109" s="306" t="s">
        <v>91</v>
      </c>
    </row>
    <row r="110" spans="2:21" ht="18" customHeight="1">
      <c r="B110" s="299"/>
      <c r="C110" s="300"/>
      <c r="D110" s="302"/>
      <c r="E110" s="33" t="s">
        <v>31</v>
      </c>
      <c r="F110" s="8" t="s">
        <v>148</v>
      </c>
      <c r="G110" s="8" t="s">
        <v>32</v>
      </c>
      <c r="H110" s="8" t="s">
        <v>98</v>
      </c>
      <c r="I110" s="8" t="s">
        <v>150</v>
      </c>
      <c r="J110" s="8" t="s">
        <v>32</v>
      </c>
      <c r="K110" s="8" t="s">
        <v>99</v>
      </c>
      <c r="L110" s="8" t="s">
        <v>150</v>
      </c>
      <c r="M110" s="8" t="s">
        <v>32</v>
      </c>
      <c r="N110" s="8" t="s">
        <v>38</v>
      </c>
      <c r="O110" s="8" t="s">
        <v>32</v>
      </c>
      <c r="P110" s="307"/>
    </row>
    <row r="111" spans="2:21" ht="18" customHeight="1">
      <c r="B111" s="31" t="s">
        <v>156</v>
      </c>
      <c r="C111" s="31"/>
      <c r="D111" s="34">
        <f>SUM(G111,J111,M111)</f>
        <v>16556958.777252171</v>
      </c>
      <c r="E111" s="104">
        <f>E101</f>
        <v>16483016.937140476</v>
      </c>
      <c r="F111" s="7">
        <f>F101</f>
        <v>0</v>
      </c>
      <c r="G111" s="7">
        <f>SUM(E111:F111)</f>
        <v>16483016.937140476</v>
      </c>
      <c r="H111" s="7">
        <f t="shared" ref="H111:I111" si="86">H101</f>
        <v>73941.840111695245</v>
      </c>
      <c r="I111" s="7">
        <f t="shared" si="86"/>
        <v>0</v>
      </c>
      <c r="J111" s="7">
        <f t="shared" ref="J111:J116" si="87">SUM(H111:I111)</f>
        <v>73941.840111695245</v>
      </c>
      <c r="K111" s="7">
        <f t="shared" ref="K111:L111" si="88">K101</f>
        <v>0</v>
      </c>
      <c r="L111" s="7">
        <f t="shared" si="88"/>
        <v>0</v>
      </c>
      <c r="M111" s="7">
        <f t="shared" ref="M111:M116" si="89">SUM(K111:L111)</f>
        <v>0</v>
      </c>
      <c r="N111" s="112" t="s">
        <v>147</v>
      </c>
      <c r="O111" s="7">
        <f>SUM(N111)</f>
        <v>0</v>
      </c>
      <c r="P111" s="31"/>
    </row>
    <row r="112" spans="2:21" ht="18" customHeight="1">
      <c r="B112" s="32" t="s">
        <v>144</v>
      </c>
      <c r="C112" s="32"/>
      <c r="D112" s="108">
        <f>IFERROR(D111/$D$111,"")</f>
        <v>1</v>
      </c>
      <c r="E112" s="109">
        <f t="shared" ref="E112:F112" si="90">IFERROR(E111/$D$111,"")</f>
        <v>0.99553409287862182</v>
      </c>
      <c r="F112" s="110">
        <f t="shared" si="90"/>
        <v>0</v>
      </c>
      <c r="G112" s="110">
        <f t="shared" ref="G112:G116" si="91">SUM(E112:F112)</f>
        <v>0.99553409287862182</v>
      </c>
      <c r="H112" s="110">
        <f t="shared" ref="H112" si="92">IFERROR(H111/$D$111,"")</f>
        <v>4.4659071213781687E-3</v>
      </c>
      <c r="I112" s="110">
        <f t="shared" ref="I112" si="93">IFERROR(I111/$D$111,"")</f>
        <v>0</v>
      </c>
      <c r="J112" s="110">
        <f t="shared" si="87"/>
        <v>4.4659071213781687E-3</v>
      </c>
      <c r="K112" s="110">
        <f t="shared" ref="K112" si="94">IFERROR(K111/$D$111,"")</f>
        <v>0</v>
      </c>
      <c r="L112" s="110">
        <f t="shared" ref="L112" si="95">IFERROR(L111/$D$111,"")</f>
        <v>0</v>
      </c>
      <c r="M112" s="110">
        <f t="shared" si="89"/>
        <v>0</v>
      </c>
      <c r="N112" s="113" t="s">
        <v>146</v>
      </c>
      <c r="O112" s="110">
        <f>SUM(N112)</f>
        <v>0</v>
      </c>
      <c r="P112" s="32"/>
    </row>
    <row r="113" spans="2:16" ht="18" customHeight="1">
      <c r="B113" s="31" t="s">
        <v>157</v>
      </c>
      <c r="C113" s="31"/>
      <c r="D113" s="105">
        <f>SUM(G113,J113,M113)</f>
        <v>8</v>
      </c>
      <c r="E113" s="106">
        <f>E103</f>
        <v>8</v>
      </c>
      <c r="F113" s="107">
        <f>F103</f>
        <v>0</v>
      </c>
      <c r="G113" s="107">
        <f t="shared" si="91"/>
        <v>8</v>
      </c>
      <c r="H113" s="107">
        <f t="shared" ref="H113:I113" si="96">H103</f>
        <v>0</v>
      </c>
      <c r="I113" s="107">
        <f t="shared" si="96"/>
        <v>0</v>
      </c>
      <c r="J113" s="107">
        <f t="shared" si="87"/>
        <v>0</v>
      </c>
      <c r="K113" s="107">
        <f t="shared" ref="K113:L113" si="97">K103</f>
        <v>0</v>
      </c>
      <c r="L113" s="107">
        <f t="shared" si="97"/>
        <v>0</v>
      </c>
      <c r="M113" s="107">
        <f t="shared" si="89"/>
        <v>0</v>
      </c>
      <c r="N113" s="114" t="s">
        <v>146</v>
      </c>
      <c r="O113" s="107">
        <f t="shared" ref="O113:O116" si="98">SUM(N113)</f>
        <v>0</v>
      </c>
      <c r="P113" s="31"/>
    </row>
    <row r="114" spans="2:16" ht="18" customHeight="1">
      <c r="B114" s="32" t="s">
        <v>145</v>
      </c>
      <c r="C114" s="32"/>
      <c r="D114" s="108">
        <f>IFERROR(D113/$D$113,"")</f>
        <v>1</v>
      </c>
      <c r="E114" s="109">
        <f t="shared" ref="E114:F114" si="99">IFERROR(E113/$D$113,"")</f>
        <v>1</v>
      </c>
      <c r="F114" s="110">
        <f t="shared" si="99"/>
        <v>0</v>
      </c>
      <c r="G114" s="110">
        <f t="shared" si="91"/>
        <v>1</v>
      </c>
      <c r="H114" s="110">
        <f t="shared" ref="H114" si="100">IFERROR(H113/$D$113,"")</f>
        <v>0</v>
      </c>
      <c r="I114" s="110">
        <f t="shared" ref="I114" si="101">IFERROR(I113/$D$113,"")</f>
        <v>0</v>
      </c>
      <c r="J114" s="110">
        <f t="shared" si="87"/>
        <v>0</v>
      </c>
      <c r="K114" s="110">
        <f t="shared" ref="K114:L114" si="102">IFERROR(K113/$D$113,"")</f>
        <v>0</v>
      </c>
      <c r="L114" s="110">
        <f t="shared" si="102"/>
        <v>0</v>
      </c>
      <c r="M114" s="110">
        <f t="shared" si="89"/>
        <v>0</v>
      </c>
      <c r="N114" s="113" t="s">
        <v>146</v>
      </c>
      <c r="O114" s="110">
        <f t="shared" si="98"/>
        <v>0</v>
      </c>
      <c r="P114" s="32"/>
    </row>
    <row r="115" spans="2:16" ht="18" customHeight="1">
      <c r="B115" s="31" t="s">
        <v>158</v>
      </c>
      <c r="C115" s="31"/>
      <c r="D115" s="105">
        <f>SUM(G115,J115,M115)</f>
        <v>0</v>
      </c>
      <c r="E115" s="106">
        <f>'#)참고자료'!$E$31</f>
        <v>0</v>
      </c>
      <c r="F115" s="107"/>
      <c r="G115" s="107">
        <f t="shared" si="91"/>
        <v>0</v>
      </c>
      <c r="H115" s="107">
        <f>'#)참고자료'!$E$33</f>
        <v>0</v>
      </c>
      <c r="I115" s="107">
        <f>'#)참고자료'!$E$34</f>
        <v>0</v>
      </c>
      <c r="J115" s="107">
        <f t="shared" si="87"/>
        <v>0</v>
      </c>
      <c r="K115" s="107">
        <f>'#)참고자료'!$E$35</f>
        <v>0</v>
      </c>
      <c r="L115" s="107">
        <f>'#)참고자료'!$E$36</f>
        <v>0</v>
      </c>
      <c r="M115" s="107">
        <f t="shared" si="89"/>
        <v>0</v>
      </c>
      <c r="N115" s="112" t="s">
        <v>146</v>
      </c>
      <c r="O115" s="7">
        <f t="shared" si="98"/>
        <v>0</v>
      </c>
      <c r="P115" s="31" t="s">
        <v>152</v>
      </c>
    </row>
    <row r="116" spans="2:16" ht="18" customHeight="1" thickBot="1">
      <c r="B116" s="32" t="s">
        <v>143</v>
      </c>
      <c r="C116" s="32"/>
      <c r="D116" s="111" t="str">
        <f>IFERROR(D115/$D$115,"")</f>
        <v/>
      </c>
      <c r="E116" s="109" t="str">
        <f t="shared" ref="E116:F116" si="103">IFERROR(E115/$D$115,"")</f>
        <v/>
      </c>
      <c r="F116" s="110" t="str">
        <f t="shared" si="103"/>
        <v/>
      </c>
      <c r="G116" s="110">
        <f t="shared" si="91"/>
        <v>0</v>
      </c>
      <c r="H116" s="110" t="str">
        <f t="shared" ref="H116:I116" si="104">IFERROR(H115/$D$115,"")</f>
        <v/>
      </c>
      <c r="I116" s="110" t="str">
        <f t="shared" si="104"/>
        <v/>
      </c>
      <c r="J116" s="110">
        <f t="shared" si="87"/>
        <v>0</v>
      </c>
      <c r="K116" s="110" t="str">
        <f t="shared" ref="K116:L116" si="105">IFERROR(K115/$D$115,"")</f>
        <v/>
      </c>
      <c r="L116" s="110" t="str">
        <f t="shared" si="105"/>
        <v/>
      </c>
      <c r="M116" s="110">
        <f t="shared" si="89"/>
        <v>0</v>
      </c>
      <c r="N116" s="113" t="s">
        <v>146</v>
      </c>
      <c r="O116" s="110">
        <f t="shared" si="98"/>
        <v>0</v>
      </c>
      <c r="P116" s="32"/>
    </row>
  </sheetData>
  <mergeCells count="31">
    <mergeCell ref="N109:O109"/>
    <mergeCell ref="P109:P110"/>
    <mergeCell ref="B109:C110"/>
    <mergeCell ref="D109:D110"/>
    <mergeCell ref="E109:G109"/>
    <mergeCell ref="H109:J109"/>
    <mergeCell ref="K109:M109"/>
    <mergeCell ref="R28:S29"/>
    <mergeCell ref="T28:T29"/>
    <mergeCell ref="U28:U29"/>
    <mergeCell ref="B99:C100"/>
    <mergeCell ref="D99:D100"/>
    <mergeCell ref="E99:G99"/>
    <mergeCell ref="H99:J99"/>
    <mergeCell ref="K99:M99"/>
    <mergeCell ref="N99:O99"/>
    <mergeCell ref="P99:P100"/>
    <mergeCell ref="P5:P6"/>
    <mergeCell ref="B28:C29"/>
    <mergeCell ref="D28:D29"/>
    <mergeCell ref="E28:G28"/>
    <mergeCell ref="H28:J28"/>
    <mergeCell ref="K28:M28"/>
    <mergeCell ref="N28:O28"/>
    <mergeCell ref="P28:P29"/>
    <mergeCell ref="B5:C6"/>
    <mergeCell ref="D5:D6"/>
    <mergeCell ref="E5:G5"/>
    <mergeCell ref="H5:J5"/>
    <mergeCell ref="K5:M5"/>
    <mergeCell ref="N5:O5"/>
  </mergeCells>
  <phoneticPr fontId="3" type="noConversion"/>
  <pageMargins left="0.39370078740157483" right="0.39370078740157483" top="0.59055118110236227" bottom="0.59055118110236227" header="0.31496062992125984" footer="0.31496062992125984"/>
  <pageSetup paperSize="9" scale="8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P93"/>
  <sheetViews>
    <sheetView showGridLines="0" zoomScale="85" zoomScaleNormal="85" zoomScaleSheetLayoutView="55" workbookViewId="0">
      <selection activeCell="P14" sqref="P14"/>
    </sheetView>
  </sheetViews>
  <sheetFormatPr baseColWidth="10" defaultColWidth="9" defaultRowHeight="13"/>
  <cols>
    <col min="1" max="1" width="1.6640625" style="1" customWidth="1"/>
    <col min="2" max="2" width="2.33203125" style="1" customWidth="1"/>
    <col min="3" max="3" width="9" style="1"/>
    <col min="4" max="15" width="8.1640625" style="1" customWidth="1"/>
    <col min="16" max="16" width="39.1640625" style="1" customWidth="1"/>
    <col min="17" max="16384" width="9" style="1"/>
  </cols>
  <sheetData>
    <row r="3" spans="1:16" s="3" customFormat="1" ht="14">
      <c r="A3" s="3" t="s">
        <v>92</v>
      </c>
    </row>
    <row r="4" spans="1:16" ht="14" thickBot="1">
      <c r="P4" s="41" t="s">
        <v>96</v>
      </c>
    </row>
    <row r="5" spans="1:16" ht="18" customHeight="1">
      <c r="B5" s="299" t="s">
        <v>27</v>
      </c>
      <c r="C5" s="300"/>
      <c r="D5" s="301" t="s">
        <v>39</v>
      </c>
      <c r="E5" s="305" t="s">
        <v>29</v>
      </c>
      <c r="F5" s="299"/>
      <c r="G5" s="299"/>
      <c r="H5" s="299" t="s">
        <v>33</v>
      </c>
      <c r="I5" s="299"/>
      <c r="J5" s="299"/>
      <c r="K5" s="299" t="s">
        <v>34</v>
      </c>
      <c r="L5" s="299"/>
      <c r="M5" s="299"/>
      <c r="N5" s="299" t="s">
        <v>36</v>
      </c>
      <c r="O5" s="299"/>
      <c r="P5" s="306" t="s">
        <v>91</v>
      </c>
    </row>
    <row r="6" spans="1:16" ht="18" customHeight="1">
      <c r="B6" s="299"/>
      <c r="C6" s="300"/>
      <c r="D6" s="302"/>
      <c r="E6" s="33" t="s">
        <v>31</v>
      </c>
      <c r="F6" s="8" t="s">
        <v>148</v>
      </c>
      <c r="G6" s="8" t="s">
        <v>32</v>
      </c>
      <c r="H6" s="8" t="s">
        <v>98</v>
      </c>
      <c r="I6" s="8" t="s">
        <v>150</v>
      </c>
      <c r="J6" s="8" t="s">
        <v>32</v>
      </c>
      <c r="K6" s="8" t="s">
        <v>99</v>
      </c>
      <c r="L6" s="8" t="s">
        <v>150</v>
      </c>
      <c r="M6" s="8" t="s">
        <v>32</v>
      </c>
      <c r="N6" s="8" t="s">
        <v>38</v>
      </c>
      <c r="O6" s="8" t="s">
        <v>32</v>
      </c>
      <c r="P6" s="307"/>
    </row>
    <row r="7" spans="1:16" ht="31" customHeight="1">
      <c r="B7" s="10" t="s">
        <v>0</v>
      </c>
      <c r="C7" s="30"/>
      <c r="D7" s="42">
        <f>SUM(G7,J7,M7,O7)</f>
        <v>16858638.777252171</v>
      </c>
      <c r="E7" s="43">
        <f>매출목표!G9</f>
        <v>16483016.937140476</v>
      </c>
      <c r="F7" s="44"/>
      <c r="G7" s="44">
        <f>SUM(E7:F7)</f>
        <v>16483016.937140476</v>
      </c>
      <c r="H7" s="44">
        <f>매출목표!G12</f>
        <v>73941.840111695245</v>
      </c>
      <c r="I7" s="44"/>
      <c r="J7" s="44">
        <f>SUM(H7:I7)</f>
        <v>73941.840111695245</v>
      </c>
      <c r="K7" s="44">
        <f>매출목표!G19</f>
        <v>0</v>
      </c>
      <c r="L7" s="44"/>
      <c r="M7" s="44">
        <f>SUM(K7:L7)</f>
        <v>0</v>
      </c>
      <c r="N7" s="44">
        <f>매출목표!G10+매출목표!G14+매출목표!G15+매출목표!G16+매출목표!G17+매출목표!G25</f>
        <v>301680</v>
      </c>
      <c r="O7" s="44">
        <f>SUM(N7)</f>
        <v>301680</v>
      </c>
      <c r="P7" s="11"/>
    </row>
    <row r="8" spans="1:16" ht="31" customHeight="1">
      <c r="B8" s="9" t="s">
        <v>1</v>
      </c>
      <c r="C8" s="26"/>
      <c r="D8" s="45">
        <f>SUM(G8,J8,M8,O8)</f>
        <v>0</v>
      </c>
      <c r="E8" s="46">
        <f>SUM(E9:E20)</f>
        <v>0</v>
      </c>
      <c r="F8" s="47">
        <f>SUM(F9:F20)</f>
        <v>0</v>
      </c>
      <c r="G8" s="47">
        <f>SUM(E8:F8)</f>
        <v>0</v>
      </c>
      <c r="H8" s="47">
        <f>SUM(H9:H20)</f>
        <v>0</v>
      </c>
      <c r="I8" s="47">
        <f>SUM(I9:I20)</f>
        <v>0</v>
      </c>
      <c r="J8" s="47">
        <f>SUM(H8:I8)</f>
        <v>0</v>
      </c>
      <c r="K8" s="47">
        <f>SUM(K9:K20)</f>
        <v>0</v>
      </c>
      <c r="L8" s="47">
        <f>SUM(L9:L20)</f>
        <v>0</v>
      </c>
      <c r="M8" s="47">
        <f>SUM(K8:L8)</f>
        <v>0</v>
      </c>
      <c r="N8" s="47">
        <f>SUM(N9:N20)</f>
        <v>0</v>
      </c>
      <c r="O8" s="47">
        <f>SUM(N8)</f>
        <v>0</v>
      </c>
      <c r="P8" s="12"/>
    </row>
    <row r="9" spans="1:16" ht="31" customHeight="1">
      <c r="B9" s="4"/>
      <c r="C9" s="31" t="s">
        <v>40</v>
      </c>
      <c r="D9" s="48">
        <f t="shared" ref="D9:D22" si="0">SUM(G9,J9,M9,O9)</f>
        <v>0</v>
      </c>
      <c r="E9" s="49">
        <f>E35</f>
        <v>0</v>
      </c>
      <c r="F9" s="50">
        <f>F35</f>
        <v>0</v>
      </c>
      <c r="G9" s="50">
        <f t="shared" ref="G9:G22" si="1">SUM(E9:F9)</f>
        <v>0</v>
      </c>
      <c r="H9" s="50">
        <f t="shared" ref="H9:I9" si="2">H35</f>
        <v>0</v>
      </c>
      <c r="I9" s="50">
        <f t="shared" si="2"/>
        <v>0</v>
      </c>
      <c r="J9" s="50">
        <f t="shared" ref="J9:J22" si="3">SUM(H9:I9)</f>
        <v>0</v>
      </c>
      <c r="K9" s="50">
        <f t="shared" ref="K9:L9" si="4">K35</f>
        <v>0</v>
      </c>
      <c r="L9" s="50">
        <f t="shared" si="4"/>
        <v>0</v>
      </c>
      <c r="M9" s="50">
        <f t="shared" ref="M9:M22" si="5">SUM(K9:L9)</f>
        <v>0</v>
      </c>
      <c r="N9" s="50">
        <f>N35</f>
        <v>0</v>
      </c>
      <c r="O9" s="50">
        <f t="shared" ref="O9:O22" si="6">SUM(N9)</f>
        <v>0</v>
      </c>
      <c r="P9" s="13"/>
    </row>
    <row r="10" spans="1:16" ht="31" customHeight="1">
      <c r="B10" s="5"/>
      <c r="C10" s="1" t="s">
        <v>41</v>
      </c>
      <c r="D10" s="51">
        <f t="shared" si="0"/>
        <v>0</v>
      </c>
      <c r="E10" s="52">
        <f t="shared" ref="E10:F10" si="7">E36</f>
        <v>0</v>
      </c>
      <c r="F10" s="53">
        <f t="shared" si="7"/>
        <v>0</v>
      </c>
      <c r="G10" s="53">
        <f t="shared" si="1"/>
        <v>0</v>
      </c>
      <c r="H10" s="53">
        <f t="shared" ref="H10:I10" si="8">H36</f>
        <v>0</v>
      </c>
      <c r="I10" s="53">
        <f t="shared" si="8"/>
        <v>0</v>
      </c>
      <c r="J10" s="53">
        <f t="shared" si="3"/>
        <v>0</v>
      </c>
      <c r="K10" s="53">
        <f t="shared" ref="K10:L10" si="9">K36</f>
        <v>0</v>
      </c>
      <c r="L10" s="53">
        <f t="shared" si="9"/>
        <v>0</v>
      </c>
      <c r="M10" s="53">
        <f t="shared" si="5"/>
        <v>0</v>
      </c>
      <c r="N10" s="53">
        <f t="shared" ref="N10" si="10">N36</f>
        <v>0</v>
      </c>
      <c r="O10" s="53">
        <f t="shared" si="6"/>
        <v>0</v>
      </c>
      <c r="P10" s="14"/>
    </row>
    <row r="11" spans="1:16" ht="31" customHeight="1">
      <c r="B11" s="5"/>
      <c r="C11" s="1" t="s">
        <v>2</v>
      </c>
      <c r="D11" s="51">
        <f t="shared" si="0"/>
        <v>0</v>
      </c>
      <c r="E11" s="52">
        <f>E41</f>
        <v>0</v>
      </c>
      <c r="F11" s="53">
        <f>F41</f>
        <v>0</v>
      </c>
      <c r="G11" s="53">
        <f t="shared" si="1"/>
        <v>0</v>
      </c>
      <c r="H11" s="53">
        <f t="shared" ref="H11:I11" si="11">H41</f>
        <v>0</v>
      </c>
      <c r="I11" s="53">
        <f t="shared" si="11"/>
        <v>0</v>
      </c>
      <c r="J11" s="53">
        <f t="shared" si="3"/>
        <v>0</v>
      </c>
      <c r="K11" s="53">
        <f t="shared" ref="K11:L11" si="12">K41</f>
        <v>0</v>
      </c>
      <c r="L11" s="53">
        <f t="shared" si="12"/>
        <v>0</v>
      </c>
      <c r="M11" s="53">
        <f t="shared" si="5"/>
        <v>0</v>
      </c>
      <c r="N11" s="53">
        <f>N41</f>
        <v>0</v>
      </c>
      <c r="O11" s="53">
        <f t="shared" si="6"/>
        <v>0</v>
      </c>
      <c r="P11" s="14"/>
    </row>
    <row r="12" spans="1:16" ht="31" customHeight="1">
      <c r="B12" s="5"/>
      <c r="C12" s="1" t="s">
        <v>6</v>
      </c>
      <c r="D12" s="51">
        <f t="shared" si="0"/>
        <v>0</v>
      </c>
      <c r="E12" s="52">
        <f>E52</f>
        <v>0</v>
      </c>
      <c r="F12" s="53">
        <f>F52</f>
        <v>0</v>
      </c>
      <c r="G12" s="53">
        <f t="shared" si="1"/>
        <v>0</v>
      </c>
      <c r="H12" s="53">
        <f t="shared" ref="H12:I12" si="13">H52</f>
        <v>0</v>
      </c>
      <c r="I12" s="53">
        <f t="shared" si="13"/>
        <v>0</v>
      </c>
      <c r="J12" s="53">
        <f t="shared" si="3"/>
        <v>0</v>
      </c>
      <c r="K12" s="53">
        <f t="shared" ref="K12:L12" si="14">K52</f>
        <v>0</v>
      </c>
      <c r="L12" s="53">
        <f t="shared" si="14"/>
        <v>0</v>
      </c>
      <c r="M12" s="53">
        <f t="shared" si="5"/>
        <v>0</v>
      </c>
      <c r="N12" s="53">
        <f>N52</f>
        <v>0</v>
      </c>
      <c r="O12" s="53">
        <f t="shared" si="6"/>
        <v>0</v>
      </c>
      <c r="P12" s="14"/>
    </row>
    <row r="13" spans="1:16" ht="31" customHeight="1">
      <c r="B13" s="5"/>
      <c r="C13" s="1" t="s">
        <v>3</v>
      </c>
      <c r="D13" s="51">
        <f t="shared" si="0"/>
        <v>0</v>
      </c>
      <c r="E13" s="52">
        <f>E58</f>
        <v>0</v>
      </c>
      <c r="F13" s="53">
        <f>F58</f>
        <v>0</v>
      </c>
      <c r="G13" s="53">
        <f t="shared" si="1"/>
        <v>0</v>
      </c>
      <c r="H13" s="53">
        <f t="shared" ref="H13:I13" si="15">H58</f>
        <v>0</v>
      </c>
      <c r="I13" s="53">
        <f t="shared" si="15"/>
        <v>0</v>
      </c>
      <c r="J13" s="53">
        <f t="shared" si="3"/>
        <v>0</v>
      </c>
      <c r="K13" s="53">
        <f t="shared" ref="K13:L13" si="16">K58</f>
        <v>0</v>
      </c>
      <c r="L13" s="53">
        <f t="shared" si="16"/>
        <v>0</v>
      </c>
      <c r="M13" s="53">
        <f t="shared" si="5"/>
        <v>0</v>
      </c>
      <c r="N13" s="53">
        <f>N58</f>
        <v>0</v>
      </c>
      <c r="O13" s="53">
        <f t="shared" si="6"/>
        <v>0</v>
      </c>
      <c r="P13" s="14"/>
    </row>
    <row r="14" spans="1:16" ht="31" customHeight="1">
      <c r="B14" s="5"/>
      <c r="C14" s="1" t="s">
        <v>4</v>
      </c>
      <c r="D14" s="51">
        <f t="shared" si="0"/>
        <v>0</v>
      </c>
      <c r="E14" s="52">
        <f>E59</f>
        <v>0</v>
      </c>
      <c r="F14" s="53">
        <f>F59</f>
        <v>0</v>
      </c>
      <c r="G14" s="53">
        <f t="shared" si="1"/>
        <v>0</v>
      </c>
      <c r="H14" s="53">
        <f t="shared" ref="H14:I14" si="17">H59</f>
        <v>0</v>
      </c>
      <c r="I14" s="53">
        <f t="shared" si="17"/>
        <v>0</v>
      </c>
      <c r="J14" s="53">
        <f t="shared" si="3"/>
        <v>0</v>
      </c>
      <c r="K14" s="53">
        <f t="shared" ref="K14:L14" si="18">K59</f>
        <v>0</v>
      </c>
      <c r="L14" s="53">
        <f t="shared" si="18"/>
        <v>0</v>
      </c>
      <c r="M14" s="53">
        <f t="shared" si="5"/>
        <v>0</v>
      </c>
      <c r="N14" s="53">
        <f>N59</f>
        <v>0</v>
      </c>
      <c r="O14" s="53">
        <f t="shared" si="6"/>
        <v>0</v>
      </c>
      <c r="P14" s="14"/>
    </row>
    <row r="15" spans="1:16" ht="31" customHeight="1">
      <c r="B15" s="5"/>
      <c r="C15" s="1" t="s">
        <v>5</v>
      </c>
      <c r="D15" s="51">
        <f t="shared" si="0"/>
        <v>0</v>
      </c>
      <c r="E15" s="52">
        <f>E64</f>
        <v>0</v>
      </c>
      <c r="F15" s="53">
        <f>F64</f>
        <v>0</v>
      </c>
      <c r="G15" s="53">
        <f t="shared" si="1"/>
        <v>0</v>
      </c>
      <c r="H15" s="53">
        <f t="shared" ref="H15:I15" si="19">H64</f>
        <v>0</v>
      </c>
      <c r="I15" s="53">
        <f t="shared" si="19"/>
        <v>0</v>
      </c>
      <c r="J15" s="53">
        <f t="shared" si="3"/>
        <v>0</v>
      </c>
      <c r="K15" s="53">
        <f t="shared" ref="K15:L15" si="20">K64</f>
        <v>0</v>
      </c>
      <c r="L15" s="53">
        <f t="shared" si="20"/>
        <v>0</v>
      </c>
      <c r="M15" s="53">
        <f t="shared" si="5"/>
        <v>0</v>
      </c>
      <c r="N15" s="53">
        <f>N64</f>
        <v>0</v>
      </c>
      <c r="O15" s="53">
        <f t="shared" si="6"/>
        <v>0</v>
      </c>
      <c r="P15" s="14"/>
    </row>
    <row r="16" spans="1:16" ht="31" customHeight="1">
      <c r="B16" s="5"/>
      <c r="C16" s="1" t="s">
        <v>7</v>
      </c>
      <c r="D16" s="51">
        <f t="shared" si="0"/>
        <v>0</v>
      </c>
      <c r="E16" s="52">
        <f>E65</f>
        <v>0</v>
      </c>
      <c r="F16" s="53">
        <f>F65</f>
        <v>0</v>
      </c>
      <c r="G16" s="53">
        <f t="shared" si="1"/>
        <v>0</v>
      </c>
      <c r="H16" s="53">
        <f t="shared" ref="H16:I16" si="21">H65</f>
        <v>0</v>
      </c>
      <c r="I16" s="53">
        <f t="shared" si="21"/>
        <v>0</v>
      </c>
      <c r="J16" s="53">
        <f t="shared" si="3"/>
        <v>0</v>
      </c>
      <c r="K16" s="53">
        <f t="shared" ref="K16:L16" si="22">K65</f>
        <v>0</v>
      </c>
      <c r="L16" s="53">
        <f t="shared" si="22"/>
        <v>0</v>
      </c>
      <c r="M16" s="53">
        <f t="shared" si="5"/>
        <v>0</v>
      </c>
      <c r="N16" s="53">
        <f>N65</f>
        <v>0</v>
      </c>
      <c r="O16" s="53">
        <f t="shared" si="6"/>
        <v>0</v>
      </c>
      <c r="P16" s="14"/>
    </row>
    <row r="17" spans="1:16" ht="31" customHeight="1">
      <c r="B17" s="5"/>
      <c r="C17" s="1" t="s">
        <v>8</v>
      </c>
      <c r="D17" s="51">
        <f t="shared" si="0"/>
        <v>0</v>
      </c>
      <c r="E17" s="52">
        <f>E70</f>
        <v>0</v>
      </c>
      <c r="F17" s="53">
        <f>F70</f>
        <v>0</v>
      </c>
      <c r="G17" s="53">
        <f t="shared" si="1"/>
        <v>0</v>
      </c>
      <c r="H17" s="53">
        <f t="shared" ref="H17:I17" si="23">H70</f>
        <v>0</v>
      </c>
      <c r="I17" s="53">
        <f t="shared" si="23"/>
        <v>0</v>
      </c>
      <c r="J17" s="53">
        <f t="shared" si="3"/>
        <v>0</v>
      </c>
      <c r="K17" s="53">
        <f t="shared" ref="K17:L17" si="24">K70</f>
        <v>0</v>
      </c>
      <c r="L17" s="53">
        <f t="shared" si="24"/>
        <v>0</v>
      </c>
      <c r="M17" s="53">
        <f t="shared" si="5"/>
        <v>0</v>
      </c>
      <c r="N17" s="53">
        <f>N70</f>
        <v>0</v>
      </c>
      <c r="O17" s="53">
        <f t="shared" si="6"/>
        <v>0</v>
      </c>
      <c r="P17" s="14"/>
    </row>
    <row r="18" spans="1:16" ht="31" customHeight="1">
      <c r="B18" s="5"/>
      <c r="C18" s="1" t="s">
        <v>9</v>
      </c>
      <c r="D18" s="51">
        <f t="shared" si="0"/>
        <v>0</v>
      </c>
      <c r="E18" s="52">
        <f>E79</f>
        <v>0</v>
      </c>
      <c r="F18" s="53">
        <f>F79</f>
        <v>0</v>
      </c>
      <c r="G18" s="53">
        <f t="shared" si="1"/>
        <v>0</v>
      </c>
      <c r="H18" s="53">
        <f t="shared" ref="H18:I18" si="25">H79</f>
        <v>0</v>
      </c>
      <c r="I18" s="53">
        <f t="shared" si="25"/>
        <v>0</v>
      </c>
      <c r="J18" s="53">
        <f t="shared" si="3"/>
        <v>0</v>
      </c>
      <c r="K18" s="53">
        <f t="shared" ref="K18:L18" si="26">K79</f>
        <v>0</v>
      </c>
      <c r="L18" s="53">
        <f t="shared" si="26"/>
        <v>0</v>
      </c>
      <c r="M18" s="53">
        <f t="shared" si="5"/>
        <v>0</v>
      </c>
      <c r="N18" s="53">
        <f>N79</f>
        <v>0</v>
      </c>
      <c r="O18" s="53">
        <f t="shared" si="6"/>
        <v>0</v>
      </c>
      <c r="P18" s="14"/>
    </row>
    <row r="19" spans="1:16" ht="31" customHeight="1">
      <c r="B19" s="5"/>
      <c r="C19" s="1" t="s">
        <v>10</v>
      </c>
      <c r="D19" s="51">
        <f t="shared" si="0"/>
        <v>0</v>
      </c>
      <c r="E19" s="52">
        <f>E82</f>
        <v>0</v>
      </c>
      <c r="F19" s="53">
        <f>F82</f>
        <v>0</v>
      </c>
      <c r="G19" s="53">
        <f t="shared" si="1"/>
        <v>0</v>
      </c>
      <c r="H19" s="53">
        <f t="shared" ref="H19:I19" si="27">H82</f>
        <v>0</v>
      </c>
      <c r="I19" s="53">
        <f t="shared" si="27"/>
        <v>0</v>
      </c>
      <c r="J19" s="53">
        <f t="shared" si="3"/>
        <v>0</v>
      </c>
      <c r="K19" s="53">
        <f t="shared" ref="K19:L19" si="28">K82</f>
        <v>0</v>
      </c>
      <c r="L19" s="53">
        <f t="shared" si="28"/>
        <v>0</v>
      </c>
      <c r="M19" s="53">
        <f t="shared" si="5"/>
        <v>0</v>
      </c>
      <c r="N19" s="53">
        <f>N82</f>
        <v>0</v>
      </c>
      <c r="O19" s="53">
        <f t="shared" si="6"/>
        <v>0</v>
      </c>
      <c r="P19" s="14"/>
    </row>
    <row r="20" spans="1:16" ht="31" customHeight="1">
      <c r="B20" s="6"/>
      <c r="C20" s="32" t="s">
        <v>11</v>
      </c>
      <c r="D20" s="54">
        <f t="shared" si="0"/>
        <v>0</v>
      </c>
      <c r="E20" s="55">
        <f>E92</f>
        <v>0</v>
      </c>
      <c r="F20" s="56">
        <f>F92</f>
        <v>0</v>
      </c>
      <c r="G20" s="56">
        <f t="shared" si="1"/>
        <v>0</v>
      </c>
      <c r="H20" s="56">
        <f t="shared" ref="H20:I20" si="29">H92</f>
        <v>0</v>
      </c>
      <c r="I20" s="56">
        <f t="shared" si="29"/>
        <v>0</v>
      </c>
      <c r="J20" s="56">
        <f t="shared" si="3"/>
        <v>0</v>
      </c>
      <c r="K20" s="56">
        <f t="shared" ref="K20:L20" si="30">K92</f>
        <v>0</v>
      </c>
      <c r="L20" s="56">
        <f t="shared" si="30"/>
        <v>0</v>
      </c>
      <c r="M20" s="56">
        <f t="shared" si="5"/>
        <v>0</v>
      </c>
      <c r="N20" s="56">
        <f>N92</f>
        <v>0</v>
      </c>
      <c r="O20" s="56">
        <f t="shared" si="6"/>
        <v>0</v>
      </c>
      <c r="P20" s="15"/>
    </row>
    <row r="21" spans="1:16" ht="31" customHeight="1">
      <c r="B21" s="9" t="s">
        <v>94</v>
      </c>
      <c r="C21" s="26"/>
      <c r="D21" s="45">
        <f t="shared" si="0"/>
        <v>16858638.777252171</v>
      </c>
      <c r="E21" s="46">
        <f>E7-E8</f>
        <v>16483016.937140476</v>
      </c>
      <c r="F21" s="47">
        <f>F7-F8</f>
        <v>0</v>
      </c>
      <c r="G21" s="47">
        <f t="shared" si="1"/>
        <v>16483016.937140476</v>
      </c>
      <c r="H21" s="47">
        <f>H7-H8</f>
        <v>73941.840111695245</v>
      </c>
      <c r="I21" s="47">
        <f>I7-I8</f>
        <v>0</v>
      </c>
      <c r="J21" s="47">
        <f t="shared" si="3"/>
        <v>73941.840111695245</v>
      </c>
      <c r="K21" s="47">
        <f>K7-K8</f>
        <v>0</v>
      </c>
      <c r="L21" s="47">
        <f>L7-L8</f>
        <v>0</v>
      </c>
      <c r="M21" s="47">
        <f t="shared" si="5"/>
        <v>0</v>
      </c>
      <c r="N21" s="47">
        <f>N7-N8</f>
        <v>301680</v>
      </c>
      <c r="O21" s="47">
        <f t="shared" si="6"/>
        <v>301680</v>
      </c>
      <c r="P21" s="12"/>
    </row>
    <row r="22" spans="1:16" ht="31" customHeight="1" thickBot="1">
      <c r="B22" s="40" t="s">
        <v>95</v>
      </c>
      <c r="C22" s="26"/>
      <c r="D22" s="57">
        <f t="shared" si="0"/>
        <v>16858638.777252171</v>
      </c>
      <c r="E22" s="46">
        <f>E21+E19</f>
        <v>16483016.937140476</v>
      </c>
      <c r="F22" s="47">
        <f>F21+F19</f>
        <v>0</v>
      </c>
      <c r="G22" s="47">
        <f t="shared" si="1"/>
        <v>16483016.937140476</v>
      </c>
      <c r="H22" s="47">
        <f t="shared" ref="H22:I22" si="31">H21+H19</f>
        <v>73941.840111695245</v>
      </c>
      <c r="I22" s="47">
        <f t="shared" si="31"/>
        <v>0</v>
      </c>
      <c r="J22" s="47">
        <f t="shared" si="3"/>
        <v>73941.840111695245</v>
      </c>
      <c r="K22" s="47">
        <f t="shared" ref="K22:L22" si="32">K21+K19</f>
        <v>0</v>
      </c>
      <c r="L22" s="47">
        <f t="shared" si="32"/>
        <v>0</v>
      </c>
      <c r="M22" s="47">
        <f t="shared" si="5"/>
        <v>0</v>
      </c>
      <c r="N22" s="47">
        <f>N21+N19</f>
        <v>301680</v>
      </c>
      <c r="O22" s="47">
        <f t="shared" si="6"/>
        <v>301680</v>
      </c>
      <c r="P22" s="12"/>
    </row>
    <row r="26" spans="1:16" s="3" customFormat="1" ht="14">
      <c r="A26" s="3" t="s">
        <v>93</v>
      </c>
    </row>
    <row r="27" spans="1:16" ht="14" thickBot="1"/>
    <row r="28" spans="1:16" ht="18" customHeight="1">
      <c r="B28" s="299" t="s">
        <v>27</v>
      </c>
      <c r="C28" s="300"/>
      <c r="D28" s="301" t="s">
        <v>39</v>
      </c>
      <c r="E28" s="305" t="s">
        <v>29</v>
      </c>
      <c r="F28" s="299"/>
      <c r="G28" s="299"/>
      <c r="H28" s="299" t="s">
        <v>33</v>
      </c>
      <c r="I28" s="299"/>
      <c r="J28" s="299"/>
      <c r="K28" s="299" t="s">
        <v>34</v>
      </c>
      <c r="L28" s="299"/>
      <c r="M28" s="299"/>
      <c r="N28" s="299" t="s">
        <v>36</v>
      </c>
      <c r="O28" s="299"/>
      <c r="P28" s="306" t="s">
        <v>91</v>
      </c>
    </row>
    <row r="29" spans="1:16" ht="18" customHeight="1">
      <c r="B29" s="299"/>
      <c r="C29" s="300"/>
      <c r="D29" s="302"/>
      <c r="E29" s="33" t="s">
        <v>31</v>
      </c>
      <c r="F29" s="8" t="s">
        <v>148</v>
      </c>
      <c r="G29" s="8" t="s">
        <v>32</v>
      </c>
      <c r="H29" s="8" t="s">
        <v>98</v>
      </c>
      <c r="I29" s="8" t="s">
        <v>150</v>
      </c>
      <c r="J29" s="8" t="s">
        <v>32</v>
      </c>
      <c r="K29" s="8" t="s">
        <v>99</v>
      </c>
      <c r="L29" s="8" t="s">
        <v>150</v>
      </c>
      <c r="M29" s="8" t="s">
        <v>32</v>
      </c>
      <c r="N29" s="8" t="s">
        <v>38</v>
      </c>
      <c r="O29" s="8" t="s">
        <v>32</v>
      </c>
      <c r="P29" s="307"/>
    </row>
    <row r="30" spans="1:16" ht="18" customHeight="1">
      <c r="B30" s="4" t="s">
        <v>12</v>
      </c>
      <c r="C30" s="31"/>
      <c r="D30" s="48">
        <f t="shared" ref="D30:D93" si="33">SUM(G30,J30,M30,O30)</f>
        <v>0</v>
      </c>
      <c r="E30" s="49"/>
      <c r="F30" s="49"/>
      <c r="G30" s="49">
        <f t="shared" ref="G30:G93" si="34">SUM(E30:F30)</f>
        <v>0</v>
      </c>
      <c r="H30" s="49"/>
      <c r="I30" s="49"/>
      <c r="J30" s="49">
        <f t="shared" ref="J30:J93" si="35">SUM(H30:I30)</f>
        <v>0</v>
      </c>
      <c r="K30" s="49"/>
      <c r="L30" s="49"/>
      <c r="M30" s="49">
        <f t="shared" ref="M30:M93" si="36">SUM(K30:L30)</f>
        <v>0</v>
      </c>
      <c r="N30" s="49"/>
      <c r="O30" s="49">
        <f t="shared" ref="O30:O93" si="37">SUM(N30)</f>
        <v>0</v>
      </c>
      <c r="P30" s="13"/>
    </row>
    <row r="31" spans="1:16" ht="18" customHeight="1">
      <c r="B31" s="5" t="s">
        <v>13</v>
      </c>
      <c r="D31" s="51">
        <f t="shared" si="33"/>
        <v>0</v>
      </c>
      <c r="E31" s="52"/>
      <c r="F31" s="52"/>
      <c r="G31" s="52">
        <f t="shared" si="34"/>
        <v>0</v>
      </c>
      <c r="H31" s="52"/>
      <c r="I31" s="52"/>
      <c r="J31" s="52">
        <f t="shared" si="35"/>
        <v>0</v>
      </c>
      <c r="K31" s="52"/>
      <c r="L31" s="52"/>
      <c r="M31" s="52">
        <f t="shared" si="36"/>
        <v>0</v>
      </c>
      <c r="N31" s="52"/>
      <c r="O31" s="52">
        <f t="shared" si="37"/>
        <v>0</v>
      </c>
      <c r="P31" s="14"/>
    </row>
    <row r="32" spans="1:16" ht="18" customHeight="1">
      <c r="B32" s="5" t="s">
        <v>14</v>
      </c>
      <c r="D32" s="51">
        <f t="shared" si="33"/>
        <v>0</v>
      </c>
      <c r="E32" s="52"/>
      <c r="F32" s="52"/>
      <c r="G32" s="52">
        <f t="shared" si="34"/>
        <v>0</v>
      </c>
      <c r="H32" s="52"/>
      <c r="I32" s="52"/>
      <c r="J32" s="52">
        <f t="shared" si="35"/>
        <v>0</v>
      </c>
      <c r="K32" s="52"/>
      <c r="L32" s="52"/>
      <c r="M32" s="52">
        <f t="shared" si="36"/>
        <v>0</v>
      </c>
      <c r="N32" s="52"/>
      <c r="O32" s="52">
        <f t="shared" si="37"/>
        <v>0</v>
      </c>
      <c r="P32" s="14"/>
    </row>
    <row r="33" spans="2:16" ht="18" customHeight="1">
      <c r="B33" s="5" t="s">
        <v>15</v>
      </c>
      <c r="D33" s="51">
        <f t="shared" si="33"/>
        <v>0</v>
      </c>
      <c r="E33" s="52"/>
      <c r="F33" s="52"/>
      <c r="G33" s="52">
        <f t="shared" si="34"/>
        <v>0</v>
      </c>
      <c r="H33" s="52"/>
      <c r="I33" s="52"/>
      <c r="J33" s="52">
        <f t="shared" si="35"/>
        <v>0</v>
      </c>
      <c r="K33" s="52"/>
      <c r="L33" s="52"/>
      <c r="M33" s="52">
        <f t="shared" si="36"/>
        <v>0</v>
      </c>
      <c r="N33" s="52"/>
      <c r="O33" s="52">
        <f t="shared" si="37"/>
        <v>0</v>
      </c>
      <c r="P33" s="14"/>
    </row>
    <row r="34" spans="2:16" ht="18" customHeight="1">
      <c r="B34" s="19" t="s">
        <v>42</v>
      </c>
      <c r="C34" s="35"/>
      <c r="D34" s="58">
        <f t="shared" si="33"/>
        <v>0</v>
      </c>
      <c r="E34" s="59"/>
      <c r="F34" s="59"/>
      <c r="G34" s="59">
        <f t="shared" si="34"/>
        <v>0</v>
      </c>
      <c r="H34" s="59"/>
      <c r="I34" s="59"/>
      <c r="J34" s="59">
        <f t="shared" si="35"/>
        <v>0</v>
      </c>
      <c r="K34" s="59"/>
      <c r="L34" s="59"/>
      <c r="M34" s="59">
        <f t="shared" si="36"/>
        <v>0</v>
      </c>
      <c r="N34" s="59"/>
      <c r="O34" s="59">
        <f t="shared" si="37"/>
        <v>0</v>
      </c>
      <c r="P34" s="21"/>
    </row>
    <row r="35" spans="2:16" ht="18" customHeight="1">
      <c r="B35" s="16" t="s">
        <v>16</v>
      </c>
      <c r="C35" s="36"/>
      <c r="D35" s="60">
        <f t="shared" si="33"/>
        <v>0</v>
      </c>
      <c r="E35" s="61">
        <f>SUM(E30:E34)</f>
        <v>0</v>
      </c>
      <c r="F35" s="61">
        <f>SUM(F30:F34)</f>
        <v>0</v>
      </c>
      <c r="G35" s="61">
        <f t="shared" si="34"/>
        <v>0</v>
      </c>
      <c r="H35" s="61">
        <f>SUM(H30:H34)</f>
        <v>0</v>
      </c>
      <c r="I35" s="61">
        <f>SUM(I30:I34)</f>
        <v>0</v>
      </c>
      <c r="J35" s="61">
        <f t="shared" si="35"/>
        <v>0</v>
      </c>
      <c r="K35" s="61">
        <f>SUM(K30:K34)</f>
        <v>0</v>
      </c>
      <c r="L35" s="61">
        <f>SUM(L30:L34)</f>
        <v>0</v>
      </c>
      <c r="M35" s="61">
        <f t="shared" si="36"/>
        <v>0</v>
      </c>
      <c r="N35" s="61">
        <f>SUM(N30:N34)</f>
        <v>0</v>
      </c>
      <c r="O35" s="61">
        <f t="shared" si="37"/>
        <v>0</v>
      </c>
      <c r="P35" s="18"/>
    </row>
    <row r="36" spans="2:16" ht="18" customHeight="1">
      <c r="B36" s="26" t="s">
        <v>17</v>
      </c>
      <c r="C36" s="37"/>
      <c r="D36" s="45">
        <f t="shared" si="33"/>
        <v>0</v>
      </c>
      <c r="E36" s="46"/>
      <c r="F36" s="46"/>
      <c r="G36" s="46">
        <f t="shared" si="34"/>
        <v>0</v>
      </c>
      <c r="H36" s="46"/>
      <c r="I36" s="46"/>
      <c r="J36" s="46">
        <f t="shared" si="35"/>
        <v>0</v>
      </c>
      <c r="K36" s="46"/>
      <c r="L36" s="46"/>
      <c r="M36" s="46">
        <f t="shared" si="36"/>
        <v>0</v>
      </c>
      <c r="N36" s="46"/>
      <c r="O36" s="46">
        <f t="shared" si="37"/>
        <v>0</v>
      </c>
      <c r="P36" s="12"/>
    </row>
    <row r="37" spans="2:16" ht="18" customHeight="1">
      <c r="B37" s="19" t="s">
        <v>20</v>
      </c>
      <c r="C37" s="35"/>
      <c r="D37" s="58">
        <f t="shared" si="33"/>
        <v>0</v>
      </c>
      <c r="E37" s="59"/>
      <c r="F37" s="59"/>
      <c r="G37" s="59">
        <f t="shared" si="34"/>
        <v>0</v>
      </c>
      <c r="H37" s="59"/>
      <c r="I37" s="59"/>
      <c r="J37" s="59">
        <f t="shared" si="35"/>
        <v>0</v>
      </c>
      <c r="K37" s="59"/>
      <c r="L37" s="59"/>
      <c r="M37" s="59">
        <f t="shared" si="36"/>
        <v>0</v>
      </c>
      <c r="N37" s="59"/>
      <c r="O37" s="59">
        <f t="shared" si="37"/>
        <v>0</v>
      </c>
      <c r="P37" s="21"/>
    </row>
    <row r="38" spans="2:16" ht="18" customHeight="1">
      <c r="B38" s="19" t="s">
        <v>21</v>
      </c>
      <c r="C38" s="35"/>
      <c r="D38" s="58">
        <f t="shared" si="33"/>
        <v>0</v>
      </c>
      <c r="E38" s="59"/>
      <c r="F38" s="59"/>
      <c r="G38" s="59">
        <f t="shared" si="34"/>
        <v>0</v>
      </c>
      <c r="H38" s="59"/>
      <c r="I38" s="59"/>
      <c r="J38" s="59">
        <f t="shared" si="35"/>
        <v>0</v>
      </c>
      <c r="K38" s="59"/>
      <c r="L38" s="59"/>
      <c r="M38" s="59">
        <f t="shared" si="36"/>
        <v>0</v>
      </c>
      <c r="N38" s="59"/>
      <c r="O38" s="59">
        <f t="shared" si="37"/>
        <v>0</v>
      </c>
      <c r="P38" s="21"/>
    </row>
    <row r="39" spans="2:16" ht="18" customHeight="1">
      <c r="B39" s="19" t="s">
        <v>22</v>
      </c>
      <c r="C39" s="35"/>
      <c r="D39" s="58">
        <f t="shared" si="33"/>
        <v>0</v>
      </c>
      <c r="E39" s="59"/>
      <c r="F39" s="59"/>
      <c r="G39" s="59">
        <f t="shared" si="34"/>
        <v>0</v>
      </c>
      <c r="H39" s="59"/>
      <c r="I39" s="59"/>
      <c r="J39" s="59">
        <f t="shared" si="35"/>
        <v>0</v>
      </c>
      <c r="K39" s="59"/>
      <c r="L39" s="59"/>
      <c r="M39" s="59">
        <f t="shared" si="36"/>
        <v>0</v>
      </c>
      <c r="N39" s="59"/>
      <c r="O39" s="59">
        <f t="shared" si="37"/>
        <v>0</v>
      </c>
      <c r="P39" s="21"/>
    </row>
    <row r="40" spans="2:16" ht="18" customHeight="1">
      <c r="B40" s="19" t="s">
        <v>23</v>
      </c>
      <c r="C40" s="35"/>
      <c r="D40" s="58">
        <f t="shared" si="33"/>
        <v>0</v>
      </c>
      <c r="E40" s="59"/>
      <c r="F40" s="59"/>
      <c r="G40" s="59">
        <f t="shared" si="34"/>
        <v>0</v>
      </c>
      <c r="H40" s="59"/>
      <c r="I40" s="59"/>
      <c r="J40" s="59">
        <f t="shared" si="35"/>
        <v>0</v>
      </c>
      <c r="K40" s="59"/>
      <c r="L40" s="59"/>
      <c r="M40" s="59">
        <f t="shared" si="36"/>
        <v>0</v>
      </c>
      <c r="N40" s="59"/>
      <c r="O40" s="59">
        <f t="shared" si="37"/>
        <v>0</v>
      </c>
      <c r="P40" s="21"/>
    </row>
    <row r="41" spans="2:16" ht="18" customHeight="1">
      <c r="B41" s="22" t="s">
        <v>24</v>
      </c>
      <c r="C41" s="38"/>
      <c r="D41" s="62">
        <f t="shared" si="33"/>
        <v>0</v>
      </c>
      <c r="E41" s="63">
        <f>SUM(E37:E40)</f>
        <v>0</v>
      </c>
      <c r="F41" s="63">
        <f>SUM(F37:F40)</f>
        <v>0</v>
      </c>
      <c r="G41" s="63">
        <f t="shared" si="34"/>
        <v>0</v>
      </c>
      <c r="H41" s="63">
        <f>SUM(H37:H40)</f>
        <v>0</v>
      </c>
      <c r="I41" s="63">
        <f>SUM(I37:I40)</f>
        <v>0</v>
      </c>
      <c r="J41" s="63">
        <f t="shared" si="35"/>
        <v>0</v>
      </c>
      <c r="K41" s="63">
        <f>SUM(K37:K40)</f>
        <v>0</v>
      </c>
      <c r="L41" s="63">
        <f>SUM(L37:L40)</f>
        <v>0</v>
      </c>
      <c r="M41" s="63">
        <f t="shared" si="36"/>
        <v>0</v>
      </c>
      <c r="N41" s="63">
        <f>SUM(N37:N40)</f>
        <v>0</v>
      </c>
      <c r="O41" s="63">
        <f t="shared" si="37"/>
        <v>0</v>
      </c>
      <c r="P41" s="24"/>
    </row>
    <row r="42" spans="2:16" ht="18" customHeight="1">
      <c r="B42" s="19" t="s">
        <v>43</v>
      </c>
      <c r="C42" s="35"/>
      <c r="D42" s="58">
        <f t="shared" si="33"/>
        <v>0</v>
      </c>
      <c r="E42" s="59"/>
      <c r="F42" s="59"/>
      <c r="G42" s="59">
        <f t="shared" si="34"/>
        <v>0</v>
      </c>
      <c r="H42" s="59"/>
      <c r="I42" s="59"/>
      <c r="J42" s="59">
        <f t="shared" si="35"/>
        <v>0</v>
      </c>
      <c r="K42" s="59"/>
      <c r="L42" s="59"/>
      <c r="M42" s="59">
        <f t="shared" si="36"/>
        <v>0</v>
      </c>
      <c r="N42" s="59"/>
      <c r="O42" s="59">
        <f t="shared" si="37"/>
        <v>0</v>
      </c>
      <c r="P42" s="21"/>
    </row>
    <row r="43" spans="2:16" ht="18" customHeight="1">
      <c r="B43" s="19" t="s">
        <v>44</v>
      </c>
      <c r="C43" s="35"/>
      <c r="D43" s="58">
        <f t="shared" si="33"/>
        <v>0</v>
      </c>
      <c r="E43" s="59"/>
      <c r="F43" s="59"/>
      <c r="G43" s="59">
        <f t="shared" si="34"/>
        <v>0</v>
      </c>
      <c r="H43" s="59"/>
      <c r="I43" s="59"/>
      <c r="J43" s="59">
        <f t="shared" si="35"/>
        <v>0</v>
      </c>
      <c r="K43" s="59"/>
      <c r="L43" s="59"/>
      <c r="M43" s="59">
        <f t="shared" si="36"/>
        <v>0</v>
      </c>
      <c r="N43" s="59"/>
      <c r="O43" s="59">
        <f t="shared" si="37"/>
        <v>0</v>
      </c>
      <c r="P43" s="21"/>
    </row>
    <row r="44" spans="2:16" ht="18" customHeight="1">
      <c r="B44" s="19" t="s">
        <v>45</v>
      </c>
      <c r="C44" s="35"/>
      <c r="D44" s="58">
        <f t="shared" si="33"/>
        <v>0</v>
      </c>
      <c r="E44" s="59"/>
      <c r="F44" s="59"/>
      <c r="G44" s="59">
        <f t="shared" si="34"/>
        <v>0</v>
      </c>
      <c r="H44" s="59"/>
      <c r="I44" s="59"/>
      <c r="J44" s="59">
        <f t="shared" si="35"/>
        <v>0</v>
      </c>
      <c r="K44" s="59"/>
      <c r="L44" s="59"/>
      <c r="M44" s="59">
        <f t="shared" si="36"/>
        <v>0</v>
      </c>
      <c r="N44" s="59"/>
      <c r="O44" s="59">
        <f t="shared" si="37"/>
        <v>0</v>
      </c>
      <c r="P44" s="21"/>
    </row>
    <row r="45" spans="2:16" ht="18" customHeight="1">
      <c r="B45" s="19" t="s">
        <v>46</v>
      </c>
      <c r="C45" s="35"/>
      <c r="D45" s="58">
        <f t="shared" si="33"/>
        <v>0</v>
      </c>
      <c r="E45" s="59"/>
      <c r="F45" s="59"/>
      <c r="G45" s="59">
        <f t="shared" si="34"/>
        <v>0</v>
      </c>
      <c r="H45" s="59"/>
      <c r="I45" s="59"/>
      <c r="J45" s="59">
        <f t="shared" si="35"/>
        <v>0</v>
      </c>
      <c r="K45" s="59"/>
      <c r="L45" s="59"/>
      <c r="M45" s="59">
        <f t="shared" si="36"/>
        <v>0</v>
      </c>
      <c r="N45" s="59"/>
      <c r="O45" s="59">
        <f t="shared" si="37"/>
        <v>0</v>
      </c>
      <c r="P45" s="21"/>
    </row>
    <row r="46" spans="2:16" ht="18" customHeight="1">
      <c r="B46" s="19" t="s">
        <v>47</v>
      </c>
      <c r="C46" s="35"/>
      <c r="D46" s="58">
        <f t="shared" si="33"/>
        <v>0</v>
      </c>
      <c r="E46" s="59"/>
      <c r="F46" s="59"/>
      <c r="G46" s="59">
        <f t="shared" si="34"/>
        <v>0</v>
      </c>
      <c r="H46" s="59"/>
      <c r="I46" s="59"/>
      <c r="J46" s="59">
        <f t="shared" si="35"/>
        <v>0</v>
      </c>
      <c r="K46" s="59"/>
      <c r="L46" s="59"/>
      <c r="M46" s="59">
        <f t="shared" si="36"/>
        <v>0</v>
      </c>
      <c r="N46" s="59"/>
      <c r="O46" s="59">
        <f t="shared" si="37"/>
        <v>0</v>
      </c>
      <c r="P46" s="21"/>
    </row>
    <row r="47" spans="2:16" ht="18" customHeight="1">
      <c r="B47" s="19" t="s">
        <v>55</v>
      </c>
      <c r="C47" s="35"/>
      <c r="D47" s="58">
        <f t="shared" si="33"/>
        <v>0</v>
      </c>
      <c r="E47" s="59"/>
      <c r="F47" s="59"/>
      <c r="G47" s="59">
        <f t="shared" si="34"/>
        <v>0</v>
      </c>
      <c r="H47" s="59"/>
      <c r="I47" s="59"/>
      <c r="J47" s="59">
        <f t="shared" si="35"/>
        <v>0</v>
      </c>
      <c r="K47" s="59"/>
      <c r="L47" s="59"/>
      <c r="M47" s="59">
        <f t="shared" si="36"/>
        <v>0</v>
      </c>
      <c r="N47" s="59"/>
      <c r="O47" s="59">
        <f t="shared" si="37"/>
        <v>0</v>
      </c>
      <c r="P47" s="21"/>
    </row>
    <row r="48" spans="2:16" ht="18" customHeight="1">
      <c r="B48" s="19" t="s">
        <v>54</v>
      </c>
      <c r="C48" s="35"/>
      <c r="D48" s="58">
        <f t="shared" si="33"/>
        <v>0</v>
      </c>
      <c r="E48" s="59"/>
      <c r="F48" s="59"/>
      <c r="G48" s="59">
        <f t="shared" si="34"/>
        <v>0</v>
      </c>
      <c r="H48" s="59"/>
      <c r="I48" s="59"/>
      <c r="J48" s="59">
        <f t="shared" si="35"/>
        <v>0</v>
      </c>
      <c r="K48" s="59"/>
      <c r="L48" s="59"/>
      <c r="M48" s="59">
        <f t="shared" si="36"/>
        <v>0</v>
      </c>
      <c r="N48" s="59"/>
      <c r="O48" s="59">
        <f t="shared" si="37"/>
        <v>0</v>
      </c>
      <c r="P48" s="21"/>
    </row>
    <row r="49" spans="2:16" ht="18" customHeight="1">
      <c r="B49" s="19" t="s">
        <v>48</v>
      </c>
      <c r="C49" s="35"/>
      <c r="D49" s="58">
        <f t="shared" si="33"/>
        <v>0</v>
      </c>
      <c r="E49" s="59"/>
      <c r="F49" s="59"/>
      <c r="G49" s="59">
        <f t="shared" si="34"/>
        <v>0</v>
      </c>
      <c r="H49" s="59"/>
      <c r="I49" s="59"/>
      <c r="J49" s="59">
        <f t="shared" si="35"/>
        <v>0</v>
      </c>
      <c r="K49" s="59"/>
      <c r="L49" s="59"/>
      <c r="M49" s="59">
        <f t="shared" si="36"/>
        <v>0</v>
      </c>
      <c r="N49" s="59"/>
      <c r="O49" s="59">
        <f t="shared" si="37"/>
        <v>0</v>
      </c>
      <c r="P49" s="21"/>
    </row>
    <row r="50" spans="2:16" ht="18" customHeight="1">
      <c r="B50" s="19" t="s">
        <v>56</v>
      </c>
      <c r="C50" s="35"/>
      <c r="D50" s="58">
        <f t="shared" si="33"/>
        <v>0</v>
      </c>
      <c r="E50" s="59"/>
      <c r="F50" s="59"/>
      <c r="G50" s="59">
        <f t="shared" si="34"/>
        <v>0</v>
      </c>
      <c r="H50" s="59"/>
      <c r="I50" s="59"/>
      <c r="J50" s="59">
        <f t="shared" si="35"/>
        <v>0</v>
      </c>
      <c r="K50" s="59"/>
      <c r="L50" s="59"/>
      <c r="M50" s="59">
        <f t="shared" si="36"/>
        <v>0</v>
      </c>
      <c r="N50" s="59"/>
      <c r="O50" s="59">
        <f t="shared" si="37"/>
        <v>0</v>
      </c>
      <c r="P50" s="21"/>
    </row>
    <row r="51" spans="2:16" ht="18" customHeight="1">
      <c r="B51" s="19" t="s">
        <v>57</v>
      </c>
      <c r="C51" s="35"/>
      <c r="D51" s="58">
        <f t="shared" si="33"/>
        <v>0</v>
      </c>
      <c r="E51" s="59"/>
      <c r="F51" s="59"/>
      <c r="G51" s="59">
        <f t="shared" si="34"/>
        <v>0</v>
      </c>
      <c r="H51" s="59"/>
      <c r="I51" s="59"/>
      <c r="J51" s="59">
        <f t="shared" si="35"/>
        <v>0</v>
      </c>
      <c r="K51" s="59"/>
      <c r="L51" s="59"/>
      <c r="M51" s="59">
        <f t="shared" si="36"/>
        <v>0</v>
      </c>
      <c r="N51" s="59"/>
      <c r="O51" s="59">
        <f t="shared" si="37"/>
        <v>0</v>
      </c>
      <c r="P51" s="21"/>
    </row>
    <row r="52" spans="2:16" ht="18" customHeight="1">
      <c r="B52" s="22" t="s">
        <v>18</v>
      </c>
      <c r="C52" s="38"/>
      <c r="D52" s="62">
        <f t="shared" si="33"/>
        <v>0</v>
      </c>
      <c r="E52" s="63">
        <f>SUM(E42:E51)</f>
        <v>0</v>
      </c>
      <c r="F52" s="63">
        <f>SUM(F42:F51)</f>
        <v>0</v>
      </c>
      <c r="G52" s="63">
        <f t="shared" si="34"/>
        <v>0</v>
      </c>
      <c r="H52" s="63">
        <f>SUM(H42:H51)</f>
        <v>0</v>
      </c>
      <c r="I52" s="63">
        <f>SUM(I42:I51)</f>
        <v>0</v>
      </c>
      <c r="J52" s="63">
        <f t="shared" si="35"/>
        <v>0</v>
      </c>
      <c r="K52" s="63">
        <f>SUM(K42:K51)</f>
        <v>0</v>
      </c>
      <c r="L52" s="63">
        <f>SUM(L42:L51)</f>
        <v>0</v>
      </c>
      <c r="M52" s="63">
        <f t="shared" si="36"/>
        <v>0</v>
      </c>
      <c r="N52" s="63">
        <f>SUM(N42:N51)</f>
        <v>0</v>
      </c>
      <c r="O52" s="63">
        <f t="shared" si="37"/>
        <v>0</v>
      </c>
      <c r="P52" s="24"/>
    </row>
    <row r="53" spans="2:16" ht="18" customHeight="1">
      <c r="B53" s="19" t="s">
        <v>53</v>
      </c>
      <c r="C53" s="35"/>
      <c r="D53" s="58">
        <f t="shared" si="33"/>
        <v>0</v>
      </c>
      <c r="E53" s="59"/>
      <c r="F53" s="59"/>
      <c r="G53" s="59">
        <f t="shared" si="34"/>
        <v>0</v>
      </c>
      <c r="H53" s="59"/>
      <c r="I53" s="59"/>
      <c r="J53" s="59">
        <f t="shared" si="35"/>
        <v>0</v>
      </c>
      <c r="K53" s="59"/>
      <c r="L53" s="59"/>
      <c r="M53" s="59">
        <f t="shared" si="36"/>
        <v>0</v>
      </c>
      <c r="N53" s="59"/>
      <c r="O53" s="59">
        <f t="shared" si="37"/>
        <v>0</v>
      </c>
      <c r="P53" s="21"/>
    </row>
    <row r="54" spans="2:16" ht="18" customHeight="1">
      <c r="B54" s="19" t="s">
        <v>52</v>
      </c>
      <c r="C54" s="35"/>
      <c r="D54" s="58">
        <f t="shared" si="33"/>
        <v>0</v>
      </c>
      <c r="E54" s="59"/>
      <c r="F54" s="59"/>
      <c r="G54" s="59">
        <f t="shared" si="34"/>
        <v>0</v>
      </c>
      <c r="H54" s="59"/>
      <c r="I54" s="59"/>
      <c r="J54" s="59">
        <f t="shared" si="35"/>
        <v>0</v>
      </c>
      <c r="K54" s="59"/>
      <c r="L54" s="59"/>
      <c r="M54" s="59">
        <f t="shared" si="36"/>
        <v>0</v>
      </c>
      <c r="N54" s="59"/>
      <c r="O54" s="59">
        <f t="shared" si="37"/>
        <v>0</v>
      </c>
      <c r="P54" s="21"/>
    </row>
    <row r="55" spans="2:16" ht="18" customHeight="1">
      <c r="B55" s="19" t="s">
        <v>51</v>
      </c>
      <c r="C55" s="35"/>
      <c r="D55" s="58">
        <f t="shared" si="33"/>
        <v>0</v>
      </c>
      <c r="E55" s="59"/>
      <c r="F55" s="59"/>
      <c r="G55" s="59">
        <f t="shared" si="34"/>
        <v>0</v>
      </c>
      <c r="H55" s="59"/>
      <c r="I55" s="59"/>
      <c r="J55" s="59">
        <f t="shared" si="35"/>
        <v>0</v>
      </c>
      <c r="K55" s="59"/>
      <c r="L55" s="59"/>
      <c r="M55" s="59">
        <f t="shared" si="36"/>
        <v>0</v>
      </c>
      <c r="N55" s="59"/>
      <c r="O55" s="59">
        <f t="shared" si="37"/>
        <v>0</v>
      </c>
      <c r="P55" s="21"/>
    </row>
    <row r="56" spans="2:16" ht="18" customHeight="1">
      <c r="B56" s="19" t="s">
        <v>50</v>
      </c>
      <c r="C56" s="35"/>
      <c r="D56" s="58">
        <f t="shared" si="33"/>
        <v>0</v>
      </c>
      <c r="E56" s="59"/>
      <c r="F56" s="59"/>
      <c r="G56" s="59">
        <f t="shared" si="34"/>
        <v>0</v>
      </c>
      <c r="H56" s="59"/>
      <c r="I56" s="59"/>
      <c r="J56" s="59">
        <f t="shared" si="35"/>
        <v>0</v>
      </c>
      <c r="K56" s="59"/>
      <c r="L56" s="59"/>
      <c r="M56" s="59">
        <f t="shared" si="36"/>
        <v>0</v>
      </c>
      <c r="N56" s="59"/>
      <c r="O56" s="59">
        <f t="shared" si="37"/>
        <v>0</v>
      </c>
      <c r="P56" s="21"/>
    </row>
    <row r="57" spans="2:16" ht="18" customHeight="1">
      <c r="B57" s="19" t="s">
        <v>58</v>
      </c>
      <c r="C57" s="35"/>
      <c r="D57" s="58">
        <f t="shared" si="33"/>
        <v>0</v>
      </c>
      <c r="E57" s="59"/>
      <c r="F57" s="59"/>
      <c r="G57" s="59">
        <f t="shared" si="34"/>
        <v>0</v>
      </c>
      <c r="H57" s="59"/>
      <c r="I57" s="59"/>
      <c r="J57" s="59">
        <f t="shared" si="35"/>
        <v>0</v>
      </c>
      <c r="K57" s="59"/>
      <c r="L57" s="59"/>
      <c r="M57" s="59">
        <f t="shared" si="36"/>
        <v>0</v>
      </c>
      <c r="N57" s="59"/>
      <c r="O57" s="59">
        <f t="shared" si="37"/>
        <v>0</v>
      </c>
      <c r="P57" s="21"/>
    </row>
    <row r="58" spans="2:16" ht="18" customHeight="1">
      <c r="B58" s="22" t="s">
        <v>19</v>
      </c>
      <c r="C58" s="38"/>
      <c r="D58" s="62">
        <f t="shared" si="33"/>
        <v>0</v>
      </c>
      <c r="E58" s="63">
        <f>SUM(E53:E57)</f>
        <v>0</v>
      </c>
      <c r="F58" s="63">
        <f>SUM(F53:F57)</f>
        <v>0</v>
      </c>
      <c r="G58" s="63">
        <f t="shared" si="34"/>
        <v>0</v>
      </c>
      <c r="H58" s="63">
        <f>SUM(H53:H57)</f>
        <v>0</v>
      </c>
      <c r="I58" s="63">
        <f>SUM(I53:I57)</f>
        <v>0</v>
      </c>
      <c r="J58" s="63">
        <f t="shared" si="35"/>
        <v>0</v>
      </c>
      <c r="K58" s="63">
        <f>SUM(K53:K57)</f>
        <v>0</v>
      </c>
      <c r="L58" s="63">
        <f>SUM(L53:L57)</f>
        <v>0</v>
      </c>
      <c r="M58" s="63">
        <f t="shared" si="36"/>
        <v>0</v>
      </c>
      <c r="N58" s="63">
        <f>SUM(N53:N57)</f>
        <v>0</v>
      </c>
      <c r="O58" s="63">
        <f t="shared" si="37"/>
        <v>0</v>
      </c>
      <c r="P58" s="24"/>
    </row>
    <row r="59" spans="2:16" ht="18" customHeight="1">
      <c r="B59" s="26" t="s">
        <v>61</v>
      </c>
      <c r="C59" s="37"/>
      <c r="D59" s="45">
        <f t="shared" si="33"/>
        <v>0</v>
      </c>
      <c r="E59" s="46"/>
      <c r="F59" s="46"/>
      <c r="G59" s="46">
        <f t="shared" si="34"/>
        <v>0</v>
      </c>
      <c r="H59" s="46"/>
      <c r="I59" s="46"/>
      <c r="J59" s="46">
        <f t="shared" si="35"/>
        <v>0</v>
      </c>
      <c r="K59" s="46"/>
      <c r="L59" s="46"/>
      <c r="M59" s="46">
        <f t="shared" si="36"/>
        <v>0</v>
      </c>
      <c r="N59" s="46"/>
      <c r="O59" s="46">
        <f t="shared" si="37"/>
        <v>0</v>
      </c>
      <c r="P59" s="12"/>
    </row>
    <row r="60" spans="2:16" ht="18" customHeight="1">
      <c r="B60" s="19" t="s">
        <v>67</v>
      </c>
      <c r="C60" s="35"/>
      <c r="D60" s="58">
        <f t="shared" si="33"/>
        <v>0</v>
      </c>
      <c r="E60" s="59"/>
      <c r="F60" s="59"/>
      <c r="G60" s="59">
        <f t="shared" si="34"/>
        <v>0</v>
      </c>
      <c r="H60" s="59"/>
      <c r="I60" s="59"/>
      <c r="J60" s="59">
        <f t="shared" si="35"/>
        <v>0</v>
      </c>
      <c r="K60" s="59"/>
      <c r="L60" s="59"/>
      <c r="M60" s="59">
        <f t="shared" si="36"/>
        <v>0</v>
      </c>
      <c r="N60" s="59"/>
      <c r="O60" s="59">
        <f t="shared" si="37"/>
        <v>0</v>
      </c>
      <c r="P60" s="21"/>
    </row>
    <row r="61" spans="2:16" ht="18" customHeight="1">
      <c r="B61" s="19" t="s">
        <v>69</v>
      </c>
      <c r="C61" s="35"/>
      <c r="D61" s="58">
        <f t="shared" si="33"/>
        <v>0</v>
      </c>
      <c r="E61" s="59"/>
      <c r="F61" s="59"/>
      <c r="G61" s="59">
        <f t="shared" si="34"/>
        <v>0</v>
      </c>
      <c r="H61" s="59"/>
      <c r="I61" s="59"/>
      <c r="J61" s="59">
        <f t="shared" si="35"/>
        <v>0</v>
      </c>
      <c r="K61" s="59"/>
      <c r="L61" s="59"/>
      <c r="M61" s="59">
        <f t="shared" si="36"/>
        <v>0</v>
      </c>
      <c r="N61" s="59"/>
      <c r="O61" s="59">
        <f t="shared" si="37"/>
        <v>0</v>
      </c>
      <c r="P61" s="21"/>
    </row>
    <row r="62" spans="2:16" ht="18" customHeight="1">
      <c r="B62" s="19" t="s">
        <v>68</v>
      </c>
      <c r="C62" s="35"/>
      <c r="D62" s="58">
        <f t="shared" si="33"/>
        <v>0</v>
      </c>
      <c r="E62" s="59"/>
      <c r="F62" s="59"/>
      <c r="G62" s="59">
        <f t="shared" si="34"/>
        <v>0</v>
      </c>
      <c r="H62" s="59"/>
      <c r="I62" s="59"/>
      <c r="J62" s="59">
        <f t="shared" si="35"/>
        <v>0</v>
      </c>
      <c r="K62" s="59"/>
      <c r="L62" s="59"/>
      <c r="M62" s="59">
        <f t="shared" si="36"/>
        <v>0</v>
      </c>
      <c r="N62" s="59"/>
      <c r="O62" s="59">
        <f t="shared" si="37"/>
        <v>0</v>
      </c>
      <c r="P62" s="21"/>
    </row>
    <row r="63" spans="2:16" ht="18" customHeight="1">
      <c r="B63" s="19" t="s">
        <v>70</v>
      </c>
      <c r="C63" s="35"/>
      <c r="D63" s="58">
        <f t="shared" si="33"/>
        <v>0</v>
      </c>
      <c r="E63" s="59"/>
      <c r="F63" s="59"/>
      <c r="G63" s="59">
        <f t="shared" si="34"/>
        <v>0</v>
      </c>
      <c r="H63" s="59"/>
      <c r="I63" s="59"/>
      <c r="J63" s="59">
        <f t="shared" si="35"/>
        <v>0</v>
      </c>
      <c r="K63" s="59"/>
      <c r="L63" s="59"/>
      <c r="M63" s="59">
        <f t="shared" si="36"/>
        <v>0</v>
      </c>
      <c r="N63" s="59"/>
      <c r="O63" s="59">
        <f t="shared" si="37"/>
        <v>0</v>
      </c>
      <c r="P63" s="21"/>
    </row>
    <row r="64" spans="2:16" ht="18" customHeight="1">
      <c r="B64" s="22" t="s">
        <v>26</v>
      </c>
      <c r="C64" s="38"/>
      <c r="D64" s="62">
        <f t="shared" si="33"/>
        <v>0</v>
      </c>
      <c r="E64" s="63">
        <f>SUM(E60:E63)</f>
        <v>0</v>
      </c>
      <c r="F64" s="63">
        <f>SUM(F60:F63)</f>
        <v>0</v>
      </c>
      <c r="G64" s="63">
        <f t="shared" si="34"/>
        <v>0</v>
      </c>
      <c r="H64" s="63">
        <f>SUM(H60:H63)</f>
        <v>0</v>
      </c>
      <c r="I64" s="63">
        <f>SUM(I60:I63)</f>
        <v>0</v>
      </c>
      <c r="J64" s="63">
        <f t="shared" si="35"/>
        <v>0</v>
      </c>
      <c r="K64" s="63">
        <f>SUM(K60:K63)</f>
        <v>0</v>
      </c>
      <c r="L64" s="63">
        <f>SUM(L60:L63)</f>
        <v>0</v>
      </c>
      <c r="M64" s="63">
        <f t="shared" si="36"/>
        <v>0</v>
      </c>
      <c r="N64" s="63">
        <f>SUM(N60:N63)</f>
        <v>0</v>
      </c>
      <c r="O64" s="63">
        <f t="shared" si="37"/>
        <v>0</v>
      </c>
      <c r="P64" s="24"/>
    </row>
    <row r="65" spans="2:16" ht="18" customHeight="1">
      <c r="B65" s="26" t="s">
        <v>62</v>
      </c>
      <c r="C65" s="37"/>
      <c r="D65" s="45">
        <f t="shared" si="33"/>
        <v>0</v>
      </c>
      <c r="E65" s="46"/>
      <c r="F65" s="46"/>
      <c r="G65" s="46">
        <f t="shared" si="34"/>
        <v>0</v>
      </c>
      <c r="H65" s="46"/>
      <c r="I65" s="46"/>
      <c r="J65" s="46">
        <f t="shared" si="35"/>
        <v>0</v>
      </c>
      <c r="K65" s="46"/>
      <c r="L65" s="46"/>
      <c r="M65" s="46">
        <f t="shared" si="36"/>
        <v>0</v>
      </c>
      <c r="N65" s="46"/>
      <c r="O65" s="46">
        <f t="shared" si="37"/>
        <v>0</v>
      </c>
      <c r="P65" s="12"/>
    </row>
    <row r="66" spans="2:16" ht="18" customHeight="1">
      <c r="B66" s="19" t="s">
        <v>66</v>
      </c>
      <c r="C66" s="35"/>
      <c r="D66" s="58">
        <f t="shared" si="33"/>
        <v>0</v>
      </c>
      <c r="E66" s="59"/>
      <c r="F66" s="59"/>
      <c r="G66" s="59">
        <f t="shared" si="34"/>
        <v>0</v>
      </c>
      <c r="H66" s="59"/>
      <c r="I66" s="59"/>
      <c r="J66" s="59">
        <f t="shared" si="35"/>
        <v>0</v>
      </c>
      <c r="K66" s="59"/>
      <c r="L66" s="59"/>
      <c r="M66" s="59">
        <f t="shared" si="36"/>
        <v>0</v>
      </c>
      <c r="N66" s="59"/>
      <c r="O66" s="59">
        <f t="shared" si="37"/>
        <v>0</v>
      </c>
      <c r="P66" s="21"/>
    </row>
    <row r="67" spans="2:16" ht="18" customHeight="1">
      <c r="B67" s="19" t="s">
        <v>63</v>
      </c>
      <c r="C67" s="35"/>
      <c r="D67" s="58">
        <f t="shared" si="33"/>
        <v>0</v>
      </c>
      <c r="E67" s="59"/>
      <c r="F67" s="59"/>
      <c r="G67" s="59">
        <f t="shared" si="34"/>
        <v>0</v>
      </c>
      <c r="H67" s="59"/>
      <c r="I67" s="59"/>
      <c r="J67" s="59">
        <f t="shared" si="35"/>
        <v>0</v>
      </c>
      <c r="K67" s="59"/>
      <c r="L67" s="59"/>
      <c r="M67" s="59">
        <f t="shared" si="36"/>
        <v>0</v>
      </c>
      <c r="N67" s="59"/>
      <c r="O67" s="59">
        <f t="shared" si="37"/>
        <v>0</v>
      </c>
      <c r="P67" s="21"/>
    </row>
    <row r="68" spans="2:16" ht="18" customHeight="1">
      <c r="B68" s="19" t="s">
        <v>64</v>
      </c>
      <c r="C68" s="35"/>
      <c r="D68" s="58">
        <f t="shared" si="33"/>
        <v>0</v>
      </c>
      <c r="E68" s="59"/>
      <c r="F68" s="59"/>
      <c r="G68" s="59">
        <f t="shared" si="34"/>
        <v>0</v>
      </c>
      <c r="H68" s="59"/>
      <c r="I68" s="59"/>
      <c r="J68" s="59">
        <f t="shared" si="35"/>
        <v>0</v>
      </c>
      <c r="K68" s="59"/>
      <c r="L68" s="59"/>
      <c r="M68" s="59">
        <f t="shared" si="36"/>
        <v>0</v>
      </c>
      <c r="N68" s="59"/>
      <c r="O68" s="59">
        <f t="shared" si="37"/>
        <v>0</v>
      </c>
      <c r="P68" s="21"/>
    </row>
    <row r="69" spans="2:16" ht="18" customHeight="1">
      <c r="B69" s="19" t="s">
        <v>65</v>
      </c>
      <c r="C69" s="35"/>
      <c r="D69" s="58">
        <f t="shared" si="33"/>
        <v>0</v>
      </c>
      <c r="E69" s="59"/>
      <c r="F69" s="59"/>
      <c r="G69" s="59">
        <f t="shared" si="34"/>
        <v>0</v>
      </c>
      <c r="H69" s="59"/>
      <c r="I69" s="59"/>
      <c r="J69" s="59">
        <f t="shared" si="35"/>
        <v>0</v>
      </c>
      <c r="K69" s="59"/>
      <c r="L69" s="59"/>
      <c r="M69" s="59">
        <f t="shared" si="36"/>
        <v>0</v>
      </c>
      <c r="N69" s="59"/>
      <c r="O69" s="59">
        <f t="shared" si="37"/>
        <v>0</v>
      </c>
      <c r="P69" s="21"/>
    </row>
    <row r="70" spans="2:16" ht="18" customHeight="1">
      <c r="B70" s="22" t="s">
        <v>25</v>
      </c>
      <c r="C70" s="38"/>
      <c r="D70" s="62">
        <f t="shared" si="33"/>
        <v>0</v>
      </c>
      <c r="E70" s="63">
        <f>SUM(E66:E69)</f>
        <v>0</v>
      </c>
      <c r="F70" s="63">
        <f>SUM(F66:F69)</f>
        <v>0</v>
      </c>
      <c r="G70" s="63">
        <f t="shared" si="34"/>
        <v>0</v>
      </c>
      <c r="H70" s="63">
        <f>SUM(H66:H69)</f>
        <v>0</v>
      </c>
      <c r="I70" s="63">
        <f>SUM(I66:I69)</f>
        <v>0</v>
      </c>
      <c r="J70" s="63">
        <f t="shared" si="35"/>
        <v>0</v>
      </c>
      <c r="K70" s="63">
        <f>SUM(K66:K69)</f>
        <v>0</v>
      </c>
      <c r="L70" s="63">
        <f>SUM(L66:L69)</f>
        <v>0</v>
      </c>
      <c r="M70" s="63">
        <f t="shared" si="36"/>
        <v>0</v>
      </c>
      <c r="N70" s="63">
        <f>SUM(N66:N69)</f>
        <v>0</v>
      </c>
      <c r="O70" s="63">
        <f t="shared" si="37"/>
        <v>0</v>
      </c>
      <c r="P70" s="24"/>
    </row>
    <row r="71" spans="2:16" ht="18" customHeight="1">
      <c r="B71" s="19" t="s">
        <v>74</v>
      </c>
      <c r="C71" s="35"/>
      <c r="D71" s="58">
        <f t="shared" si="33"/>
        <v>0</v>
      </c>
      <c r="E71" s="59"/>
      <c r="F71" s="59"/>
      <c r="G71" s="59">
        <f t="shared" si="34"/>
        <v>0</v>
      </c>
      <c r="H71" s="59"/>
      <c r="I71" s="59"/>
      <c r="J71" s="59">
        <f t="shared" si="35"/>
        <v>0</v>
      </c>
      <c r="K71" s="59"/>
      <c r="L71" s="59"/>
      <c r="M71" s="59">
        <f t="shared" si="36"/>
        <v>0</v>
      </c>
      <c r="N71" s="59"/>
      <c r="O71" s="59">
        <f t="shared" si="37"/>
        <v>0</v>
      </c>
      <c r="P71" s="21"/>
    </row>
    <row r="72" spans="2:16" ht="18" customHeight="1">
      <c r="B72" s="19" t="s">
        <v>75</v>
      </c>
      <c r="C72" s="35"/>
      <c r="D72" s="58">
        <f t="shared" si="33"/>
        <v>0</v>
      </c>
      <c r="E72" s="59"/>
      <c r="F72" s="59"/>
      <c r="G72" s="59">
        <f t="shared" si="34"/>
        <v>0</v>
      </c>
      <c r="H72" s="59"/>
      <c r="I72" s="59"/>
      <c r="J72" s="59">
        <f t="shared" si="35"/>
        <v>0</v>
      </c>
      <c r="K72" s="59"/>
      <c r="L72" s="59"/>
      <c r="M72" s="59">
        <f t="shared" si="36"/>
        <v>0</v>
      </c>
      <c r="N72" s="59"/>
      <c r="O72" s="59">
        <f t="shared" si="37"/>
        <v>0</v>
      </c>
      <c r="P72" s="21"/>
    </row>
    <row r="73" spans="2:16" ht="18" customHeight="1">
      <c r="B73" s="19" t="s">
        <v>76</v>
      </c>
      <c r="C73" s="35"/>
      <c r="D73" s="58">
        <f t="shared" si="33"/>
        <v>0</v>
      </c>
      <c r="E73" s="59"/>
      <c r="F73" s="59"/>
      <c r="G73" s="59">
        <f t="shared" si="34"/>
        <v>0</v>
      </c>
      <c r="H73" s="59"/>
      <c r="I73" s="59"/>
      <c r="J73" s="59">
        <f t="shared" si="35"/>
        <v>0</v>
      </c>
      <c r="K73" s="59"/>
      <c r="L73" s="59"/>
      <c r="M73" s="59">
        <f t="shared" si="36"/>
        <v>0</v>
      </c>
      <c r="N73" s="59"/>
      <c r="O73" s="59">
        <f t="shared" si="37"/>
        <v>0</v>
      </c>
      <c r="P73" s="21"/>
    </row>
    <row r="74" spans="2:16" ht="18" customHeight="1">
      <c r="B74" s="19" t="s">
        <v>77</v>
      </c>
      <c r="C74" s="35"/>
      <c r="D74" s="58">
        <f t="shared" si="33"/>
        <v>0</v>
      </c>
      <c r="E74" s="59"/>
      <c r="F74" s="59"/>
      <c r="G74" s="59">
        <f t="shared" si="34"/>
        <v>0</v>
      </c>
      <c r="H74" s="59"/>
      <c r="I74" s="59"/>
      <c r="J74" s="59">
        <f t="shared" si="35"/>
        <v>0</v>
      </c>
      <c r="K74" s="59"/>
      <c r="L74" s="59"/>
      <c r="M74" s="59">
        <f t="shared" si="36"/>
        <v>0</v>
      </c>
      <c r="N74" s="59"/>
      <c r="O74" s="59">
        <f t="shared" si="37"/>
        <v>0</v>
      </c>
      <c r="P74" s="21"/>
    </row>
    <row r="75" spans="2:16" ht="18" customHeight="1">
      <c r="B75" s="19" t="s">
        <v>78</v>
      </c>
      <c r="C75" s="35"/>
      <c r="D75" s="58">
        <f t="shared" si="33"/>
        <v>0</v>
      </c>
      <c r="E75" s="59"/>
      <c r="F75" s="59"/>
      <c r="G75" s="59">
        <f t="shared" si="34"/>
        <v>0</v>
      </c>
      <c r="H75" s="59"/>
      <c r="I75" s="59"/>
      <c r="J75" s="59">
        <f t="shared" si="35"/>
        <v>0</v>
      </c>
      <c r="K75" s="59"/>
      <c r="L75" s="59"/>
      <c r="M75" s="59">
        <f t="shared" si="36"/>
        <v>0</v>
      </c>
      <c r="N75" s="59"/>
      <c r="O75" s="59">
        <f t="shared" si="37"/>
        <v>0</v>
      </c>
      <c r="P75" s="21"/>
    </row>
    <row r="76" spans="2:16" ht="18" customHeight="1">
      <c r="B76" s="19" t="s">
        <v>79</v>
      </c>
      <c r="C76" s="35"/>
      <c r="D76" s="58">
        <f t="shared" si="33"/>
        <v>0</v>
      </c>
      <c r="E76" s="59"/>
      <c r="F76" s="59"/>
      <c r="G76" s="59">
        <f t="shared" si="34"/>
        <v>0</v>
      </c>
      <c r="H76" s="59"/>
      <c r="I76" s="59"/>
      <c r="J76" s="59">
        <f t="shared" si="35"/>
        <v>0</v>
      </c>
      <c r="K76" s="59"/>
      <c r="L76" s="59"/>
      <c r="M76" s="59">
        <f t="shared" si="36"/>
        <v>0</v>
      </c>
      <c r="N76" s="59"/>
      <c r="O76" s="59">
        <f t="shared" si="37"/>
        <v>0</v>
      </c>
      <c r="P76" s="21"/>
    </row>
    <row r="77" spans="2:16" ht="18" customHeight="1">
      <c r="B77" s="19" t="s">
        <v>80</v>
      </c>
      <c r="C77" s="35"/>
      <c r="D77" s="58">
        <f t="shared" si="33"/>
        <v>0</v>
      </c>
      <c r="E77" s="59"/>
      <c r="F77" s="59"/>
      <c r="G77" s="59">
        <f t="shared" si="34"/>
        <v>0</v>
      </c>
      <c r="H77" s="59"/>
      <c r="I77" s="59"/>
      <c r="J77" s="59">
        <f t="shared" si="35"/>
        <v>0</v>
      </c>
      <c r="K77" s="59"/>
      <c r="L77" s="59"/>
      <c r="M77" s="59">
        <f t="shared" si="36"/>
        <v>0</v>
      </c>
      <c r="N77" s="59"/>
      <c r="O77" s="59">
        <f t="shared" si="37"/>
        <v>0</v>
      </c>
      <c r="P77" s="21"/>
    </row>
    <row r="78" spans="2:16" ht="18" customHeight="1">
      <c r="B78" s="19" t="s">
        <v>81</v>
      </c>
      <c r="C78" s="35"/>
      <c r="D78" s="58">
        <f t="shared" si="33"/>
        <v>0</v>
      </c>
      <c r="E78" s="59"/>
      <c r="F78" s="59"/>
      <c r="G78" s="59">
        <f t="shared" si="34"/>
        <v>0</v>
      </c>
      <c r="H78" s="59"/>
      <c r="I78" s="59"/>
      <c r="J78" s="59">
        <f t="shared" si="35"/>
        <v>0</v>
      </c>
      <c r="K78" s="59"/>
      <c r="L78" s="59"/>
      <c r="M78" s="59">
        <f t="shared" si="36"/>
        <v>0</v>
      </c>
      <c r="N78" s="59"/>
      <c r="O78" s="59">
        <f t="shared" si="37"/>
        <v>0</v>
      </c>
      <c r="P78" s="21"/>
    </row>
    <row r="79" spans="2:16" ht="18" customHeight="1">
      <c r="B79" s="22" t="s">
        <v>82</v>
      </c>
      <c r="C79" s="38"/>
      <c r="D79" s="62">
        <f t="shared" si="33"/>
        <v>0</v>
      </c>
      <c r="E79" s="63">
        <f>SUM(E71:E78)</f>
        <v>0</v>
      </c>
      <c r="F79" s="63">
        <f>SUM(F71:F78)</f>
        <v>0</v>
      </c>
      <c r="G79" s="63">
        <f t="shared" si="34"/>
        <v>0</v>
      </c>
      <c r="H79" s="63">
        <f>SUM(H71:H78)</f>
        <v>0</v>
      </c>
      <c r="I79" s="63">
        <f>SUM(I71:I78)</f>
        <v>0</v>
      </c>
      <c r="J79" s="63">
        <f t="shared" si="35"/>
        <v>0</v>
      </c>
      <c r="K79" s="63">
        <f>SUM(K71:K78)</f>
        <v>0</v>
      </c>
      <c r="L79" s="63">
        <f>SUM(L71:L78)</f>
        <v>0</v>
      </c>
      <c r="M79" s="63">
        <f t="shared" si="36"/>
        <v>0</v>
      </c>
      <c r="N79" s="63">
        <f>SUM(N71:N78)</f>
        <v>0</v>
      </c>
      <c r="O79" s="63">
        <f t="shared" si="37"/>
        <v>0</v>
      </c>
      <c r="P79" s="24"/>
    </row>
    <row r="80" spans="2:16" ht="18" customHeight="1">
      <c r="B80" s="19" t="s">
        <v>72</v>
      </c>
      <c r="C80" s="35"/>
      <c r="D80" s="58">
        <f t="shared" si="33"/>
        <v>0</v>
      </c>
      <c r="E80" s="59"/>
      <c r="F80" s="59"/>
      <c r="G80" s="59">
        <f t="shared" si="34"/>
        <v>0</v>
      </c>
      <c r="H80" s="59"/>
      <c r="I80" s="59"/>
      <c r="J80" s="59">
        <f t="shared" si="35"/>
        <v>0</v>
      </c>
      <c r="K80" s="59"/>
      <c r="L80" s="59"/>
      <c r="M80" s="59">
        <f t="shared" si="36"/>
        <v>0</v>
      </c>
      <c r="N80" s="59"/>
      <c r="O80" s="59">
        <f t="shared" si="37"/>
        <v>0</v>
      </c>
      <c r="P80" s="21"/>
    </row>
    <row r="81" spans="2:16" ht="18" customHeight="1">
      <c r="B81" s="19" t="s">
        <v>71</v>
      </c>
      <c r="C81" s="35"/>
      <c r="D81" s="58">
        <f t="shared" si="33"/>
        <v>0</v>
      </c>
      <c r="E81" s="59"/>
      <c r="F81" s="59"/>
      <c r="G81" s="59">
        <f t="shared" si="34"/>
        <v>0</v>
      </c>
      <c r="H81" s="59"/>
      <c r="I81" s="59"/>
      <c r="J81" s="59">
        <f t="shared" si="35"/>
        <v>0</v>
      </c>
      <c r="K81" s="59"/>
      <c r="L81" s="59"/>
      <c r="M81" s="59">
        <f t="shared" si="36"/>
        <v>0</v>
      </c>
      <c r="N81" s="59"/>
      <c r="O81" s="59">
        <f t="shared" si="37"/>
        <v>0</v>
      </c>
      <c r="P81" s="21"/>
    </row>
    <row r="82" spans="2:16" ht="18" customHeight="1">
      <c r="B82" s="22" t="s">
        <v>73</v>
      </c>
      <c r="C82" s="38"/>
      <c r="D82" s="62">
        <f t="shared" si="33"/>
        <v>0</v>
      </c>
      <c r="E82" s="63">
        <f>SUM(E80:E81)</f>
        <v>0</v>
      </c>
      <c r="F82" s="63">
        <f>SUM(F80:F81)</f>
        <v>0</v>
      </c>
      <c r="G82" s="63">
        <f t="shared" si="34"/>
        <v>0</v>
      </c>
      <c r="H82" s="63">
        <f>SUM(H80:H81)</f>
        <v>0</v>
      </c>
      <c r="I82" s="63">
        <f>SUM(I80:I81)</f>
        <v>0</v>
      </c>
      <c r="J82" s="63">
        <f t="shared" si="35"/>
        <v>0</v>
      </c>
      <c r="K82" s="63">
        <f>SUM(K80:K81)</f>
        <v>0</v>
      </c>
      <c r="L82" s="63">
        <f>SUM(L80:L81)</f>
        <v>0</v>
      </c>
      <c r="M82" s="63">
        <f t="shared" si="36"/>
        <v>0</v>
      </c>
      <c r="N82" s="63">
        <f>SUM(N80:N81)</f>
        <v>0</v>
      </c>
      <c r="O82" s="63">
        <f t="shared" si="37"/>
        <v>0</v>
      </c>
      <c r="P82" s="24"/>
    </row>
    <row r="83" spans="2:16" ht="18" customHeight="1">
      <c r="B83" s="19" t="s">
        <v>83</v>
      </c>
      <c r="C83" s="35"/>
      <c r="D83" s="58">
        <f t="shared" si="33"/>
        <v>0</v>
      </c>
      <c r="E83" s="59"/>
      <c r="F83" s="59"/>
      <c r="G83" s="59">
        <f t="shared" si="34"/>
        <v>0</v>
      </c>
      <c r="H83" s="59"/>
      <c r="I83" s="59"/>
      <c r="J83" s="59">
        <f t="shared" si="35"/>
        <v>0</v>
      </c>
      <c r="K83" s="59"/>
      <c r="L83" s="59"/>
      <c r="M83" s="59">
        <f t="shared" si="36"/>
        <v>0</v>
      </c>
      <c r="N83" s="59"/>
      <c r="O83" s="59">
        <f t="shared" si="37"/>
        <v>0</v>
      </c>
      <c r="P83" s="21"/>
    </row>
    <row r="84" spans="2:16" ht="18" customHeight="1">
      <c r="B84" s="19" t="s">
        <v>59</v>
      </c>
      <c r="C84" s="35"/>
      <c r="D84" s="58">
        <f t="shared" si="33"/>
        <v>0</v>
      </c>
      <c r="E84" s="59"/>
      <c r="F84" s="59"/>
      <c r="G84" s="59">
        <f t="shared" si="34"/>
        <v>0</v>
      </c>
      <c r="H84" s="59"/>
      <c r="I84" s="59"/>
      <c r="J84" s="59">
        <f t="shared" si="35"/>
        <v>0</v>
      </c>
      <c r="K84" s="59"/>
      <c r="L84" s="59"/>
      <c r="M84" s="59">
        <f t="shared" si="36"/>
        <v>0</v>
      </c>
      <c r="N84" s="59"/>
      <c r="O84" s="59">
        <f t="shared" si="37"/>
        <v>0</v>
      </c>
      <c r="P84" s="21"/>
    </row>
    <row r="85" spans="2:16" ht="18" customHeight="1">
      <c r="B85" s="19" t="s">
        <v>84</v>
      </c>
      <c r="C85" s="35"/>
      <c r="D85" s="58">
        <f t="shared" si="33"/>
        <v>0</v>
      </c>
      <c r="E85" s="59"/>
      <c r="F85" s="59"/>
      <c r="G85" s="59">
        <f t="shared" si="34"/>
        <v>0</v>
      </c>
      <c r="H85" s="59"/>
      <c r="I85" s="59"/>
      <c r="J85" s="59">
        <f t="shared" si="35"/>
        <v>0</v>
      </c>
      <c r="K85" s="59"/>
      <c r="L85" s="59"/>
      <c r="M85" s="59">
        <f t="shared" si="36"/>
        <v>0</v>
      </c>
      <c r="N85" s="59"/>
      <c r="O85" s="59">
        <f t="shared" si="37"/>
        <v>0</v>
      </c>
      <c r="P85" s="21"/>
    </row>
    <row r="86" spans="2:16" ht="18" customHeight="1">
      <c r="B86" s="19" t="s">
        <v>60</v>
      </c>
      <c r="C86" s="35"/>
      <c r="D86" s="58">
        <f t="shared" si="33"/>
        <v>0</v>
      </c>
      <c r="E86" s="59"/>
      <c r="F86" s="59"/>
      <c r="G86" s="59">
        <f t="shared" si="34"/>
        <v>0</v>
      </c>
      <c r="H86" s="59"/>
      <c r="I86" s="59"/>
      <c r="J86" s="59">
        <f t="shared" si="35"/>
        <v>0</v>
      </c>
      <c r="K86" s="59"/>
      <c r="L86" s="59"/>
      <c r="M86" s="59">
        <f t="shared" si="36"/>
        <v>0</v>
      </c>
      <c r="N86" s="59"/>
      <c r="O86" s="59">
        <f t="shared" si="37"/>
        <v>0</v>
      </c>
      <c r="P86" s="21"/>
    </row>
    <row r="87" spans="2:16" ht="18" customHeight="1">
      <c r="B87" s="19" t="s">
        <v>85</v>
      </c>
      <c r="C87" s="35"/>
      <c r="D87" s="58">
        <f t="shared" si="33"/>
        <v>0</v>
      </c>
      <c r="E87" s="59"/>
      <c r="F87" s="59"/>
      <c r="G87" s="59">
        <f t="shared" si="34"/>
        <v>0</v>
      </c>
      <c r="H87" s="59"/>
      <c r="I87" s="59"/>
      <c r="J87" s="59">
        <f t="shared" si="35"/>
        <v>0</v>
      </c>
      <c r="K87" s="59"/>
      <c r="L87" s="59"/>
      <c r="M87" s="59">
        <f t="shared" si="36"/>
        <v>0</v>
      </c>
      <c r="N87" s="59"/>
      <c r="O87" s="59">
        <f t="shared" si="37"/>
        <v>0</v>
      </c>
      <c r="P87" s="21"/>
    </row>
    <row r="88" spans="2:16" ht="18" customHeight="1">
      <c r="B88" s="19" t="s">
        <v>86</v>
      </c>
      <c r="C88" s="35"/>
      <c r="D88" s="58">
        <f t="shared" si="33"/>
        <v>0</v>
      </c>
      <c r="E88" s="59"/>
      <c r="F88" s="59"/>
      <c r="G88" s="59">
        <f t="shared" si="34"/>
        <v>0</v>
      </c>
      <c r="H88" s="59"/>
      <c r="I88" s="59"/>
      <c r="J88" s="59">
        <f t="shared" si="35"/>
        <v>0</v>
      </c>
      <c r="K88" s="59"/>
      <c r="L88" s="59"/>
      <c r="M88" s="59">
        <f t="shared" si="36"/>
        <v>0</v>
      </c>
      <c r="N88" s="59"/>
      <c r="O88" s="59">
        <f t="shared" si="37"/>
        <v>0</v>
      </c>
      <c r="P88" s="21"/>
    </row>
    <row r="89" spans="2:16" ht="18" customHeight="1">
      <c r="B89" s="19" t="s">
        <v>87</v>
      </c>
      <c r="C89" s="35"/>
      <c r="D89" s="58">
        <f t="shared" si="33"/>
        <v>0</v>
      </c>
      <c r="E89" s="59"/>
      <c r="F89" s="59"/>
      <c r="G89" s="59">
        <f t="shared" si="34"/>
        <v>0</v>
      </c>
      <c r="H89" s="59"/>
      <c r="I89" s="59"/>
      <c r="J89" s="59">
        <f t="shared" si="35"/>
        <v>0</v>
      </c>
      <c r="K89" s="59"/>
      <c r="L89" s="59"/>
      <c r="M89" s="59">
        <f t="shared" si="36"/>
        <v>0</v>
      </c>
      <c r="N89" s="59"/>
      <c r="O89" s="59">
        <f t="shared" si="37"/>
        <v>0</v>
      </c>
      <c r="P89" s="21"/>
    </row>
    <row r="90" spans="2:16" ht="18" customHeight="1">
      <c r="B90" s="19" t="s">
        <v>88</v>
      </c>
      <c r="C90" s="35"/>
      <c r="D90" s="58">
        <f t="shared" si="33"/>
        <v>0</v>
      </c>
      <c r="E90" s="59"/>
      <c r="F90" s="59"/>
      <c r="G90" s="59">
        <f t="shared" si="34"/>
        <v>0</v>
      </c>
      <c r="H90" s="59"/>
      <c r="I90" s="59"/>
      <c r="J90" s="59">
        <f t="shared" si="35"/>
        <v>0</v>
      </c>
      <c r="K90" s="59"/>
      <c r="L90" s="59"/>
      <c r="M90" s="59">
        <f t="shared" si="36"/>
        <v>0</v>
      </c>
      <c r="N90" s="59"/>
      <c r="O90" s="59">
        <f t="shared" si="37"/>
        <v>0</v>
      </c>
      <c r="P90" s="21"/>
    </row>
    <row r="91" spans="2:16" ht="18" customHeight="1">
      <c r="B91" s="19" t="s">
        <v>49</v>
      </c>
      <c r="C91" s="35"/>
      <c r="D91" s="58">
        <f t="shared" si="33"/>
        <v>0</v>
      </c>
      <c r="E91" s="59"/>
      <c r="F91" s="59"/>
      <c r="G91" s="59">
        <f t="shared" si="34"/>
        <v>0</v>
      </c>
      <c r="H91" s="59"/>
      <c r="I91" s="59"/>
      <c r="J91" s="59">
        <f t="shared" si="35"/>
        <v>0</v>
      </c>
      <c r="K91" s="59"/>
      <c r="L91" s="59"/>
      <c r="M91" s="59">
        <f t="shared" si="36"/>
        <v>0</v>
      </c>
      <c r="N91" s="59"/>
      <c r="O91" s="59">
        <f t="shared" si="37"/>
        <v>0</v>
      </c>
      <c r="P91" s="21"/>
    </row>
    <row r="92" spans="2:16" ht="18" customHeight="1">
      <c r="B92" s="22" t="s">
        <v>89</v>
      </c>
      <c r="C92" s="38"/>
      <c r="D92" s="62">
        <f t="shared" si="33"/>
        <v>0</v>
      </c>
      <c r="E92" s="63">
        <f>SUM(E83:E91)</f>
        <v>0</v>
      </c>
      <c r="F92" s="63">
        <f>SUM(F83:F91)</f>
        <v>0</v>
      </c>
      <c r="G92" s="63">
        <f t="shared" si="34"/>
        <v>0</v>
      </c>
      <c r="H92" s="63">
        <f>SUM(H83:H91)</f>
        <v>0</v>
      </c>
      <c r="I92" s="63">
        <f>SUM(I83:I91)</f>
        <v>0</v>
      </c>
      <c r="J92" s="63">
        <f t="shared" si="35"/>
        <v>0</v>
      </c>
      <c r="K92" s="63">
        <f>SUM(K83:K91)</f>
        <v>0</v>
      </c>
      <c r="L92" s="63">
        <f>SUM(L83:L91)</f>
        <v>0</v>
      </c>
      <c r="M92" s="63">
        <f t="shared" si="36"/>
        <v>0</v>
      </c>
      <c r="N92" s="63">
        <f>SUM(N83:N91)</f>
        <v>0</v>
      </c>
      <c r="O92" s="63">
        <f t="shared" si="37"/>
        <v>0</v>
      </c>
      <c r="P92" s="24"/>
    </row>
    <row r="93" spans="2:16" ht="18" customHeight="1" thickBot="1">
      <c r="B93" s="28" t="s">
        <v>90</v>
      </c>
      <c r="C93" s="39"/>
      <c r="D93" s="64">
        <f t="shared" si="33"/>
        <v>0</v>
      </c>
      <c r="E93" s="65">
        <f>SUM(E35,E36,E41,E52,E58,E59,E64,E65,E70,E79,E82,E92)</f>
        <v>0</v>
      </c>
      <c r="F93" s="65">
        <f>SUM(F35,F36,F41,F52,F58,F59,F64,F65,F70,F79,F82,F92)</f>
        <v>0</v>
      </c>
      <c r="G93" s="65">
        <f t="shared" si="34"/>
        <v>0</v>
      </c>
      <c r="H93" s="65">
        <f>SUM(H35,H36,H41,H52,H58,H59,H64,H65,H70,H79,H82,H92)</f>
        <v>0</v>
      </c>
      <c r="I93" s="65">
        <f>SUM(I35,I36,I41,I52,I58,I59,I64,I65,I70,I79,I82,I92)</f>
        <v>0</v>
      </c>
      <c r="J93" s="65">
        <f t="shared" si="35"/>
        <v>0</v>
      </c>
      <c r="K93" s="65">
        <f>SUM(K35,K36,K41,K52,K58,K59,K64,K65,K70,K79,K82,K92)</f>
        <v>0</v>
      </c>
      <c r="L93" s="65">
        <f>SUM(L35,L36,L41,L52,L58,L59,L64,L65,L70,L79,L82,L92)</f>
        <v>0</v>
      </c>
      <c r="M93" s="65">
        <f t="shared" si="36"/>
        <v>0</v>
      </c>
      <c r="N93" s="65">
        <f>SUM(N35,N36,N41,N52,N58,N59,N64,N65,N70,N79,N82,N92)</f>
        <v>0</v>
      </c>
      <c r="O93" s="65">
        <f t="shared" si="37"/>
        <v>0</v>
      </c>
      <c r="P93" s="29"/>
    </row>
  </sheetData>
  <mergeCells count="14">
    <mergeCell ref="P5:P6"/>
    <mergeCell ref="B28:C29"/>
    <mergeCell ref="D28:D29"/>
    <mergeCell ref="E28:G28"/>
    <mergeCell ref="H28:J28"/>
    <mergeCell ref="K28:M28"/>
    <mergeCell ref="N28:O28"/>
    <mergeCell ref="P28:P29"/>
    <mergeCell ref="B5:C6"/>
    <mergeCell ref="D5:D6"/>
    <mergeCell ref="E5:G5"/>
    <mergeCell ref="H5:J5"/>
    <mergeCell ref="K5:M5"/>
    <mergeCell ref="N5:O5"/>
  </mergeCells>
  <phoneticPr fontId="3" type="noConversion"/>
  <pageMargins left="0.39370078740157483" right="0.39370078740157483" top="0.59055118110236227" bottom="0.59055118110236227" header="0.31496062992125984" footer="0.31496062992125984"/>
  <pageSetup paperSize="9" scale="8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V37"/>
  <sheetViews>
    <sheetView showGridLines="0" workbookViewId="0">
      <selection activeCell="A7" sqref="A7:XFD8"/>
    </sheetView>
  </sheetViews>
  <sheetFormatPr baseColWidth="10" defaultColWidth="9" defaultRowHeight="13"/>
  <cols>
    <col min="1" max="1" width="1.6640625" style="1" customWidth="1"/>
    <col min="2" max="2" width="6.5" style="1" customWidth="1"/>
    <col min="3" max="3" width="10.1640625" style="1" customWidth="1"/>
    <col min="4" max="6" width="9" style="1"/>
    <col min="7" max="19" width="6" style="1" customWidth="1"/>
    <col min="20" max="20" width="43.5" style="1" customWidth="1"/>
    <col min="21" max="16384" width="9" style="1"/>
  </cols>
  <sheetData>
    <row r="3" spans="1:22" s="3" customFormat="1" ht="14">
      <c r="A3" s="339" t="s">
        <v>181</v>
      </c>
      <c r="B3" s="339"/>
      <c r="C3" s="339"/>
      <c r="D3" s="339"/>
      <c r="E3" s="339"/>
      <c r="F3" s="339"/>
      <c r="G3" s="339"/>
      <c r="H3" s="339"/>
      <c r="I3" s="339"/>
      <c r="J3" s="339"/>
      <c r="K3" s="339"/>
      <c r="L3" s="339"/>
      <c r="M3" s="339"/>
      <c r="N3" s="339"/>
      <c r="O3" s="339"/>
      <c r="P3" s="339"/>
      <c r="Q3" s="339"/>
      <c r="R3" s="339"/>
      <c r="S3" s="339"/>
      <c r="T3" s="339"/>
      <c r="U3" s="339"/>
      <c r="V3" s="339"/>
    </row>
    <row r="4" spans="1:22">
      <c r="A4" s="340"/>
      <c r="B4" s="340"/>
      <c r="C4" s="340"/>
      <c r="D4" s="340"/>
      <c r="E4" s="340"/>
      <c r="F4" s="340"/>
      <c r="G4" s="340"/>
      <c r="H4" s="340"/>
      <c r="I4" s="340"/>
      <c r="J4" s="340"/>
      <c r="K4" s="340"/>
      <c r="L4" s="340"/>
      <c r="M4" s="340"/>
      <c r="N4" s="340"/>
      <c r="O4" s="340"/>
      <c r="P4" s="340"/>
      <c r="Q4" s="340"/>
      <c r="R4" s="340"/>
      <c r="S4" s="340"/>
      <c r="T4" s="340"/>
      <c r="U4" s="340"/>
      <c r="V4" s="340"/>
    </row>
    <row r="5" spans="1:22" ht="18" customHeight="1">
      <c r="A5" s="340"/>
      <c r="B5" s="341" t="s">
        <v>185</v>
      </c>
      <c r="C5" s="342"/>
      <c r="D5" s="343" t="s">
        <v>256</v>
      </c>
      <c r="E5" s="343" t="s">
        <v>183</v>
      </c>
      <c r="F5" s="343" t="s">
        <v>182</v>
      </c>
      <c r="G5" s="344" t="s">
        <v>137</v>
      </c>
      <c r="H5" s="345"/>
      <c r="I5" s="345"/>
      <c r="J5" s="345"/>
      <c r="K5" s="345"/>
      <c r="L5" s="345"/>
      <c r="M5" s="345"/>
      <c r="N5" s="345"/>
      <c r="O5" s="345"/>
      <c r="P5" s="345"/>
      <c r="Q5" s="345"/>
      <c r="R5" s="345"/>
      <c r="S5" s="346"/>
      <c r="T5" s="343" t="s">
        <v>184</v>
      </c>
      <c r="U5" s="340"/>
      <c r="V5" s="340"/>
    </row>
    <row r="6" spans="1:22" ht="18" customHeight="1">
      <c r="A6" s="340"/>
      <c r="B6" s="347"/>
      <c r="C6" s="348"/>
      <c r="D6" s="349"/>
      <c r="E6" s="349"/>
      <c r="F6" s="349"/>
      <c r="G6" s="350" t="s">
        <v>127</v>
      </c>
      <c r="H6" s="351">
        <v>1</v>
      </c>
      <c r="I6" s="351">
        <v>2</v>
      </c>
      <c r="J6" s="351">
        <v>3</v>
      </c>
      <c r="K6" s="351">
        <v>4</v>
      </c>
      <c r="L6" s="351">
        <v>5</v>
      </c>
      <c r="M6" s="351">
        <v>6</v>
      </c>
      <c r="N6" s="351">
        <v>7</v>
      </c>
      <c r="O6" s="351">
        <v>8</v>
      </c>
      <c r="P6" s="351">
        <v>9</v>
      </c>
      <c r="Q6" s="351">
        <v>0</v>
      </c>
      <c r="R6" s="351">
        <v>11</v>
      </c>
      <c r="S6" s="352">
        <v>12</v>
      </c>
      <c r="T6" s="349"/>
      <c r="U6" s="340"/>
      <c r="V6" s="340"/>
    </row>
    <row r="7" spans="1:22" ht="18" hidden="1" customHeight="1">
      <c r="A7" s="340"/>
      <c r="B7" s="315" t="s">
        <v>29</v>
      </c>
      <c r="C7" s="353" t="s">
        <v>247</v>
      </c>
      <c r="D7" s="354">
        <v>11794</v>
      </c>
      <c r="E7" s="355" t="s">
        <v>187</v>
      </c>
      <c r="F7" s="356" t="s">
        <v>187</v>
      </c>
      <c r="G7" s="357">
        <f>SUM(H7:S7)</f>
        <v>16319818.749644037</v>
      </c>
      <c r="H7" s="358">
        <f>SUM(Sheet1!Y27:Y29)</f>
        <v>1199021.3454812076</v>
      </c>
      <c r="I7" s="358">
        <f>SUM(Sheet1!Z27:Z29)</f>
        <v>970888.9651575149</v>
      </c>
      <c r="J7" s="358">
        <f>SUM(Sheet1!AA27:AA29)</f>
        <v>1087499.1073213865</v>
      </c>
      <c r="K7" s="358">
        <f>SUM(Sheet1!AB27:AB29)</f>
        <v>1202077.44724384</v>
      </c>
      <c r="L7" s="358">
        <f>SUM(Sheet1!AC27:AC29)</f>
        <v>1401444.8950189892</v>
      </c>
      <c r="M7" s="358">
        <f>SUM(Sheet1!AD27:AD29)</f>
        <v>1416805.4054594233</v>
      </c>
      <c r="N7" s="358">
        <f>SUM(Sheet1!AE27:AE29)</f>
        <v>1609274.6204901163</v>
      </c>
      <c r="O7" s="358">
        <f>SUM(Sheet1!AF27:AF29)</f>
        <v>1723370.7028509525</v>
      </c>
      <c r="P7" s="358">
        <f>SUM(Sheet1!AG27:AG29)</f>
        <v>1563531.883667801</v>
      </c>
      <c r="Q7" s="358">
        <f>SUM(Sheet1!AH27:AH29)</f>
        <v>1499889.8150454492</v>
      </c>
      <c r="R7" s="358">
        <f>SUM(Sheet1!AI27:AI29)</f>
        <v>1351458.6385704014</v>
      </c>
      <c r="S7" s="359">
        <f>SUM(Sheet1!AJ27:AJ29)</f>
        <v>1294555.9233369543</v>
      </c>
      <c r="T7" s="360" t="s">
        <v>311</v>
      </c>
      <c r="U7" s="340"/>
      <c r="V7" s="340"/>
    </row>
    <row r="8" spans="1:22" ht="18" hidden="1" customHeight="1">
      <c r="A8" s="340"/>
      <c r="B8" s="316"/>
      <c r="C8" s="254" t="s">
        <v>248</v>
      </c>
      <c r="D8" s="361"/>
      <c r="E8" s="362"/>
      <c r="F8" s="363"/>
      <c r="G8" s="364">
        <f>SUM(H8:S8)</f>
        <v>163198.18749644037</v>
      </c>
      <c r="H8" s="365">
        <f>H7*1%</f>
        <v>11990.213454812076</v>
      </c>
      <c r="I8" s="365">
        <f t="shared" ref="I8:S8" si="0">I7*1%</f>
        <v>9708.8896515751494</v>
      </c>
      <c r="J8" s="365">
        <f t="shared" si="0"/>
        <v>10874.991073213865</v>
      </c>
      <c r="K8" s="365">
        <f t="shared" si="0"/>
        <v>12020.774472438399</v>
      </c>
      <c r="L8" s="365">
        <f t="shared" si="0"/>
        <v>14014.448950189893</v>
      </c>
      <c r="M8" s="365">
        <f t="shared" si="0"/>
        <v>14168.054054594233</v>
      </c>
      <c r="N8" s="365">
        <f t="shared" si="0"/>
        <v>16092.746204901163</v>
      </c>
      <c r="O8" s="365">
        <f t="shared" si="0"/>
        <v>17233.707028509525</v>
      </c>
      <c r="P8" s="365">
        <f t="shared" si="0"/>
        <v>15635.31883667801</v>
      </c>
      <c r="Q8" s="365">
        <f t="shared" si="0"/>
        <v>14998.898150454492</v>
      </c>
      <c r="R8" s="365">
        <f t="shared" si="0"/>
        <v>13514.586385704013</v>
      </c>
      <c r="S8" s="366">
        <f t="shared" si="0"/>
        <v>12945.559233369544</v>
      </c>
      <c r="T8" s="257" t="s">
        <v>251</v>
      </c>
      <c r="U8" s="340"/>
      <c r="V8" s="340"/>
    </row>
    <row r="9" spans="1:22" ht="18" customHeight="1">
      <c r="A9" s="340"/>
      <c r="B9" s="317"/>
      <c r="C9" s="403" t="s">
        <v>131</v>
      </c>
      <c r="D9" s="404"/>
      <c r="E9" s="405"/>
      <c r="F9" s="406"/>
      <c r="G9" s="407">
        <f t="shared" ref="G9:G27" si="1">SUM(H9:S9)</f>
        <v>16483016.937140476</v>
      </c>
      <c r="H9" s="408">
        <f>SUM(H7:H8)</f>
        <v>1211011.5589360197</v>
      </c>
      <c r="I9" s="408">
        <f t="shared" ref="I9:S9" si="2">SUM(I7:I8)</f>
        <v>980597.85480909003</v>
      </c>
      <c r="J9" s="408">
        <f t="shared" si="2"/>
        <v>1098374.0983946002</v>
      </c>
      <c r="K9" s="408">
        <f t="shared" si="2"/>
        <v>1214098.2217162785</v>
      </c>
      <c r="L9" s="408">
        <f t="shared" si="2"/>
        <v>1415459.3439691791</v>
      </c>
      <c r="M9" s="408">
        <f t="shared" si="2"/>
        <v>1430973.4595140174</v>
      </c>
      <c r="N9" s="408">
        <f t="shared" si="2"/>
        <v>1625367.3666950176</v>
      </c>
      <c r="O9" s="408">
        <f t="shared" si="2"/>
        <v>1740604.4098794621</v>
      </c>
      <c r="P9" s="408">
        <f t="shared" si="2"/>
        <v>1579167.2025044791</v>
      </c>
      <c r="Q9" s="408">
        <f t="shared" si="2"/>
        <v>1514888.7131959037</v>
      </c>
      <c r="R9" s="408">
        <f t="shared" si="2"/>
        <v>1364973.2249561055</v>
      </c>
      <c r="S9" s="409">
        <f t="shared" si="2"/>
        <v>1307501.4825703239</v>
      </c>
      <c r="T9" s="410" t="s">
        <v>253</v>
      </c>
      <c r="U9" s="340"/>
      <c r="V9" s="340"/>
    </row>
    <row r="10" spans="1:22" ht="18" hidden="1" customHeight="1">
      <c r="A10" s="340"/>
      <c r="B10" s="315" t="s">
        <v>33</v>
      </c>
      <c r="C10" s="353" t="s">
        <v>165</v>
      </c>
      <c r="D10" s="354">
        <v>155</v>
      </c>
      <c r="E10" s="356" t="s">
        <v>189</v>
      </c>
      <c r="F10" s="356" t="s">
        <v>191</v>
      </c>
      <c r="G10" s="357">
        <f t="shared" si="1"/>
        <v>93000</v>
      </c>
      <c r="H10" s="358">
        <f>50*$D10</f>
        <v>7750</v>
      </c>
      <c r="I10" s="358">
        <f t="shared" ref="I10:S10" si="3">50*$D10</f>
        <v>7750</v>
      </c>
      <c r="J10" s="358">
        <f t="shared" si="3"/>
        <v>7750</v>
      </c>
      <c r="K10" s="358">
        <f t="shared" si="3"/>
        <v>7750</v>
      </c>
      <c r="L10" s="358">
        <f t="shared" si="3"/>
        <v>7750</v>
      </c>
      <c r="M10" s="358">
        <f t="shared" si="3"/>
        <v>7750</v>
      </c>
      <c r="N10" s="358">
        <f t="shared" si="3"/>
        <v>7750</v>
      </c>
      <c r="O10" s="358">
        <f t="shared" si="3"/>
        <v>7750</v>
      </c>
      <c r="P10" s="358">
        <f t="shared" si="3"/>
        <v>7750</v>
      </c>
      <c r="Q10" s="358">
        <f t="shared" si="3"/>
        <v>7750</v>
      </c>
      <c r="R10" s="358">
        <f t="shared" si="3"/>
        <v>7750</v>
      </c>
      <c r="S10" s="359">
        <f t="shared" si="3"/>
        <v>7750</v>
      </c>
      <c r="T10" s="367" t="s">
        <v>254</v>
      </c>
      <c r="U10" s="340"/>
      <c r="V10" s="340"/>
    </row>
    <row r="11" spans="1:22" ht="18" hidden="1" customHeight="1">
      <c r="A11" s="340"/>
      <c r="B11" s="316"/>
      <c r="C11" s="254" t="s">
        <v>166</v>
      </c>
      <c r="D11" s="361">
        <v>21</v>
      </c>
      <c r="E11" s="363" t="s">
        <v>189</v>
      </c>
      <c r="F11" s="363" t="s">
        <v>190</v>
      </c>
      <c r="G11" s="364">
        <f t="shared" si="1"/>
        <v>0</v>
      </c>
      <c r="H11" s="365"/>
      <c r="I11" s="365"/>
      <c r="J11" s="365"/>
      <c r="K11" s="365"/>
      <c r="L11" s="365"/>
      <c r="M11" s="365"/>
      <c r="N11" s="365"/>
      <c r="O11" s="365"/>
      <c r="P11" s="365"/>
      <c r="Q11" s="365"/>
      <c r="R11" s="365"/>
      <c r="S11" s="366"/>
      <c r="T11" s="257"/>
      <c r="U11" s="340"/>
      <c r="V11" s="340"/>
    </row>
    <row r="12" spans="1:22" ht="18" hidden="1" customHeight="1">
      <c r="A12" s="340"/>
      <c r="B12" s="316"/>
      <c r="C12" s="254" t="s">
        <v>167</v>
      </c>
      <c r="D12" s="361">
        <v>140</v>
      </c>
      <c r="E12" s="362" t="s">
        <v>186</v>
      </c>
      <c r="F12" s="363" t="s">
        <v>186</v>
      </c>
      <c r="G12" s="364">
        <f t="shared" si="1"/>
        <v>73941.840111695245</v>
      </c>
      <c r="H12" s="365">
        <f>'[62]1.매출'!$D$221*H9/$G$9</f>
        <v>5432.5263030274118</v>
      </c>
      <c r="I12" s="365">
        <f>'[62]1.매출'!$D$221*I9/$G$9</f>
        <v>4398.9040398780207</v>
      </c>
      <c r="J12" s="365">
        <f>'[62]1.매출'!$D$221*J9/$G$9</f>
        <v>4927.2413100129061</v>
      </c>
      <c r="K12" s="365">
        <f>'[62]1.매출'!$D$221*K9/$G$9</f>
        <v>5446.372889889939</v>
      </c>
      <c r="L12" s="365">
        <f>'[62]1.매출'!$D$221*L9/$G$9</f>
        <v>6349.6669872700568</v>
      </c>
      <c r="M12" s="365">
        <f>'[62]1.매출'!$D$221*M9/$G$9</f>
        <v>6419.2623929816164</v>
      </c>
      <c r="N12" s="365">
        <f>'[62]1.매출'!$D$221*N9/$G$9</f>
        <v>7291.3019751940974</v>
      </c>
      <c r="O12" s="365">
        <f>'[62]1.매출'!$D$221*O9/$G$9</f>
        <v>7808.2485423537228</v>
      </c>
      <c r="P12" s="365">
        <f>'[62]1.매출'!$D$221*P9/$G$9</f>
        <v>7084.0507682858852</v>
      </c>
      <c r="Q12" s="365">
        <f>'[62]1.매출'!$D$221*Q9/$G$9</f>
        <v>6795.7012630222862</v>
      </c>
      <c r="R12" s="365">
        <f>'[62]1.매출'!$D$221*R9/$G$9</f>
        <v>6123.1892402555995</v>
      </c>
      <c r="S12" s="366">
        <f>'[62]1.매출'!$D$221*S9/$G$9</f>
        <v>5865.3743995237046</v>
      </c>
      <c r="T12" s="257" t="s">
        <v>252</v>
      </c>
      <c r="U12" s="340"/>
      <c r="V12" s="340"/>
    </row>
    <row r="13" spans="1:22" ht="18" hidden="1" customHeight="1">
      <c r="A13" s="340"/>
      <c r="B13" s="317"/>
      <c r="C13" s="368" t="s">
        <v>174</v>
      </c>
      <c r="D13" s="369"/>
      <c r="E13" s="370"/>
      <c r="F13" s="371"/>
      <c r="G13" s="372">
        <f t="shared" si="1"/>
        <v>166941.84011169526</v>
      </c>
      <c r="H13" s="373">
        <f>SUM(H10:H12)</f>
        <v>13182.526303027411</v>
      </c>
      <c r="I13" s="373">
        <f t="shared" ref="I13:R13" si="4">SUM(I10:I12)</f>
        <v>12148.90403987802</v>
      </c>
      <c r="J13" s="373">
        <f t="shared" si="4"/>
        <v>12677.241310012905</v>
      </c>
      <c r="K13" s="373">
        <f t="shared" si="4"/>
        <v>13196.372889889939</v>
      </c>
      <c r="L13" s="373">
        <f t="shared" si="4"/>
        <v>14099.666987270057</v>
      </c>
      <c r="M13" s="373">
        <f t="shared" si="4"/>
        <v>14169.262392981616</v>
      </c>
      <c r="N13" s="373">
        <f t="shared" si="4"/>
        <v>15041.301975194097</v>
      </c>
      <c r="O13" s="373">
        <f t="shared" si="4"/>
        <v>15558.248542353722</v>
      </c>
      <c r="P13" s="373">
        <f t="shared" si="4"/>
        <v>14834.050768285884</v>
      </c>
      <c r="Q13" s="373">
        <f t="shared" si="4"/>
        <v>14545.701263022285</v>
      </c>
      <c r="R13" s="373">
        <f t="shared" si="4"/>
        <v>13873.1892402556</v>
      </c>
      <c r="S13" s="374">
        <f>SUM(S10:S12)</f>
        <v>13615.374399523706</v>
      </c>
      <c r="T13" s="375"/>
      <c r="U13" s="340"/>
      <c r="V13" s="340"/>
    </row>
    <row r="14" spans="1:22" ht="18" hidden="1" customHeight="1">
      <c r="A14" s="340"/>
      <c r="B14" s="315" t="s">
        <v>34</v>
      </c>
      <c r="C14" s="353" t="s">
        <v>168</v>
      </c>
      <c r="D14" s="354">
        <v>100</v>
      </c>
      <c r="E14" s="355" t="s">
        <v>188</v>
      </c>
      <c r="F14" s="356" t="s">
        <v>190</v>
      </c>
      <c r="G14" s="357">
        <f t="shared" si="1"/>
        <v>60000</v>
      </c>
      <c r="H14" s="358">
        <f>50*$D14</f>
        <v>5000</v>
      </c>
      <c r="I14" s="358">
        <f t="shared" ref="I14:S17" si="5">50*$D14</f>
        <v>5000</v>
      </c>
      <c r="J14" s="358">
        <f t="shared" si="5"/>
        <v>5000</v>
      </c>
      <c r="K14" s="358">
        <f t="shared" si="5"/>
        <v>5000</v>
      </c>
      <c r="L14" s="358">
        <f t="shared" si="5"/>
        <v>5000</v>
      </c>
      <c r="M14" s="358">
        <f t="shared" si="5"/>
        <v>5000</v>
      </c>
      <c r="N14" s="358">
        <f t="shared" si="5"/>
        <v>5000</v>
      </c>
      <c r="O14" s="358">
        <f t="shared" si="5"/>
        <v>5000</v>
      </c>
      <c r="P14" s="358">
        <f t="shared" si="5"/>
        <v>5000</v>
      </c>
      <c r="Q14" s="358">
        <f t="shared" si="5"/>
        <v>5000</v>
      </c>
      <c r="R14" s="358">
        <f t="shared" si="5"/>
        <v>5000</v>
      </c>
      <c r="S14" s="359">
        <f t="shared" si="5"/>
        <v>5000</v>
      </c>
      <c r="T14" s="367" t="s">
        <v>254</v>
      </c>
      <c r="U14" s="340"/>
      <c r="V14" s="340"/>
    </row>
    <row r="15" spans="1:22" ht="18" hidden="1" customHeight="1">
      <c r="A15" s="340"/>
      <c r="B15" s="316"/>
      <c r="C15" s="254" t="s">
        <v>169</v>
      </c>
      <c r="D15" s="361">
        <v>26</v>
      </c>
      <c r="E15" s="362" t="s">
        <v>188</v>
      </c>
      <c r="F15" s="363" t="s">
        <v>190</v>
      </c>
      <c r="G15" s="364">
        <f t="shared" si="1"/>
        <v>15600</v>
      </c>
      <c r="H15" s="365">
        <f t="shared" ref="H15:H16" si="6">50*$D15</f>
        <v>1300</v>
      </c>
      <c r="I15" s="365">
        <f t="shared" si="5"/>
        <v>1300</v>
      </c>
      <c r="J15" s="365">
        <f t="shared" si="5"/>
        <v>1300</v>
      </c>
      <c r="K15" s="365">
        <f t="shared" si="5"/>
        <v>1300</v>
      </c>
      <c r="L15" s="365">
        <f t="shared" si="5"/>
        <v>1300</v>
      </c>
      <c r="M15" s="365">
        <f t="shared" si="5"/>
        <v>1300</v>
      </c>
      <c r="N15" s="365">
        <f t="shared" si="5"/>
        <v>1300</v>
      </c>
      <c r="O15" s="365">
        <f t="shared" si="5"/>
        <v>1300</v>
      </c>
      <c r="P15" s="365">
        <f t="shared" si="5"/>
        <v>1300</v>
      </c>
      <c r="Q15" s="365">
        <f t="shared" si="5"/>
        <v>1300</v>
      </c>
      <c r="R15" s="365">
        <f t="shared" si="5"/>
        <v>1300</v>
      </c>
      <c r="S15" s="366">
        <f t="shared" si="5"/>
        <v>1300</v>
      </c>
      <c r="T15" s="257" t="s">
        <v>254</v>
      </c>
      <c r="U15" s="340"/>
      <c r="V15" s="340"/>
    </row>
    <row r="16" spans="1:22" ht="18" hidden="1" customHeight="1">
      <c r="A16" s="340"/>
      <c r="B16" s="316"/>
      <c r="C16" s="254" t="s">
        <v>170</v>
      </c>
      <c r="D16" s="361">
        <v>72</v>
      </c>
      <c r="E16" s="362" t="s">
        <v>188</v>
      </c>
      <c r="F16" s="363" t="s">
        <v>190</v>
      </c>
      <c r="G16" s="364">
        <f t="shared" si="1"/>
        <v>43200</v>
      </c>
      <c r="H16" s="365">
        <f t="shared" si="6"/>
        <v>3600</v>
      </c>
      <c r="I16" s="365">
        <f t="shared" si="5"/>
        <v>3600</v>
      </c>
      <c r="J16" s="365">
        <f t="shared" si="5"/>
        <v>3600</v>
      </c>
      <c r="K16" s="365">
        <f t="shared" si="5"/>
        <v>3600</v>
      </c>
      <c r="L16" s="365">
        <f t="shared" si="5"/>
        <v>3600</v>
      </c>
      <c r="M16" s="365">
        <f t="shared" si="5"/>
        <v>3600</v>
      </c>
      <c r="N16" s="365">
        <f t="shared" si="5"/>
        <v>3600</v>
      </c>
      <c r="O16" s="365">
        <f t="shared" si="5"/>
        <v>3600</v>
      </c>
      <c r="P16" s="365">
        <f t="shared" si="5"/>
        <v>3600</v>
      </c>
      <c r="Q16" s="365">
        <f t="shared" si="5"/>
        <v>3600</v>
      </c>
      <c r="R16" s="365">
        <f t="shared" si="5"/>
        <v>3600</v>
      </c>
      <c r="S16" s="366">
        <f t="shared" si="5"/>
        <v>3600</v>
      </c>
      <c r="T16" s="257" t="s">
        <v>254</v>
      </c>
      <c r="U16" s="340"/>
      <c r="V16" s="340"/>
    </row>
    <row r="17" spans="1:22" ht="18" hidden="1" customHeight="1">
      <c r="A17" s="340"/>
      <c r="B17" s="316"/>
      <c r="C17" s="254" t="s">
        <v>171</v>
      </c>
      <c r="D17" s="376">
        <v>66</v>
      </c>
      <c r="E17" s="362" t="s">
        <v>188</v>
      </c>
      <c r="F17" s="363" t="s">
        <v>190</v>
      </c>
      <c r="G17" s="377">
        <f t="shared" si="1"/>
        <v>39600</v>
      </c>
      <c r="H17" s="378">
        <f>50*$D17</f>
        <v>3300</v>
      </c>
      <c r="I17" s="378">
        <f t="shared" si="5"/>
        <v>3300</v>
      </c>
      <c r="J17" s="378">
        <f t="shared" si="5"/>
        <v>3300</v>
      </c>
      <c r="K17" s="378">
        <f t="shared" si="5"/>
        <v>3300</v>
      </c>
      <c r="L17" s="378">
        <f t="shared" si="5"/>
        <v>3300</v>
      </c>
      <c r="M17" s="378">
        <f t="shared" si="5"/>
        <v>3300</v>
      </c>
      <c r="N17" s="378">
        <f t="shared" si="5"/>
        <v>3300</v>
      </c>
      <c r="O17" s="378">
        <f t="shared" si="5"/>
        <v>3300</v>
      </c>
      <c r="P17" s="378">
        <f t="shared" si="5"/>
        <v>3300</v>
      </c>
      <c r="Q17" s="378">
        <f t="shared" si="5"/>
        <v>3300</v>
      </c>
      <c r="R17" s="378">
        <f t="shared" si="5"/>
        <v>3300</v>
      </c>
      <c r="S17" s="379">
        <f t="shared" si="5"/>
        <v>3300</v>
      </c>
      <c r="T17" s="380" t="s">
        <v>254</v>
      </c>
      <c r="U17" s="340"/>
      <c r="V17" s="340"/>
    </row>
    <row r="18" spans="1:22" ht="18" hidden="1" customHeight="1">
      <c r="A18" s="340"/>
      <c r="B18" s="316"/>
      <c r="C18" s="254" t="s">
        <v>172</v>
      </c>
      <c r="D18" s="376"/>
      <c r="E18" s="362" t="s">
        <v>188</v>
      </c>
      <c r="F18" s="363" t="s">
        <v>190</v>
      </c>
      <c r="G18" s="377"/>
      <c r="H18" s="378"/>
      <c r="I18" s="378"/>
      <c r="J18" s="378"/>
      <c r="K18" s="378"/>
      <c r="L18" s="378"/>
      <c r="M18" s="378"/>
      <c r="N18" s="378"/>
      <c r="O18" s="378"/>
      <c r="P18" s="378"/>
      <c r="Q18" s="378"/>
      <c r="R18" s="378"/>
      <c r="S18" s="379"/>
      <c r="T18" s="380"/>
      <c r="U18" s="340"/>
      <c r="V18" s="340"/>
    </row>
    <row r="19" spans="1:22" ht="18" hidden="1" customHeight="1">
      <c r="A19" s="340"/>
      <c r="B19" s="316"/>
      <c r="C19" s="254" t="s">
        <v>173</v>
      </c>
      <c r="D19" s="361">
        <v>140</v>
      </c>
      <c r="E19" s="362" t="s">
        <v>188</v>
      </c>
      <c r="F19" s="363" t="s">
        <v>190</v>
      </c>
      <c r="G19" s="364">
        <f t="shared" si="1"/>
        <v>0</v>
      </c>
      <c r="H19" s="365"/>
      <c r="I19" s="365"/>
      <c r="J19" s="365"/>
      <c r="K19" s="365"/>
      <c r="L19" s="365"/>
      <c r="M19" s="365"/>
      <c r="N19" s="365"/>
      <c r="O19" s="365"/>
      <c r="P19" s="365"/>
      <c r="Q19" s="365"/>
      <c r="R19" s="365"/>
      <c r="S19" s="366"/>
      <c r="T19" s="257"/>
      <c r="U19" s="340"/>
      <c r="V19" s="340"/>
    </row>
    <row r="20" spans="1:22" ht="18" hidden="1" customHeight="1">
      <c r="A20" s="340"/>
      <c r="B20" s="317"/>
      <c r="C20" s="368" t="s">
        <v>175</v>
      </c>
      <c r="D20" s="369"/>
      <c r="E20" s="370"/>
      <c r="F20" s="371"/>
      <c r="G20" s="372">
        <f t="shared" si="1"/>
        <v>158400</v>
      </c>
      <c r="H20" s="373">
        <f>SUM(H14:H19)</f>
        <v>13200</v>
      </c>
      <c r="I20" s="373">
        <f t="shared" ref="I20:S20" si="7">SUM(I14:I19)</f>
        <v>13200</v>
      </c>
      <c r="J20" s="373">
        <f t="shared" si="7"/>
        <v>13200</v>
      </c>
      <c r="K20" s="373">
        <f t="shared" si="7"/>
        <v>13200</v>
      </c>
      <c r="L20" s="373">
        <f t="shared" si="7"/>
        <v>13200</v>
      </c>
      <c r="M20" s="373">
        <f t="shared" si="7"/>
        <v>13200</v>
      </c>
      <c r="N20" s="373">
        <f t="shared" si="7"/>
        <v>13200</v>
      </c>
      <c r="O20" s="373">
        <f t="shared" si="7"/>
        <v>13200</v>
      </c>
      <c r="P20" s="373">
        <f t="shared" si="7"/>
        <v>13200</v>
      </c>
      <c r="Q20" s="373">
        <f t="shared" si="7"/>
        <v>13200</v>
      </c>
      <c r="R20" s="373">
        <f t="shared" si="7"/>
        <v>13200</v>
      </c>
      <c r="S20" s="374">
        <f t="shared" si="7"/>
        <v>13200</v>
      </c>
      <c r="T20" s="375"/>
      <c r="U20" s="340"/>
      <c r="V20" s="340"/>
    </row>
    <row r="21" spans="1:22" ht="18" hidden="1" customHeight="1">
      <c r="A21" s="340"/>
      <c r="B21" s="315" t="s">
        <v>223</v>
      </c>
      <c r="C21" s="353" t="s">
        <v>176</v>
      </c>
      <c r="D21" s="354"/>
      <c r="E21" s="355" t="s">
        <v>186</v>
      </c>
      <c r="F21" s="356" t="s">
        <v>188</v>
      </c>
      <c r="G21" s="357">
        <f t="shared" si="1"/>
        <v>0</v>
      </c>
      <c r="H21" s="358"/>
      <c r="I21" s="358"/>
      <c r="J21" s="358"/>
      <c r="K21" s="358"/>
      <c r="L21" s="358"/>
      <c r="M21" s="358"/>
      <c r="N21" s="358"/>
      <c r="O21" s="358"/>
      <c r="P21" s="358"/>
      <c r="Q21" s="358"/>
      <c r="R21" s="358"/>
      <c r="S21" s="359"/>
      <c r="T21" s="367"/>
      <c r="U21" s="340"/>
      <c r="V21" s="340"/>
    </row>
    <row r="22" spans="1:22" ht="18" hidden="1" customHeight="1">
      <c r="A22" s="340"/>
      <c r="B22" s="316"/>
      <c r="C22" s="254" t="s">
        <v>177</v>
      </c>
      <c r="D22" s="361">
        <v>67</v>
      </c>
      <c r="E22" s="362" t="s">
        <v>188</v>
      </c>
      <c r="F22" s="363" t="s">
        <v>190</v>
      </c>
      <c r="G22" s="364">
        <f>SUM(H22:S22)</f>
        <v>0</v>
      </c>
      <c r="H22" s="365"/>
      <c r="I22" s="365"/>
      <c r="J22" s="365"/>
      <c r="K22" s="365"/>
      <c r="L22" s="365"/>
      <c r="M22" s="365"/>
      <c r="N22" s="365"/>
      <c r="O22" s="365"/>
      <c r="P22" s="365"/>
      <c r="Q22" s="365"/>
      <c r="R22" s="365"/>
      <c r="S22" s="366"/>
      <c r="T22" s="257"/>
      <c r="U22" s="340"/>
      <c r="V22" s="340"/>
    </row>
    <row r="23" spans="1:22" ht="18" hidden="1" customHeight="1">
      <c r="A23" s="340"/>
      <c r="B23" s="316"/>
      <c r="C23" s="254" t="s">
        <v>178</v>
      </c>
      <c r="D23" s="361">
        <v>90</v>
      </c>
      <c r="E23" s="362" t="s">
        <v>188</v>
      </c>
      <c r="F23" s="363" t="s">
        <v>190</v>
      </c>
      <c r="G23" s="364">
        <f>SUM(H23:S23)</f>
        <v>0</v>
      </c>
      <c r="H23" s="365"/>
      <c r="I23" s="365"/>
      <c r="J23" s="365"/>
      <c r="K23" s="365"/>
      <c r="L23" s="365"/>
      <c r="M23" s="365"/>
      <c r="N23" s="365"/>
      <c r="O23" s="365"/>
      <c r="P23" s="365"/>
      <c r="Q23" s="365"/>
      <c r="R23" s="365"/>
      <c r="S23" s="366"/>
      <c r="T23" s="257"/>
      <c r="U23" s="340"/>
      <c r="V23" s="340"/>
    </row>
    <row r="24" spans="1:22" ht="18" hidden="1" customHeight="1">
      <c r="A24" s="340"/>
      <c r="B24" s="316"/>
      <c r="C24" s="254" t="s">
        <v>179</v>
      </c>
      <c r="D24" s="361">
        <v>120</v>
      </c>
      <c r="E24" s="362" t="s">
        <v>186</v>
      </c>
      <c r="F24" s="363" t="s">
        <v>188</v>
      </c>
      <c r="G24" s="364">
        <f>SUM(H24:S24)</f>
        <v>0</v>
      </c>
      <c r="H24" s="365"/>
      <c r="I24" s="365"/>
      <c r="J24" s="365"/>
      <c r="K24" s="365"/>
      <c r="L24" s="365"/>
      <c r="M24" s="365"/>
      <c r="N24" s="365"/>
      <c r="O24" s="365"/>
      <c r="P24" s="365"/>
      <c r="Q24" s="365"/>
      <c r="R24" s="365"/>
      <c r="S24" s="366"/>
      <c r="T24" s="257"/>
      <c r="U24" s="340"/>
      <c r="V24" s="340"/>
    </row>
    <row r="25" spans="1:22" ht="18" hidden="1" customHeight="1">
      <c r="A25" s="340"/>
      <c r="B25" s="316"/>
      <c r="C25" s="254" t="s">
        <v>224</v>
      </c>
      <c r="D25" s="361"/>
      <c r="E25" s="362"/>
      <c r="F25" s="363" t="s">
        <v>186</v>
      </c>
      <c r="G25" s="364">
        <f>SUM(H25:S25)</f>
        <v>50280</v>
      </c>
      <c r="H25" s="365">
        <f>SUM(H10,H14,H15,H16,H17)*20%</f>
        <v>4190</v>
      </c>
      <c r="I25" s="365">
        <f t="shared" ref="I25:S25" si="8">SUM(I10,I14,I15,I16,I17)*20%</f>
        <v>4190</v>
      </c>
      <c r="J25" s="365">
        <f t="shared" si="8"/>
        <v>4190</v>
      </c>
      <c r="K25" s="365">
        <f t="shared" si="8"/>
        <v>4190</v>
      </c>
      <c r="L25" s="365">
        <f t="shared" si="8"/>
        <v>4190</v>
      </c>
      <c r="M25" s="365">
        <f t="shared" si="8"/>
        <v>4190</v>
      </c>
      <c r="N25" s="365">
        <f t="shared" si="8"/>
        <v>4190</v>
      </c>
      <c r="O25" s="365">
        <f t="shared" si="8"/>
        <v>4190</v>
      </c>
      <c r="P25" s="365">
        <f t="shared" si="8"/>
        <v>4190</v>
      </c>
      <c r="Q25" s="365">
        <f t="shared" si="8"/>
        <v>4190</v>
      </c>
      <c r="R25" s="365">
        <f t="shared" si="8"/>
        <v>4190</v>
      </c>
      <c r="S25" s="366">
        <f t="shared" si="8"/>
        <v>4190</v>
      </c>
      <c r="T25" s="257" t="s">
        <v>255</v>
      </c>
      <c r="U25" s="340"/>
      <c r="V25" s="340"/>
    </row>
    <row r="26" spans="1:22" ht="18" hidden="1" customHeight="1">
      <c r="A26" s="340"/>
      <c r="B26" s="317"/>
      <c r="C26" s="368" t="s">
        <v>180</v>
      </c>
      <c r="D26" s="369"/>
      <c r="E26" s="370"/>
      <c r="F26" s="371"/>
      <c r="G26" s="372">
        <f>SUM(H26:S26)</f>
        <v>50280</v>
      </c>
      <c r="H26" s="373">
        <f>SUM(H21:H25)</f>
        <v>4190</v>
      </c>
      <c r="I26" s="373">
        <f t="shared" ref="I26:S26" si="9">SUM(I21:I25)</f>
        <v>4190</v>
      </c>
      <c r="J26" s="373">
        <f t="shared" si="9"/>
        <v>4190</v>
      </c>
      <c r="K26" s="373">
        <f t="shared" si="9"/>
        <v>4190</v>
      </c>
      <c r="L26" s="373">
        <f t="shared" si="9"/>
        <v>4190</v>
      </c>
      <c r="M26" s="373">
        <f t="shared" si="9"/>
        <v>4190</v>
      </c>
      <c r="N26" s="373">
        <f t="shared" si="9"/>
        <v>4190</v>
      </c>
      <c r="O26" s="373">
        <f t="shared" si="9"/>
        <v>4190</v>
      </c>
      <c r="P26" s="373">
        <f t="shared" si="9"/>
        <v>4190</v>
      </c>
      <c r="Q26" s="373">
        <f t="shared" si="9"/>
        <v>4190</v>
      </c>
      <c r="R26" s="373">
        <f t="shared" si="9"/>
        <v>4190</v>
      </c>
      <c r="S26" s="374">
        <f t="shared" si="9"/>
        <v>4190</v>
      </c>
      <c r="T26" s="375"/>
      <c r="U26" s="340"/>
      <c r="V26" s="340"/>
    </row>
    <row r="27" spans="1:22" ht="18" customHeight="1">
      <c r="A27" s="340"/>
      <c r="B27" s="344" t="s">
        <v>127</v>
      </c>
      <c r="C27" s="346"/>
      <c r="D27" s="381">
        <f>SUM(D9,D13,D20,D26)</f>
        <v>0</v>
      </c>
      <c r="E27" s="382"/>
      <c r="F27" s="383"/>
      <c r="G27" s="384">
        <f t="shared" si="1"/>
        <v>16483016.937140476</v>
      </c>
      <c r="H27" s="385">
        <f>H9</f>
        <v>1211011.5589360197</v>
      </c>
      <c r="I27" s="385">
        <f t="shared" ref="I27:S27" si="10">I9</f>
        <v>980597.85480909003</v>
      </c>
      <c r="J27" s="385">
        <f t="shared" si="10"/>
        <v>1098374.0983946002</v>
      </c>
      <c r="K27" s="385">
        <f t="shared" si="10"/>
        <v>1214098.2217162785</v>
      </c>
      <c r="L27" s="385">
        <f t="shared" si="10"/>
        <v>1415459.3439691791</v>
      </c>
      <c r="M27" s="385">
        <f t="shared" si="10"/>
        <v>1430973.4595140174</v>
      </c>
      <c r="N27" s="385">
        <f t="shared" si="10"/>
        <v>1625367.3666950176</v>
      </c>
      <c r="O27" s="385">
        <f t="shared" si="10"/>
        <v>1740604.4098794621</v>
      </c>
      <c r="P27" s="385">
        <f t="shared" si="10"/>
        <v>1579167.2025044791</v>
      </c>
      <c r="Q27" s="385">
        <f t="shared" si="10"/>
        <v>1514888.7131959037</v>
      </c>
      <c r="R27" s="385">
        <f t="shared" si="10"/>
        <v>1364973.2249561055</v>
      </c>
      <c r="S27" s="386">
        <f t="shared" si="10"/>
        <v>1307501.4825703239</v>
      </c>
      <c r="T27" s="387"/>
      <c r="U27" s="340"/>
      <c r="V27" s="340"/>
    </row>
    <row r="28" spans="1:22">
      <c r="A28" s="340"/>
      <c r="B28" s="340"/>
      <c r="C28" s="340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P28" s="340"/>
      <c r="Q28" s="340"/>
      <c r="R28" s="340"/>
      <c r="S28" s="340"/>
      <c r="T28" s="340"/>
      <c r="U28" s="340"/>
      <c r="V28" s="340"/>
    </row>
    <row r="29" spans="1:22">
      <c r="A29" s="340"/>
      <c r="B29" s="340"/>
      <c r="C29" s="340"/>
      <c r="D29" s="340"/>
      <c r="E29" s="340"/>
      <c r="F29" s="340"/>
      <c r="G29" s="340"/>
      <c r="H29" s="340"/>
      <c r="I29" s="340"/>
      <c r="J29" s="340"/>
      <c r="K29" s="340"/>
      <c r="L29" s="340"/>
      <c r="M29" s="340"/>
      <c r="N29" s="340"/>
      <c r="O29" s="340"/>
      <c r="P29" s="340"/>
      <c r="Q29" s="340"/>
      <c r="R29" s="340"/>
      <c r="S29" s="340"/>
      <c r="T29" s="340"/>
      <c r="U29" s="340"/>
      <c r="V29" s="340"/>
    </row>
    <row r="30" spans="1:22">
      <c r="A30" s="340"/>
      <c r="B30" s="340"/>
      <c r="C30" s="340"/>
      <c r="D30" s="340"/>
      <c r="E30" s="340"/>
      <c r="F30" s="340"/>
      <c r="G30" s="340"/>
      <c r="H30" s="340"/>
      <c r="I30" s="340"/>
      <c r="J30" s="340"/>
      <c r="K30" s="340"/>
      <c r="L30" s="340"/>
      <c r="M30" s="340"/>
      <c r="N30" s="340"/>
      <c r="O30" s="340"/>
      <c r="P30" s="340"/>
      <c r="Q30" s="340"/>
      <c r="R30" s="340"/>
      <c r="S30" s="340"/>
      <c r="T30" s="340"/>
      <c r="U30" s="340"/>
      <c r="V30" s="340"/>
    </row>
    <row r="31" spans="1:22">
      <c r="A31" s="340"/>
      <c r="B31" s="340"/>
      <c r="C31" s="340"/>
      <c r="D31" s="340"/>
      <c r="E31" s="340"/>
      <c r="F31" s="340"/>
      <c r="G31" s="340"/>
      <c r="H31" s="340"/>
      <c r="I31" s="340"/>
      <c r="J31" s="340"/>
      <c r="K31" s="340"/>
      <c r="L31" s="340"/>
      <c r="M31" s="340"/>
      <c r="N31" s="340"/>
      <c r="O31" s="340"/>
      <c r="P31" s="340"/>
      <c r="Q31" s="340"/>
      <c r="R31" s="340"/>
      <c r="S31" s="340"/>
      <c r="T31" s="340"/>
      <c r="U31" s="340"/>
      <c r="V31" s="340"/>
    </row>
    <row r="32" spans="1:22">
      <c r="A32" s="340"/>
      <c r="B32" s="340"/>
      <c r="C32" s="340"/>
      <c r="D32" s="340"/>
      <c r="E32" s="340"/>
      <c r="F32" s="340"/>
      <c r="G32" s="340"/>
      <c r="H32" s="340"/>
      <c r="I32" s="340"/>
      <c r="J32" s="340"/>
      <c r="K32" s="340"/>
      <c r="L32" s="340"/>
      <c r="M32" s="340"/>
      <c r="N32" s="340"/>
      <c r="O32" s="340"/>
      <c r="P32" s="340"/>
      <c r="Q32" s="340"/>
      <c r="R32" s="340"/>
      <c r="S32" s="340"/>
      <c r="T32" s="340"/>
      <c r="U32" s="340"/>
      <c r="V32" s="340"/>
    </row>
    <row r="33" spans="1:22">
      <c r="A33" s="340"/>
      <c r="B33" s="340"/>
      <c r="C33" s="340"/>
      <c r="D33" s="340"/>
      <c r="E33" s="340"/>
      <c r="F33" s="340"/>
      <c r="G33" s="340"/>
      <c r="H33" s="340"/>
      <c r="I33" s="340"/>
      <c r="J33" s="340"/>
      <c r="K33" s="340"/>
      <c r="L33" s="340"/>
      <c r="M33" s="340"/>
      <c r="N33" s="340"/>
      <c r="O33" s="340"/>
      <c r="P33" s="340"/>
      <c r="Q33" s="340"/>
      <c r="R33" s="340"/>
      <c r="S33" s="340"/>
      <c r="T33" s="340"/>
      <c r="U33" s="340"/>
      <c r="V33" s="340"/>
    </row>
    <row r="34" spans="1:22">
      <c r="A34" s="340"/>
      <c r="B34" s="340"/>
      <c r="C34" s="340"/>
      <c r="D34" s="340"/>
      <c r="E34" s="340"/>
      <c r="F34" s="340"/>
      <c r="G34" s="340"/>
      <c r="H34" s="340"/>
      <c r="I34" s="340"/>
      <c r="J34" s="340"/>
      <c r="K34" s="340"/>
      <c r="L34" s="340"/>
      <c r="M34" s="340"/>
      <c r="N34" s="340"/>
      <c r="O34" s="340"/>
      <c r="P34" s="340"/>
      <c r="Q34" s="340"/>
      <c r="R34" s="340"/>
      <c r="S34" s="340"/>
      <c r="T34" s="340"/>
      <c r="U34" s="340"/>
      <c r="V34" s="340"/>
    </row>
    <row r="35" spans="1:22">
      <c r="A35" s="340"/>
      <c r="B35" s="340"/>
      <c r="C35" s="340"/>
      <c r="D35" s="340"/>
      <c r="E35" s="340"/>
      <c r="F35" s="340"/>
      <c r="G35" s="340"/>
      <c r="H35" s="340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</row>
    <row r="36" spans="1:22">
      <c r="A36" s="340"/>
      <c r="B36" s="340"/>
      <c r="C36" s="340"/>
      <c r="D36" s="340"/>
      <c r="E36" s="340"/>
      <c r="F36" s="340"/>
      <c r="G36" s="340"/>
      <c r="H36" s="340"/>
      <c r="I36" s="340"/>
      <c r="J36" s="340"/>
      <c r="K36" s="340"/>
      <c r="L36" s="340"/>
      <c r="M36" s="340"/>
      <c r="N36" s="340"/>
      <c r="O36" s="340"/>
      <c r="P36" s="340"/>
      <c r="Q36" s="340"/>
      <c r="R36" s="340"/>
      <c r="S36" s="340"/>
      <c r="T36" s="340"/>
      <c r="U36" s="340"/>
      <c r="V36" s="340"/>
    </row>
    <row r="37" spans="1:22">
      <c r="A37" s="340"/>
      <c r="B37" s="340"/>
      <c r="C37" s="340"/>
      <c r="D37" s="340"/>
      <c r="E37" s="340"/>
      <c r="F37" s="340"/>
      <c r="G37" s="340"/>
      <c r="H37" s="340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</row>
  </sheetData>
  <mergeCells count="26">
    <mergeCell ref="Q17:Q18"/>
    <mergeCell ref="R17:R18"/>
    <mergeCell ref="S17:S18"/>
    <mergeCell ref="G17:G18"/>
    <mergeCell ref="T17:T18"/>
    <mergeCell ref="L17:L18"/>
    <mergeCell ref="M17:M18"/>
    <mergeCell ref="N17:N18"/>
    <mergeCell ref="O17:O18"/>
    <mergeCell ref="P17:P18"/>
    <mergeCell ref="E5:E6"/>
    <mergeCell ref="F5:F6"/>
    <mergeCell ref="G5:S5"/>
    <mergeCell ref="T5:T6"/>
    <mergeCell ref="B27:C27"/>
    <mergeCell ref="D17:D18"/>
    <mergeCell ref="B14:B20"/>
    <mergeCell ref="B21:B26"/>
    <mergeCell ref="B5:C6"/>
    <mergeCell ref="B7:B9"/>
    <mergeCell ref="B10:B13"/>
    <mergeCell ref="D5:D6"/>
    <mergeCell ref="H17:H18"/>
    <mergeCell ref="I17:I18"/>
    <mergeCell ref="J17:J18"/>
    <mergeCell ref="K17:K18"/>
  </mergeCells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L69"/>
  <sheetViews>
    <sheetView showGridLines="0" zoomScale="150" zoomScaleNormal="150" workbookViewId="0">
      <selection activeCell="G41" sqref="G41"/>
    </sheetView>
  </sheetViews>
  <sheetFormatPr baseColWidth="10" defaultColWidth="8.83203125" defaultRowHeight="17"/>
  <cols>
    <col min="1" max="1" width="1.6640625" customWidth="1"/>
    <col min="2" max="2" width="2.33203125" customWidth="1"/>
    <col min="4" max="4" width="54.6640625" customWidth="1"/>
    <col min="5" max="5" width="12" bestFit="1" customWidth="1"/>
    <col min="6" max="6" width="11.83203125" bestFit="1" customWidth="1"/>
    <col min="7" max="7" width="10.83203125" style="298" bestFit="1" customWidth="1"/>
    <col min="9" max="9" width="11.83203125" bestFit="1" customWidth="1"/>
    <col min="10" max="10" width="13.33203125" bestFit="1" customWidth="1"/>
  </cols>
  <sheetData>
    <row r="2" spans="1:10" s="3" customFormat="1" ht="14">
      <c r="A2" s="3" t="s">
        <v>93</v>
      </c>
      <c r="G2" s="294"/>
    </row>
    <row r="3" spans="1:10" s="1" customFormat="1" ht="13">
      <c r="G3" s="295"/>
    </row>
    <row r="4" spans="1:10" s="1" customFormat="1" ht="18" customHeight="1">
      <c r="B4" s="299" t="s">
        <v>27</v>
      </c>
      <c r="C4" s="300"/>
      <c r="D4" s="306" t="s">
        <v>91</v>
      </c>
      <c r="E4" s="320"/>
      <c r="G4" s="295"/>
    </row>
    <row r="5" spans="1:10" s="1" customFormat="1" ht="18" customHeight="1">
      <c r="B5" s="299"/>
      <c r="C5" s="300"/>
      <c r="D5" s="307"/>
      <c r="E5" s="321"/>
      <c r="G5" s="295"/>
    </row>
    <row r="6" spans="1:10" s="1" customFormat="1" ht="18" customHeight="1">
      <c r="B6" s="4" t="s">
        <v>12</v>
      </c>
      <c r="C6" s="31"/>
      <c r="D6" s="13" t="s">
        <v>292</v>
      </c>
      <c r="E6" s="157">
        <f>'#)참고자료'!P21</f>
        <v>784670.76488224394</v>
      </c>
      <c r="G6" s="296"/>
    </row>
    <row r="7" spans="1:10" s="1" customFormat="1" ht="18" customHeight="1">
      <c r="B7" s="5" t="s">
        <v>13</v>
      </c>
      <c r="D7" s="14" t="s">
        <v>195</v>
      </c>
      <c r="E7" s="155"/>
      <c r="G7" s="296"/>
    </row>
    <row r="8" spans="1:10" s="1" customFormat="1" ht="18" customHeight="1">
      <c r="B8" s="5" t="s">
        <v>14</v>
      </c>
      <c r="D8" s="14" t="s">
        <v>193</v>
      </c>
      <c r="E8" s="157">
        <f>'#)참고자료'!P21/12</f>
        <v>65389.230406853661</v>
      </c>
      <c r="G8" s="296"/>
    </row>
    <row r="9" spans="1:10" s="1" customFormat="1" ht="18" customHeight="1">
      <c r="B9" s="5" t="s">
        <v>15</v>
      </c>
      <c r="D9" s="14" t="s">
        <v>202</v>
      </c>
      <c r="E9" s="155"/>
      <c r="G9" s="295"/>
    </row>
    <row r="10" spans="1:10" s="1" customFormat="1" ht="18" customHeight="1">
      <c r="B10" s="19" t="s">
        <v>42</v>
      </c>
      <c r="C10" s="35"/>
      <c r="D10" s="21" t="s">
        <v>218</v>
      </c>
      <c r="E10" s="157">
        <f>'#)참고자료'!P21*10%</f>
        <v>78467.076488224397</v>
      </c>
      <c r="G10" s="295"/>
    </row>
    <row r="11" spans="1:10" s="1" customFormat="1" ht="18" customHeight="1">
      <c r="B11" s="16" t="s">
        <v>16</v>
      </c>
      <c r="C11" s="36"/>
      <c r="D11" s="18"/>
      <c r="E11" s="164">
        <f>E6+E7+E8+E9+E10</f>
        <v>928527.07177732198</v>
      </c>
      <c r="G11" s="295"/>
    </row>
    <row r="12" spans="1:10" s="1" customFormat="1" ht="18" customHeight="1">
      <c r="B12" s="26" t="s">
        <v>17</v>
      </c>
      <c r="C12" s="37"/>
      <c r="D12" s="12" t="s">
        <v>195</v>
      </c>
      <c r="E12" s="165"/>
      <c r="G12" s="295"/>
    </row>
    <row r="13" spans="1:10" s="1" customFormat="1" ht="18" customHeight="1">
      <c r="B13" s="19" t="s">
        <v>20</v>
      </c>
      <c r="C13" s="35"/>
      <c r="D13" s="13" t="s">
        <v>321</v>
      </c>
      <c r="E13" s="157">
        <f>'#)참고자료'!X6</f>
        <v>651849.37725239969</v>
      </c>
      <c r="G13" s="295"/>
    </row>
    <row r="14" spans="1:10" s="1" customFormat="1" ht="18" customHeight="1">
      <c r="B14" s="19" t="s">
        <v>21</v>
      </c>
      <c r="C14" s="35"/>
      <c r="D14" s="21" t="s">
        <v>195</v>
      </c>
      <c r="E14" s="166">
        <v>0</v>
      </c>
      <c r="G14" s="295"/>
    </row>
    <row r="15" spans="1:10" s="1" customFormat="1" ht="18" customHeight="1">
      <c r="B15" s="19" t="s">
        <v>22</v>
      </c>
      <c r="C15" s="35"/>
      <c r="D15" s="21" t="s">
        <v>207</v>
      </c>
      <c r="E15" s="157">
        <f>매출목표!G27*0.5%</f>
        <v>82415.084685702386</v>
      </c>
      <c r="G15" s="295"/>
      <c r="J15" s="161"/>
    </row>
    <row r="16" spans="1:10" s="1" customFormat="1" ht="18" customHeight="1">
      <c r="B16" s="19" t="s">
        <v>23</v>
      </c>
      <c r="C16" s="35"/>
      <c r="D16" s="21" t="s">
        <v>327</v>
      </c>
      <c r="E16" s="157">
        <f>SUM(Sheet1!W23:W25)*23</f>
        <v>1276728.3899999999</v>
      </c>
      <c r="F16" s="1">
        <f>55510*20</f>
        <v>1110200</v>
      </c>
      <c r="G16" s="295">
        <f>+F16-E16</f>
        <v>-166528.3899999999</v>
      </c>
      <c r="J16" s="161"/>
    </row>
    <row r="17" spans="2:12" s="1" customFormat="1" ht="18" customHeight="1">
      <c r="B17" s="22" t="s">
        <v>24</v>
      </c>
      <c r="C17" s="38"/>
      <c r="D17" s="24"/>
      <c r="E17" s="167">
        <f>E13+E14+E15+E16</f>
        <v>2010992.8519381019</v>
      </c>
      <c r="G17" s="295"/>
      <c r="J17" s="163"/>
    </row>
    <row r="18" spans="2:12" s="1" customFormat="1" ht="18" customHeight="1">
      <c r="B18" s="19" t="s">
        <v>43</v>
      </c>
      <c r="C18" s="35"/>
      <c r="D18" s="21" t="s">
        <v>301</v>
      </c>
      <c r="E18" s="157">
        <f>'#)참고자료'!O21*7000*2*260.7/1000</f>
        <v>58396.800000000003</v>
      </c>
      <c r="G18" s="295"/>
    </row>
    <row r="19" spans="2:12" s="1" customFormat="1" ht="18" customHeight="1">
      <c r="B19" s="19" t="s">
        <v>44</v>
      </c>
      <c r="C19" s="35"/>
      <c r="D19" s="21" t="s">
        <v>328</v>
      </c>
      <c r="E19" s="157">
        <f>100*12</f>
        <v>1200</v>
      </c>
      <c r="G19" s="295"/>
      <c r="K19" s="158"/>
    </row>
    <row r="20" spans="2:12" s="1" customFormat="1" ht="18" customHeight="1">
      <c r="B20" s="19" t="s">
        <v>45</v>
      </c>
      <c r="C20" s="35"/>
      <c r="D20" s="21" t="s">
        <v>329</v>
      </c>
      <c r="E20" s="157">
        <f>100*12</f>
        <v>1200</v>
      </c>
      <c r="G20" s="295"/>
    </row>
    <row r="21" spans="2:12" s="1" customFormat="1" ht="18" customHeight="1">
      <c r="B21" s="19" t="s">
        <v>46</v>
      </c>
      <c r="C21" s="35"/>
      <c r="D21" s="21" t="s">
        <v>314</v>
      </c>
      <c r="E21" s="157">
        <v>10000</v>
      </c>
      <c r="G21" s="295"/>
    </row>
    <row r="22" spans="2:12" s="1" customFormat="1" ht="18" customHeight="1">
      <c r="B22" s="19" t="s">
        <v>47</v>
      </c>
      <c r="C22" s="35"/>
      <c r="D22" s="21" t="s">
        <v>330</v>
      </c>
      <c r="E22" s="157">
        <v>3000</v>
      </c>
      <c r="G22" s="295"/>
      <c r="I22" s="161"/>
      <c r="J22" s="161"/>
      <c r="K22" s="161"/>
    </row>
    <row r="23" spans="2:12" s="1" customFormat="1" ht="18" customHeight="1">
      <c r="B23" s="19" t="s">
        <v>55</v>
      </c>
      <c r="C23" s="35"/>
      <c r="D23" s="21" t="s">
        <v>219</v>
      </c>
      <c r="E23" s="157">
        <f>'#)참고자료'!P21*10%</f>
        <v>78467.076488224397</v>
      </c>
      <c r="G23" s="295"/>
      <c r="J23" s="162"/>
      <c r="K23" s="161"/>
      <c r="L23" s="160"/>
    </row>
    <row r="24" spans="2:12" s="1" customFormat="1" ht="18" customHeight="1">
      <c r="B24" s="19" t="s">
        <v>54</v>
      </c>
      <c r="C24" s="35"/>
      <c r="D24" s="21" t="s">
        <v>203</v>
      </c>
      <c r="E24" s="157">
        <f>'#)참고자료'!O21*100</f>
        <v>1600</v>
      </c>
      <c r="G24" s="295"/>
    </row>
    <row r="25" spans="2:12" s="1" customFormat="1" ht="18" customHeight="1">
      <c r="B25" s="19" t="s">
        <v>48</v>
      </c>
      <c r="C25" s="35"/>
      <c r="D25" s="21" t="s">
        <v>204</v>
      </c>
      <c r="E25" s="157">
        <v>7560</v>
      </c>
      <c r="G25" s="295"/>
    </row>
    <row r="26" spans="2:12" s="1" customFormat="1" ht="18" customHeight="1">
      <c r="B26" s="19" t="s">
        <v>56</v>
      </c>
      <c r="C26" s="35"/>
      <c r="D26" s="21" t="s">
        <v>331</v>
      </c>
      <c r="E26" s="157">
        <v>3600</v>
      </c>
      <c r="G26" s="295"/>
    </row>
    <row r="27" spans="2:12" s="1" customFormat="1" ht="18" customHeight="1">
      <c r="B27" s="19" t="s">
        <v>57</v>
      </c>
      <c r="C27" s="35"/>
      <c r="D27" s="21" t="s">
        <v>332</v>
      </c>
      <c r="E27" s="293">
        <f>'#)참고자료'!O21*12*200</f>
        <v>38400</v>
      </c>
      <c r="G27" s="295">
        <v>-18000</v>
      </c>
    </row>
    <row r="28" spans="2:12" s="1" customFormat="1" ht="18" customHeight="1">
      <c r="B28" s="22" t="s">
        <v>18</v>
      </c>
      <c r="C28" s="38"/>
      <c r="D28" s="24"/>
      <c r="E28" s="167">
        <f>E18+E19+E20+E21+E22+E23+E24+E25+E26+E27</f>
        <v>203423.8764882244</v>
      </c>
      <c r="G28" s="295"/>
      <c r="H28" s="161"/>
    </row>
    <row r="29" spans="2:12" s="1" customFormat="1" ht="18" customHeight="1">
      <c r="B29" s="19" t="s">
        <v>53</v>
      </c>
      <c r="C29" s="35"/>
      <c r="D29" s="21" t="s">
        <v>208</v>
      </c>
      <c r="E29" s="157">
        <f>매출목표!G27*1.3%*1.3</f>
        <v>278562.98623767408</v>
      </c>
      <c r="G29" s="295"/>
      <c r="H29" s="160"/>
    </row>
    <row r="30" spans="2:12" s="1" customFormat="1" ht="18" customHeight="1">
      <c r="B30" s="19" t="s">
        <v>52</v>
      </c>
      <c r="C30" s="35"/>
      <c r="D30" s="21" t="s">
        <v>323</v>
      </c>
      <c r="E30" s="293">
        <f>매출목표!G27*5.2%</f>
        <v>857116.88073130487</v>
      </c>
      <c r="G30" s="295">
        <v>-100000</v>
      </c>
      <c r="H30" s="285"/>
    </row>
    <row r="31" spans="2:12" s="1" customFormat="1" ht="18" customHeight="1">
      <c r="B31" s="19" t="s">
        <v>51</v>
      </c>
      <c r="C31" s="35"/>
      <c r="D31" s="21" t="s">
        <v>195</v>
      </c>
      <c r="E31" s="157"/>
      <c r="G31" s="295"/>
      <c r="H31" s="285"/>
    </row>
    <row r="32" spans="2:12" s="1" customFormat="1" ht="18" customHeight="1">
      <c r="B32" s="19" t="s">
        <v>50</v>
      </c>
      <c r="C32" s="35"/>
      <c r="D32" s="21" t="s">
        <v>209</v>
      </c>
      <c r="E32" s="157">
        <f>매출목표!G27*0.8%*1.3</f>
        <v>171423.37614626097</v>
      </c>
      <c r="G32" s="295"/>
      <c r="H32" s="159"/>
    </row>
    <row r="33" spans="2:9" s="1" customFormat="1" ht="18" customHeight="1">
      <c r="B33" s="19" t="s">
        <v>58</v>
      </c>
      <c r="C33" s="35"/>
      <c r="D33" s="21" t="s">
        <v>195</v>
      </c>
      <c r="E33" s="157"/>
      <c r="G33" s="295"/>
    </row>
    <row r="34" spans="2:9" s="1" customFormat="1" ht="18" customHeight="1">
      <c r="B34" s="22" t="s">
        <v>19</v>
      </c>
      <c r="C34" s="38"/>
      <c r="D34" s="24"/>
      <c r="E34" s="167">
        <f>E29+E30+E31+E32+E33</f>
        <v>1307103.2431152398</v>
      </c>
      <c r="G34" s="295"/>
    </row>
    <row r="35" spans="2:9" s="1" customFormat="1" ht="18" customHeight="1">
      <c r="B35" s="26" t="s">
        <v>61</v>
      </c>
      <c r="C35" s="37"/>
      <c r="D35" s="12" t="s">
        <v>210</v>
      </c>
      <c r="E35" s="167">
        <f>매출목표!G27*3.4%</f>
        <v>560422.57586277626</v>
      </c>
      <c r="G35" s="295"/>
    </row>
    <row r="36" spans="2:9" s="1" customFormat="1" ht="18" customHeight="1">
      <c r="B36" s="19" t="s">
        <v>67</v>
      </c>
      <c r="C36" s="35"/>
      <c r="D36" s="21" t="s">
        <v>316</v>
      </c>
      <c r="E36" s="157">
        <f>매출목표!G27*1.5%</f>
        <v>247245.25405710714</v>
      </c>
      <c r="G36" s="295"/>
      <c r="I36" s="161"/>
    </row>
    <row r="37" spans="2:9" s="1" customFormat="1" ht="18" customHeight="1">
      <c r="B37" s="19" t="s">
        <v>69</v>
      </c>
      <c r="C37" s="35"/>
      <c r="D37" s="21" t="s">
        <v>212</v>
      </c>
      <c r="E37" s="157">
        <f>매출목표!G27*4.5%</f>
        <v>741735.76217132143</v>
      </c>
      <c r="G37" s="295"/>
      <c r="I37" s="161"/>
    </row>
    <row r="38" spans="2:9" s="1" customFormat="1" ht="25.5" customHeight="1">
      <c r="B38" s="19" t="s">
        <v>68</v>
      </c>
      <c r="C38" s="35"/>
      <c r="D38" s="287" t="s">
        <v>337</v>
      </c>
      <c r="E38" s="157">
        <f>매출목표!G27*10%+SUM(Sheet1!W23:W25)*2.5+1500*12</f>
        <v>1805076.5187140477</v>
      </c>
      <c r="F38" s="148"/>
      <c r="G38" s="295"/>
    </row>
    <row r="39" spans="2:9" s="1" customFormat="1" ht="18" customHeight="1">
      <c r="B39" s="19" t="s">
        <v>70</v>
      </c>
      <c r="C39" s="35"/>
      <c r="D39" s="21" t="s">
        <v>325</v>
      </c>
      <c r="E39" s="157">
        <f>'#)참고자료'!X7</f>
        <v>708138.83130596287</v>
      </c>
      <c r="G39" s="295">
        <v>-20000</v>
      </c>
    </row>
    <row r="40" spans="2:9" s="1" customFormat="1" ht="18" customHeight="1">
      <c r="B40" s="22" t="s">
        <v>26</v>
      </c>
      <c r="C40" s="38"/>
      <c r="D40" s="24"/>
      <c r="E40" s="167">
        <f>E36+E37+E38+E39</f>
        <v>3502196.3662484391</v>
      </c>
      <c r="G40" s="295"/>
      <c r="I40" s="161"/>
    </row>
    <row r="41" spans="2:9" s="1" customFormat="1" ht="18" customHeight="1">
      <c r="B41" s="26" t="s">
        <v>62</v>
      </c>
      <c r="C41" s="37"/>
      <c r="D41" s="12" t="s">
        <v>214</v>
      </c>
      <c r="E41" s="167">
        <f>매출목표!G27*0.05%</f>
        <v>8241.5084685702386</v>
      </c>
      <c r="G41" s="295"/>
    </row>
    <row r="42" spans="2:9" s="1" customFormat="1" ht="18" customHeight="1">
      <c r="B42" s="19" t="s">
        <v>66</v>
      </c>
      <c r="C42" s="35"/>
      <c r="D42" s="21" t="s">
        <v>215</v>
      </c>
      <c r="E42" s="157">
        <f>500*12</f>
        <v>6000</v>
      </c>
      <c r="G42" s="295"/>
    </row>
    <row r="43" spans="2:9" s="1" customFormat="1" ht="18" customHeight="1">
      <c r="B43" s="19" t="s">
        <v>63</v>
      </c>
      <c r="C43" s="35"/>
      <c r="D43" s="21" t="s">
        <v>216</v>
      </c>
      <c r="E43" s="157">
        <f>3000*4</f>
        <v>12000</v>
      </c>
      <c r="G43" s="295"/>
    </row>
    <row r="44" spans="2:9" s="1" customFormat="1" ht="18" customHeight="1">
      <c r="B44" s="19" t="s">
        <v>64</v>
      </c>
      <c r="C44" s="35"/>
      <c r="D44" s="21" t="s">
        <v>195</v>
      </c>
      <c r="E44" s="156"/>
      <c r="G44" s="295"/>
    </row>
    <row r="45" spans="2:9" s="1" customFormat="1" ht="18" customHeight="1">
      <c r="B45" s="19" t="s">
        <v>65</v>
      </c>
      <c r="C45" s="35"/>
      <c r="D45" s="21" t="s">
        <v>195</v>
      </c>
      <c r="E45" s="156"/>
      <c r="G45" s="295"/>
    </row>
    <row r="46" spans="2:9" s="1" customFormat="1" ht="18" customHeight="1">
      <c r="B46" s="22" t="s">
        <v>25</v>
      </c>
      <c r="C46" s="38"/>
      <c r="D46" s="24"/>
      <c r="E46" s="167">
        <f>E42+E43+E44+E45</f>
        <v>18000</v>
      </c>
      <c r="G46" s="295"/>
    </row>
    <row r="47" spans="2:9" s="1" customFormat="1" ht="18" customHeight="1">
      <c r="B47" s="19" t="s">
        <v>74</v>
      </c>
      <c r="C47" s="35"/>
      <c r="D47" s="21" t="s">
        <v>294</v>
      </c>
      <c r="E47" s="225"/>
      <c r="G47" s="295"/>
    </row>
    <row r="48" spans="2:9" s="1" customFormat="1" ht="18" customHeight="1">
      <c r="B48" s="19" t="s">
        <v>75</v>
      </c>
      <c r="C48" s="35"/>
      <c r="D48" s="21" t="s">
        <v>293</v>
      </c>
      <c r="E48" s="157"/>
      <c r="G48" s="295"/>
    </row>
    <row r="49" spans="2:9" s="1" customFormat="1" ht="18" customHeight="1">
      <c r="B49" s="19" t="s">
        <v>76</v>
      </c>
      <c r="C49" s="35"/>
      <c r="D49" s="21" t="s">
        <v>257</v>
      </c>
      <c r="E49" s="157">
        <v>500</v>
      </c>
      <c r="G49" s="295"/>
    </row>
    <row r="50" spans="2:9" s="1" customFormat="1" ht="18" customHeight="1">
      <c r="B50" s="19" t="s">
        <v>77</v>
      </c>
      <c r="C50" s="35"/>
      <c r="D50" s="21" t="s">
        <v>258</v>
      </c>
      <c r="E50" s="157">
        <v>250</v>
      </c>
      <c r="G50" s="295"/>
    </row>
    <row r="51" spans="2:9" s="1" customFormat="1" ht="18" customHeight="1">
      <c r="B51" s="19" t="s">
        <v>78</v>
      </c>
      <c r="C51" s="35"/>
      <c r="D51" s="21" t="s">
        <v>217</v>
      </c>
      <c r="E51" s="157">
        <f>'#)참고자료'!P21*0.5%</f>
        <v>3923.3538244112196</v>
      </c>
      <c r="G51" s="295"/>
    </row>
    <row r="52" spans="2:9" s="1" customFormat="1" ht="18" customHeight="1">
      <c r="B52" s="19" t="s">
        <v>79</v>
      </c>
      <c r="C52" s="35"/>
      <c r="D52" s="21" t="s">
        <v>259</v>
      </c>
      <c r="E52" s="157">
        <v>300</v>
      </c>
      <c r="G52" s="295"/>
      <c r="I52" s="161"/>
    </row>
    <row r="53" spans="2:9" s="1" customFormat="1" ht="18" customHeight="1">
      <c r="B53" s="19" t="s">
        <v>80</v>
      </c>
      <c r="C53" s="35"/>
      <c r="D53" s="21" t="s">
        <v>261</v>
      </c>
      <c r="E53" s="157">
        <v>0</v>
      </c>
      <c r="G53" s="295"/>
      <c r="I53" s="161"/>
    </row>
    <row r="54" spans="2:9" s="1" customFormat="1" ht="18" customHeight="1">
      <c r="B54" s="19" t="s">
        <v>81</v>
      </c>
      <c r="C54" s="35"/>
      <c r="D54" s="21" t="s">
        <v>260</v>
      </c>
      <c r="E54" s="157"/>
      <c r="G54" s="295"/>
    </row>
    <row r="55" spans="2:9" s="1" customFormat="1" ht="18" customHeight="1">
      <c r="B55" s="22" t="s">
        <v>82</v>
      </c>
      <c r="C55" s="38"/>
      <c r="D55" s="24"/>
      <c r="E55" s="167">
        <f>E47+E48+E49+E50+E51+E52+E53+E54</f>
        <v>4973.3538244112196</v>
      </c>
      <c r="G55" s="295"/>
    </row>
    <row r="56" spans="2:9" s="1" customFormat="1" ht="18" customHeight="1">
      <c r="B56" s="19" t="s">
        <v>72</v>
      </c>
      <c r="C56" s="35"/>
      <c r="D56" s="21" t="s">
        <v>319</v>
      </c>
      <c r="E56" s="157">
        <f>3000*12</f>
        <v>36000</v>
      </c>
      <c r="G56" s="295"/>
    </row>
    <row r="57" spans="2:9" s="1" customFormat="1" ht="18" customHeight="1">
      <c r="B57" s="19" t="s">
        <v>71</v>
      </c>
      <c r="C57" s="35"/>
      <c r="D57" s="21"/>
      <c r="E57" s="156"/>
      <c r="G57" s="295"/>
    </row>
    <row r="58" spans="2:9" s="1" customFormat="1" ht="18" customHeight="1">
      <c r="B58" s="22" t="s">
        <v>73</v>
      </c>
      <c r="C58" s="38"/>
      <c r="D58" s="24"/>
      <c r="E58" s="167">
        <f>E56+E57</f>
        <v>36000</v>
      </c>
      <c r="G58" s="295"/>
    </row>
    <row r="59" spans="2:9" s="1" customFormat="1" ht="18" customHeight="1">
      <c r="B59" s="19" t="s">
        <v>83</v>
      </c>
      <c r="C59" s="35"/>
      <c r="D59" s="21" t="s">
        <v>220</v>
      </c>
      <c r="E59" s="157">
        <f>매출목표!G27*0.3%</f>
        <v>49449.050811421432</v>
      </c>
      <c r="G59" s="297"/>
    </row>
    <row r="60" spans="2:9" s="1" customFormat="1" ht="18" customHeight="1">
      <c r="B60" s="19" t="s">
        <v>59</v>
      </c>
      <c r="C60" s="35"/>
      <c r="D60" s="21" t="s">
        <v>220</v>
      </c>
      <c r="E60" s="157">
        <f>매출목표!G27*0.3%</f>
        <v>49449.050811421432</v>
      </c>
      <c r="G60" s="297"/>
    </row>
    <row r="61" spans="2:9" s="1" customFormat="1" ht="18" customHeight="1">
      <c r="B61" s="19" t="s">
        <v>84</v>
      </c>
      <c r="C61" s="35"/>
      <c r="D61" s="21" t="s">
        <v>221</v>
      </c>
      <c r="E61" s="157">
        <f>매출목표!G27*0.1%</f>
        <v>16483.016937140477</v>
      </c>
      <c r="G61" s="297"/>
    </row>
    <row r="62" spans="2:9" s="1" customFormat="1" ht="18" customHeight="1">
      <c r="B62" s="19" t="s">
        <v>60</v>
      </c>
      <c r="C62" s="35"/>
      <c r="D62" s="21" t="s">
        <v>225</v>
      </c>
      <c r="E62" s="157">
        <f>300</f>
        <v>300</v>
      </c>
      <c r="G62" s="297"/>
    </row>
    <row r="63" spans="2:9" s="1" customFormat="1" ht="18" customHeight="1">
      <c r="B63" s="19" t="s">
        <v>85</v>
      </c>
      <c r="C63" s="35"/>
      <c r="D63" s="21" t="s">
        <v>226</v>
      </c>
      <c r="E63" s="157">
        <f>300*12</f>
        <v>3600</v>
      </c>
      <c r="G63" s="297"/>
    </row>
    <row r="64" spans="2:9" s="1" customFormat="1" ht="18" customHeight="1">
      <c r="B64" s="19" t="s">
        <v>86</v>
      </c>
      <c r="C64" s="35"/>
      <c r="D64" s="21" t="s">
        <v>222</v>
      </c>
      <c r="E64" s="157">
        <f>매출목표!G27*0.4%</f>
        <v>65932.067748561909</v>
      </c>
      <c r="G64" s="297"/>
    </row>
    <row r="65" spans="2:7" s="1" customFormat="1" ht="18" customHeight="1">
      <c r="B65" s="19" t="s">
        <v>87</v>
      </c>
      <c r="C65" s="35"/>
      <c r="D65" s="21" t="s">
        <v>227</v>
      </c>
      <c r="E65" s="157">
        <f>400*12</f>
        <v>4800</v>
      </c>
      <c r="G65" s="297"/>
    </row>
    <row r="66" spans="2:7" s="1" customFormat="1" ht="18" customHeight="1">
      <c r="B66" s="19" t="s">
        <v>88</v>
      </c>
      <c r="C66" s="35"/>
      <c r="D66" s="21" t="s">
        <v>302</v>
      </c>
      <c r="E66" s="157">
        <f>200*12</f>
        <v>2400</v>
      </c>
      <c r="G66" s="297"/>
    </row>
    <row r="67" spans="2:7" s="1" customFormat="1" ht="18" customHeight="1">
      <c r="B67" s="19" t="s">
        <v>49</v>
      </c>
      <c r="C67" s="35"/>
      <c r="D67" s="21" t="s">
        <v>195</v>
      </c>
      <c r="E67" s="156"/>
      <c r="G67" s="297"/>
    </row>
    <row r="68" spans="2:7" s="1" customFormat="1" ht="18" customHeight="1">
      <c r="B68" s="22" t="s">
        <v>89</v>
      </c>
      <c r="C68" s="38"/>
      <c r="D68" s="24"/>
      <c r="E68" s="167">
        <f>E59+E60+E61+E62+E63+E64+E65+E66+E67</f>
        <v>192413.18630854524</v>
      </c>
      <c r="G68" s="295"/>
    </row>
    <row r="69" spans="2:7" s="1" customFormat="1" ht="18" customHeight="1">
      <c r="B69" s="28" t="s">
        <v>90</v>
      </c>
      <c r="C69" s="39"/>
      <c r="D69" s="29"/>
      <c r="E69" s="168">
        <f>E11+E12+E17+E28+E34+E35+E40+E41+E46+E55+E58+E68</f>
        <v>8772294.0340316296</v>
      </c>
      <c r="G69" s="295"/>
    </row>
  </sheetData>
  <mergeCells count="3">
    <mergeCell ref="D4:D5"/>
    <mergeCell ref="E4:E5"/>
    <mergeCell ref="B4:C5"/>
  </mergeCells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AA38"/>
  <sheetViews>
    <sheetView showGridLines="0" workbookViewId="0">
      <selection activeCell="G15" sqref="G15"/>
    </sheetView>
  </sheetViews>
  <sheetFormatPr baseColWidth="10" defaultColWidth="9" defaultRowHeight="13"/>
  <cols>
    <col min="1" max="1" width="1.6640625" style="1" customWidth="1"/>
    <col min="2" max="3" width="7.33203125" style="1" customWidth="1"/>
    <col min="4" max="8" width="9" style="1"/>
    <col min="9" max="9" width="1.6640625" style="1" customWidth="1"/>
    <col min="10" max="11" width="7.33203125" style="1" customWidth="1"/>
    <col min="12" max="16" width="9" style="1"/>
    <col min="17" max="17" width="1.6640625" style="1" customWidth="1"/>
    <col min="18" max="19" width="7.33203125" style="1" customWidth="1"/>
    <col min="20" max="23" width="9" style="1"/>
    <col min="24" max="24" width="11.5" style="1" bestFit="1" customWidth="1"/>
    <col min="25" max="16384" width="9" style="1"/>
  </cols>
  <sheetData>
    <row r="3" spans="1:27" s="3" customFormat="1" ht="14">
      <c r="A3" s="3" t="s">
        <v>159</v>
      </c>
      <c r="I3" s="3" t="s">
        <v>160</v>
      </c>
      <c r="Q3" s="3" t="s">
        <v>161</v>
      </c>
    </row>
    <row r="5" spans="1:27" ht="18" customHeight="1">
      <c r="B5" s="299" t="s">
        <v>27</v>
      </c>
      <c r="C5" s="300"/>
      <c r="D5" s="300"/>
      <c r="E5" s="66" t="s">
        <v>27</v>
      </c>
      <c r="F5" s="66" t="s">
        <v>118</v>
      </c>
      <c r="G5" s="8" t="s">
        <v>116</v>
      </c>
      <c r="H5" s="8" t="s">
        <v>117</v>
      </c>
      <c r="J5" s="299" t="s">
        <v>27</v>
      </c>
      <c r="K5" s="300"/>
      <c r="L5" s="300"/>
      <c r="M5" s="66" t="s">
        <v>27</v>
      </c>
      <c r="N5" s="66" t="s">
        <v>118</v>
      </c>
      <c r="O5" s="8" t="s">
        <v>116</v>
      </c>
      <c r="P5" s="8" t="s">
        <v>117</v>
      </c>
      <c r="R5" s="299" t="s">
        <v>27</v>
      </c>
      <c r="S5" s="300"/>
      <c r="T5" s="300"/>
      <c r="U5" s="66" t="s">
        <v>27</v>
      </c>
      <c r="V5" s="66" t="s">
        <v>118</v>
      </c>
      <c r="W5" s="8" t="s">
        <v>116</v>
      </c>
      <c r="X5" s="8" t="s">
        <v>117</v>
      </c>
    </row>
    <row r="6" spans="1:27" ht="18" customHeight="1">
      <c r="B6" s="318" t="s">
        <v>103</v>
      </c>
      <c r="C6" s="322" t="s">
        <v>101</v>
      </c>
      <c r="D6" s="67" t="s">
        <v>115</v>
      </c>
      <c r="E6" s="68" t="s">
        <v>101</v>
      </c>
      <c r="F6" s="68" t="s">
        <v>106</v>
      </c>
      <c r="G6" s="69">
        <f>O6</f>
        <v>1</v>
      </c>
      <c r="H6" s="70">
        <f t="shared" ref="H6:H11" si="0">P6</f>
        <v>102289.84242032682</v>
      </c>
      <c r="J6" s="318" t="s">
        <v>103</v>
      </c>
      <c r="K6" s="322" t="s">
        <v>101</v>
      </c>
      <c r="L6" s="67" t="s">
        <v>115</v>
      </c>
      <c r="M6" s="68" t="s">
        <v>101</v>
      </c>
      <c r="N6" s="68" t="s">
        <v>106</v>
      </c>
      <c r="O6" s="69">
        <f>'[62]2-1.HR관련비용'!$M$74</f>
        <v>1</v>
      </c>
      <c r="P6" s="70">
        <f>('[62]2-1.HR관련비용'!M89)*(1+'[62]2-1.HR관련비용'!$C$248)^(2026-2022)</f>
        <v>102289.84242032682</v>
      </c>
      <c r="R6" s="325" t="s">
        <v>104</v>
      </c>
      <c r="S6" s="85" t="s">
        <v>29</v>
      </c>
      <c r="T6" s="86" t="s">
        <v>131</v>
      </c>
      <c r="U6" s="87" t="s">
        <v>29</v>
      </c>
      <c r="V6" s="87" t="s">
        <v>125</v>
      </c>
      <c r="W6" s="88">
        <v>17</v>
      </c>
      <c r="X6" s="89">
        <f>(('[62]2-1.HR관련비용'!M196-'[62]2-1.HR관련비용'!L196))*(1+'[62]2-1.HR관련비용'!$C$248)^(2026-2022)</f>
        <v>651849.37725239969</v>
      </c>
      <c r="Y6" s="1" t="s">
        <v>320</v>
      </c>
      <c r="AA6" s="163"/>
    </row>
    <row r="7" spans="1:27" ht="18" customHeight="1">
      <c r="B7" s="319"/>
      <c r="C7" s="323"/>
      <c r="D7" s="254" t="s">
        <v>119</v>
      </c>
      <c r="E7" s="255" t="s">
        <v>100</v>
      </c>
      <c r="F7" s="255" t="s">
        <v>105</v>
      </c>
      <c r="G7" s="256">
        <f t="shared" ref="G7:G11" si="1">O7</f>
        <v>0</v>
      </c>
      <c r="H7" s="257">
        <f t="shared" si="0"/>
        <v>0</v>
      </c>
      <c r="J7" s="319"/>
      <c r="K7" s="323"/>
      <c r="L7" s="254" t="s">
        <v>119</v>
      </c>
      <c r="M7" s="255" t="s">
        <v>100</v>
      </c>
      <c r="N7" s="255" t="s">
        <v>105</v>
      </c>
      <c r="O7" s="256"/>
      <c r="P7" s="257"/>
      <c r="R7" s="326"/>
      <c r="S7" s="85" t="s">
        <v>114</v>
      </c>
      <c r="T7" s="86" t="s">
        <v>132</v>
      </c>
      <c r="U7" s="87" t="s">
        <v>101</v>
      </c>
      <c r="V7" s="87" t="s">
        <v>106</v>
      </c>
      <c r="W7" s="88">
        <f>'[62]2-1.HR관련비용'!$M$173</f>
        <v>22</v>
      </c>
      <c r="X7" s="89">
        <f>('[62]2-1.HR관련비용'!M208)*(1+'[62]2-1.HR관련비용'!$C$248)^(2026-2022)*80%</f>
        <v>708138.83130596287</v>
      </c>
      <c r="AA7" s="284"/>
    </row>
    <row r="8" spans="1:27" ht="18" customHeight="1">
      <c r="B8" s="319"/>
      <c r="C8" s="323"/>
      <c r="D8" s="20" t="s">
        <v>120</v>
      </c>
      <c r="E8" s="71" t="s">
        <v>100</v>
      </c>
      <c r="F8" s="71" t="s">
        <v>105</v>
      </c>
      <c r="G8" s="72">
        <f t="shared" si="1"/>
        <v>1</v>
      </c>
      <c r="H8" s="73">
        <f t="shared" si="0"/>
        <v>57874.516106237548</v>
      </c>
      <c r="J8" s="319"/>
      <c r="K8" s="323"/>
      <c r="L8" s="20" t="s">
        <v>120</v>
      </c>
      <c r="M8" s="71" t="s">
        <v>100</v>
      </c>
      <c r="N8" s="71" t="s">
        <v>105</v>
      </c>
      <c r="O8" s="72">
        <f>'[62]2-1.HR관련비용'!$M$76</f>
        <v>1</v>
      </c>
      <c r="P8" s="73">
        <f>('[62]2-1.HR관련비용'!M91)*(1+'[62]2-1.HR관련비용'!$C$248)^(2026-2022)</f>
        <v>57874.516106237548</v>
      </c>
      <c r="R8" s="26" t="s">
        <v>133</v>
      </c>
      <c r="S8" s="37"/>
      <c r="T8" s="27"/>
      <c r="U8" s="115"/>
      <c r="V8" s="115"/>
      <c r="W8" s="116">
        <f>SUM(W6:W7)</f>
        <v>39</v>
      </c>
      <c r="X8" s="47">
        <f>SUM(X6:X7)</f>
        <v>1359988.2085583624</v>
      </c>
    </row>
    <row r="9" spans="1:27" ht="18" customHeight="1">
      <c r="B9" s="319"/>
      <c r="C9" s="323"/>
      <c r="D9" s="20" t="s">
        <v>121</v>
      </c>
      <c r="E9" s="71" t="s">
        <v>100</v>
      </c>
      <c r="F9" s="71" t="s">
        <v>105</v>
      </c>
      <c r="G9" s="72">
        <f t="shared" si="1"/>
        <v>1</v>
      </c>
      <c r="H9" s="73">
        <f t="shared" si="0"/>
        <v>57874.516106237548</v>
      </c>
      <c r="J9" s="319"/>
      <c r="K9" s="323"/>
      <c r="L9" s="20" t="s">
        <v>121</v>
      </c>
      <c r="M9" s="71" t="s">
        <v>100</v>
      </c>
      <c r="N9" s="71" t="s">
        <v>105</v>
      </c>
      <c r="O9" s="72">
        <f>'[62]2-1.HR관련비용'!$M$77</f>
        <v>1</v>
      </c>
      <c r="P9" s="73">
        <f>('[62]2-1.HR관련비용'!M92)*(1+'[62]2-1.HR관련비용'!$C$248)^(2026-2022)</f>
        <v>57874.516106237548</v>
      </c>
    </row>
    <row r="10" spans="1:27" ht="18" customHeight="1">
      <c r="B10" s="319"/>
      <c r="C10" s="323"/>
      <c r="D10" s="20" t="s">
        <v>122</v>
      </c>
      <c r="E10" s="71" t="s">
        <v>100</v>
      </c>
      <c r="F10" s="71" t="s">
        <v>105</v>
      </c>
      <c r="G10" s="72">
        <f t="shared" si="1"/>
        <v>1</v>
      </c>
      <c r="H10" s="73">
        <f t="shared" si="0"/>
        <v>45761.245293304113</v>
      </c>
      <c r="J10" s="319"/>
      <c r="K10" s="323"/>
      <c r="L10" s="20" t="s">
        <v>122</v>
      </c>
      <c r="M10" s="71" t="s">
        <v>100</v>
      </c>
      <c r="N10" s="71" t="s">
        <v>105</v>
      </c>
      <c r="O10" s="72">
        <f>'[62]2-1.HR관련비용'!$M$78</f>
        <v>1</v>
      </c>
      <c r="P10" s="73">
        <f>('[62]2-1.HR관련비용'!M93)*(1+'[62]2-1.HR관련비용'!$C$248)^(2026-2022)</f>
        <v>45761.245293304113</v>
      </c>
    </row>
    <row r="11" spans="1:27" ht="18" customHeight="1">
      <c r="B11" s="319"/>
      <c r="C11" s="323"/>
      <c r="D11" s="20" t="s">
        <v>123</v>
      </c>
      <c r="E11" s="71" t="s">
        <v>100</v>
      </c>
      <c r="F11" s="71" t="s">
        <v>105</v>
      </c>
      <c r="G11" s="72">
        <f t="shared" si="1"/>
        <v>1</v>
      </c>
      <c r="H11" s="73">
        <f t="shared" si="0"/>
        <v>45761.245293304113</v>
      </c>
      <c r="J11" s="319"/>
      <c r="K11" s="323"/>
      <c r="L11" s="20" t="s">
        <v>123</v>
      </c>
      <c r="M11" s="71" t="s">
        <v>100</v>
      </c>
      <c r="N11" s="71" t="s">
        <v>105</v>
      </c>
      <c r="O11" s="72">
        <f>'[62]2-1.HR관련비용'!$M$80</f>
        <v>1</v>
      </c>
      <c r="P11" s="73">
        <f>('[62]2-1.HR관련비용'!M95)*(1+'[62]2-1.HR관련비용'!$C$248)^(2026-2022)</f>
        <v>45761.245293304113</v>
      </c>
    </row>
    <row r="12" spans="1:27" ht="18" customHeight="1">
      <c r="B12" s="319"/>
      <c r="C12" s="324"/>
      <c r="D12" s="75" t="s">
        <v>129</v>
      </c>
      <c r="E12" s="76"/>
      <c r="F12" s="76"/>
      <c r="G12" s="77">
        <f>SUM(G6:G11)</f>
        <v>5</v>
      </c>
      <c r="H12" s="56">
        <f>SUM(H6:H11)</f>
        <v>309561.3652194101</v>
      </c>
      <c r="J12" s="319"/>
      <c r="K12" s="324"/>
      <c r="L12" s="75" t="s">
        <v>129</v>
      </c>
      <c r="M12" s="76"/>
      <c r="N12" s="76"/>
      <c r="O12" s="77">
        <f>SUM(O6:O11)</f>
        <v>5</v>
      </c>
      <c r="P12" s="56">
        <f>SUM(P6:P11)</f>
        <v>309561.3652194101</v>
      </c>
    </row>
    <row r="13" spans="1:27" ht="18" customHeight="1">
      <c r="B13" s="319"/>
      <c r="C13" s="322" t="s">
        <v>102</v>
      </c>
      <c r="D13" s="67" t="s">
        <v>119</v>
      </c>
      <c r="E13" s="68" t="s">
        <v>102</v>
      </c>
      <c r="F13" s="68" t="s">
        <v>126</v>
      </c>
      <c r="G13" s="69">
        <f t="shared" ref="G13:G19" si="2">O13</f>
        <v>1</v>
      </c>
      <c r="H13" s="70">
        <f t="shared" ref="H13:H19" si="3">P13</f>
        <v>69987.786919170991</v>
      </c>
      <c r="J13" s="319"/>
      <c r="K13" s="322" t="s">
        <v>102</v>
      </c>
      <c r="L13" s="67" t="s">
        <v>119</v>
      </c>
      <c r="M13" s="68" t="s">
        <v>102</v>
      </c>
      <c r="N13" s="68" t="s">
        <v>126</v>
      </c>
      <c r="O13" s="69">
        <f>'[62]2-1.HR관련비용'!$M$106</f>
        <v>1</v>
      </c>
      <c r="P13" s="70">
        <f>('[62]2-1.HR관련비용'!M134)*(1+'[62]2-1.HR관련비용'!$C$248)^(2026-2022)</f>
        <v>69987.786919170991</v>
      </c>
    </row>
    <row r="14" spans="1:27" ht="18" customHeight="1">
      <c r="B14" s="319"/>
      <c r="C14" s="323"/>
      <c r="D14" s="20" t="s">
        <v>107</v>
      </c>
      <c r="E14" s="71" t="s">
        <v>29</v>
      </c>
      <c r="F14" s="71" t="s">
        <v>125</v>
      </c>
      <c r="G14" s="72">
        <f t="shared" si="2"/>
        <v>8</v>
      </c>
      <c r="H14" s="73">
        <f t="shared" si="3"/>
        <v>313599.12215705466</v>
      </c>
      <c r="J14" s="319"/>
      <c r="K14" s="323"/>
      <c r="L14" s="20" t="s">
        <v>107</v>
      </c>
      <c r="M14" s="71" t="s">
        <v>29</v>
      </c>
      <c r="N14" s="71" t="s">
        <v>125</v>
      </c>
      <c r="O14" s="72">
        <f>'[62]2-1.HR관련비용'!$M$107</f>
        <v>8</v>
      </c>
      <c r="P14" s="73">
        <f>('[62]2-1.HR관련비용'!M135)*(1+'[62]2-1.HR관련비용'!$C$248)^(2026-2022)</f>
        <v>313599.12215705466</v>
      </c>
      <c r="X14" s="284"/>
    </row>
    <row r="15" spans="1:27" ht="18" customHeight="1">
      <c r="B15" s="319"/>
      <c r="C15" s="323"/>
      <c r="D15" s="254" t="s">
        <v>291</v>
      </c>
      <c r="E15" s="255" t="s">
        <v>101</v>
      </c>
      <c r="F15" s="255" t="s">
        <v>105</v>
      </c>
      <c r="G15" s="256">
        <f t="shared" si="2"/>
        <v>1</v>
      </c>
      <c r="H15" s="257">
        <f t="shared" si="3"/>
        <v>40377.569376444808</v>
      </c>
      <c r="J15" s="319"/>
      <c r="K15" s="323"/>
      <c r="L15" s="258" t="s">
        <v>291</v>
      </c>
      <c r="M15" s="259" t="s">
        <v>101</v>
      </c>
      <c r="N15" s="259" t="s">
        <v>105</v>
      </c>
      <c r="O15" s="260">
        <v>1</v>
      </c>
      <c r="P15" s="261">
        <f>('[62]2-1.HR관련비용'!M136)*(1+'[62]2-1.HR관련비용'!$C$248)^(2026-2022)</f>
        <v>40377.569376444808</v>
      </c>
      <c r="X15" s="284"/>
    </row>
    <row r="16" spans="1:27" ht="18" customHeight="1">
      <c r="B16" s="319"/>
      <c r="C16" s="323"/>
      <c r="D16" s="20" t="s">
        <v>109</v>
      </c>
      <c r="E16" s="71" t="s">
        <v>100</v>
      </c>
      <c r="F16" s="71" t="s">
        <v>105</v>
      </c>
      <c r="G16" s="72">
        <f t="shared" si="2"/>
        <v>1</v>
      </c>
      <c r="H16" s="73">
        <f t="shared" si="3"/>
        <v>51144.921210163411</v>
      </c>
      <c r="J16" s="319"/>
      <c r="K16" s="323"/>
      <c r="L16" s="258" t="s">
        <v>109</v>
      </c>
      <c r="M16" s="259" t="s">
        <v>100</v>
      </c>
      <c r="N16" s="259" t="s">
        <v>105</v>
      </c>
      <c r="O16" s="260">
        <v>1</v>
      </c>
      <c r="P16" s="261">
        <f>('[62]2-1.HR관련비용'!M137)*(1+'[62]2-1.HR관련비용'!$C$248)^(2026-2022)</f>
        <v>51144.921210163411</v>
      </c>
      <c r="X16" s="284"/>
    </row>
    <row r="17" spans="1:26" ht="18" customHeight="1">
      <c r="B17" s="319"/>
      <c r="C17" s="323"/>
      <c r="D17" s="254" t="s">
        <v>111</v>
      </c>
      <c r="E17" s="255" t="s">
        <v>34</v>
      </c>
      <c r="F17" s="255" t="s">
        <v>124</v>
      </c>
      <c r="G17" s="256">
        <f t="shared" si="2"/>
        <v>0</v>
      </c>
      <c r="H17" s="257">
        <f t="shared" si="3"/>
        <v>0</v>
      </c>
      <c r="J17" s="319"/>
      <c r="K17" s="323"/>
      <c r="L17" s="254" t="s">
        <v>111</v>
      </c>
      <c r="M17" s="255" t="s">
        <v>34</v>
      </c>
      <c r="N17" s="255" t="s">
        <v>124</v>
      </c>
      <c r="O17" s="256"/>
      <c r="P17" s="257"/>
    </row>
    <row r="18" spans="1:26" ht="18" customHeight="1">
      <c r="B18" s="319"/>
      <c r="C18" s="323"/>
      <c r="D18" s="254" t="s">
        <v>112</v>
      </c>
      <c r="E18" s="255" t="s">
        <v>34</v>
      </c>
      <c r="F18" s="255" t="s">
        <v>124</v>
      </c>
      <c r="G18" s="256">
        <f t="shared" si="2"/>
        <v>0</v>
      </c>
      <c r="H18" s="257">
        <f t="shared" si="3"/>
        <v>0</v>
      </c>
      <c r="J18" s="319"/>
      <c r="K18" s="323"/>
      <c r="L18" s="254" t="s">
        <v>112</v>
      </c>
      <c r="M18" s="255" t="s">
        <v>34</v>
      </c>
      <c r="N18" s="255" t="s">
        <v>124</v>
      </c>
      <c r="O18" s="256"/>
      <c r="P18" s="257"/>
    </row>
    <row r="19" spans="1:26" ht="18" customHeight="1">
      <c r="B19" s="319"/>
      <c r="C19" s="323"/>
      <c r="D19" s="254" t="s">
        <v>113</v>
      </c>
      <c r="E19" s="255" t="s">
        <v>33</v>
      </c>
      <c r="F19" s="255" t="s">
        <v>124</v>
      </c>
      <c r="G19" s="256">
        <f t="shared" si="2"/>
        <v>0</v>
      </c>
      <c r="H19" s="257">
        <f t="shared" si="3"/>
        <v>0</v>
      </c>
      <c r="J19" s="319"/>
      <c r="K19" s="323"/>
      <c r="L19" s="254" t="s">
        <v>113</v>
      </c>
      <c r="M19" s="255" t="s">
        <v>33</v>
      </c>
      <c r="N19" s="255" t="s">
        <v>124</v>
      </c>
      <c r="O19" s="256"/>
      <c r="P19" s="257"/>
    </row>
    <row r="20" spans="1:26" ht="18" customHeight="1">
      <c r="B20" s="319"/>
      <c r="C20" s="324"/>
      <c r="D20" s="75" t="s">
        <v>128</v>
      </c>
      <c r="E20" s="76"/>
      <c r="F20" s="76"/>
      <c r="G20" s="77">
        <f>SUM(G13:G19)</f>
        <v>11</v>
      </c>
      <c r="H20" s="56">
        <f>SUM(H13:H19)</f>
        <v>475109.39966283384</v>
      </c>
      <c r="J20" s="319"/>
      <c r="K20" s="324"/>
      <c r="L20" s="75" t="s">
        <v>128</v>
      </c>
      <c r="M20" s="76"/>
      <c r="N20" s="76"/>
      <c r="O20" s="77">
        <f>SUM(O13:O19)</f>
        <v>11</v>
      </c>
      <c r="P20" s="56">
        <f>SUM(P13:P19)</f>
        <v>475109.39966283384</v>
      </c>
    </row>
    <row r="21" spans="1:26" ht="18" customHeight="1">
      <c r="B21" s="26" t="s">
        <v>130</v>
      </c>
      <c r="C21" s="38"/>
      <c r="D21" s="23"/>
      <c r="E21" s="78"/>
      <c r="F21" s="78"/>
      <c r="G21" s="79">
        <f>SUM(G12,G20)</f>
        <v>16</v>
      </c>
      <c r="H21" s="80">
        <f>SUM(H12,H20)</f>
        <v>784670.76488224394</v>
      </c>
      <c r="J21" s="26" t="s">
        <v>130</v>
      </c>
      <c r="K21" s="38"/>
      <c r="L21" s="23"/>
      <c r="M21" s="78"/>
      <c r="N21" s="78"/>
      <c r="O21" s="79">
        <f>SUM(O12,O20)</f>
        <v>16</v>
      </c>
      <c r="P21" s="80">
        <f>SUM(P12,P20)</f>
        <v>784670.76488224394</v>
      </c>
    </row>
    <row r="22" spans="1:26" ht="18" customHeight="1">
      <c r="B22" s="325" t="s">
        <v>104</v>
      </c>
      <c r="C22" s="85" t="s">
        <v>29</v>
      </c>
      <c r="D22" s="86" t="s">
        <v>131</v>
      </c>
      <c r="E22" s="87" t="s">
        <v>29</v>
      </c>
      <c r="F22" s="87" t="s">
        <v>125</v>
      </c>
      <c r="G22" s="88">
        <f>W6</f>
        <v>17</v>
      </c>
      <c r="H22" s="89">
        <f t="shared" ref="H22:H23" si="4">X6</f>
        <v>651849.37725239969</v>
      </c>
      <c r="X22" s="161"/>
    </row>
    <row r="23" spans="1:26" ht="18" customHeight="1">
      <c r="B23" s="326"/>
      <c r="C23" s="85" t="s">
        <v>114</v>
      </c>
      <c r="D23" s="86" t="s">
        <v>132</v>
      </c>
      <c r="E23" s="87" t="s">
        <v>101</v>
      </c>
      <c r="F23" s="87" t="s">
        <v>106</v>
      </c>
      <c r="G23" s="88">
        <f t="shared" ref="G23" si="5">W7</f>
        <v>22</v>
      </c>
      <c r="H23" s="89">
        <f t="shared" si="4"/>
        <v>708138.83130596287</v>
      </c>
    </row>
    <row r="24" spans="1:26" ht="18" customHeight="1">
      <c r="B24" s="25" t="s">
        <v>133</v>
      </c>
      <c r="C24" s="36"/>
      <c r="D24" s="17"/>
      <c r="E24" s="82"/>
      <c r="F24" s="82"/>
      <c r="G24" s="83">
        <f>SUM(G22:G23)</f>
        <v>39</v>
      </c>
      <c r="H24" s="84">
        <f>SUM(H22:H23)</f>
        <v>1359988.2085583624</v>
      </c>
    </row>
    <row r="25" spans="1:26" ht="18" customHeight="1">
      <c r="B25" s="92" t="s">
        <v>134</v>
      </c>
      <c r="C25" s="81"/>
      <c r="D25" s="93"/>
      <c r="E25" s="66"/>
      <c r="F25" s="66"/>
      <c r="G25" s="94">
        <f>SUM(G21,G24)</f>
        <v>55</v>
      </c>
      <c r="H25" s="95">
        <f>SUM(H21,H24)</f>
        <v>2144658.9734406061</v>
      </c>
    </row>
    <row r="28" spans="1:26" s="3" customFormat="1" ht="14">
      <c r="A28" s="3" t="s">
        <v>162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G29" s="41" t="s">
        <v>155</v>
      </c>
    </row>
    <row r="30" spans="1:26" ht="18" customHeight="1">
      <c r="B30" s="300" t="s">
        <v>27</v>
      </c>
      <c r="C30" s="304"/>
      <c r="D30" s="305"/>
      <c r="E30" s="66" t="s">
        <v>152</v>
      </c>
      <c r="F30" s="66" t="s">
        <v>153</v>
      </c>
      <c r="G30" s="66" t="s">
        <v>154</v>
      </c>
    </row>
    <row r="31" spans="1:26" ht="18" customHeight="1">
      <c r="B31" s="90" t="s">
        <v>28</v>
      </c>
      <c r="C31" s="145" t="s">
        <v>30</v>
      </c>
      <c r="D31" s="67"/>
      <c r="E31" s="147"/>
      <c r="F31" s="147"/>
      <c r="G31" s="147">
        <f>SUM(E31:F31)</f>
        <v>0</v>
      </c>
    </row>
    <row r="32" spans="1:26" ht="18" customHeight="1">
      <c r="B32" s="91" t="s">
        <v>151</v>
      </c>
      <c r="C32" s="146"/>
      <c r="D32" s="74"/>
      <c r="E32" s="149"/>
      <c r="F32" s="149"/>
      <c r="G32" s="149">
        <f t="shared" ref="G32" si="6">SUM(E32:F32)</f>
        <v>0</v>
      </c>
    </row>
    <row r="33" spans="2:7" ht="18" customHeight="1">
      <c r="B33" s="19" t="s">
        <v>33</v>
      </c>
      <c r="C33" s="35" t="s">
        <v>97</v>
      </c>
      <c r="D33" s="20"/>
      <c r="E33" s="148"/>
      <c r="F33" s="148"/>
      <c r="G33" s="148">
        <f t="shared" ref="G33:G37" si="7">SUM(E33:F33)</f>
        <v>0</v>
      </c>
    </row>
    <row r="34" spans="2:7" ht="18" customHeight="1">
      <c r="B34" s="91" t="s">
        <v>151</v>
      </c>
      <c r="C34" s="146"/>
      <c r="D34" s="74"/>
      <c r="E34" s="149"/>
      <c r="F34" s="149"/>
      <c r="G34" s="149">
        <f t="shared" ref="G34" si="8">SUM(E34:F34)</f>
        <v>0</v>
      </c>
    </row>
    <row r="35" spans="2:7" ht="18" customHeight="1">
      <c r="B35" s="19" t="s">
        <v>34</v>
      </c>
      <c r="C35" s="35" t="s">
        <v>99</v>
      </c>
      <c r="D35" s="20"/>
      <c r="E35" s="148"/>
      <c r="F35" s="148"/>
      <c r="G35" s="148">
        <f t="shared" si="7"/>
        <v>0</v>
      </c>
    </row>
    <row r="36" spans="2:7" ht="18" customHeight="1">
      <c r="B36" s="91" t="s">
        <v>151</v>
      </c>
      <c r="C36" s="146"/>
      <c r="D36" s="74"/>
      <c r="E36" s="149"/>
      <c r="F36" s="149"/>
      <c r="G36" s="149">
        <f t="shared" ref="G36" si="9">SUM(E36:F36)</f>
        <v>0</v>
      </c>
    </row>
    <row r="37" spans="2:7" ht="18" customHeight="1">
      <c r="B37" s="19" t="s">
        <v>35</v>
      </c>
      <c r="C37" s="35" t="s">
        <v>37</v>
      </c>
      <c r="D37" s="20"/>
      <c r="E37" s="148"/>
      <c r="F37" s="148"/>
      <c r="G37" s="148">
        <f t="shared" si="7"/>
        <v>0</v>
      </c>
    </row>
    <row r="38" spans="2:7" ht="18" customHeight="1">
      <c r="B38" s="22" t="s">
        <v>39</v>
      </c>
      <c r="C38" s="38"/>
      <c r="D38" s="23"/>
      <c r="E38" s="150">
        <f>SUM(E31:E37)</f>
        <v>0</v>
      </c>
      <c r="F38" s="150">
        <f>SUM(F31:F37)</f>
        <v>0</v>
      </c>
      <c r="G38" s="150">
        <f>SUM(G31:G37)</f>
        <v>0</v>
      </c>
    </row>
  </sheetData>
  <mergeCells count="12">
    <mergeCell ref="B30:D30"/>
    <mergeCell ref="K13:K20"/>
    <mergeCell ref="R5:T5"/>
    <mergeCell ref="R6:R7"/>
    <mergeCell ref="C6:C12"/>
    <mergeCell ref="C13:C20"/>
    <mergeCell ref="B6:B20"/>
    <mergeCell ref="B22:B23"/>
    <mergeCell ref="J5:L5"/>
    <mergeCell ref="J6:J20"/>
    <mergeCell ref="K6:K12"/>
    <mergeCell ref="B5:D5"/>
  </mergeCells>
  <phoneticPr fontId="3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J32"/>
  <sheetViews>
    <sheetView showGridLines="0" workbookViewId="0">
      <selection activeCell="P22" sqref="P22"/>
    </sheetView>
  </sheetViews>
  <sheetFormatPr baseColWidth="10" defaultColWidth="9" defaultRowHeight="14"/>
  <cols>
    <col min="1" max="1" width="1.1640625" style="3" customWidth="1"/>
    <col min="2" max="2" width="2.1640625" style="3" customWidth="1"/>
    <col min="3" max="3" width="1.83203125" style="3" customWidth="1"/>
    <col min="4" max="4" width="7.6640625" style="3" customWidth="1"/>
    <col min="5" max="18" width="7.5" style="3" customWidth="1"/>
    <col min="19" max="19" width="1.6640625" style="3" customWidth="1"/>
    <col min="20" max="20" width="2.1640625" style="3" customWidth="1"/>
    <col min="21" max="21" width="1.83203125" style="3" customWidth="1"/>
    <col min="22" max="22" width="7.6640625" style="3" customWidth="1"/>
    <col min="23" max="23" width="9.33203125" style="3" customWidth="1"/>
    <col min="24" max="24" width="9.33203125" style="3" bestFit="1" customWidth="1"/>
    <col min="25" max="16384" width="9" style="3"/>
  </cols>
  <sheetData>
    <row r="2" spans="1:36" s="171" customFormat="1" ht="18" customHeight="1">
      <c r="A2" s="169" t="s">
        <v>231</v>
      </c>
      <c r="B2" s="170"/>
      <c r="C2" s="170"/>
      <c r="D2" s="170"/>
      <c r="G2" s="172"/>
      <c r="R2" s="173" t="s">
        <v>232</v>
      </c>
      <c r="S2" s="169" t="str">
        <f>$A2</f>
        <v xml:space="preserve"> 4-4. 소노문 해운대</v>
      </c>
      <c r="T2" s="170"/>
      <c r="U2" s="170"/>
      <c r="V2" s="170"/>
      <c r="Y2" s="172"/>
      <c r="AJ2" s="173" t="s">
        <v>232</v>
      </c>
    </row>
    <row r="3" spans="1:36" s="171" customFormat="1" ht="15" customHeight="1">
      <c r="A3" s="174"/>
      <c r="B3" s="333" t="s">
        <v>229</v>
      </c>
      <c r="C3" s="334"/>
      <c r="D3" s="335"/>
      <c r="E3" s="331" t="s">
        <v>233</v>
      </c>
      <c r="F3" s="175" t="s">
        <v>303</v>
      </c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7"/>
      <c r="S3" s="174"/>
      <c r="T3" s="333" t="s">
        <v>229</v>
      </c>
      <c r="U3" s="334"/>
      <c r="V3" s="335"/>
      <c r="W3" s="331" t="s">
        <v>233</v>
      </c>
      <c r="X3" s="175" t="s">
        <v>234</v>
      </c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7"/>
    </row>
    <row r="4" spans="1:36" s="171" customFormat="1" ht="15" customHeight="1" thickBot="1">
      <c r="A4" s="174"/>
      <c r="B4" s="336"/>
      <c r="C4" s="337"/>
      <c r="D4" s="338"/>
      <c r="E4" s="332"/>
      <c r="F4" s="178">
        <v>8</v>
      </c>
      <c r="G4" s="179">
        <v>1</v>
      </c>
      <c r="H4" s="180">
        <v>2</v>
      </c>
      <c r="I4" s="181">
        <v>3</v>
      </c>
      <c r="J4" s="181">
        <v>4</v>
      </c>
      <c r="K4" s="181">
        <v>5</v>
      </c>
      <c r="L4" s="181">
        <v>6</v>
      </c>
      <c r="M4" s="181">
        <v>7</v>
      </c>
      <c r="N4" s="181">
        <v>8</v>
      </c>
      <c r="O4" s="181">
        <v>9</v>
      </c>
      <c r="P4" s="181">
        <v>10</v>
      </c>
      <c r="Q4" s="181">
        <v>11</v>
      </c>
      <c r="R4" s="182">
        <v>12</v>
      </c>
      <c r="S4" s="174"/>
      <c r="T4" s="336"/>
      <c r="U4" s="337"/>
      <c r="V4" s="338"/>
      <c r="W4" s="332"/>
      <c r="X4" s="178">
        <v>8</v>
      </c>
      <c r="Y4" s="179">
        <v>1</v>
      </c>
      <c r="Z4" s="180">
        <v>2</v>
      </c>
      <c r="AA4" s="181">
        <v>3</v>
      </c>
      <c r="AB4" s="181">
        <v>4</v>
      </c>
      <c r="AC4" s="181">
        <v>5</v>
      </c>
      <c r="AD4" s="181">
        <v>6</v>
      </c>
      <c r="AE4" s="181">
        <v>7</v>
      </c>
      <c r="AF4" s="181">
        <v>8</v>
      </c>
      <c r="AG4" s="181">
        <v>9</v>
      </c>
      <c r="AH4" s="181">
        <v>10</v>
      </c>
      <c r="AI4" s="181">
        <v>11</v>
      </c>
      <c r="AJ4" s="182">
        <v>12</v>
      </c>
    </row>
    <row r="5" spans="1:36" s="171" customFormat="1" ht="18" customHeight="1" thickTop="1">
      <c r="A5" s="174"/>
      <c r="B5" s="183" t="s">
        <v>230</v>
      </c>
      <c r="C5" s="184"/>
      <c r="D5" s="185"/>
      <c r="E5" s="186">
        <f>SUM(G5:R5)</f>
        <v>39569</v>
      </c>
      <c r="F5" s="186">
        <f>SUMPRODUCT((G$4:R$4&lt;=F$4)*(G5:R5))</f>
        <v>39569</v>
      </c>
      <c r="G5" s="187">
        <f t="shared" ref="G5:R5" si="0">SUM(G6:G8)</f>
        <v>4465</v>
      </c>
      <c r="H5" s="188">
        <f t="shared" si="0"/>
        <v>4752</v>
      </c>
      <c r="I5" s="188">
        <f t="shared" si="0"/>
        <v>4252</v>
      </c>
      <c r="J5" s="188">
        <f t="shared" si="0"/>
        <v>4877</v>
      </c>
      <c r="K5" s="188">
        <f t="shared" si="0"/>
        <v>5176</v>
      </c>
      <c r="L5" s="188">
        <f t="shared" si="0"/>
        <v>4756</v>
      </c>
      <c r="M5" s="188">
        <f t="shared" si="0"/>
        <v>5098</v>
      </c>
      <c r="N5" s="188">
        <f t="shared" si="0"/>
        <v>6193</v>
      </c>
      <c r="O5" s="188">
        <f t="shared" si="0"/>
        <v>0</v>
      </c>
      <c r="P5" s="188">
        <f t="shared" si="0"/>
        <v>0</v>
      </c>
      <c r="Q5" s="188">
        <f t="shared" si="0"/>
        <v>0</v>
      </c>
      <c r="R5" s="189">
        <f t="shared" si="0"/>
        <v>0</v>
      </c>
      <c r="S5" s="174"/>
      <c r="T5" s="183" t="s">
        <v>230</v>
      </c>
      <c r="U5" s="184"/>
      <c r="V5" s="185"/>
      <c r="W5" s="186">
        <f>SUM(Y5:AJ5)</f>
        <v>67000</v>
      </c>
      <c r="X5" s="186">
        <f>SUMPRODUCT((Y$4:AJ$4&lt;=X$4)*(Y5:AJ5))</f>
        <v>43350</v>
      </c>
      <c r="Y5" s="187">
        <f t="shared" ref="Y5:AJ5" si="1">SUM(Y6:Y8)</f>
        <v>5020</v>
      </c>
      <c r="Z5" s="188">
        <f t="shared" si="1"/>
        <v>3980</v>
      </c>
      <c r="AA5" s="188">
        <f t="shared" si="1"/>
        <v>4590</v>
      </c>
      <c r="AB5" s="188">
        <f t="shared" si="1"/>
        <v>5300</v>
      </c>
      <c r="AC5" s="188">
        <f t="shared" si="1"/>
        <v>6030</v>
      </c>
      <c r="AD5" s="188">
        <f t="shared" si="1"/>
        <v>5550</v>
      </c>
      <c r="AE5" s="188">
        <f t="shared" si="1"/>
        <v>6320</v>
      </c>
      <c r="AF5" s="188">
        <f t="shared" si="1"/>
        <v>6560</v>
      </c>
      <c r="AG5" s="188">
        <f t="shared" si="1"/>
        <v>6320</v>
      </c>
      <c r="AH5" s="188">
        <f t="shared" si="1"/>
        <v>6410</v>
      </c>
      <c r="AI5" s="188">
        <f t="shared" si="1"/>
        <v>5880</v>
      </c>
      <c r="AJ5" s="189">
        <f t="shared" si="1"/>
        <v>5040</v>
      </c>
    </row>
    <row r="6" spans="1:36" s="171" customFormat="1" ht="18" customHeight="1">
      <c r="A6" s="174"/>
      <c r="B6" s="329"/>
      <c r="C6" s="330"/>
      <c r="D6" s="190" t="s">
        <v>235</v>
      </c>
      <c r="E6" s="191">
        <f>SUM(G6:R6)</f>
        <v>19404</v>
      </c>
      <c r="F6" s="191">
        <f>SUMPRODUCT((G$4:R$4&lt;=F$4)*(G6:R6))</f>
        <v>19404</v>
      </c>
      <c r="G6" s="192">
        <f>'[63]#)소사업별매출'!G876</f>
        <v>2464</v>
      </c>
      <c r="H6" s="193">
        <f>'[63]#)소사업별매출'!H876</f>
        <v>2612</v>
      </c>
      <c r="I6" s="193">
        <f>'[63]#)소사업별매출'!I876</f>
        <v>1906</v>
      </c>
      <c r="J6" s="193">
        <f>'[63]#)소사업별매출'!J876</f>
        <v>2022</v>
      </c>
      <c r="K6" s="193">
        <f>'[63]#)소사업별매출'!K876</f>
        <v>2537</v>
      </c>
      <c r="L6" s="193">
        <f>'[63]#)소사업별매출'!L876</f>
        <v>2201</v>
      </c>
      <c r="M6" s="193">
        <f>'[63]#)소사업별매출'!M876</f>
        <v>2486</v>
      </c>
      <c r="N6" s="193">
        <f>'[63]#)소사업별매출'!N876</f>
        <v>3176</v>
      </c>
      <c r="O6" s="193">
        <f>'[63]#)소사업별매출'!O876</f>
        <v>0</v>
      </c>
      <c r="P6" s="193">
        <f>'[63]#)소사업별매출'!P876</f>
        <v>0</v>
      </c>
      <c r="Q6" s="193">
        <f>'[63]#)소사업별매출'!Q876</f>
        <v>0</v>
      </c>
      <c r="R6" s="194">
        <f>'[63]#)소사업별매출'!R876</f>
        <v>0</v>
      </c>
      <c r="S6" s="174"/>
      <c r="T6" s="329"/>
      <c r="U6" s="330"/>
      <c r="V6" s="190" t="s">
        <v>235</v>
      </c>
      <c r="W6" s="191">
        <f>SUM(Y6:AJ6)</f>
        <v>29130</v>
      </c>
      <c r="X6" s="191">
        <f t="shared" ref="X6:X17" si="2">SUMPRODUCT((Y$4:AJ$4&lt;=X$4)*(Y6:AJ6))</f>
        <v>19920</v>
      </c>
      <c r="Y6" s="192">
        <f>'[63]#)소사업별매출'!Y876</f>
        <v>2310</v>
      </c>
      <c r="Z6" s="193">
        <f>'[63]#)소사업별매출'!Z876</f>
        <v>1890</v>
      </c>
      <c r="AA6" s="193">
        <f>'[63]#)소사업별매출'!AA876</f>
        <v>2110</v>
      </c>
      <c r="AB6" s="193">
        <f>'[63]#)소사업별매출'!AB876</f>
        <v>2320</v>
      </c>
      <c r="AC6" s="193">
        <f>'[63]#)소사업별매출'!AC876</f>
        <v>2540</v>
      </c>
      <c r="AD6" s="193">
        <f>'[63]#)소사업별매출'!AD876</f>
        <v>2370</v>
      </c>
      <c r="AE6" s="193">
        <f>'[63]#)소사업별매출'!AE876</f>
        <v>3090</v>
      </c>
      <c r="AF6" s="193">
        <f>'[63]#)소사업별매출'!AF876</f>
        <v>3290</v>
      </c>
      <c r="AG6" s="193">
        <f>'[63]#)소사업별매출'!AG876</f>
        <v>2790</v>
      </c>
      <c r="AH6" s="193">
        <f>'[63]#)소사업별매출'!AH876</f>
        <v>2370</v>
      </c>
      <c r="AI6" s="193">
        <f>'[63]#)소사업별매출'!AI876</f>
        <v>1940</v>
      </c>
      <c r="AJ6" s="194">
        <f>'[63]#)소사업별매출'!AJ876</f>
        <v>2110</v>
      </c>
    </row>
    <row r="7" spans="1:36" s="171" customFormat="1" ht="18" customHeight="1">
      <c r="A7" s="174"/>
      <c r="B7" s="329"/>
      <c r="C7" s="330"/>
      <c r="D7" s="195" t="s">
        <v>236</v>
      </c>
      <c r="E7" s="186">
        <f>SUM(G7:R7)</f>
        <v>9179</v>
      </c>
      <c r="F7" s="186">
        <f>SUMPRODUCT((G$4:R$4&lt;=F$4)*(G7:R7))</f>
        <v>9179</v>
      </c>
      <c r="G7" s="187">
        <f>'[63]#)소사업별매출'!G877</f>
        <v>1065</v>
      </c>
      <c r="H7" s="188">
        <f>'[63]#)소사업별매출'!H877</f>
        <v>707</v>
      </c>
      <c r="I7" s="188">
        <f>'[63]#)소사업별매출'!I877</f>
        <v>1227</v>
      </c>
      <c r="J7" s="188">
        <f>'[63]#)소사업별매출'!J877</f>
        <v>1618</v>
      </c>
      <c r="K7" s="188">
        <f>'[63]#)소사업별매출'!K877</f>
        <v>1389</v>
      </c>
      <c r="L7" s="188">
        <f>'[63]#)소사업별매출'!L877</f>
        <v>1316</v>
      </c>
      <c r="M7" s="188">
        <f>'[63]#)소사업별매출'!M877</f>
        <v>1045</v>
      </c>
      <c r="N7" s="188">
        <f>'[63]#)소사업별매출'!N877</f>
        <v>812</v>
      </c>
      <c r="O7" s="188">
        <f>'[63]#)소사업별매출'!O877</f>
        <v>0</v>
      </c>
      <c r="P7" s="188">
        <f>'[63]#)소사업별매출'!P877</f>
        <v>0</v>
      </c>
      <c r="Q7" s="188">
        <f>'[63]#)소사업별매출'!Q877</f>
        <v>0</v>
      </c>
      <c r="R7" s="189">
        <f>'[63]#)소사업별매출'!R877</f>
        <v>0</v>
      </c>
      <c r="S7" s="174"/>
      <c r="T7" s="329"/>
      <c r="U7" s="330"/>
      <c r="V7" s="195" t="s">
        <v>236</v>
      </c>
      <c r="W7" s="186">
        <f>SUM(Y7:AJ7)</f>
        <v>9170</v>
      </c>
      <c r="X7" s="186">
        <f t="shared" si="2"/>
        <v>5130</v>
      </c>
      <c r="Y7" s="187">
        <f>'[63]#)소사업별매출'!Y877</f>
        <v>660</v>
      </c>
      <c r="Z7" s="188">
        <f>'[63]#)소사업별매출'!Z877</f>
        <v>440</v>
      </c>
      <c r="AA7" s="188">
        <f>'[63]#)소사업별매출'!AA877</f>
        <v>630</v>
      </c>
      <c r="AB7" s="188">
        <f>'[63]#)소사업별매출'!AB877</f>
        <v>930</v>
      </c>
      <c r="AC7" s="188">
        <f>'[63]#)소사업별매출'!AC877</f>
        <v>1040</v>
      </c>
      <c r="AD7" s="188">
        <f>'[63]#)소사업별매출'!AD877</f>
        <v>630</v>
      </c>
      <c r="AE7" s="188">
        <f>'[63]#)소사업별매출'!AE877</f>
        <v>480</v>
      </c>
      <c r="AF7" s="188">
        <f>'[63]#)소사업별매출'!AF877</f>
        <v>320</v>
      </c>
      <c r="AG7" s="188">
        <f>'[63]#)소사업별매출'!AG877</f>
        <v>780</v>
      </c>
      <c r="AH7" s="188">
        <f>'[63]#)소사업별매출'!AH877</f>
        <v>1290</v>
      </c>
      <c r="AI7" s="188">
        <f>'[63]#)소사업별매출'!AI877</f>
        <v>1390</v>
      </c>
      <c r="AJ7" s="189">
        <f>'[63]#)소사업별매출'!AJ877</f>
        <v>580</v>
      </c>
    </row>
    <row r="8" spans="1:36" s="171" customFormat="1" ht="18" customHeight="1">
      <c r="A8" s="174"/>
      <c r="B8" s="196"/>
      <c r="C8" s="197"/>
      <c r="D8" s="195" t="s">
        <v>237</v>
      </c>
      <c r="E8" s="186">
        <f>SUM(G8:R8)</f>
        <v>10986</v>
      </c>
      <c r="F8" s="186">
        <f t="shared" ref="F8:F17" si="3">SUMPRODUCT((G$4:R$4&lt;=F$4)*(G8:R8))</f>
        <v>10986</v>
      </c>
      <c r="G8" s="187">
        <f>'[63]#)소사업별매출'!G878</f>
        <v>936</v>
      </c>
      <c r="H8" s="188">
        <f>'[63]#)소사업별매출'!H878</f>
        <v>1433</v>
      </c>
      <c r="I8" s="188">
        <f>'[63]#)소사업별매출'!I878</f>
        <v>1119</v>
      </c>
      <c r="J8" s="188">
        <f>'[63]#)소사업별매출'!J878</f>
        <v>1237</v>
      </c>
      <c r="K8" s="188">
        <f>'[63]#)소사업별매출'!K878</f>
        <v>1250</v>
      </c>
      <c r="L8" s="188">
        <f>'[63]#)소사업별매출'!L878</f>
        <v>1239</v>
      </c>
      <c r="M8" s="188">
        <f>'[63]#)소사업별매출'!M878</f>
        <v>1567</v>
      </c>
      <c r="N8" s="188">
        <f>'[63]#)소사업별매출'!N878</f>
        <v>2205</v>
      </c>
      <c r="O8" s="188">
        <f>'[63]#)소사업별매출'!O878</f>
        <v>0</v>
      </c>
      <c r="P8" s="188">
        <f>'[63]#)소사업별매출'!P878</f>
        <v>0</v>
      </c>
      <c r="Q8" s="188">
        <f>'[63]#)소사업별매출'!Q878</f>
        <v>0</v>
      </c>
      <c r="R8" s="189">
        <f>'[63]#)소사업별매출'!R878</f>
        <v>0</v>
      </c>
      <c r="S8" s="174"/>
      <c r="T8" s="196"/>
      <c r="U8" s="197"/>
      <c r="V8" s="195" t="s">
        <v>237</v>
      </c>
      <c r="W8" s="186">
        <f>SUM(Y8:AJ8)</f>
        <v>28700</v>
      </c>
      <c r="X8" s="186">
        <f t="shared" si="2"/>
        <v>18300</v>
      </c>
      <c r="Y8" s="187">
        <f>'[63]#)소사업별매출'!Y878</f>
        <v>2050</v>
      </c>
      <c r="Z8" s="188">
        <f>'[63]#)소사업별매출'!Z878</f>
        <v>1650</v>
      </c>
      <c r="AA8" s="188">
        <f>'[63]#)소사업별매출'!AA878</f>
        <v>1850</v>
      </c>
      <c r="AB8" s="188">
        <f>'[63]#)소사업별매출'!AB878</f>
        <v>2050</v>
      </c>
      <c r="AC8" s="188">
        <f>'[63]#)소사업별매출'!AC878</f>
        <v>2450</v>
      </c>
      <c r="AD8" s="188">
        <f>'[63]#)소사업별매출'!AD878</f>
        <v>2550</v>
      </c>
      <c r="AE8" s="188">
        <f>'[63]#)소사업별매출'!AE878</f>
        <v>2750</v>
      </c>
      <c r="AF8" s="188">
        <f>'[63]#)소사업별매출'!AF878</f>
        <v>2950</v>
      </c>
      <c r="AG8" s="188">
        <f>'[63]#)소사업별매출'!AG878</f>
        <v>2750</v>
      </c>
      <c r="AH8" s="188">
        <f>'[63]#)소사업별매출'!AH878</f>
        <v>2750</v>
      </c>
      <c r="AI8" s="188">
        <f>'[63]#)소사업별매출'!AI878</f>
        <v>2550</v>
      </c>
      <c r="AJ8" s="189">
        <f>'[63]#)소사업별매출'!AJ878</f>
        <v>2350</v>
      </c>
    </row>
    <row r="9" spans="1:36" s="171" customFormat="1" ht="18" customHeight="1">
      <c r="A9" s="174"/>
      <c r="B9" s="183" t="s">
        <v>238</v>
      </c>
      <c r="C9" s="184"/>
      <c r="D9" s="198"/>
      <c r="E9" s="199">
        <f t="shared" ref="E9:E17" si="4">SUM(G9:R9)</f>
        <v>4713105.8650000002</v>
      </c>
      <c r="F9" s="199">
        <f t="shared" si="3"/>
        <v>4713105.8650000002</v>
      </c>
      <c r="G9" s="200">
        <f>SUM(G10:G17)</f>
        <v>477557</v>
      </c>
      <c r="H9" s="201">
        <f t="shared" ref="H9:R9" si="5">SUM(H10:H17)</f>
        <v>457351</v>
      </c>
      <c r="I9" s="201">
        <f t="shared" si="5"/>
        <v>436997.63699999999</v>
      </c>
      <c r="J9" s="201">
        <f t="shared" si="5"/>
        <v>482521</v>
      </c>
      <c r="K9" s="201">
        <f t="shared" si="5"/>
        <v>638343</v>
      </c>
      <c r="L9" s="201">
        <f t="shared" si="5"/>
        <v>537531.228</v>
      </c>
      <c r="M9" s="201">
        <f t="shared" si="5"/>
        <v>737805</v>
      </c>
      <c r="N9" s="201">
        <f t="shared" si="5"/>
        <v>945000</v>
      </c>
      <c r="O9" s="201">
        <f t="shared" si="5"/>
        <v>0</v>
      </c>
      <c r="P9" s="201">
        <f t="shared" si="5"/>
        <v>0</v>
      </c>
      <c r="Q9" s="201">
        <f t="shared" si="5"/>
        <v>0</v>
      </c>
      <c r="R9" s="202">
        <f t="shared" si="5"/>
        <v>0</v>
      </c>
      <c r="S9" s="174"/>
      <c r="T9" s="183" t="s">
        <v>238</v>
      </c>
      <c r="U9" s="184"/>
      <c r="V9" s="198"/>
      <c r="W9" s="199">
        <f t="shared" ref="W9:W17" si="6">SUM(Y9:AJ9)</f>
        <v>7253000</v>
      </c>
      <c r="X9" s="199">
        <f t="shared" si="2"/>
        <v>4798000</v>
      </c>
      <c r="Y9" s="200">
        <f>SUM(Y10:Y17)</f>
        <v>500000</v>
      </c>
      <c r="Z9" s="201">
        <f t="shared" ref="Z9:AJ9" si="7">SUM(Z10:Z17)</f>
        <v>375000</v>
      </c>
      <c r="AA9" s="201">
        <f t="shared" si="7"/>
        <v>445000</v>
      </c>
      <c r="AB9" s="201">
        <f t="shared" si="7"/>
        <v>530000</v>
      </c>
      <c r="AC9" s="201">
        <f t="shared" si="7"/>
        <v>629000</v>
      </c>
      <c r="AD9" s="201">
        <f t="shared" si="7"/>
        <v>566000</v>
      </c>
      <c r="AE9" s="201">
        <f t="shared" si="7"/>
        <v>804000</v>
      </c>
      <c r="AF9" s="201">
        <f t="shared" si="7"/>
        <v>949000</v>
      </c>
      <c r="AG9" s="201">
        <f t="shared" si="7"/>
        <v>638000</v>
      </c>
      <c r="AH9" s="201">
        <f t="shared" si="7"/>
        <v>686000</v>
      </c>
      <c r="AI9" s="201">
        <f t="shared" si="7"/>
        <v>626000</v>
      </c>
      <c r="AJ9" s="202">
        <f t="shared" si="7"/>
        <v>505000</v>
      </c>
    </row>
    <row r="10" spans="1:36" s="171" customFormat="1" ht="18" customHeight="1">
      <c r="A10" s="174"/>
      <c r="B10" s="329"/>
      <c r="C10" s="330"/>
      <c r="D10" s="190" t="s">
        <v>239</v>
      </c>
      <c r="E10" s="199">
        <f t="shared" si="4"/>
        <v>3982671.8650000002</v>
      </c>
      <c r="F10" s="199">
        <f t="shared" si="3"/>
        <v>3982671.8650000002</v>
      </c>
      <c r="G10" s="200">
        <f>'[63]#)소사업별매출'!G880</f>
        <v>410510</v>
      </c>
      <c r="H10" s="201">
        <f>'[63]#)소사업별매출'!H880</f>
        <v>371986</v>
      </c>
      <c r="I10" s="201">
        <f>'[63]#)소사업별매출'!I880</f>
        <v>356206.63699999999</v>
      </c>
      <c r="J10" s="201">
        <f>'[63]#)소사업별매출'!J880</f>
        <v>373900</v>
      </c>
      <c r="K10" s="201">
        <f>'[63]#)소사업별매출'!K880</f>
        <v>535661</v>
      </c>
      <c r="L10" s="201">
        <f>'[63]#)소사업별매출'!L880</f>
        <v>446908.228</v>
      </c>
      <c r="M10" s="201">
        <f>'[63]#)소사업별매출'!M880</f>
        <v>641412</v>
      </c>
      <c r="N10" s="201">
        <f>'[63]#)소사업별매출'!N880</f>
        <v>846088</v>
      </c>
      <c r="O10" s="201">
        <f>'[63]#)소사업별매출'!O880</f>
        <v>0</v>
      </c>
      <c r="P10" s="201">
        <f>'[63]#)소사업별매출'!P880</f>
        <v>0</v>
      </c>
      <c r="Q10" s="201">
        <f>'[63]#)소사업별매출'!Q880</f>
        <v>0</v>
      </c>
      <c r="R10" s="202">
        <f>'[63]#)소사업별매출'!R880</f>
        <v>0</v>
      </c>
      <c r="S10" s="174"/>
      <c r="T10" s="329"/>
      <c r="U10" s="330"/>
      <c r="V10" s="190" t="s">
        <v>239</v>
      </c>
      <c r="W10" s="199">
        <f t="shared" si="6"/>
        <v>6213000</v>
      </c>
      <c r="X10" s="199">
        <f t="shared" si="2"/>
        <v>4147000</v>
      </c>
      <c r="Y10" s="200">
        <f>'[63]#)소사업별매출'!Y880</f>
        <v>424000</v>
      </c>
      <c r="Z10" s="201">
        <f>'[63]#)소사업별매출'!Z880</f>
        <v>317000</v>
      </c>
      <c r="AA10" s="201">
        <f>'[63]#)소사업별매출'!AA880</f>
        <v>377000</v>
      </c>
      <c r="AB10" s="201">
        <f>'[63]#)소사업별매출'!AB880</f>
        <v>443000</v>
      </c>
      <c r="AC10" s="201">
        <f>'[63]#)소사업별매출'!AC880</f>
        <v>531000</v>
      </c>
      <c r="AD10" s="201">
        <f>'[63]#)소사업별매출'!AD880</f>
        <v>477000</v>
      </c>
      <c r="AE10" s="201">
        <f>'[63]#)소사업별매출'!AE880</f>
        <v>728000</v>
      </c>
      <c r="AF10" s="201">
        <f>'[63]#)소사업별매출'!AF880</f>
        <v>850000</v>
      </c>
      <c r="AG10" s="201">
        <f>'[63]#)소사업별매출'!AG880</f>
        <v>562000</v>
      </c>
      <c r="AH10" s="201">
        <f>'[63]#)소사업별매출'!AH880</f>
        <v>569000</v>
      </c>
      <c r="AI10" s="201">
        <f>'[63]#)소사업별매출'!AI880</f>
        <v>516000</v>
      </c>
      <c r="AJ10" s="202">
        <f>'[63]#)소사업별매출'!AJ880</f>
        <v>419000</v>
      </c>
    </row>
    <row r="11" spans="1:36" s="171" customFormat="1" ht="18" customHeight="1">
      <c r="A11" s="174"/>
      <c r="B11" s="329"/>
      <c r="C11" s="330"/>
      <c r="D11" s="195" t="s">
        <v>240</v>
      </c>
      <c r="E11" s="203">
        <f t="shared" si="4"/>
        <v>580753</v>
      </c>
      <c r="F11" s="203">
        <f t="shared" si="3"/>
        <v>580753</v>
      </c>
      <c r="G11" s="204">
        <f>'[63]#)소사업별매출'!G881</f>
        <v>50064</v>
      </c>
      <c r="H11" s="205">
        <f>'[63]#)소사업별매출'!H881</f>
        <v>67126</v>
      </c>
      <c r="I11" s="205">
        <f>'[63]#)소사업별매출'!I881</f>
        <v>64185</v>
      </c>
      <c r="J11" s="205">
        <f>'[63]#)소사업별매출'!J881</f>
        <v>90310</v>
      </c>
      <c r="K11" s="205">
        <f>'[63]#)소사업별매출'!K881</f>
        <v>83848</v>
      </c>
      <c r="L11" s="205">
        <f>'[63]#)소사업별매출'!L881</f>
        <v>71785</v>
      </c>
      <c r="M11" s="205">
        <f>'[63]#)소사업별매출'!M881</f>
        <v>75299</v>
      </c>
      <c r="N11" s="205">
        <f>'[63]#)소사업별매출'!N881</f>
        <v>78136</v>
      </c>
      <c r="O11" s="205">
        <f>'[63]#)소사업별매출'!O881</f>
        <v>0</v>
      </c>
      <c r="P11" s="205">
        <f>'[63]#)소사업별매출'!P881</f>
        <v>0</v>
      </c>
      <c r="Q11" s="205">
        <f>'[63]#)소사업별매출'!Q881</f>
        <v>0</v>
      </c>
      <c r="R11" s="206">
        <f>'[63]#)소사업별매출'!R881</f>
        <v>0</v>
      </c>
      <c r="S11" s="174"/>
      <c r="T11" s="329"/>
      <c r="U11" s="330"/>
      <c r="V11" s="195" t="s">
        <v>240</v>
      </c>
      <c r="W11" s="203">
        <f t="shared" si="6"/>
        <v>831000</v>
      </c>
      <c r="X11" s="203">
        <f t="shared" si="2"/>
        <v>513000</v>
      </c>
      <c r="Y11" s="204">
        <f>'[63]#)소사업별매출'!Y881</f>
        <v>59000</v>
      </c>
      <c r="Z11" s="205">
        <f>'[63]#)소사업별매출'!Z881</f>
        <v>42000</v>
      </c>
      <c r="AA11" s="205">
        <f>'[63]#)소사업별매출'!AA881</f>
        <v>51000</v>
      </c>
      <c r="AB11" s="205">
        <f>'[63]#)소사업별매출'!AB881</f>
        <v>70000</v>
      </c>
      <c r="AC11" s="205">
        <f>'[63]#)소사업별매출'!AC881</f>
        <v>81000</v>
      </c>
      <c r="AD11" s="205">
        <f>'[63]#)소사업별매출'!AD881</f>
        <v>72000</v>
      </c>
      <c r="AE11" s="205">
        <f>'[63]#)소사업별매출'!AE881</f>
        <v>58000</v>
      </c>
      <c r="AF11" s="205">
        <f>'[63]#)소사업별매출'!AF881</f>
        <v>80000</v>
      </c>
      <c r="AG11" s="205">
        <f>'[63]#)소사업별매출'!AG881</f>
        <v>59000</v>
      </c>
      <c r="AH11" s="205">
        <f>'[63]#)소사업별매출'!AH881</f>
        <v>99000</v>
      </c>
      <c r="AI11" s="205">
        <f>'[63]#)소사업별매출'!AI881</f>
        <v>92000</v>
      </c>
      <c r="AJ11" s="206">
        <f>'[63]#)소사업별매출'!AJ881</f>
        <v>68000</v>
      </c>
    </row>
    <row r="12" spans="1:36" s="171" customFormat="1" ht="18" customHeight="1">
      <c r="A12" s="174"/>
      <c r="B12" s="329"/>
      <c r="C12" s="330"/>
      <c r="D12" s="195" t="s">
        <v>241</v>
      </c>
      <c r="E12" s="203">
        <f t="shared" si="4"/>
        <v>81712</v>
      </c>
      <c r="F12" s="203">
        <f t="shared" si="3"/>
        <v>81712</v>
      </c>
      <c r="G12" s="204">
        <f>'[63]#)소사업별매출'!G882</f>
        <v>8864</v>
      </c>
      <c r="H12" s="205">
        <f>'[63]#)소사업별매출'!H882</f>
        <v>9832</v>
      </c>
      <c r="I12" s="205">
        <f>'[63]#)소사업별매출'!I882</f>
        <v>8429</v>
      </c>
      <c r="J12" s="205">
        <f>'[63]#)소사업별매출'!J882</f>
        <v>9749</v>
      </c>
      <c r="K12" s="205">
        <f>'[63]#)소사업별매출'!K882</f>
        <v>10293</v>
      </c>
      <c r="L12" s="205">
        <f>'[63]#)소사업별매출'!L882</f>
        <v>10268</v>
      </c>
      <c r="M12" s="205">
        <f>'[63]#)소사업별매출'!M882</f>
        <v>12377</v>
      </c>
      <c r="N12" s="205">
        <f>'[63]#)소사업별매출'!N882</f>
        <v>11900</v>
      </c>
      <c r="O12" s="205">
        <f>'[63]#)소사업별매출'!O882</f>
        <v>0</v>
      </c>
      <c r="P12" s="205">
        <f>'[63]#)소사업별매출'!P882</f>
        <v>0</v>
      </c>
      <c r="Q12" s="205">
        <f>'[63]#)소사업별매출'!Q882</f>
        <v>0</v>
      </c>
      <c r="R12" s="206">
        <f>'[63]#)소사업별매출'!R882</f>
        <v>0</v>
      </c>
      <c r="S12" s="174"/>
      <c r="T12" s="329"/>
      <c r="U12" s="330"/>
      <c r="V12" s="195" t="s">
        <v>241</v>
      </c>
      <c r="W12" s="203">
        <f t="shared" si="6"/>
        <v>113000</v>
      </c>
      <c r="X12" s="203">
        <f t="shared" si="2"/>
        <v>74000</v>
      </c>
      <c r="Y12" s="204">
        <f>'[63]#)소사업별매출'!Y882</f>
        <v>9000</v>
      </c>
      <c r="Z12" s="205">
        <f>'[63]#)소사업별매출'!Z882</f>
        <v>8000</v>
      </c>
      <c r="AA12" s="205">
        <f>'[63]#)소사업별매출'!AA882</f>
        <v>9000</v>
      </c>
      <c r="AB12" s="205">
        <f>'[63]#)소사업별매출'!AB882</f>
        <v>9000</v>
      </c>
      <c r="AC12" s="205">
        <f>'[63]#)소사업별매출'!AC882</f>
        <v>9000</v>
      </c>
      <c r="AD12" s="205">
        <f>'[63]#)소사업별매출'!AD882</f>
        <v>9000</v>
      </c>
      <c r="AE12" s="205">
        <f>'[63]#)소사업별매출'!AE882</f>
        <v>10000</v>
      </c>
      <c r="AF12" s="205">
        <f>'[63]#)소사업별매출'!AF882</f>
        <v>11000</v>
      </c>
      <c r="AG12" s="205">
        <f>'[63]#)소사업별매출'!AG882</f>
        <v>9000</v>
      </c>
      <c r="AH12" s="205">
        <f>'[63]#)소사업별매출'!AH882</f>
        <v>10000</v>
      </c>
      <c r="AI12" s="205">
        <f>'[63]#)소사업별매출'!AI882</f>
        <v>10000</v>
      </c>
      <c r="AJ12" s="206">
        <f>'[63]#)소사업별매출'!AJ882</f>
        <v>10000</v>
      </c>
    </row>
    <row r="13" spans="1:36" s="171" customFormat="1" ht="18" customHeight="1">
      <c r="A13" s="174"/>
      <c r="B13" s="329"/>
      <c r="C13" s="330"/>
      <c r="D13" s="195" t="s">
        <v>242</v>
      </c>
      <c r="E13" s="203">
        <f t="shared" si="4"/>
        <v>0</v>
      </c>
      <c r="F13" s="203">
        <f t="shared" si="3"/>
        <v>0</v>
      </c>
      <c r="G13" s="204">
        <f>'[63]#)소사업별매출'!G883</f>
        <v>0</v>
      </c>
      <c r="H13" s="205">
        <f>'[63]#)소사업별매출'!H883</f>
        <v>0</v>
      </c>
      <c r="I13" s="205">
        <f>'[63]#)소사업별매출'!I883</f>
        <v>0</v>
      </c>
      <c r="J13" s="205">
        <f>'[63]#)소사업별매출'!J883</f>
        <v>0</v>
      </c>
      <c r="K13" s="205">
        <f>'[63]#)소사업별매출'!K883</f>
        <v>0</v>
      </c>
      <c r="L13" s="205">
        <f>'[63]#)소사업별매출'!L883</f>
        <v>0</v>
      </c>
      <c r="M13" s="205">
        <f>'[63]#)소사업별매출'!M883</f>
        <v>0</v>
      </c>
      <c r="N13" s="205">
        <f>'[63]#)소사업별매출'!N883</f>
        <v>0</v>
      </c>
      <c r="O13" s="205">
        <f>'[63]#)소사업별매출'!O883</f>
        <v>0</v>
      </c>
      <c r="P13" s="205">
        <f>'[63]#)소사업별매출'!P883</f>
        <v>0</v>
      </c>
      <c r="Q13" s="205">
        <f>'[63]#)소사업별매출'!Q883</f>
        <v>0</v>
      </c>
      <c r="R13" s="206">
        <f>'[63]#)소사업별매출'!R883</f>
        <v>0</v>
      </c>
      <c r="S13" s="174"/>
      <c r="T13" s="329"/>
      <c r="U13" s="330"/>
      <c r="V13" s="195" t="s">
        <v>242</v>
      </c>
      <c r="W13" s="203">
        <f t="shared" si="6"/>
        <v>0</v>
      </c>
      <c r="X13" s="203">
        <f t="shared" si="2"/>
        <v>0</v>
      </c>
      <c r="Y13" s="204">
        <f>'[63]#)소사업별매출'!Y883</f>
        <v>0</v>
      </c>
      <c r="Z13" s="205">
        <f>'[63]#)소사업별매출'!Z883</f>
        <v>0</v>
      </c>
      <c r="AA13" s="205">
        <f>'[63]#)소사업별매출'!AA883</f>
        <v>0</v>
      </c>
      <c r="AB13" s="205">
        <f>'[63]#)소사업별매출'!AB883</f>
        <v>0</v>
      </c>
      <c r="AC13" s="205">
        <f>'[63]#)소사업별매출'!AC883</f>
        <v>0</v>
      </c>
      <c r="AD13" s="205">
        <f>'[63]#)소사업별매출'!AD883</f>
        <v>0</v>
      </c>
      <c r="AE13" s="205">
        <f>'[63]#)소사업별매출'!AE883</f>
        <v>0</v>
      </c>
      <c r="AF13" s="205">
        <f>'[63]#)소사업별매출'!AF883</f>
        <v>0</v>
      </c>
      <c r="AG13" s="205">
        <f>'[63]#)소사업별매출'!AG883</f>
        <v>0</v>
      </c>
      <c r="AH13" s="205">
        <f>'[63]#)소사업별매출'!AH883</f>
        <v>0</v>
      </c>
      <c r="AI13" s="205">
        <f>'[63]#)소사업별매출'!AI883</f>
        <v>0</v>
      </c>
      <c r="AJ13" s="206">
        <f>'[63]#)소사업별매출'!AJ883</f>
        <v>0</v>
      </c>
    </row>
    <row r="14" spans="1:36" s="171" customFormat="1" ht="18" customHeight="1">
      <c r="A14" s="174"/>
      <c r="B14" s="329"/>
      <c r="C14" s="330"/>
      <c r="D14" s="195" t="s">
        <v>243</v>
      </c>
      <c r="E14" s="203">
        <f t="shared" si="4"/>
        <v>0</v>
      </c>
      <c r="F14" s="203">
        <f t="shared" si="3"/>
        <v>0</v>
      </c>
      <c r="G14" s="204">
        <f>'[63]#)소사업별매출'!G884</f>
        <v>0</v>
      </c>
      <c r="H14" s="205">
        <f>'[63]#)소사업별매출'!H884</f>
        <v>0</v>
      </c>
      <c r="I14" s="205">
        <f>'[63]#)소사업별매출'!I884</f>
        <v>0</v>
      </c>
      <c r="J14" s="205">
        <f>'[63]#)소사업별매출'!J884</f>
        <v>0</v>
      </c>
      <c r="K14" s="205">
        <f>'[63]#)소사업별매출'!K884</f>
        <v>0</v>
      </c>
      <c r="L14" s="205">
        <f>'[63]#)소사업별매출'!L884</f>
        <v>0</v>
      </c>
      <c r="M14" s="205">
        <f>'[63]#)소사업별매출'!M884</f>
        <v>0</v>
      </c>
      <c r="N14" s="205">
        <f>'[63]#)소사업별매출'!N884</f>
        <v>0</v>
      </c>
      <c r="O14" s="205">
        <f>'[63]#)소사업별매출'!O884</f>
        <v>0</v>
      </c>
      <c r="P14" s="205">
        <f>'[63]#)소사업별매출'!P884</f>
        <v>0</v>
      </c>
      <c r="Q14" s="205">
        <f>'[63]#)소사업별매출'!Q884</f>
        <v>0</v>
      </c>
      <c r="R14" s="206">
        <f>'[63]#)소사업별매출'!R884</f>
        <v>0</v>
      </c>
      <c r="S14" s="174"/>
      <c r="T14" s="329"/>
      <c r="U14" s="330"/>
      <c r="V14" s="195" t="s">
        <v>243</v>
      </c>
      <c r="W14" s="203">
        <f t="shared" si="6"/>
        <v>0</v>
      </c>
      <c r="X14" s="203">
        <f t="shared" si="2"/>
        <v>0</v>
      </c>
      <c r="Y14" s="204">
        <f>'[63]#)소사업별매출'!Y884</f>
        <v>0</v>
      </c>
      <c r="Z14" s="205">
        <f>'[63]#)소사업별매출'!Z884</f>
        <v>0</v>
      </c>
      <c r="AA14" s="205">
        <f>'[63]#)소사업별매출'!AA884</f>
        <v>0</v>
      </c>
      <c r="AB14" s="205">
        <f>'[63]#)소사업별매출'!AB884</f>
        <v>0</v>
      </c>
      <c r="AC14" s="205">
        <f>'[63]#)소사업별매출'!AC884</f>
        <v>0</v>
      </c>
      <c r="AD14" s="205">
        <f>'[63]#)소사업별매출'!AD884</f>
        <v>0</v>
      </c>
      <c r="AE14" s="205">
        <f>'[63]#)소사업별매출'!AE884</f>
        <v>0</v>
      </c>
      <c r="AF14" s="205">
        <f>'[63]#)소사업별매출'!AF884</f>
        <v>0</v>
      </c>
      <c r="AG14" s="205">
        <f>'[63]#)소사업별매출'!AG884</f>
        <v>0</v>
      </c>
      <c r="AH14" s="205">
        <f>'[63]#)소사업별매출'!AH884</f>
        <v>0</v>
      </c>
      <c r="AI14" s="205">
        <f>'[63]#)소사업별매출'!AI884</f>
        <v>0</v>
      </c>
      <c r="AJ14" s="206">
        <f>'[63]#)소사업별매출'!AJ884</f>
        <v>0</v>
      </c>
    </row>
    <row r="15" spans="1:36" s="171" customFormat="1" ht="18" customHeight="1">
      <c r="A15" s="174"/>
      <c r="B15" s="329"/>
      <c r="C15" s="330"/>
      <c r="D15" s="195" t="s">
        <v>244</v>
      </c>
      <c r="E15" s="203">
        <f t="shared" si="4"/>
        <v>0</v>
      </c>
      <c r="F15" s="203">
        <f t="shared" si="3"/>
        <v>0</v>
      </c>
      <c r="G15" s="204">
        <f>'[63]#)소사업별매출'!G885</f>
        <v>0</v>
      </c>
      <c r="H15" s="205">
        <f>'[63]#)소사업별매출'!H885</f>
        <v>0</v>
      </c>
      <c r="I15" s="205">
        <f>'[63]#)소사업별매출'!I885</f>
        <v>0</v>
      </c>
      <c r="J15" s="205">
        <f>'[63]#)소사업별매출'!J885</f>
        <v>0</v>
      </c>
      <c r="K15" s="205">
        <f>'[63]#)소사업별매출'!K885</f>
        <v>0</v>
      </c>
      <c r="L15" s="205">
        <f>'[63]#)소사업별매출'!L885</f>
        <v>0</v>
      </c>
      <c r="M15" s="205">
        <f>'[63]#)소사업별매출'!M885</f>
        <v>0</v>
      </c>
      <c r="N15" s="205">
        <f>'[63]#)소사업별매출'!N885</f>
        <v>0</v>
      </c>
      <c r="O15" s="205">
        <f>'[63]#)소사업별매출'!O885</f>
        <v>0</v>
      </c>
      <c r="P15" s="205">
        <f>'[63]#)소사업별매출'!P885</f>
        <v>0</v>
      </c>
      <c r="Q15" s="205">
        <f>'[63]#)소사업별매출'!Q885</f>
        <v>0</v>
      </c>
      <c r="R15" s="206">
        <f>'[63]#)소사업별매출'!R885</f>
        <v>0</v>
      </c>
      <c r="S15" s="174"/>
      <c r="T15" s="329"/>
      <c r="U15" s="330"/>
      <c r="V15" s="195" t="s">
        <v>244</v>
      </c>
      <c r="W15" s="203">
        <f t="shared" si="6"/>
        <v>0</v>
      </c>
      <c r="X15" s="203">
        <f t="shared" si="2"/>
        <v>0</v>
      </c>
      <c r="Y15" s="204">
        <f>'[63]#)소사업별매출'!Y885</f>
        <v>0</v>
      </c>
      <c r="Z15" s="205">
        <f>'[63]#)소사업별매출'!Z885</f>
        <v>0</v>
      </c>
      <c r="AA15" s="205">
        <f>'[63]#)소사업별매출'!AA885</f>
        <v>0</v>
      </c>
      <c r="AB15" s="205">
        <f>'[63]#)소사업별매출'!AB885</f>
        <v>0</v>
      </c>
      <c r="AC15" s="205">
        <f>'[63]#)소사업별매출'!AC885</f>
        <v>0</v>
      </c>
      <c r="AD15" s="205">
        <f>'[63]#)소사업별매출'!AD885</f>
        <v>0</v>
      </c>
      <c r="AE15" s="205">
        <f>'[63]#)소사업별매출'!AE885</f>
        <v>0</v>
      </c>
      <c r="AF15" s="205">
        <f>'[63]#)소사업별매출'!AF885</f>
        <v>0</v>
      </c>
      <c r="AG15" s="205">
        <f>'[63]#)소사업별매출'!AG885</f>
        <v>0</v>
      </c>
      <c r="AH15" s="205">
        <f>'[63]#)소사업별매출'!AH885</f>
        <v>0</v>
      </c>
      <c r="AI15" s="205">
        <f>'[63]#)소사업별매출'!AI885</f>
        <v>0</v>
      </c>
      <c r="AJ15" s="206">
        <f>'[63]#)소사업별매출'!AJ885</f>
        <v>0</v>
      </c>
    </row>
    <row r="16" spans="1:36" s="171" customFormat="1" ht="18" customHeight="1">
      <c r="A16" s="174"/>
      <c r="B16" s="329"/>
      <c r="C16" s="330"/>
      <c r="D16" s="195" t="s">
        <v>245</v>
      </c>
      <c r="E16" s="203">
        <f t="shared" si="4"/>
        <v>0</v>
      </c>
      <c r="F16" s="203">
        <f t="shared" si="3"/>
        <v>0</v>
      </c>
      <c r="G16" s="204">
        <f>'[63]#)소사업별매출'!G886</f>
        <v>0</v>
      </c>
      <c r="H16" s="205">
        <f>'[63]#)소사업별매출'!H886</f>
        <v>0</v>
      </c>
      <c r="I16" s="205">
        <f>'[63]#)소사업별매출'!I886</f>
        <v>0</v>
      </c>
      <c r="J16" s="205">
        <f>'[63]#)소사업별매출'!J886</f>
        <v>0</v>
      </c>
      <c r="K16" s="205">
        <f>'[63]#)소사업별매출'!K886</f>
        <v>0</v>
      </c>
      <c r="L16" s="205">
        <f>'[63]#)소사업별매출'!L886</f>
        <v>0</v>
      </c>
      <c r="M16" s="205">
        <f>'[63]#)소사업별매출'!M886</f>
        <v>0</v>
      </c>
      <c r="N16" s="205">
        <f>'[63]#)소사업별매출'!N886</f>
        <v>0</v>
      </c>
      <c r="O16" s="205">
        <f>'[63]#)소사업별매출'!O886</f>
        <v>0</v>
      </c>
      <c r="P16" s="205">
        <f>'[63]#)소사업별매출'!P886</f>
        <v>0</v>
      </c>
      <c r="Q16" s="205">
        <f>'[63]#)소사업별매출'!Q886</f>
        <v>0</v>
      </c>
      <c r="R16" s="206">
        <f>'[63]#)소사업별매출'!R886</f>
        <v>0</v>
      </c>
      <c r="S16" s="174"/>
      <c r="T16" s="329"/>
      <c r="U16" s="330"/>
      <c r="V16" s="195" t="s">
        <v>245</v>
      </c>
      <c r="W16" s="203">
        <f t="shared" si="6"/>
        <v>0</v>
      </c>
      <c r="X16" s="203">
        <f t="shared" si="2"/>
        <v>0</v>
      </c>
      <c r="Y16" s="204">
        <f>'[63]#)소사업별매출'!Y886</f>
        <v>0</v>
      </c>
      <c r="Z16" s="205">
        <f>'[63]#)소사업별매출'!Z886</f>
        <v>0</v>
      </c>
      <c r="AA16" s="205">
        <f>'[63]#)소사업별매출'!AA886</f>
        <v>0</v>
      </c>
      <c r="AB16" s="205">
        <f>'[63]#)소사업별매출'!AB886</f>
        <v>0</v>
      </c>
      <c r="AC16" s="205">
        <f>'[63]#)소사업별매출'!AC886</f>
        <v>0</v>
      </c>
      <c r="AD16" s="205">
        <f>'[63]#)소사업별매출'!AD886</f>
        <v>0</v>
      </c>
      <c r="AE16" s="205">
        <f>'[63]#)소사업별매출'!AE886</f>
        <v>0</v>
      </c>
      <c r="AF16" s="205">
        <f>'[63]#)소사업별매출'!AF886</f>
        <v>0</v>
      </c>
      <c r="AG16" s="205">
        <f>'[63]#)소사업별매출'!AG886</f>
        <v>0</v>
      </c>
      <c r="AH16" s="205">
        <f>'[63]#)소사업별매출'!AH886</f>
        <v>0</v>
      </c>
      <c r="AI16" s="205">
        <f>'[63]#)소사업별매출'!AI886</f>
        <v>0</v>
      </c>
      <c r="AJ16" s="206">
        <f>'[63]#)소사업별매출'!AJ886</f>
        <v>0</v>
      </c>
    </row>
    <row r="17" spans="1:36" s="171" customFormat="1" ht="18" customHeight="1">
      <c r="A17" s="174"/>
      <c r="B17" s="327"/>
      <c r="C17" s="328"/>
      <c r="D17" s="207" t="s">
        <v>246</v>
      </c>
      <c r="E17" s="208">
        <f t="shared" si="4"/>
        <v>67969</v>
      </c>
      <c r="F17" s="208">
        <f t="shared" si="3"/>
        <v>67969</v>
      </c>
      <c r="G17" s="209">
        <f>'[63]#)소사업별매출'!G887</f>
        <v>8119</v>
      </c>
      <c r="H17" s="210">
        <f>'[63]#)소사업별매출'!H887</f>
        <v>8407</v>
      </c>
      <c r="I17" s="210">
        <f>'[63]#)소사업별매출'!I887</f>
        <v>8177</v>
      </c>
      <c r="J17" s="210">
        <f>'[63]#)소사업별매출'!J887</f>
        <v>8562</v>
      </c>
      <c r="K17" s="210">
        <f>'[63]#)소사업별매출'!K887</f>
        <v>8541</v>
      </c>
      <c r="L17" s="210">
        <f>'[63]#)소사업별매출'!L887</f>
        <v>8570</v>
      </c>
      <c r="M17" s="210">
        <f>'[63]#)소사업별매출'!M887</f>
        <v>8717</v>
      </c>
      <c r="N17" s="210">
        <f>'[63]#)소사업별매출'!N887</f>
        <v>8876</v>
      </c>
      <c r="O17" s="210">
        <f>'[63]#)소사업별매출'!O887</f>
        <v>0</v>
      </c>
      <c r="P17" s="210">
        <f>'[63]#)소사업별매출'!P887</f>
        <v>0</v>
      </c>
      <c r="Q17" s="210">
        <f>'[63]#)소사업별매출'!Q887</f>
        <v>0</v>
      </c>
      <c r="R17" s="211">
        <f>'[63]#)소사업별매출'!R887</f>
        <v>0</v>
      </c>
      <c r="S17" s="174"/>
      <c r="T17" s="327"/>
      <c r="U17" s="328"/>
      <c r="V17" s="207" t="s">
        <v>246</v>
      </c>
      <c r="W17" s="208">
        <f t="shared" si="6"/>
        <v>96000</v>
      </c>
      <c r="X17" s="208">
        <f t="shared" si="2"/>
        <v>64000</v>
      </c>
      <c r="Y17" s="209">
        <f>'[63]#)소사업별매출'!Y887</f>
        <v>8000</v>
      </c>
      <c r="Z17" s="210">
        <f>'[63]#)소사업별매출'!Z887</f>
        <v>8000</v>
      </c>
      <c r="AA17" s="210">
        <f>'[63]#)소사업별매출'!AA887</f>
        <v>8000</v>
      </c>
      <c r="AB17" s="210">
        <f>'[63]#)소사업별매출'!AB887</f>
        <v>8000</v>
      </c>
      <c r="AC17" s="210">
        <f>'[63]#)소사업별매출'!AC887</f>
        <v>8000</v>
      </c>
      <c r="AD17" s="210">
        <f>'[63]#)소사업별매출'!AD887</f>
        <v>8000</v>
      </c>
      <c r="AE17" s="210">
        <f>'[63]#)소사업별매출'!AE887</f>
        <v>8000</v>
      </c>
      <c r="AF17" s="210">
        <f>'[63]#)소사업별매출'!AF887</f>
        <v>8000</v>
      </c>
      <c r="AG17" s="210">
        <f>'[63]#)소사업별매출'!AG887</f>
        <v>8000</v>
      </c>
      <c r="AH17" s="210">
        <f>'[63]#)소사업별매출'!AH887</f>
        <v>8000</v>
      </c>
      <c r="AI17" s="210">
        <f>'[63]#)소사업별매출'!AI887</f>
        <v>8000</v>
      </c>
      <c r="AJ17" s="211">
        <f>'[63]#)소사업별매출'!AJ887</f>
        <v>8000</v>
      </c>
    </row>
    <row r="18" spans="1:36">
      <c r="V18" s="1" t="s">
        <v>310</v>
      </c>
    </row>
    <row r="19" spans="1:36">
      <c r="V19" s="190" t="s">
        <v>235</v>
      </c>
      <c r="W19" s="212">
        <f>W6/$W$6</f>
        <v>1</v>
      </c>
      <c r="X19" s="212"/>
      <c r="Y19" s="213">
        <f t="shared" ref="Y19:AJ19" si="8">Y6/$W$6</f>
        <v>7.929969104016478E-2</v>
      </c>
      <c r="Z19" s="214">
        <f t="shared" si="8"/>
        <v>6.4881565396498461E-2</v>
      </c>
      <c r="AA19" s="214">
        <f t="shared" si="8"/>
        <v>7.2433916924133201E-2</v>
      </c>
      <c r="AB19" s="214">
        <f t="shared" si="8"/>
        <v>7.9642979745966361E-2</v>
      </c>
      <c r="AC19" s="214">
        <f t="shared" si="8"/>
        <v>8.7195331273601101E-2</v>
      </c>
      <c r="AD19" s="214">
        <f t="shared" si="8"/>
        <v>8.1359423274974252E-2</v>
      </c>
      <c r="AE19" s="214">
        <f t="shared" si="8"/>
        <v>0.10607621009268794</v>
      </c>
      <c r="AF19" s="214">
        <f t="shared" si="8"/>
        <v>0.11294198420871954</v>
      </c>
      <c r="AG19" s="214">
        <f t="shared" si="8"/>
        <v>9.577754891864057E-2</v>
      </c>
      <c r="AH19" s="214">
        <f t="shared" si="8"/>
        <v>8.1359423274974252E-2</v>
      </c>
      <c r="AI19" s="214">
        <f t="shared" si="8"/>
        <v>6.6598008925506352E-2</v>
      </c>
      <c r="AJ19" s="215">
        <f t="shared" si="8"/>
        <v>7.2433916924133201E-2</v>
      </c>
    </row>
    <row r="20" spans="1:36">
      <c r="V20" s="195" t="s">
        <v>236</v>
      </c>
      <c r="W20" s="216">
        <f>W7/$W$7</f>
        <v>1</v>
      </c>
      <c r="X20" s="216"/>
      <c r="Y20" s="217">
        <f t="shared" ref="Y20:AJ20" si="9">Y7/$W$7</f>
        <v>7.1973827699018542E-2</v>
      </c>
      <c r="Z20" s="218">
        <f t="shared" si="9"/>
        <v>4.7982551799345692E-2</v>
      </c>
      <c r="AA20" s="218">
        <f t="shared" si="9"/>
        <v>6.8702290076335881E-2</v>
      </c>
      <c r="AB20" s="218">
        <f t="shared" si="9"/>
        <v>0.10141766630316248</v>
      </c>
      <c r="AC20" s="218">
        <f t="shared" si="9"/>
        <v>0.11341330425299891</v>
      </c>
      <c r="AD20" s="218">
        <f t="shared" si="9"/>
        <v>6.8702290076335881E-2</v>
      </c>
      <c r="AE20" s="218">
        <f t="shared" si="9"/>
        <v>5.2344601962922573E-2</v>
      </c>
      <c r="AF20" s="218">
        <f t="shared" si="9"/>
        <v>3.4896401308615051E-2</v>
      </c>
      <c r="AG20" s="218">
        <f t="shared" si="9"/>
        <v>8.5059978189749183E-2</v>
      </c>
      <c r="AH20" s="218">
        <f t="shared" si="9"/>
        <v>0.14067611777535441</v>
      </c>
      <c r="AI20" s="218">
        <f t="shared" si="9"/>
        <v>0.15158124318429661</v>
      </c>
      <c r="AJ20" s="219">
        <f t="shared" si="9"/>
        <v>6.3249727371864781E-2</v>
      </c>
    </row>
    <row r="21" spans="1:36">
      <c r="V21" s="207" t="s">
        <v>237</v>
      </c>
      <c r="W21" s="220">
        <f>W8/$W$8</f>
        <v>1</v>
      </c>
      <c r="X21" s="220"/>
      <c r="Y21" s="221">
        <f t="shared" ref="Y21:AJ21" si="10">Y8/$W$8</f>
        <v>7.1428571428571425E-2</v>
      </c>
      <c r="Z21" s="222">
        <f t="shared" si="10"/>
        <v>5.7491289198606271E-2</v>
      </c>
      <c r="AA21" s="222">
        <f t="shared" si="10"/>
        <v>6.4459930313588848E-2</v>
      </c>
      <c r="AB21" s="222">
        <f t="shared" si="10"/>
        <v>7.1428571428571425E-2</v>
      </c>
      <c r="AC21" s="222">
        <f t="shared" si="10"/>
        <v>8.5365853658536592E-2</v>
      </c>
      <c r="AD21" s="222">
        <f t="shared" si="10"/>
        <v>8.885017421602788E-2</v>
      </c>
      <c r="AE21" s="222">
        <f t="shared" si="10"/>
        <v>9.5818815331010457E-2</v>
      </c>
      <c r="AF21" s="222">
        <f t="shared" si="10"/>
        <v>0.10278745644599303</v>
      </c>
      <c r="AG21" s="222">
        <f t="shared" si="10"/>
        <v>9.5818815331010457E-2</v>
      </c>
      <c r="AH21" s="222">
        <f t="shared" si="10"/>
        <v>9.5818815331010457E-2</v>
      </c>
      <c r="AI21" s="222">
        <f t="shared" si="10"/>
        <v>8.885017421602788E-2</v>
      </c>
      <c r="AJ21" s="223">
        <f t="shared" si="10"/>
        <v>8.188153310104529E-2</v>
      </c>
    </row>
    <row r="22" spans="1:36">
      <c r="V22" s="340" t="s">
        <v>309</v>
      </c>
      <c r="W22" s="339"/>
      <c r="X22" s="339"/>
      <c r="Y22" s="339"/>
      <c r="Z22" s="339"/>
      <c r="AA22" s="339"/>
      <c r="AB22" s="339"/>
      <c r="AC22" s="339"/>
      <c r="AD22" s="339"/>
      <c r="AE22" s="339"/>
      <c r="AF22" s="339"/>
      <c r="AG22" s="339"/>
      <c r="AH22" s="339"/>
      <c r="AI22" s="339"/>
      <c r="AJ22" s="339"/>
    </row>
    <row r="23" spans="1:36">
      <c r="R23" s="251">
        <f>W23/SUM($W$23:$W$25)</f>
        <v>0.65498102771882438</v>
      </c>
      <c r="V23" s="388" t="s">
        <v>237</v>
      </c>
      <c r="W23" s="389">
        <f>'[62]1.매출'!D154</f>
        <v>36357.951000000001</v>
      </c>
      <c r="X23" s="389">
        <f>SUM(Y23:AJ23)</f>
        <v>36355</v>
      </c>
      <c r="Y23" s="390">
        <f>ROUND($W$23*Y21,0)-5</f>
        <v>2592</v>
      </c>
      <c r="Z23" s="391">
        <f t="shared" ref="Z23:AE23" si="11">ROUND($W$23*Z21,0)</f>
        <v>2090</v>
      </c>
      <c r="AA23" s="391">
        <f t="shared" si="11"/>
        <v>2344</v>
      </c>
      <c r="AB23" s="391">
        <f t="shared" si="11"/>
        <v>2597</v>
      </c>
      <c r="AC23" s="391">
        <f t="shared" si="11"/>
        <v>3104</v>
      </c>
      <c r="AD23" s="391">
        <f t="shared" si="11"/>
        <v>3230</v>
      </c>
      <c r="AE23" s="391">
        <f t="shared" si="11"/>
        <v>3484</v>
      </c>
      <c r="AF23" s="391">
        <f>ROUND($W$23*AF21,0)+2</f>
        <v>3739</v>
      </c>
      <c r="AG23" s="391">
        <f>ROUND($W$23*AG21,0)</f>
        <v>3484</v>
      </c>
      <c r="AH23" s="391">
        <f>ROUND($W$23*AH21,0)</f>
        <v>3484</v>
      </c>
      <c r="AI23" s="391">
        <f>ROUND($W$23*AI21,0)</f>
        <v>3230</v>
      </c>
      <c r="AJ23" s="392">
        <f>ROUND($W$23*AJ21,0)</f>
        <v>2977</v>
      </c>
    </row>
    <row r="24" spans="1:36">
      <c r="R24" s="251">
        <f t="shared" ref="R24:R25" si="12">W24/SUM($W$23:$W$25)</f>
        <v>0.28070615473663901</v>
      </c>
      <c r="V24" s="393" t="s">
        <v>235</v>
      </c>
      <c r="W24" s="394">
        <f>'[62]1.매출'!D155</f>
        <v>15581.978999999999</v>
      </c>
      <c r="X24" s="394">
        <f t="shared" ref="X24:X25" si="13">SUM(Y24:AJ24)</f>
        <v>15585</v>
      </c>
      <c r="Y24" s="395">
        <f t="shared" ref="Y24:AE24" si="14">ROUND($W$24*Y19,0)</f>
        <v>1236</v>
      </c>
      <c r="Z24" s="396">
        <f t="shared" si="14"/>
        <v>1011</v>
      </c>
      <c r="AA24" s="396">
        <f t="shared" si="14"/>
        <v>1129</v>
      </c>
      <c r="AB24" s="396">
        <f t="shared" si="14"/>
        <v>1241</v>
      </c>
      <c r="AC24" s="396">
        <f t="shared" si="14"/>
        <v>1359</v>
      </c>
      <c r="AD24" s="396">
        <f t="shared" si="14"/>
        <v>1268</v>
      </c>
      <c r="AE24" s="396">
        <f t="shared" si="14"/>
        <v>1653</v>
      </c>
      <c r="AF24" s="396">
        <f>ROUND($W$24*AF19,0)+1</f>
        <v>1761</v>
      </c>
      <c r="AG24" s="396">
        <f>ROUND($W$24*AG19,0)</f>
        <v>1492</v>
      </c>
      <c r="AH24" s="396">
        <f>ROUND($W$24*AH19,0)</f>
        <v>1268</v>
      </c>
      <c r="AI24" s="396">
        <f>ROUND($W$24*AI19,0)</f>
        <v>1038</v>
      </c>
      <c r="AJ24" s="397">
        <f>ROUND($W$24*AJ19,0)</f>
        <v>1129</v>
      </c>
    </row>
    <row r="25" spans="1:36">
      <c r="R25" s="251">
        <f t="shared" si="12"/>
        <v>6.4312817544536632E-2</v>
      </c>
      <c r="V25" s="398" t="s">
        <v>249</v>
      </c>
      <c r="W25" s="399">
        <f>'[62]1.매출'!D156</f>
        <v>3570</v>
      </c>
      <c r="X25" s="399">
        <f t="shared" si="13"/>
        <v>3570</v>
      </c>
      <c r="Y25" s="400">
        <f t="shared" ref="Y25:AJ25" si="15">ROUND($W$25*Y19,0)</f>
        <v>283</v>
      </c>
      <c r="Z25" s="401">
        <f t="shared" si="15"/>
        <v>232</v>
      </c>
      <c r="AA25" s="401">
        <f t="shared" si="15"/>
        <v>259</v>
      </c>
      <c r="AB25" s="401">
        <f t="shared" si="15"/>
        <v>284</v>
      </c>
      <c r="AC25" s="401">
        <f t="shared" si="15"/>
        <v>311</v>
      </c>
      <c r="AD25" s="401">
        <f t="shared" si="15"/>
        <v>290</v>
      </c>
      <c r="AE25" s="401">
        <f t="shared" si="15"/>
        <v>379</v>
      </c>
      <c r="AF25" s="401">
        <f t="shared" si="15"/>
        <v>403</v>
      </c>
      <c r="AG25" s="401">
        <f t="shared" si="15"/>
        <v>342</v>
      </c>
      <c r="AH25" s="401">
        <f t="shared" si="15"/>
        <v>290</v>
      </c>
      <c r="AI25" s="401">
        <f t="shared" si="15"/>
        <v>238</v>
      </c>
      <c r="AJ25" s="402">
        <f t="shared" si="15"/>
        <v>259</v>
      </c>
    </row>
    <row r="26" spans="1:36">
      <c r="V26" s="340" t="s">
        <v>250</v>
      </c>
      <c r="W26" s="339"/>
      <c r="X26" s="339"/>
      <c r="Y26" s="339"/>
      <c r="Z26" s="339"/>
      <c r="AA26" s="339"/>
      <c r="AB26" s="339"/>
      <c r="AC26" s="339"/>
      <c r="AD26" s="339"/>
      <c r="AE26" s="339"/>
      <c r="AF26" s="339"/>
      <c r="AG26" s="339"/>
      <c r="AH26" s="339"/>
      <c r="AI26" s="339"/>
      <c r="AJ26" s="339"/>
    </row>
    <row r="27" spans="1:36">
      <c r="V27" s="388" t="s">
        <v>237</v>
      </c>
      <c r="W27" s="389">
        <f>'[62]1.매출'!D164</f>
        <v>11892830.285797833</v>
      </c>
      <c r="X27" s="389">
        <f>SUM(Y27:AJ27)</f>
        <v>11891865.001968352</v>
      </c>
      <c r="Y27" s="390">
        <f>Y23*'[62]1.매출'!$D$161/1000</f>
        <v>847853.50254715909</v>
      </c>
      <c r="Z27" s="391">
        <f>Z23*'[62]1.매출'!$D$161/1000</f>
        <v>683647.30722359661</v>
      </c>
      <c r="AA27" s="391">
        <f>AA23*'[62]1.매출'!$D$161/1000</f>
        <v>766731.71680962213</v>
      </c>
      <c r="AB27" s="391">
        <f>AB23*'[62]1.매출'!$D$161/1000</f>
        <v>849489.02242089971</v>
      </c>
      <c r="AC27" s="391">
        <f>AC23*'[62]1.매출'!$D$161/1000</f>
        <v>1015330.7376182028</v>
      </c>
      <c r="AD27" s="391">
        <f>AD23*'[62]1.매출'!$D$161/1000</f>
        <v>1056545.8384364673</v>
      </c>
      <c r="AE27" s="391">
        <f>AE23*'[62]1.매출'!$D$161/1000</f>
        <v>1139630.2480224932</v>
      </c>
      <c r="AF27" s="411">
        <f>AF23*'[62]1.매출'!$D$161/1000</f>
        <v>1223041.7615832668</v>
      </c>
      <c r="AG27" s="391">
        <f>AG23*'[62]1.매출'!$D$161/1000</f>
        <v>1139630.2480224932</v>
      </c>
      <c r="AH27" s="391">
        <f>AH23*'[62]1.매출'!$D$161/1000</f>
        <v>1139630.2480224932</v>
      </c>
      <c r="AI27" s="391">
        <f>AI23*'[62]1.매출'!$D$161/1000</f>
        <v>1056545.8384364673</v>
      </c>
      <c r="AJ27" s="392">
        <f>AJ23*'[62]1.매출'!$D$161/1000</f>
        <v>973788.53282518999</v>
      </c>
    </row>
    <row r="28" spans="1:36">
      <c r="V28" s="393" t="s">
        <v>235</v>
      </c>
      <c r="W28" s="394">
        <f>'[62]1.매출'!D165</f>
        <v>4427095.4320984166</v>
      </c>
      <c r="X28" s="394">
        <f t="shared" ref="X28:X29" si="16">SUM(Y28:AJ28)</f>
        <v>4427953.7476756843</v>
      </c>
      <c r="Y28" s="395">
        <f>Y24*'[62]1.매출'!$D$162/1000</f>
        <v>351167.84293404856</v>
      </c>
      <c r="Z28" s="396">
        <f>Z24*'[62]1.매출'!$D$162/1000</f>
        <v>287241.65793391835</v>
      </c>
      <c r="AA28" s="396">
        <f>AA24*'[62]1.매출'!$D$162/1000</f>
        <v>320767.39051176439</v>
      </c>
      <c r="AB28" s="396">
        <f>AB24*'[62]1.매출'!$D$162/1000</f>
        <v>352588.42482294037</v>
      </c>
      <c r="AC28" s="396">
        <f>AC24*'[62]1.매출'!$D$162/1000</f>
        <v>386114.15740078641</v>
      </c>
      <c r="AD28" s="396">
        <f>AD24*'[62]1.매출'!$D$162/1000</f>
        <v>360259.56702295598</v>
      </c>
      <c r="AE28" s="396">
        <f>AE24*'[62]1.매출'!$D$162/1000</f>
        <v>469644.37246762315</v>
      </c>
      <c r="AF28" s="412">
        <f>AF24*'[62]1.매출'!$D$162/1000</f>
        <v>500328.94126768567</v>
      </c>
      <c r="AG28" s="396">
        <f>AG24*'[62]1.매출'!$D$162/1000</f>
        <v>423901.63564530778</v>
      </c>
      <c r="AH28" s="396">
        <f>AH24*'[62]1.매출'!$D$162/1000</f>
        <v>360259.56702295598</v>
      </c>
      <c r="AI28" s="396">
        <f>AI24*'[62]1.매출'!$D$162/1000</f>
        <v>294912.80013393395</v>
      </c>
      <c r="AJ28" s="397">
        <f>AJ24*'[62]1.매출'!$D$162/1000</f>
        <v>320767.39051176439</v>
      </c>
    </row>
    <row r="29" spans="1:36">
      <c r="V29" s="398" t="s">
        <v>249</v>
      </c>
      <c r="W29" s="399">
        <f>'[62]1.매출'!D166</f>
        <v>0</v>
      </c>
      <c r="X29" s="399">
        <f t="shared" si="16"/>
        <v>0</v>
      </c>
      <c r="Y29" s="400">
        <f>Y25*0</f>
        <v>0</v>
      </c>
      <c r="Z29" s="401">
        <f t="shared" ref="Z29:AJ29" si="17">Z25*0</f>
        <v>0</v>
      </c>
      <c r="AA29" s="401">
        <f t="shared" si="17"/>
        <v>0</v>
      </c>
      <c r="AB29" s="401">
        <f t="shared" si="17"/>
        <v>0</v>
      </c>
      <c r="AC29" s="401">
        <f t="shared" si="17"/>
        <v>0</v>
      </c>
      <c r="AD29" s="401">
        <f t="shared" si="17"/>
        <v>0</v>
      </c>
      <c r="AE29" s="401">
        <f t="shared" si="17"/>
        <v>0</v>
      </c>
      <c r="AF29" s="401">
        <f t="shared" si="17"/>
        <v>0</v>
      </c>
      <c r="AG29" s="401">
        <f t="shared" si="17"/>
        <v>0</v>
      </c>
      <c r="AH29" s="401">
        <f t="shared" si="17"/>
        <v>0</v>
      </c>
      <c r="AI29" s="401">
        <f t="shared" si="17"/>
        <v>0</v>
      </c>
      <c r="AJ29" s="402">
        <f t="shared" si="17"/>
        <v>0</v>
      </c>
    </row>
    <row r="30" spans="1:36">
      <c r="V30" s="1" t="s">
        <v>308</v>
      </c>
      <c r="X30" s="3">
        <v>238</v>
      </c>
      <c r="Y30" s="3">
        <v>31</v>
      </c>
      <c r="Z30" s="3">
        <v>28</v>
      </c>
      <c r="AA30" s="3">
        <v>31</v>
      </c>
      <c r="AB30" s="3">
        <v>30</v>
      </c>
      <c r="AC30" s="3">
        <v>31</v>
      </c>
      <c r="AD30" s="3">
        <v>30</v>
      </c>
      <c r="AE30" s="3">
        <v>31</v>
      </c>
      <c r="AF30" s="3">
        <v>31</v>
      </c>
      <c r="AG30" s="3">
        <v>30</v>
      </c>
      <c r="AH30" s="3">
        <v>31</v>
      </c>
      <c r="AI30" s="3">
        <v>30</v>
      </c>
      <c r="AJ30" s="3">
        <v>31</v>
      </c>
    </row>
    <row r="31" spans="1:36">
      <c r="V31" s="270" t="s">
        <v>237</v>
      </c>
      <c r="W31" s="271">
        <f>SUM(Y31:AJ31)</f>
        <v>86870</v>
      </c>
      <c r="X31" s="271">
        <f>SUM(Y31:AJ31)</f>
        <v>86870</v>
      </c>
      <c r="Y31" s="272">
        <f>$X$30*Y30</f>
        <v>7378</v>
      </c>
      <c r="Z31" s="273">
        <f t="shared" ref="Z31:AJ31" si="18">$X$30*Z30</f>
        <v>6664</v>
      </c>
      <c r="AA31" s="273">
        <f t="shared" si="18"/>
        <v>7378</v>
      </c>
      <c r="AB31" s="273">
        <f t="shared" si="18"/>
        <v>7140</v>
      </c>
      <c r="AC31" s="273">
        <f t="shared" si="18"/>
        <v>7378</v>
      </c>
      <c r="AD31" s="273">
        <f t="shared" si="18"/>
        <v>7140</v>
      </c>
      <c r="AE31" s="273">
        <f t="shared" si="18"/>
        <v>7378</v>
      </c>
      <c r="AF31" s="273">
        <f t="shared" si="18"/>
        <v>7378</v>
      </c>
      <c r="AG31" s="273">
        <f t="shared" si="18"/>
        <v>7140</v>
      </c>
      <c r="AH31" s="273">
        <f t="shared" si="18"/>
        <v>7378</v>
      </c>
      <c r="AI31" s="273">
        <f t="shared" si="18"/>
        <v>7140</v>
      </c>
      <c r="AJ31" s="274">
        <f t="shared" si="18"/>
        <v>7378</v>
      </c>
    </row>
    <row r="32" spans="1:36">
      <c r="W32" s="262"/>
      <c r="X32" s="224"/>
    </row>
  </sheetData>
  <mergeCells count="24">
    <mergeCell ref="B3:D4"/>
    <mergeCell ref="B6:C6"/>
    <mergeCell ref="B7:C7"/>
    <mergeCell ref="E3:E4"/>
    <mergeCell ref="T3:V4"/>
    <mergeCell ref="W3:W4"/>
    <mergeCell ref="T6:U6"/>
    <mergeCell ref="T10:U10"/>
    <mergeCell ref="T12:U12"/>
    <mergeCell ref="T11:U11"/>
    <mergeCell ref="T7:U7"/>
    <mergeCell ref="B16:C16"/>
    <mergeCell ref="B17:C17"/>
    <mergeCell ref="B10:C10"/>
    <mergeCell ref="B11:C11"/>
    <mergeCell ref="B12:C12"/>
    <mergeCell ref="B13:C13"/>
    <mergeCell ref="B14:C14"/>
    <mergeCell ref="B15:C15"/>
    <mergeCell ref="T17:U17"/>
    <mergeCell ref="T16:U16"/>
    <mergeCell ref="T15:U15"/>
    <mergeCell ref="T14:U14"/>
    <mergeCell ref="T13:U13"/>
  </mergeCells>
  <phoneticPr fontId="8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F30CD-8EF1-F846-BA9F-15FE9AEC2574}">
  <dimension ref="C7:C8"/>
  <sheetViews>
    <sheetView tabSelected="1" workbookViewId="0">
      <selection activeCell="C8" sqref="C8"/>
    </sheetView>
  </sheetViews>
  <sheetFormatPr baseColWidth="10" defaultRowHeight="17"/>
  <sheetData>
    <row r="7" spans="3:3">
      <c r="C7" t="s">
        <v>340</v>
      </c>
    </row>
    <row r="8" spans="3:3">
      <c r="C8" s="413" t="s">
        <v>340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7</vt:i4>
      </vt:variant>
    </vt:vector>
  </HeadingPairs>
  <TitlesOfParts>
    <vt:vector size="17" baseType="lpstr">
      <vt:lpstr>요약</vt:lpstr>
      <vt:lpstr>손익계산서</vt:lpstr>
      <vt:lpstr>1)총비용</vt:lpstr>
      <vt:lpstr>2)팀공통비</vt:lpstr>
      <vt:lpstr>3)직접비</vt:lpstr>
      <vt:lpstr>매출목표</vt:lpstr>
      <vt:lpstr>#)비용</vt:lpstr>
      <vt:lpstr>#)참고자료</vt:lpstr>
      <vt:lpstr>Sheet1</vt:lpstr>
      <vt:lpstr>사업계획 목표</vt:lpstr>
      <vt:lpstr>'1)총비용'!Print_Area</vt:lpstr>
      <vt:lpstr>'2)팀공통비'!Print_Area</vt:lpstr>
      <vt:lpstr>'3)직접비'!Print_Area</vt:lpstr>
      <vt:lpstr>손익계산서!Print_Area</vt:lpstr>
      <vt:lpstr>요약!Print_Area</vt:lpstr>
      <vt:lpstr>손익계산서!Print_Titles</vt:lpstr>
      <vt:lpstr>요약!Print_Titles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VMAdmin</dc:creator>
  <cp:lastModifiedBy>찬민 박</cp:lastModifiedBy>
  <cp:lastPrinted>2025-10-01T06:01:34Z</cp:lastPrinted>
  <dcterms:created xsi:type="dcterms:W3CDTF">2025-09-07T06:43:29Z</dcterms:created>
  <dcterms:modified xsi:type="dcterms:W3CDTF">2026-05-07T07:07:17Z</dcterms:modified>
</cp:coreProperties>
</file>