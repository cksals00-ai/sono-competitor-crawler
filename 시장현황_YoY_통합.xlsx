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oY" sheetId="1" state="visible" r:id="rId3"/>
    <sheet name="2026" sheetId="2" state="visible" r:id="rId4"/>
    <sheet name="2025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<sst xmlns="http://schemas.openxmlformats.org/spreadsheetml/2006/main" count="297" uniqueCount="92">
  <si>
    <r>
      <rPr>
        <b val="true"/>
        <sz val="14"/>
        <color rgb="FFFFFFFF"/>
        <rFont val="DejaVu Sans"/>
        <family val="2"/>
      </rPr>
      <t xml:space="preserve">시장 현황 </t>
    </r>
    <r>
      <rPr>
        <b val="true"/>
        <sz val="14"/>
        <color rgb="FFFFFFFF"/>
        <rFont val="Arial"/>
        <family val="0"/>
        <charset val="1"/>
      </rPr>
      <t xml:space="preserve">YoY </t>
    </r>
    <r>
      <rPr>
        <b val="true"/>
        <sz val="14"/>
        <color rgb="FFFFFFFF"/>
        <rFont val="DejaVu Sans"/>
        <family val="2"/>
      </rPr>
      <t xml:space="preserve">비교</t>
    </r>
  </si>
  <si>
    <r>
      <rPr>
        <b val="true"/>
        <sz val="11"/>
        <rFont val="DejaVu Sans"/>
        <family val="2"/>
      </rPr>
      <t xml:space="preserve">조회 월 선택</t>
    </r>
    <r>
      <rPr>
        <b val="true"/>
        <sz val="11"/>
        <rFont val="Arial"/>
        <family val="0"/>
        <charset val="1"/>
      </rPr>
      <t xml:space="preserve">:</t>
    </r>
  </si>
  <si>
    <r>
      <rPr>
        <i val="true"/>
        <sz val="9"/>
        <color rgb="FF888888"/>
        <rFont val="Arial"/>
        <family val="0"/>
        <charset val="1"/>
      </rPr>
      <t xml:space="preserve">← 1~4 </t>
    </r>
    <r>
      <rPr>
        <i val="true"/>
        <sz val="9"/>
        <color rgb="FF888888"/>
        <rFont val="DejaVu Sans"/>
        <family val="2"/>
      </rPr>
      <t xml:space="preserve">입력</t>
    </r>
  </si>
  <si>
    <t xml:space="preserve">전체 평균 증감</t>
  </si>
  <si>
    <r>
      <rPr>
        <b val="true"/>
        <sz val="9"/>
        <color rgb="FFFFFFFF"/>
        <rFont val="DejaVu Sans"/>
        <family val="2"/>
      </rPr>
      <t xml:space="preserve">자사</t>
    </r>
    <r>
      <rPr>
        <b val="true"/>
        <sz val="9"/>
        <color rgb="FFFFFFFF"/>
        <rFont val="Arial"/>
        <family val="0"/>
        <charset val="1"/>
      </rPr>
      <t xml:space="preserve">(SONO) </t>
    </r>
    <r>
      <rPr>
        <b val="true"/>
        <sz val="9"/>
        <color rgb="FFFFFFFF"/>
        <rFont val="DejaVu Sans"/>
        <family val="2"/>
      </rPr>
      <t xml:space="preserve">평균</t>
    </r>
  </si>
  <si>
    <r>
      <rPr>
        <b val="true"/>
        <sz val="9"/>
        <color rgb="FFFFFFFF"/>
        <rFont val="DejaVu Sans"/>
        <family val="2"/>
      </rPr>
      <t xml:space="preserve">상승 </t>
    </r>
    <r>
      <rPr>
        <b val="true"/>
        <sz val="9"/>
        <color rgb="FFFFFFFF"/>
        <rFont val="Arial"/>
        <family val="0"/>
        <charset val="1"/>
      </rPr>
      <t xml:space="preserve">(≥+0.5%p)</t>
    </r>
  </si>
  <si>
    <r>
      <rPr>
        <b val="true"/>
        <sz val="9"/>
        <color rgb="FFFFFFFF"/>
        <rFont val="DejaVu Sans"/>
        <family val="2"/>
      </rPr>
      <t xml:space="preserve">하락 </t>
    </r>
    <r>
      <rPr>
        <b val="true"/>
        <sz val="9"/>
        <color rgb="FFFFFFFF"/>
        <rFont val="Arial"/>
        <family val="0"/>
        <charset val="1"/>
      </rPr>
      <t xml:space="preserve">(≤-0.5%p)</t>
    </r>
  </si>
  <si>
    <t xml:space="preserve">보합</t>
  </si>
  <si>
    <t xml:space="preserve">신규</t>
  </si>
  <si>
    <t xml:space="preserve">지역</t>
  </si>
  <si>
    <t xml:space="preserve">시설명</t>
  </si>
  <si>
    <t xml:space="preserve">자사</t>
  </si>
  <si>
    <r>
      <rPr>
        <b val="true"/>
        <sz val="10"/>
        <color rgb="FFFFFFFF"/>
        <rFont val="DejaVu Sans"/>
        <family val="2"/>
      </rPr>
      <t xml:space="preserve">객실수</t>
    </r>
    <r>
      <rPr>
        <b val="true"/>
        <sz val="10"/>
        <color rgb="FFFFFFFF"/>
        <rFont val="Arial"/>
        <family val="0"/>
        <charset val="1"/>
      </rPr>
      <t xml:space="preserve">(25)</t>
    </r>
  </si>
  <si>
    <r>
      <rPr>
        <b val="true"/>
        <sz val="10"/>
        <color rgb="FFFFFFFF"/>
        <rFont val="DejaVu Sans"/>
        <family val="2"/>
      </rPr>
      <t xml:space="preserve">객실수</t>
    </r>
    <r>
      <rPr>
        <b val="true"/>
        <sz val="10"/>
        <color rgb="FFFFFFFF"/>
        <rFont val="Arial"/>
        <family val="0"/>
        <charset val="1"/>
      </rPr>
      <t xml:space="preserve">(26)</t>
    </r>
  </si>
  <si>
    <r>
      <rPr>
        <b val="true"/>
        <sz val="10"/>
        <color rgb="FFFFFFFF"/>
        <rFont val="Arial"/>
        <family val="0"/>
        <charset val="1"/>
      </rPr>
      <t xml:space="preserve">25</t>
    </r>
    <r>
      <rPr>
        <b val="true"/>
        <sz val="10"/>
        <color rgb="FFFFFFFF"/>
        <rFont val="DejaVu Sans"/>
        <family val="2"/>
      </rPr>
      <t xml:space="preserve">년 </t>
    </r>
    <r>
      <rPr>
        <b val="true"/>
        <sz val="10"/>
        <color rgb="FFFFFFFF"/>
        <rFont val="Arial"/>
        <family val="0"/>
        <charset val="1"/>
      </rPr>
      <t xml:space="preserve">OCC</t>
    </r>
  </si>
  <si>
    <r>
      <rPr>
        <b val="true"/>
        <sz val="10"/>
        <color rgb="FFFFFFFF"/>
        <rFont val="Arial"/>
        <family val="0"/>
        <charset val="1"/>
      </rPr>
      <t xml:space="preserve">26</t>
    </r>
    <r>
      <rPr>
        <b val="true"/>
        <sz val="10"/>
        <color rgb="FFFFFFFF"/>
        <rFont val="DejaVu Sans"/>
        <family val="2"/>
      </rPr>
      <t xml:space="preserve">년 </t>
    </r>
    <r>
      <rPr>
        <b val="true"/>
        <sz val="10"/>
        <color rgb="FFFFFFFF"/>
        <rFont val="Arial"/>
        <family val="0"/>
        <charset val="1"/>
      </rPr>
      <t xml:space="preserve">OCC</t>
    </r>
  </si>
  <si>
    <r>
      <rPr>
        <b val="true"/>
        <sz val="10"/>
        <color rgb="FFFFFFFF"/>
        <rFont val="DejaVu Sans"/>
        <family val="2"/>
      </rPr>
      <t xml:space="preserve">증감</t>
    </r>
    <r>
      <rPr>
        <b val="true"/>
        <sz val="10"/>
        <color rgb="FFFFFFFF"/>
        <rFont val="Arial"/>
        <family val="0"/>
        <charset val="1"/>
      </rPr>
      <t xml:space="preserve">(%p)</t>
    </r>
  </si>
  <si>
    <t xml:space="preserve">강원도 서부 지역</t>
  </si>
  <si>
    <t xml:space="preserve">소노캄 비발디파크</t>
  </si>
  <si>
    <t xml:space="preserve">Y</t>
  </si>
  <si>
    <t xml:space="preserve">소노벨리체 비발디</t>
  </si>
  <si>
    <t xml:space="preserve">소노펠리체 빌리지 비발디</t>
  </si>
  <si>
    <t xml:space="preserve">용평</t>
  </si>
  <si>
    <t xml:space="preserve">휘닉스파크</t>
  </si>
  <si>
    <t xml:space="preserve">오크밸리</t>
  </si>
  <si>
    <t xml:space="preserve">웰리힐리</t>
  </si>
  <si>
    <t xml:space="preserve">소노벨 양평</t>
  </si>
  <si>
    <t xml:space="preserve">-</t>
  </si>
  <si>
    <t xml:space="preserve">NEW</t>
  </si>
  <si>
    <t xml:space="preserve">강원도 동부 지역</t>
  </si>
  <si>
    <t xml:space="preserve">델피노</t>
  </si>
  <si>
    <t xml:space="preserve">쏠비치 양양</t>
  </si>
  <si>
    <t xml:space="preserve">쏠비치 삼척</t>
  </si>
  <si>
    <t xml:space="preserve">롯데리조트 속초</t>
  </si>
  <si>
    <t xml:space="preserve">카시아리조트</t>
  </si>
  <si>
    <t xml:space="preserve">한화리조트 속초</t>
  </si>
  <si>
    <t xml:space="preserve">한화브리드 양양</t>
  </si>
  <si>
    <t xml:space="preserve">윈덤 호텔 고성</t>
  </si>
  <si>
    <r>
      <rPr>
        <sz val="10"/>
        <color rgb="FF58A6FF"/>
        <rFont val="DejaVu Sans"/>
        <family val="2"/>
      </rPr>
      <t xml:space="preserve">르네블루 </t>
    </r>
    <r>
      <rPr>
        <sz val="10"/>
        <color rgb="FF58A6FF"/>
        <rFont val="Arial"/>
        <family val="0"/>
        <charset val="1"/>
      </rPr>
      <t xml:space="preserve">by </t>
    </r>
    <r>
      <rPr>
        <sz val="10"/>
        <color rgb="FF58A6FF"/>
        <rFont val="DejaVu Sans"/>
        <family val="2"/>
      </rPr>
      <t xml:space="preserve">쏠비치 고성</t>
    </r>
  </si>
  <si>
    <t xml:space="preserve">켄싱턴리조트 속초</t>
  </si>
  <si>
    <t xml:space="preserve">경상도 지역</t>
  </si>
  <si>
    <t xml:space="preserve">소노캄 경주</t>
  </si>
  <si>
    <t xml:space="preserve">라한셀렉트</t>
  </si>
  <si>
    <t xml:space="preserve">켄싱턴</t>
  </si>
  <si>
    <t xml:space="preserve">한화리조트 경주</t>
  </si>
  <si>
    <t xml:space="preserve">소노벨 단양</t>
  </si>
  <si>
    <t xml:space="preserve">포레스트 리솜</t>
  </si>
  <si>
    <t xml:space="preserve">소노벨 청송</t>
  </si>
  <si>
    <r>
      <rPr>
        <b val="true"/>
        <sz val="10"/>
        <color rgb="FFFFFFFF"/>
        <rFont val="DejaVu Sans"/>
        <family val="2"/>
      </rPr>
      <t xml:space="preserve">충청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전북 지역</t>
    </r>
  </si>
  <si>
    <t xml:space="preserve">소노벨 천안</t>
  </si>
  <si>
    <t xml:space="preserve">덕산스플라스 리솜</t>
  </si>
  <si>
    <t xml:space="preserve">안면도 아일랜드 리솜</t>
  </si>
  <si>
    <t xml:space="preserve">소노벨 변산</t>
  </si>
  <si>
    <r>
      <rPr>
        <b val="true"/>
        <sz val="10"/>
        <color rgb="FFFFFFFF"/>
        <rFont val="DejaVu Sans"/>
        <family val="2"/>
      </rPr>
      <t xml:space="preserve">전라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경상도 지역</t>
    </r>
  </si>
  <si>
    <t xml:space="preserve">소노캄 여수</t>
  </si>
  <si>
    <t xml:space="preserve">쏠비치 진도</t>
  </si>
  <si>
    <t xml:space="preserve">벨메르 한화</t>
  </si>
  <si>
    <t xml:space="preserve">신라스테이 여수</t>
  </si>
  <si>
    <t xml:space="preserve">유탑마리나</t>
  </si>
  <si>
    <t xml:space="preserve">금호리조트 통영</t>
  </si>
  <si>
    <t xml:space="preserve">쏠비치 남해</t>
  </si>
  <si>
    <t xml:space="preserve">소노캄 거제</t>
  </si>
  <si>
    <t xml:space="preserve">한화리조트 벨버디어</t>
  </si>
  <si>
    <t xml:space="preserve">부산지역</t>
  </si>
  <si>
    <t xml:space="preserve">소노문 해운대</t>
  </si>
  <si>
    <t xml:space="preserve">한화리조트 해운대</t>
  </si>
  <si>
    <r>
      <rPr>
        <sz val="10"/>
        <color rgb="FF000000"/>
        <rFont val="DejaVu Sans"/>
        <family val="2"/>
      </rPr>
      <t xml:space="preserve">롯데 </t>
    </r>
    <r>
      <rPr>
        <sz val="10"/>
        <color rgb="FF000000"/>
        <rFont val="Arial"/>
        <family val="0"/>
        <charset val="1"/>
      </rPr>
      <t xml:space="preserve">L7</t>
    </r>
    <r>
      <rPr>
        <sz val="10"/>
        <color rgb="FF000000"/>
        <rFont val="DejaVu Sans"/>
        <family val="2"/>
      </rPr>
      <t xml:space="preserve">호텔 해운대</t>
    </r>
  </si>
  <si>
    <t xml:space="preserve">베스트웨스턴</t>
  </si>
  <si>
    <t xml:space="preserve">라마다 해운대</t>
  </si>
  <si>
    <t xml:space="preserve">롯데리조트 김해</t>
  </si>
  <si>
    <t xml:space="preserve">제주도 지역</t>
  </si>
  <si>
    <t xml:space="preserve">소노벨 제주</t>
  </si>
  <si>
    <t xml:space="preserve">소노캄 제주</t>
  </si>
  <si>
    <t xml:space="preserve">한화리조트 제주</t>
  </si>
  <si>
    <t xml:space="preserve">롯데 아트빌라스 제주</t>
  </si>
  <si>
    <t xml:space="preserve">휘닉스아일랜드</t>
  </si>
  <si>
    <t xml:space="preserve">금호리조트 제주</t>
  </si>
  <si>
    <t xml:space="preserve">해비치리조트 제주</t>
  </si>
  <si>
    <r>
      <rPr>
        <b val="true"/>
        <sz val="10"/>
        <color rgb="FFFFFFFF"/>
        <rFont val="DejaVu Sans"/>
        <family val="2"/>
      </rPr>
      <t xml:space="preserve">서울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경기</t>
    </r>
  </si>
  <si>
    <t xml:space="preserve">소노캄 고양</t>
  </si>
  <si>
    <r>
      <rPr>
        <sz val="10"/>
        <color rgb="FF000000"/>
        <rFont val="DejaVu Sans"/>
        <family val="2"/>
      </rPr>
      <t xml:space="preserve">안토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구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DejaVu Sans"/>
        <family val="2"/>
      </rPr>
      <t xml:space="preserve">파라스파라</t>
    </r>
    <r>
      <rPr>
        <sz val="10"/>
        <color rgb="FF000000"/>
        <rFont val="Arial"/>
        <family val="0"/>
        <charset val="1"/>
      </rPr>
      <t xml:space="preserve">)</t>
    </r>
  </si>
  <si>
    <t xml:space="preserve">가용객실수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</si>
  <si>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</si>
  <si>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</si>
  <si>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</si>
  <si>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DejaVu Sans"/>
        <family val="2"/>
      </rPr>
      <t xml:space="preserve">월</t>
    </r>
  </si>
  <si>
    <t xml:space="preserve">소노휴 양평</t>
  </si>
  <si>
    <r>
      <rPr>
        <sz val="10"/>
        <color rgb="FF000000"/>
        <rFont val="DejaVu Sans"/>
        <family val="2"/>
      </rPr>
      <t xml:space="preserve">카시아리조트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반얀트리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</si>
  <si>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르네블루 </t>
    </r>
    <r>
      <rPr>
        <sz val="10"/>
        <color rgb="FF000000"/>
        <rFont val="Arial"/>
        <family val="0"/>
        <charset val="1"/>
      </rPr>
      <t xml:space="preserve">by </t>
    </r>
    <r>
      <rPr>
        <sz val="10"/>
        <color rgb="FF000000"/>
        <rFont val="DejaVu Sans"/>
        <family val="2"/>
      </rPr>
      <t xml:space="preserve">워커힐 고성</t>
    </r>
  </si>
  <si>
    <t xml:space="preserve">덕산스폴라스 리솜</t>
  </si>
  <si>
    <r>
      <rPr>
        <b val="true"/>
        <sz val="10"/>
        <color rgb="FFFFFFFF"/>
        <rFont val="DejaVu Sans"/>
        <family val="2"/>
      </rPr>
      <t xml:space="preserve">전라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경상남도 지역</t>
    </r>
  </si>
  <si>
    <t xml:space="preserve">경기도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</si>
</sst>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\월"/>
    <numFmt numFmtId="166" formatCode="\+0.0;\-0.0;\-"/>
    <numFmt numFmtId="167" formatCode="#,##0"/>
    <numFmt numFmtId="168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9"/>
      <color rgb="FF888888"/>
      <name val="DejaVu Sans"/>
      <family val="2"/>
    </font>
    <font>
      <b val="true"/>
      <sz val="9"/>
      <color rgb="FFFFFFFF"/>
      <name val="DejaVu Sans"/>
      <family val="2"/>
    </font>
    <font>
      <b val="true"/>
      <sz val="9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58A6FF"/>
      <name val="Arial"/>
      <family val="0"/>
      <charset val="1"/>
    </font>
    <font>
      <b val="true"/>
      <sz val="12"/>
      <color rgb="FF3FB950"/>
      <name val="Arial"/>
      <family val="0"/>
      <charset val="1"/>
    </font>
    <font>
      <b val="true"/>
      <sz val="12"/>
      <color rgb="FFF85149"/>
      <name val="Arial"/>
      <family val="0"/>
      <charset val="1"/>
    </font>
    <font>
      <b val="true"/>
      <sz val="12"/>
      <color rgb="FF888888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color rgb="FF58A6FF"/>
      <name val="DejaVu Sans"/>
      <family val="2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DejaVu Sans"/>
      <family val="2"/>
    </font>
    <font>
      <b val="true"/>
      <sz val="10"/>
      <color rgb="FF58A6FF"/>
      <name val="Arial"/>
      <family val="0"/>
      <charset val="1"/>
    </font>
    <font>
      <sz val="10"/>
      <color rgb="FF58A6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D1117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1B2A4A"/>
        <bgColor rgb="FF003366"/>
      </patternFill>
    </fill>
    <fill>
      <patternFill patternType="solid">
        <fgColor rgb="FF2D3E5F"/>
        <bgColor rgb="FF1B2A4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58A6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85149"/>
      <rgbColor rgb="FF666699"/>
      <rgbColor rgb="FF969696"/>
      <rgbColor rgb="FF003366"/>
      <rgbColor rgb="FF3FB950"/>
      <rgbColor rgb="FF0D1117"/>
      <rgbColor rgb="FF333300"/>
      <rgbColor rgb="FF993300"/>
      <rgbColor rgb="FF993366"/>
      <rgbColor rgb="FF2D3E5F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8A6FF"/>
    <pageSetUpPr fitToPage="false"/>
  </sheetPr>
  <dimension ref="A1:H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8" min="6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3" t="n">
        <v>4</v>
      </c>
      <c r="D2" s="4" t="s">
        <v>2</v>
      </c>
    </row>
    <row r="4" customFormat="false" ht="30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customFormat="false" ht="15" hidden="false" customHeight="false" outlineLevel="0" collapsed="false">
      <c r="A5" s="6" t="n">
        <f aca="false">AVERAGEIFS(H8:H69,B8:B69,"&lt;&gt;",H8:H69,"&lt;&gt;NEW")</f>
        <v>2.9063829787234</v>
      </c>
      <c r="B5" s="7" t="n">
        <f aca="false">AVERAGEIFS(H8:H69,C8:C69,"Y",H8:H69,"&lt;&gt;NEW")</f>
        <v>3</v>
      </c>
      <c r="C5" s="8" t="n">
        <f aca="false">COUNTIFS(H8:H69,"&gt;="&amp;0.5,B8:B69,"&lt;&gt;")</f>
        <v>25</v>
      </c>
      <c r="D5" s="9" t="n">
        <f aca="false">COUNTIFS(H8:H69,"&lt;="&amp;-0.5,B8:B69,"&lt;&gt;")</f>
        <v>20</v>
      </c>
      <c r="E5" s="10" t="n">
        <f aca="false">COUNTIFS(H8:H69,"&gt;"&amp;-0.5,H8:H69,"&lt;"&amp;0.5,B8:B69,"&lt;&gt;",H8:H69,"&lt;&gt;NEW")</f>
        <v>2</v>
      </c>
      <c r="F5" s="11" t="n">
        <f aca="false">COUNTIF(H8:H69,"NEW")</f>
        <v>7</v>
      </c>
    </row>
    <row r="7" customFormat="false" ht="15" hidden="false" customHeight="false" outlineLevel="0" collapsed="false">
      <c r="A7" s="12" t="s">
        <v>9</v>
      </c>
      <c r="B7" s="12" t="s">
        <v>10</v>
      </c>
      <c r="C7" s="12" t="s">
        <v>11</v>
      </c>
      <c r="D7" s="12" t="s">
        <v>12</v>
      </c>
      <c r="E7" s="12" t="s">
        <v>13</v>
      </c>
      <c r="F7" s="13" t="s">
        <v>14</v>
      </c>
      <c r="G7" s="13" t="s">
        <v>15</v>
      </c>
      <c r="H7" s="12" t="s">
        <v>16</v>
      </c>
    </row>
    <row r="8" customFormat="false" ht="15" hidden="false" customHeight="false" outlineLevel="0" collapsed="false">
      <c r="A8" s="14" t="s">
        <v>17</v>
      </c>
      <c r="B8" s="14"/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A9" s="15"/>
      <c r="B9" s="16" t="s">
        <v>18</v>
      </c>
      <c r="C9" s="17" t="s">
        <v>19</v>
      </c>
      <c r="D9" s="18" t="n">
        <f aca="false">'2025'!D3</f>
        <v>1723</v>
      </c>
      <c r="E9" s="18" t="n">
        <f aca="false">'2026'!D3</f>
        <v>1762</v>
      </c>
      <c r="F9" s="19" t="n">
        <f aca="false">INDEX('2025'!E3:H3,1,$C$2)</f>
        <v>0.342</v>
      </c>
      <c r="G9" s="19" t="n">
        <f aca="false">INDEX('2026'!E3:H3,1,$C$2)</f>
        <v>0.254</v>
      </c>
      <c r="H9" s="20" t="n">
        <f aca="false">(G9-F9)*100</f>
        <v>-8.8</v>
      </c>
    </row>
    <row r="10" customFormat="false" ht="15" hidden="false" customHeight="false" outlineLevel="0" collapsed="false">
      <c r="A10" s="15"/>
      <c r="B10" s="16" t="s">
        <v>20</v>
      </c>
      <c r="C10" s="17" t="s">
        <v>19</v>
      </c>
      <c r="D10" s="18" t="n">
        <f aca="false">'2025'!D4</f>
        <v>500</v>
      </c>
      <c r="E10" s="18" t="n">
        <f aca="false">'2026'!D4</f>
        <v>500</v>
      </c>
      <c r="F10" s="19" t="n">
        <f aca="false">INDEX('2025'!E4:H4,1,$C$2)</f>
        <v>0.274</v>
      </c>
      <c r="G10" s="19" t="n">
        <f aca="false">INDEX('2026'!E4:H4,1,$C$2)</f>
        <v>0.196</v>
      </c>
      <c r="H10" s="20" t="n">
        <f aca="false">(G10-F10)*100</f>
        <v>-7.8</v>
      </c>
    </row>
    <row r="11" customFormat="false" ht="15" hidden="false" customHeight="false" outlineLevel="0" collapsed="false">
      <c r="A11" s="15"/>
      <c r="B11" s="16" t="s">
        <v>21</v>
      </c>
      <c r="C11" s="17" t="s">
        <v>19</v>
      </c>
      <c r="D11" s="18" t="n">
        <f aca="false">'2025'!D5</f>
        <v>219</v>
      </c>
      <c r="E11" s="18" t="n">
        <f aca="false">'2026'!D5</f>
        <v>219</v>
      </c>
      <c r="F11" s="19" t="n">
        <f aca="false">INDEX('2025'!E5:H5,1,$C$2)</f>
        <v>0.304</v>
      </c>
      <c r="G11" s="19" t="n">
        <f aca="false">INDEX('2026'!E5:H5,1,$C$2)</f>
        <v>0.24</v>
      </c>
      <c r="H11" s="20" t="n">
        <f aca="false">(G11-F11)*100</f>
        <v>-6.4</v>
      </c>
    </row>
    <row r="12" customFormat="false" ht="15" hidden="false" customHeight="false" outlineLevel="0" collapsed="false">
      <c r="A12" s="15"/>
      <c r="B12" s="21" t="s">
        <v>22</v>
      </c>
      <c r="C12" s="17"/>
      <c r="D12" s="18" t="n">
        <f aca="false">'2025'!D6</f>
        <v>1298</v>
      </c>
      <c r="E12" s="18" t="n">
        <f aca="false">'2026'!D6</f>
        <v>1298</v>
      </c>
      <c r="F12" s="19" t="n">
        <f aca="false">INDEX('2025'!E6:H6,1,$C$2)</f>
        <v>0.183</v>
      </c>
      <c r="G12" s="19" t="n">
        <f aca="false">INDEX('2026'!E6:H6,1,$C$2)</f>
        <v>0.206</v>
      </c>
      <c r="H12" s="20" t="n">
        <f aca="false">(G12-F12)*100</f>
        <v>2.3</v>
      </c>
    </row>
    <row r="13" customFormat="false" ht="15" hidden="false" customHeight="false" outlineLevel="0" collapsed="false">
      <c r="A13" s="15"/>
      <c r="B13" s="21" t="s">
        <v>23</v>
      </c>
      <c r="C13" s="17"/>
      <c r="D13" s="18" t="n">
        <f aca="false">'2025'!D7</f>
        <v>962</v>
      </c>
      <c r="E13" s="18" t="n">
        <f aca="false">'2026'!D7</f>
        <v>962</v>
      </c>
      <c r="F13" s="19" t="n">
        <f aca="false">INDEX('2025'!E7:H7,1,$C$2)</f>
        <v>0.225</v>
      </c>
      <c r="G13" s="19" t="n">
        <f aca="false">INDEX('2026'!E7:H7,1,$C$2)</f>
        <v>0.272</v>
      </c>
      <c r="H13" s="20" t="n">
        <f aca="false">(G13-F13)*100</f>
        <v>4.7</v>
      </c>
    </row>
    <row r="14" customFormat="false" ht="15" hidden="false" customHeight="false" outlineLevel="0" collapsed="false">
      <c r="A14" s="15"/>
      <c r="B14" s="21" t="s">
        <v>24</v>
      </c>
      <c r="C14" s="17"/>
      <c r="D14" s="18" t="n">
        <f aca="false">'2025'!D8</f>
        <v>1105</v>
      </c>
      <c r="E14" s="18" t="n">
        <f aca="false">'2026'!D8</f>
        <v>1105</v>
      </c>
      <c r="F14" s="19" t="n">
        <f aca="false">INDEX('2025'!E8:H8,1,$C$2)</f>
        <v>0.477</v>
      </c>
      <c r="G14" s="19" t="n">
        <f aca="false">INDEX('2026'!E8:H8,1,$C$2)</f>
        <v>0.398</v>
      </c>
      <c r="H14" s="20" t="n">
        <f aca="false">(G14-F14)*100</f>
        <v>-7.9</v>
      </c>
    </row>
    <row r="15" customFormat="false" ht="15" hidden="false" customHeight="false" outlineLevel="0" collapsed="false">
      <c r="A15" s="15"/>
      <c r="B15" s="21" t="s">
        <v>25</v>
      </c>
      <c r="C15" s="17"/>
      <c r="D15" s="18" t="n">
        <f aca="false">'2025'!D9</f>
        <v>766</v>
      </c>
      <c r="E15" s="18" t="n">
        <f aca="false">'2026'!D9</f>
        <v>766</v>
      </c>
      <c r="F15" s="19" t="n">
        <f aca="false">INDEX('2025'!E9:H9,1,$C$2)</f>
        <v>0.166</v>
      </c>
      <c r="G15" s="19" t="n">
        <f aca="false">INDEX('2026'!E9:H9,1,$C$2)</f>
        <v>0.162</v>
      </c>
      <c r="H15" s="20" t="n">
        <f aca="false">(G15-F15)*100</f>
        <v>-0.4</v>
      </c>
    </row>
    <row r="16" customFormat="false" ht="15" hidden="false" customHeight="false" outlineLevel="0" collapsed="false">
      <c r="A16" s="15"/>
      <c r="B16" s="16" t="s">
        <v>26</v>
      </c>
      <c r="C16" s="17" t="s">
        <v>19</v>
      </c>
      <c r="D16" s="17" t="s">
        <v>27</v>
      </c>
      <c r="E16" s="18" t="n">
        <f aca="false">'2026'!D10</f>
        <v>193</v>
      </c>
      <c r="F16" s="17" t="s">
        <v>27</v>
      </c>
      <c r="G16" s="19" t="n">
        <f aca="false">INDEX('2026'!E10:H10,1,$C$2)</f>
        <v>0.494</v>
      </c>
      <c r="H16" s="22" t="s">
        <v>28</v>
      </c>
    </row>
    <row r="17" customFormat="false" ht="15" hidden="false" customHeight="false" outlineLevel="0" collapsed="false">
      <c r="A17" s="14" t="s">
        <v>29</v>
      </c>
      <c r="B17" s="14"/>
      <c r="C17" s="14"/>
      <c r="D17" s="14"/>
      <c r="E17" s="14"/>
      <c r="F17" s="14"/>
      <c r="G17" s="14"/>
      <c r="H17" s="14"/>
    </row>
    <row r="18" customFormat="false" ht="15" hidden="false" customHeight="false" outlineLevel="0" collapsed="false">
      <c r="A18" s="15"/>
      <c r="B18" s="16" t="s">
        <v>30</v>
      </c>
      <c r="C18" s="17" t="s">
        <v>19</v>
      </c>
      <c r="D18" s="18" t="n">
        <f aca="false">'2025'!D12</f>
        <v>1196</v>
      </c>
      <c r="E18" s="18" t="n">
        <f aca="false">'2026'!D12</f>
        <v>1257</v>
      </c>
      <c r="F18" s="19" t="n">
        <f aca="false">INDEX('2025'!E12:H12,1,$C$2)</f>
        <v>0.429</v>
      </c>
      <c r="G18" s="19" t="n">
        <f aca="false">INDEX('2026'!E12:H12,1,$C$2)</f>
        <v>0.425</v>
      </c>
      <c r="H18" s="20" t="n">
        <f aca="false">(G18-F18)*100</f>
        <v>-0.4</v>
      </c>
    </row>
    <row r="19" customFormat="false" ht="15" hidden="false" customHeight="false" outlineLevel="0" collapsed="false">
      <c r="A19" s="15"/>
      <c r="B19" s="16" t="s">
        <v>31</v>
      </c>
      <c r="C19" s="17" t="s">
        <v>19</v>
      </c>
      <c r="D19" s="18" t="n">
        <f aca="false">'2025'!D13</f>
        <v>501</v>
      </c>
      <c r="E19" s="18" t="n">
        <f aca="false">'2026'!D13</f>
        <v>497</v>
      </c>
      <c r="F19" s="19" t="n">
        <f aca="false">INDEX('2025'!E13:H13,1,$C$2)</f>
        <v>0.533</v>
      </c>
      <c r="G19" s="19" t="n">
        <f aca="false">INDEX('2026'!E13:H13,1,$C$2)</f>
        <v>0.507</v>
      </c>
      <c r="H19" s="20" t="n">
        <f aca="false">(G19-F19)*100</f>
        <v>-2.6</v>
      </c>
    </row>
    <row r="20" customFormat="false" ht="15" hidden="false" customHeight="false" outlineLevel="0" collapsed="false">
      <c r="A20" s="15"/>
      <c r="B20" s="16" t="s">
        <v>32</v>
      </c>
      <c r="C20" s="17" t="s">
        <v>19</v>
      </c>
      <c r="D20" s="18" t="n">
        <f aca="false">'2025'!D14</f>
        <v>707</v>
      </c>
      <c r="E20" s="18" t="n">
        <f aca="false">'2026'!D14</f>
        <v>707</v>
      </c>
      <c r="F20" s="19" t="n">
        <f aca="false">INDEX('2025'!E14:H14,1,$C$2)</f>
        <v>0.607</v>
      </c>
      <c r="G20" s="19" t="n">
        <f aca="false">INDEX('2026'!E14:H14,1,$C$2)</f>
        <v>0.636</v>
      </c>
      <c r="H20" s="20" t="n">
        <f aca="false">(G20-F20)*100</f>
        <v>2.9</v>
      </c>
    </row>
    <row r="21" customFormat="false" ht="15" hidden="false" customHeight="false" outlineLevel="0" collapsed="false">
      <c r="A21" s="15"/>
      <c r="B21" s="21" t="s">
        <v>33</v>
      </c>
      <c r="C21" s="17"/>
      <c r="D21" s="18" t="n">
        <f aca="false">'2025'!D15</f>
        <v>392</v>
      </c>
      <c r="E21" s="18" t="n">
        <f aca="false">'2026'!D15</f>
        <v>392</v>
      </c>
      <c r="F21" s="19" t="n">
        <f aca="false">INDEX('2025'!E15:H15,1,$C$2)</f>
        <v>0.737</v>
      </c>
      <c r="G21" s="19" t="n">
        <f aca="false">INDEX('2026'!E15:H15,1,$C$2)</f>
        <v>0.652</v>
      </c>
      <c r="H21" s="20" t="n">
        <f aca="false">(G21-F21)*100</f>
        <v>-8.5</v>
      </c>
    </row>
    <row r="22" customFormat="false" ht="15" hidden="false" customHeight="false" outlineLevel="0" collapsed="false">
      <c r="A22" s="15"/>
      <c r="B22" s="21" t="s">
        <v>34</v>
      </c>
      <c r="C22" s="17"/>
      <c r="D22" s="17" t="s">
        <v>27</v>
      </c>
      <c r="E22" s="18" t="n">
        <f aca="false">'2026'!D16</f>
        <v>674</v>
      </c>
      <c r="F22" s="17" t="s">
        <v>27</v>
      </c>
      <c r="G22" s="19" t="n">
        <f aca="false">INDEX('2026'!E16:H16,1,$C$2)</f>
        <v>0.36</v>
      </c>
      <c r="H22" s="22" t="s">
        <v>28</v>
      </c>
    </row>
    <row r="23" customFormat="false" ht="15" hidden="false" customHeight="false" outlineLevel="0" collapsed="false">
      <c r="A23" s="15"/>
      <c r="B23" s="21" t="s">
        <v>35</v>
      </c>
      <c r="C23" s="17"/>
      <c r="D23" s="18" t="n">
        <f aca="false">'2025'!D17</f>
        <v>1554</v>
      </c>
      <c r="E23" s="18" t="n">
        <f aca="false">'2026'!D17</f>
        <v>1554</v>
      </c>
      <c r="F23" s="19" t="n">
        <f aca="false">INDEX('2025'!E17:H17,1,$C$2)</f>
        <v>0.468</v>
      </c>
      <c r="G23" s="19" t="n">
        <f aca="false">INDEX('2026'!E17:H17,1,$C$2)</f>
        <v>0.439</v>
      </c>
      <c r="H23" s="20" t="n">
        <f aca="false">(G23-F23)*100</f>
        <v>-2.9</v>
      </c>
    </row>
    <row r="24" customFormat="false" ht="15" hidden="false" customHeight="false" outlineLevel="0" collapsed="false">
      <c r="A24" s="15"/>
      <c r="B24" s="21" t="s">
        <v>36</v>
      </c>
      <c r="C24" s="17"/>
      <c r="D24" s="18" t="n">
        <f aca="false">'2025'!D18</f>
        <v>56</v>
      </c>
      <c r="E24" s="18" t="n">
        <f aca="false">'2026'!D18</f>
        <v>56</v>
      </c>
      <c r="F24" s="19" t="n">
        <f aca="false">INDEX('2025'!E18:H18,1,$C$2)</f>
        <v>0.705</v>
      </c>
      <c r="G24" s="19" t="n">
        <f aca="false">INDEX('2026'!E18:H18,1,$C$2)</f>
        <v>0.618</v>
      </c>
      <c r="H24" s="20" t="n">
        <f aca="false">(G24-F24)*100</f>
        <v>-8.7</v>
      </c>
    </row>
    <row r="25" customFormat="false" ht="15" hidden="false" customHeight="false" outlineLevel="0" collapsed="false">
      <c r="A25" s="15"/>
      <c r="B25" s="21" t="s">
        <v>37</v>
      </c>
      <c r="C25" s="17"/>
      <c r="D25" s="17" t="s">
        <v>27</v>
      </c>
      <c r="E25" s="18" t="n">
        <f aca="false">'2026'!D19</f>
        <v>529</v>
      </c>
      <c r="F25" s="17" t="s">
        <v>27</v>
      </c>
      <c r="G25" s="19" t="n">
        <f aca="false">INDEX('2026'!E19:H19,1,$C$2)</f>
        <v>0.2</v>
      </c>
      <c r="H25" s="22" t="s">
        <v>28</v>
      </c>
    </row>
    <row r="26" customFormat="false" ht="15" hidden="false" customHeight="false" outlineLevel="0" collapsed="false">
      <c r="A26" s="15"/>
      <c r="B26" s="16" t="s">
        <v>38</v>
      </c>
      <c r="C26" s="17" t="s">
        <v>19</v>
      </c>
      <c r="D26" s="17" t="s">
        <v>27</v>
      </c>
      <c r="E26" s="18" t="n">
        <f aca="false">'2026'!D20</f>
        <v>87</v>
      </c>
      <c r="F26" s="17" t="s">
        <v>27</v>
      </c>
      <c r="G26" s="19" t="n">
        <f aca="false">INDEX('2026'!E20:H20,1,$C$2)</f>
        <v>0.663</v>
      </c>
      <c r="H26" s="22" t="s">
        <v>28</v>
      </c>
    </row>
    <row r="27" customFormat="false" ht="15" hidden="false" customHeight="false" outlineLevel="0" collapsed="false">
      <c r="A27" s="15"/>
      <c r="B27" s="21" t="s">
        <v>39</v>
      </c>
      <c r="C27" s="17"/>
      <c r="D27" s="18" t="n">
        <f aca="false">'2025'!D20</f>
        <v>176</v>
      </c>
      <c r="E27" s="18" t="n">
        <f aca="false">'2026'!D21</f>
        <v>176</v>
      </c>
      <c r="F27" s="19" t="n">
        <f aca="false">INDEX('2025'!E20:H20,1,$C$2)</f>
        <v>0.74</v>
      </c>
      <c r="G27" s="19" t="n">
        <f aca="false">INDEX('2026'!E21:H21,1,$C$2)</f>
        <v>0.646</v>
      </c>
      <c r="H27" s="20" t="n">
        <f aca="false">(G27-F27)*100</f>
        <v>-9.4</v>
      </c>
    </row>
    <row r="28" customFormat="false" ht="15" hidden="false" customHeight="false" outlineLevel="0" collapsed="false">
      <c r="A28" s="14" t="s">
        <v>40</v>
      </c>
      <c r="B28" s="14"/>
      <c r="C28" s="14"/>
      <c r="D28" s="14"/>
      <c r="E28" s="14"/>
      <c r="F28" s="14"/>
      <c r="G28" s="14"/>
      <c r="H28" s="14"/>
    </row>
    <row r="29" customFormat="false" ht="15" hidden="false" customHeight="false" outlineLevel="0" collapsed="false">
      <c r="A29" s="15"/>
      <c r="B29" s="16" t="s">
        <v>41</v>
      </c>
      <c r="C29" s="17" t="s">
        <v>19</v>
      </c>
      <c r="D29" s="18" t="n">
        <f aca="false">'2025'!D22</f>
        <v>410</v>
      </c>
      <c r="E29" s="18" t="n">
        <f aca="false">'2026'!D23</f>
        <v>417</v>
      </c>
      <c r="F29" s="19" t="n">
        <f aca="false">INDEX('2025'!E22:H22,1,$C$2)</f>
        <v>0</v>
      </c>
      <c r="G29" s="19" t="n">
        <f aca="false">INDEX('2026'!E23:H23,1,$C$2)</f>
        <v>0.918</v>
      </c>
      <c r="H29" s="20" t="n">
        <f aca="false">(G29-F29)*100</f>
        <v>91.8</v>
      </c>
    </row>
    <row r="30" customFormat="false" ht="15" hidden="false" customHeight="false" outlineLevel="0" collapsed="false">
      <c r="A30" s="15"/>
      <c r="B30" s="21" t="s">
        <v>42</v>
      </c>
      <c r="C30" s="17"/>
      <c r="D30" s="18" t="n">
        <f aca="false">'2025'!D23</f>
        <v>430</v>
      </c>
      <c r="E30" s="18" t="n">
        <f aca="false">'2026'!D24</f>
        <v>430</v>
      </c>
      <c r="F30" s="19" t="n">
        <f aca="false">INDEX('2025'!E23:H23,1,$C$2)</f>
        <v>0.87</v>
      </c>
      <c r="G30" s="19" t="n">
        <f aca="false">INDEX('2026'!E24:H24,1,$C$2)</f>
        <v>0.943</v>
      </c>
      <c r="H30" s="20" t="n">
        <f aca="false">(G30-F30)*100</f>
        <v>7.3</v>
      </c>
    </row>
    <row r="31" customFormat="false" ht="15" hidden="false" customHeight="false" outlineLevel="0" collapsed="false">
      <c r="A31" s="15"/>
      <c r="B31" s="21" t="s">
        <v>43</v>
      </c>
      <c r="C31" s="17"/>
      <c r="D31" s="18" t="n">
        <f aca="false">'2025'!D55</f>
        <v>214</v>
      </c>
      <c r="E31" s="18" t="n">
        <f aca="false">'2026'!D58</f>
        <v>214</v>
      </c>
      <c r="F31" s="19" t="n">
        <f aca="false">INDEX('2025'!E55:H55,1,$C$2)</f>
        <v>0.665</v>
      </c>
      <c r="G31" s="19" t="n">
        <f aca="false">INDEX('2026'!E58:H58,1,$C$2)</f>
        <v>0.722</v>
      </c>
      <c r="H31" s="20" t="n">
        <f aca="false">(G31-F31)*100</f>
        <v>5.69999999999999</v>
      </c>
    </row>
    <row r="32" customFormat="false" ht="15" hidden="false" customHeight="false" outlineLevel="0" collapsed="false">
      <c r="A32" s="15"/>
      <c r="B32" s="21" t="s">
        <v>44</v>
      </c>
      <c r="C32" s="17"/>
      <c r="D32" s="18" t="n">
        <f aca="false">'2025'!D25</f>
        <v>393</v>
      </c>
      <c r="E32" s="18" t="n">
        <f aca="false">'2026'!D26</f>
        <v>393</v>
      </c>
      <c r="F32" s="19" t="n">
        <f aca="false">INDEX('2025'!E25:H25,1,$C$2)</f>
        <v>0.625</v>
      </c>
      <c r="G32" s="19" t="n">
        <f aca="false">INDEX('2026'!E26:H26,1,$C$2)</f>
        <v>0.842</v>
      </c>
      <c r="H32" s="20" t="n">
        <f aca="false">(G32-F32)*100</f>
        <v>21.7</v>
      </c>
    </row>
    <row r="33" customFormat="false" ht="15" hidden="false" customHeight="false" outlineLevel="0" collapsed="false">
      <c r="A33" s="15"/>
      <c r="B33" s="16" t="s">
        <v>45</v>
      </c>
      <c r="C33" s="17" t="s">
        <v>19</v>
      </c>
      <c r="D33" s="18" t="n">
        <f aca="false">'2025'!D26</f>
        <v>830</v>
      </c>
      <c r="E33" s="18" t="n">
        <f aca="false">'2026'!D27</f>
        <v>843</v>
      </c>
      <c r="F33" s="19" t="n">
        <f aca="false">INDEX('2025'!E26:H26,1,$C$2)</f>
        <v>0.603</v>
      </c>
      <c r="G33" s="19" t="n">
        <f aca="false">INDEX('2026'!E27:H27,1,$C$2)</f>
        <v>0.418</v>
      </c>
      <c r="H33" s="20" t="n">
        <f aca="false">(G33-F33)*100</f>
        <v>-18.5</v>
      </c>
    </row>
    <row r="34" customFormat="false" ht="15" hidden="false" customHeight="false" outlineLevel="0" collapsed="false">
      <c r="A34" s="15"/>
      <c r="B34" s="21" t="s">
        <v>46</v>
      </c>
      <c r="C34" s="17"/>
      <c r="D34" s="18" t="n">
        <f aca="false">'2025'!D27</f>
        <v>450</v>
      </c>
      <c r="E34" s="18" t="n">
        <f aca="false">'2026'!D28</f>
        <v>450</v>
      </c>
      <c r="F34" s="19" t="n">
        <f aca="false">INDEX('2025'!E27:H27,1,$C$2)</f>
        <v>0.719</v>
      </c>
      <c r="G34" s="19" t="n">
        <f aca="false">INDEX('2026'!E28:H28,1,$C$2)</f>
        <v>0.739</v>
      </c>
      <c r="H34" s="20" t="n">
        <f aca="false">(G34-F34)*100</f>
        <v>2</v>
      </c>
    </row>
    <row r="35" customFormat="false" ht="15" hidden="false" customHeight="false" outlineLevel="0" collapsed="false">
      <c r="A35" s="15"/>
      <c r="B35" s="16" t="s">
        <v>47</v>
      </c>
      <c r="C35" s="17" t="s">
        <v>19</v>
      </c>
      <c r="D35" s="18" t="n">
        <f aca="false">'2025'!D28</f>
        <v>306</v>
      </c>
      <c r="E35" s="18" t="n">
        <f aca="false">'2026'!D29</f>
        <v>320</v>
      </c>
      <c r="F35" s="19" t="n">
        <f aca="false">INDEX('2025'!E28:H28,1,$C$2)</f>
        <v>0.362</v>
      </c>
      <c r="G35" s="19" t="n">
        <f aca="false">INDEX('2026'!E29:H29,1,$C$2)</f>
        <v>0.433</v>
      </c>
      <c r="H35" s="20" t="n">
        <f aca="false">(G35-F35)*100</f>
        <v>7.1</v>
      </c>
    </row>
    <row r="36" customFormat="false" ht="12.65" hidden="false" customHeight="false" outlineLevel="0" collapsed="false">
      <c r="A36" s="14" t="s">
        <v>48</v>
      </c>
      <c r="B36" s="14"/>
      <c r="C36" s="14"/>
      <c r="D36" s="14"/>
      <c r="E36" s="14"/>
      <c r="F36" s="14"/>
      <c r="G36" s="14"/>
      <c r="H36" s="14"/>
    </row>
    <row r="37" customFormat="false" ht="15" hidden="false" customHeight="false" outlineLevel="0" collapsed="false">
      <c r="A37" s="15"/>
      <c r="B37" s="16" t="s">
        <v>49</v>
      </c>
      <c r="C37" s="17" t="s">
        <v>19</v>
      </c>
      <c r="D37" s="18" t="n">
        <f aca="false">'2025'!D30</f>
        <v>438</v>
      </c>
      <c r="E37" s="18" t="n">
        <f aca="false">'2026'!D31</f>
        <v>450</v>
      </c>
      <c r="F37" s="19" t="n">
        <f aca="false">INDEX('2025'!E30:H30,1,$C$2)</f>
        <v>0.554</v>
      </c>
      <c r="G37" s="19" t="n">
        <f aca="false">INDEX('2026'!E31:H31,1,$C$2)</f>
        <v>0.505</v>
      </c>
      <c r="H37" s="20" t="n">
        <f aca="false">(G37-F37)*100</f>
        <v>-4.9</v>
      </c>
    </row>
    <row r="38" customFormat="false" ht="15" hidden="false" customHeight="false" outlineLevel="0" collapsed="false">
      <c r="A38" s="15"/>
      <c r="B38" s="21" t="s">
        <v>50</v>
      </c>
      <c r="C38" s="17"/>
      <c r="D38" s="17" t="s">
        <v>27</v>
      </c>
      <c r="E38" s="18" t="n">
        <f aca="false">'2026'!D32</f>
        <v>405</v>
      </c>
      <c r="F38" s="17" t="s">
        <v>27</v>
      </c>
      <c r="G38" s="19" t="n">
        <f aca="false">INDEX('2026'!E32:H32,1,$C$2)</f>
        <v>0.621</v>
      </c>
      <c r="H38" s="22" t="s">
        <v>28</v>
      </c>
    </row>
    <row r="39" customFormat="false" ht="15" hidden="false" customHeight="false" outlineLevel="0" collapsed="false">
      <c r="A39" s="15"/>
      <c r="B39" s="21" t="s">
        <v>51</v>
      </c>
      <c r="C39" s="17"/>
      <c r="D39" s="18" t="n">
        <f aca="false">'2025'!D32</f>
        <v>248</v>
      </c>
      <c r="E39" s="18" t="n">
        <f aca="false">'2026'!D33</f>
        <v>248</v>
      </c>
      <c r="F39" s="19" t="n">
        <f aca="false">INDEX('2025'!E32:H32,1,$C$2)</f>
        <v>0.579</v>
      </c>
      <c r="G39" s="19" t="n">
        <f aca="false">INDEX('2026'!E33:H33,1,$C$2)</f>
        <v>0.784</v>
      </c>
      <c r="H39" s="20" t="n">
        <f aca="false">(G39-F39)*100</f>
        <v>20.5</v>
      </c>
    </row>
    <row r="40" customFormat="false" ht="15" hidden="false" customHeight="false" outlineLevel="0" collapsed="false">
      <c r="A40" s="15"/>
      <c r="B40" s="16" t="s">
        <v>52</v>
      </c>
      <c r="C40" s="17" t="s">
        <v>19</v>
      </c>
      <c r="D40" s="18" t="n">
        <f aca="false">'2025'!D33</f>
        <v>502</v>
      </c>
      <c r="E40" s="18" t="n">
        <f aca="false">'2026'!D34</f>
        <v>503</v>
      </c>
      <c r="F40" s="19" t="n">
        <f aca="false">INDEX('2025'!E33:H33,1,$C$2)</f>
        <v>0.537</v>
      </c>
      <c r="G40" s="19" t="n">
        <f aca="false">INDEX('2026'!E34:H34,1,$C$2)</f>
        <v>0.506</v>
      </c>
      <c r="H40" s="20" t="n">
        <f aca="false">(G40-F40)*100</f>
        <v>-3.1</v>
      </c>
    </row>
    <row r="41" customFormat="false" ht="12.65" hidden="false" customHeight="false" outlineLevel="0" collapsed="false">
      <c r="A41" s="14" t="s">
        <v>53</v>
      </c>
      <c r="B41" s="14"/>
      <c r="C41" s="14"/>
      <c r="D41" s="14"/>
      <c r="E41" s="14"/>
      <c r="F41" s="14"/>
      <c r="G41" s="14"/>
      <c r="H41" s="14"/>
    </row>
    <row r="42" customFormat="false" ht="15" hidden="false" customHeight="false" outlineLevel="0" collapsed="false">
      <c r="A42" s="15"/>
      <c r="B42" s="16" t="s">
        <v>54</v>
      </c>
      <c r="C42" s="17" t="s">
        <v>19</v>
      </c>
      <c r="D42" s="18" t="n">
        <f aca="false">'2025'!D35</f>
        <v>309</v>
      </c>
      <c r="E42" s="18" t="n">
        <f aca="false">'2026'!D36</f>
        <v>310</v>
      </c>
      <c r="F42" s="19" t="n">
        <f aca="false">INDEX('2025'!E35:H35,1,$C$2)</f>
        <v>0.602</v>
      </c>
      <c r="G42" s="19" t="n">
        <f aca="false">INDEX('2026'!E36:H36,1,$C$2)</f>
        <v>0.646</v>
      </c>
      <c r="H42" s="20" t="n">
        <f aca="false">(G42-F42)*100</f>
        <v>4.4</v>
      </c>
    </row>
    <row r="43" customFormat="false" ht="15" hidden="false" customHeight="false" outlineLevel="0" collapsed="false">
      <c r="A43" s="15"/>
      <c r="B43" s="16" t="s">
        <v>55</v>
      </c>
      <c r="C43" s="17" t="s">
        <v>19</v>
      </c>
      <c r="D43" s="18" t="n">
        <f aca="false">'2025'!D48</f>
        <v>561</v>
      </c>
      <c r="E43" s="18" t="n">
        <f aca="false">'2026'!D37</f>
        <v>561</v>
      </c>
      <c r="F43" s="19" t="n">
        <f aca="false">INDEX('2025'!E48:H48,1,$C$2)</f>
        <v>0.561</v>
      </c>
      <c r="G43" s="19" t="n">
        <f aca="false">INDEX('2026'!E37:H37,1,$C$2)</f>
        <v>0.581</v>
      </c>
      <c r="H43" s="20" t="n">
        <f aca="false">(G43-F43)*100</f>
        <v>1.99999999999999</v>
      </c>
    </row>
    <row r="44" customFormat="false" ht="15" hidden="false" customHeight="false" outlineLevel="0" collapsed="false">
      <c r="A44" s="15"/>
      <c r="B44" s="21" t="s">
        <v>56</v>
      </c>
      <c r="C44" s="17"/>
      <c r="D44" s="18" t="n">
        <f aca="false">'2025'!D36</f>
        <v>100</v>
      </c>
      <c r="E44" s="18" t="n">
        <f aca="false">'2026'!D38</f>
        <v>100</v>
      </c>
      <c r="F44" s="19" t="n">
        <f aca="false">INDEX('2025'!E36:H36,1,$C$2)</f>
        <v>0.637</v>
      </c>
      <c r="G44" s="19" t="n">
        <f aca="false">INDEX('2026'!E38:H38,1,$C$2)</f>
        <v>0.625</v>
      </c>
      <c r="H44" s="20" t="n">
        <f aca="false">(G44-F44)*100</f>
        <v>-1.2</v>
      </c>
    </row>
    <row r="45" customFormat="false" ht="15" hidden="false" customHeight="false" outlineLevel="0" collapsed="false">
      <c r="A45" s="15"/>
      <c r="B45" s="21" t="s">
        <v>57</v>
      </c>
      <c r="C45" s="17"/>
      <c r="D45" s="18" t="n">
        <f aca="false">'2025'!D37</f>
        <v>315</v>
      </c>
      <c r="E45" s="18" t="n">
        <f aca="false">'2026'!D39</f>
        <v>315</v>
      </c>
      <c r="F45" s="19" t="n">
        <f aca="false">INDEX('2025'!E37:H37,1,$C$2)</f>
        <v>0.776</v>
      </c>
      <c r="G45" s="19" t="n">
        <f aca="false">INDEX('2026'!E39:H39,1,$C$2)</f>
        <v>0.825</v>
      </c>
      <c r="H45" s="20" t="n">
        <f aca="false">(G45-F45)*100</f>
        <v>4.89999999999999</v>
      </c>
    </row>
    <row r="46" customFormat="false" ht="15" hidden="false" customHeight="false" outlineLevel="0" collapsed="false">
      <c r="A46" s="15"/>
      <c r="B46" s="21" t="s">
        <v>58</v>
      </c>
      <c r="C46" s="17"/>
      <c r="D46" s="18" t="n">
        <f aca="false">'2025'!D38</f>
        <v>298</v>
      </c>
      <c r="E46" s="18" t="n">
        <f aca="false">'2026'!D40</f>
        <v>298</v>
      </c>
      <c r="F46" s="19" t="n">
        <f aca="false">INDEX('2025'!E38:H38,1,$C$2)</f>
        <v>0.741</v>
      </c>
      <c r="G46" s="19" t="n">
        <f aca="false">INDEX('2026'!E40:H40,1,$C$2)</f>
        <v>0.692</v>
      </c>
      <c r="H46" s="20" t="n">
        <f aca="false">(G46-F46)*100</f>
        <v>-4.9</v>
      </c>
    </row>
    <row r="47" customFormat="false" ht="15" hidden="false" customHeight="false" outlineLevel="0" collapsed="false">
      <c r="A47" s="15"/>
      <c r="B47" s="21" t="s">
        <v>59</v>
      </c>
      <c r="C47" s="17"/>
      <c r="D47" s="18" t="n">
        <f aca="false">'2025'!D47</f>
        <v>272</v>
      </c>
      <c r="E47" s="18" t="n">
        <f aca="false">'2026'!D41</f>
        <v>272</v>
      </c>
      <c r="F47" s="19" t="n">
        <f aca="false">INDEX('2025'!E47:H47,1,$C$2)</f>
        <v>0.712</v>
      </c>
      <c r="G47" s="19" t="n">
        <f aca="false">INDEX('2026'!E41:H41,1,$C$2)</f>
        <v>0.791</v>
      </c>
      <c r="H47" s="20" t="n">
        <f aca="false">(G47-F47)*100</f>
        <v>7.90000000000001</v>
      </c>
    </row>
    <row r="48" customFormat="false" ht="15" hidden="false" customHeight="false" outlineLevel="0" collapsed="false">
      <c r="A48" s="15"/>
      <c r="B48" s="16" t="s">
        <v>60</v>
      </c>
      <c r="C48" s="17" t="s">
        <v>19</v>
      </c>
      <c r="D48" s="17" t="s">
        <v>27</v>
      </c>
      <c r="E48" s="18" t="n">
        <f aca="false">'2026'!D42</f>
        <v>449</v>
      </c>
      <c r="F48" s="17" t="s">
        <v>27</v>
      </c>
      <c r="G48" s="19" t="n">
        <f aca="false">INDEX('2026'!E42:H42,1,$C$2)</f>
        <v>0.613</v>
      </c>
      <c r="H48" s="22" t="s">
        <v>28</v>
      </c>
    </row>
    <row r="49" customFormat="false" ht="15" hidden="false" customHeight="false" outlineLevel="0" collapsed="false">
      <c r="A49" s="15"/>
      <c r="B49" s="16" t="s">
        <v>61</v>
      </c>
      <c r="C49" s="17" t="s">
        <v>19</v>
      </c>
      <c r="D49" s="18" t="n">
        <f aca="false">'2025'!D39</f>
        <v>479</v>
      </c>
      <c r="E49" s="18" t="n">
        <f aca="false">'2026'!D43</f>
        <v>509</v>
      </c>
      <c r="F49" s="19" t="n">
        <f aca="false">INDEX('2025'!E39:H39,1,$C$2)</f>
        <v>0.647</v>
      </c>
      <c r="G49" s="19" t="n">
        <f aca="false">INDEX('2026'!E43:H43,1,$C$2)</f>
        <v>0.49</v>
      </c>
      <c r="H49" s="20" t="n">
        <f aca="false">(G49-F49)*100</f>
        <v>-15.7</v>
      </c>
    </row>
    <row r="50" customFormat="false" ht="15" hidden="false" customHeight="false" outlineLevel="0" collapsed="false">
      <c r="A50" s="15"/>
      <c r="B50" s="21" t="s">
        <v>62</v>
      </c>
      <c r="C50" s="17"/>
      <c r="D50" s="18" t="n">
        <f aca="false">'2025'!D40</f>
        <v>470</v>
      </c>
      <c r="E50" s="18" t="n">
        <f aca="false">'2026'!D44</f>
        <v>470</v>
      </c>
      <c r="F50" s="19" t="n">
        <f aca="false">INDEX('2025'!E40:H40,1,$C$2)</f>
        <v>0.428</v>
      </c>
      <c r="G50" s="19" t="n">
        <f aca="false">INDEX('2026'!E44:H44,1,$C$2)</f>
        <v>0.388</v>
      </c>
      <c r="H50" s="20" t="n">
        <f aca="false">(G50-F50)*100</f>
        <v>-4</v>
      </c>
    </row>
    <row r="51" customFormat="false" ht="15" hidden="false" customHeight="false" outlineLevel="0" collapsed="false">
      <c r="A51" s="14" t="s">
        <v>63</v>
      </c>
      <c r="B51" s="14"/>
      <c r="C51" s="14"/>
      <c r="D51" s="14"/>
      <c r="E51" s="14"/>
      <c r="F51" s="14"/>
      <c r="G51" s="14"/>
      <c r="H51" s="14"/>
    </row>
    <row r="52" customFormat="false" ht="15" hidden="false" customHeight="false" outlineLevel="0" collapsed="false">
      <c r="A52" s="15"/>
      <c r="B52" s="16" t="s">
        <v>64</v>
      </c>
      <c r="C52" s="17" t="s">
        <v>19</v>
      </c>
      <c r="D52" s="18" t="n">
        <f aca="false">'2025'!D41</f>
        <v>235</v>
      </c>
      <c r="E52" s="18" t="n">
        <f aca="false">'2026'!D46</f>
        <v>235</v>
      </c>
      <c r="F52" s="19" t="n">
        <f aca="false">INDEX('2025'!E41:H41,1,$C$2)</f>
        <v>0.692</v>
      </c>
      <c r="G52" s="19" t="n">
        <f aca="false">INDEX('2026'!E46:H46,1,$C$2)</f>
        <v>0.778</v>
      </c>
      <c r="H52" s="20" t="n">
        <f aca="false">(G52-F52)*100</f>
        <v>8.60000000000001</v>
      </c>
    </row>
    <row r="53" customFormat="false" ht="15" hidden="false" customHeight="false" outlineLevel="0" collapsed="false">
      <c r="A53" s="15"/>
      <c r="B53" s="21" t="s">
        <v>65</v>
      </c>
      <c r="C53" s="17"/>
      <c r="D53" s="18" t="n">
        <f aca="false">'2025'!D42</f>
        <v>417</v>
      </c>
      <c r="E53" s="18" t="n">
        <f aca="false">'2026'!D47</f>
        <v>417</v>
      </c>
      <c r="F53" s="19" t="n">
        <f aca="false">INDEX('2025'!E42:H42,1,$C$2)</f>
        <v>0.501</v>
      </c>
      <c r="G53" s="19" t="n">
        <f aca="false">INDEX('2026'!E47:H47,1,$C$2)</f>
        <v>0.579</v>
      </c>
      <c r="H53" s="20" t="n">
        <f aca="false">(G53-F53)*100</f>
        <v>7.8</v>
      </c>
    </row>
    <row r="54" customFormat="false" ht="15" hidden="false" customHeight="false" outlineLevel="0" collapsed="false">
      <c r="A54" s="15"/>
      <c r="B54" s="21" t="s">
        <v>66</v>
      </c>
      <c r="C54" s="17"/>
      <c r="D54" s="18" t="n">
        <f aca="false">'2025'!D43</f>
        <v>383</v>
      </c>
      <c r="E54" s="18" t="n">
        <f aca="false">'2026'!D48</f>
        <v>383</v>
      </c>
      <c r="F54" s="19" t="n">
        <f aca="false">INDEX('2025'!E43:H43,1,$C$2)</f>
        <v>0.776</v>
      </c>
      <c r="G54" s="19" t="n">
        <f aca="false">INDEX('2026'!E48:H48,1,$C$2)</f>
        <v>0.831</v>
      </c>
      <c r="H54" s="20" t="n">
        <f aca="false">(G54-F54)*100</f>
        <v>5.49999999999999</v>
      </c>
    </row>
    <row r="55" customFormat="false" ht="15" hidden="false" customHeight="false" outlineLevel="0" collapsed="false">
      <c r="A55" s="15"/>
      <c r="B55" s="21" t="s">
        <v>67</v>
      </c>
      <c r="C55" s="17"/>
      <c r="D55" s="18" t="n">
        <f aca="false">'2025'!D44</f>
        <v>134</v>
      </c>
      <c r="E55" s="18" t="n">
        <f aca="false">'2026'!D49</f>
        <v>134</v>
      </c>
      <c r="F55" s="19" t="n">
        <f aca="false">INDEX('2025'!E44:H44,1,$C$2)</f>
        <v>0.85</v>
      </c>
      <c r="G55" s="19" t="n">
        <f aca="false">INDEX('2026'!E49:H49,1,$C$2)</f>
        <v>0.72</v>
      </c>
      <c r="H55" s="20" t="n">
        <f aca="false">(G55-F55)*100</f>
        <v>-13</v>
      </c>
    </row>
    <row r="56" customFormat="false" ht="15" hidden="false" customHeight="false" outlineLevel="0" collapsed="false">
      <c r="A56" s="15"/>
      <c r="B56" s="21" t="s">
        <v>68</v>
      </c>
      <c r="C56" s="17"/>
      <c r="D56" s="18" t="n">
        <f aca="false">'2025'!D45</f>
        <v>402</v>
      </c>
      <c r="E56" s="18" t="n">
        <f aca="false">'2026'!D50</f>
        <v>402</v>
      </c>
      <c r="F56" s="19" t="n">
        <f aca="false">INDEX('2025'!E45:H45,1,$C$2)</f>
        <v>0.79</v>
      </c>
      <c r="G56" s="19" t="n">
        <f aca="false">INDEX('2026'!E50:H50,1,$C$2)</f>
        <v>0.742</v>
      </c>
      <c r="H56" s="20" t="n">
        <f aca="false">(G56-F56)*100</f>
        <v>-4.8</v>
      </c>
    </row>
    <row r="57" customFormat="false" ht="15" hidden="false" customHeight="false" outlineLevel="0" collapsed="false">
      <c r="A57" s="15"/>
      <c r="B57" s="21" t="s">
        <v>69</v>
      </c>
      <c r="C57" s="17"/>
      <c r="D57" s="18" t="n">
        <f aca="false">'2025'!D46</f>
        <v>250</v>
      </c>
      <c r="E57" s="18" t="n">
        <f aca="false">'2026'!D51</f>
        <v>250</v>
      </c>
      <c r="F57" s="19" t="n">
        <f aca="false">INDEX('2025'!E46:H46,1,$C$2)</f>
        <v>0.399</v>
      </c>
      <c r="G57" s="19" t="n">
        <f aca="false">INDEX('2026'!E51:H51,1,$C$2)</f>
        <v>0.485</v>
      </c>
      <c r="H57" s="20" t="n">
        <f aca="false">(G57-F57)*100</f>
        <v>8.6</v>
      </c>
    </row>
    <row r="58" customFormat="false" ht="15" hidden="false" customHeight="false" outlineLevel="0" collapsed="false">
      <c r="A58" s="14" t="s">
        <v>70</v>
      </c>
      <c r="B58" s="14"/>
      <c r="C58" s="14"/>
      <c r="D58" s="14"/>
      <c r="E58" s="14"/>
      <c r="F58" s="14"/>
      <c r="G58" s="14"/>
      <c r="H58" s="14"/>
    </row>
    <row r="59" customFormat="false" ht="15" hidden="false" customHeight="false" outlineLevel="0" collapsed="false">
      <c r="A59" s="15"/>
      <c r="B59" s="16" t="s">
        <v>71</v>
      </c>
      <c r="C59" s="17" t="s">
        <v>19</v>
      </c>
      <c r="D59" s="18" t="n">
        <f aca="false">'2025'!D50</f>
        <v>388</v>
      </c>
      <c r="E59" s="18" t="n">
        <f aca="false">'2026'!D53</f>
        <v>397</v>
      </c>
      <c r="F59" s="19" t="n">
        <f aca="false">INDEX('2025'!E50:H50,1,$C$2)</f>
        <v>0.692</v>
      </c>
      <c r="G59" s="19" t="n">
        <f aca="false">INDEX('2026'!E53:H53,1,$C$2)</f>
        <v>0.77</v>
      </c>
      <c r="H59" s="20" t="n">
        <f aca="false">(G59-F59)*100</f>
        <v>7.80000000000001</v>
      </c>
    </row>
    <row r="60" customFormat="false" ht="15" hidden="false" customHeight="false" outlineLevel="0" collapsed="false">
      <c r="A60" s="15"/>
      <c r="B60" s="16" t="s">
        <v>72</v>
      </c>
      <c r="C60" s="17" t="s">
        <v>19</v>
      </c>
      <c r="D60" s="18" t="n">
        <f aca="false">'2025'!D51</f>
        <v>333</v>
      </c>
      <c r="E60" s="18" t="n">
        <f aca="false">'2026'!D54</f>
        <v>368</v>
      </c>
      <c r="F60" s="19" t="n">
        <f aca="false">INDEX('2025'!E51:H51,1,$C$2)</f>
        <v>0.654</v>
      </c>
      <c r="G60" s="19" t="n">
        <f aca="false">INDEX('2026'!E54:H54,1,$C$2)</f>
        <v>0.647</v>
      </c>
      <c r="H60" s="20" t="n">
        <f aca="false">(G60-F60)*100</f>
        <v>-0.700000000000001</v>
      </c>
    </row>
    <row r="61" customFormat="false" ht="15" hidden="false" customHeight="false" outlineLevel="0" collapsed="false">
      <c r="A61" s="15"/>
      <c r="B61" s="21" t="s">
        <v>73</v>
      </c>
      <c r="C61" s="17"/>
      <c r="D61" s="18" t="n">
        <f aca="false">'2025'!D52</f>
        <v>395</v>
      </c>
      <c r="E61" s="18" t="n">
        <f aca="false">'2026'!D55</f>
        <v>395</v>
      </c>
      <c r="F61" s="19" t="n">
        <f aca="false">INDEX('2025'!E52:H52,1,$C$2)</f>
        <v>0.454</v>
      </c>
      <c r="G61" s="19" t="n">
        <f aca="false">INDEX('2026'!E55:H55,1,$C$2)</f>
        <v>0.599</v>
      </c>
      <c r="H61" s="20" t="n">
        <f aca="false">(G61-F61)*100</f>
        <v>14.5</v>
      </c>
    </row>
    <row r="62" customFormat="false" ht="15" hidden="false" customHeight="false" outlineLevel="0" collapsed="false">
      <c r="A62" s="15"/>
      <c r="B62" s="21" t="s">
        <v>74</v>
      </c>
      <c r="C62" s="17"/>
      <c r="D62" s="18" t="n">
        <f aca="false">'2025'!D53</f>
        <v>66</v>
      </c>
      <c r="E62" s="18" t="n">
        <f aca="false">'2026'!D56</f>
        <v>66</v>
      </c>
      <c r="F62" s="19" t="n">
        <f aca="false">INDEX('2025'!E53:H53,1,$C$2)</f>
        <v>0.606</v>
      </c>
      <c r="G62" s="19" t="n">
        <f aca="false">INDEX('2026'!E56:H56,1,$C$2)</f>
        <v>0.712</v>
      </c>
      <c r="H62" s="20" t="n">
        <f aca="false">(G62-F62)*100</f>
        <v>10.6</v>
      </c>
    </row>
    <row r="63" customFormat="false" ht="15" hidden="false" customHeight="false" outlineLevel="0" collapsed="false">
      <c r="A63" s="15"/>
      <c r="B63" s="21" t="s">
        <v>75</v>
      </c>
      <c r="C63" s="17"/>
      <c r="D63" s="18" t="n">
        <f aca="false">'2025'!D54</f>
        <v>300</v>
      </c>
      <c r="E63" s="18" t="n">
        <f aca="false">'2026'!D57</f>
        <v>300</v>
      </c>
      <c r="F63" s="19" t="n">
        <f aca="false">INDEX('2025'!E54:H54,1,$C$2)</f>
        <v>0.581</v>
      </c>
      <c r="G63" s="19" t="n">
        <f aca="false">INDEX('2026'!E57:H57,1,$C$2)</f>
        <v>0.683</v>
      </c>
      <c r="H63" s="20" t="n">
        <f aca="false">(G63-F63)*100</f>
        <v>10.2</v>
      </c>
    </row>
    <row r="64" customFormat="false" ht="15" hidden="false" customHeight="false" outlineLevel="0" collapsed="false">
      <c r="A64" s="15"/>
      <c r="B64" s="21" t="s">
        <v>43</v>
      </c>
      <c r="C64" s="17"/>
      <c r="D64" s="18" t="n">
        <f aca="false">'2025'!D55</f>
        <v>214</v>
      </c>
      <c r="E64" s="18" t="n">
        <f aca="false">'2026'!D58</f>
        <v>214</v>
      </c>
      <c r="F64" s="19" t="n">
        <f aca="false">INDEX('2025'!E55:H55,1,$C$2)</f>
        <v>0.665</v>
      </c>
      <c r="G64" s="19" t="n">
        <f aca="false">INDEX('2026'!E58:H58,1,$C$2)</f>
        <v>0.722</v>
      </c>
      <c r="H64" s="20" t="n">
        <f aca="false">(G64-F64)*100</f>
        <v>5.69999999999999</v>
      </c>
    </row>
    <row r="65" customFormat="false" ht="15" hidden="false" customHeight="false" outlineLevel="0" collapsed="false">
      <c r="A65" s="15"/>
      <c r="B65" s="21" t="s">
        <v>76</v>
      </c>
      <c r="C65" s="17"/>
      <c r="D65" s="18" t="n">
        <f aca="false">'2025'!D56</f>
        <v>324</v>
      </c>
      <c r="E65" s="18" t="n">
        <f aca="false">'2026'!D59</f>
        <v>324</v>
      </c>
      <c r="F65" s="19" t="n">
        <f aca="false">INDEX('2025'!E56:H56,1,$C$2)</f>
        <v>0.685</v>
      </c>
      <c r="G65" s="19" t="n">
        <f aca="false">INDEX('2026'!E59:H59,1,$C$2)</f>
        <v>0.729</v>
      </c>
      <c r="H65" s="20" t="n">
        <f aca="false">(G65-F65)*100</f>
        <v>4.39999999999999</v>
      </c>
    </row>
    <row r="66" customFormat="false" ht="15" hidden="false" customHeight="false" outlineLevel="0" collapsed="false">
      <c r="A66" s="15"/>
      <c r="B66" s="21" t="s">
        <v>77</v>
      </c>
      <c r="C66" s="17"/>
      <c r="D66" s="18" t="n">
        <f aca="false">'2025'!D57</f>
        <v>503</v>
      </c>
      <c r="E66" s="18" t="n">
        <f aca="false">'2026'!D60</f>
        <v>503</v>
      </c>
      <c r="F66" s="19" t="n">
        <f aca="false">INDEX('2025'!E57:H57,1,$C$2)</f>
        <v>0.75</v>
      </c>
      <c r="G66" s="19" t="n">
        <f aca="false">INDEX('2026'!E60:H60,1,$C$2)</f>
        <v>0.79</v>
      </c>
      <c r="H66" s="20" t="n">
        <f aca="false">(G66-F66)*100</f>
        <v>4</v>
      </c>
    </row>
    <row r="67" customFormat="false" ht="12.65" hidden="false" customHeight="false" outlineLevel="0" collapsed="false">
      <c r="A67" s="14" t="s">
        <v>78</v>
      </c>
      <c r="B67" s="14"/>
      <c r="C67" s="14"/>
      <c r="D67" s="14"/>
      <c r="E67" s="14"/>
      <c r="F67" s="14"/>
      <c r="G67" s="14"/>
      <c r="H67" s="14"/>
    </row>
    <row r="68" customFormat="false" ht="15" hidden="false" customHeight="false" outlineLevel="0" collapsed="false">
      <c r="A68" s="15"/>
      <c r="B68" s="16" t="s">
        <v>79</v>
      </c>
      <c r="C68" s="17" t="s">
        <v>19</v>
      </c>
      <c r="D68" s="18" t="n">
        <f aca="false">'2025'!D59</f>
        <v>799</v>
      </c>
      <c r="E68" s="18" t="n">
        <f aca="false">'2026'!D62</f>
        <v>824</v>
      </c>
      <c r="F68" s="19" t="n">
        <f aca="false">INDEX('2025'!E59:H59,1,$C$2)</f>
        <v>0.678</v>
      </c>
      <c r="G68" s="19" t="n">
        <f aca="false">INDEX('2026'!E62:H62,1,$C$2)</f>
        <v>0.661</v>
      </c>
      <c r="H68" s="20" t="n">
        <f aca="false">(G68-F68)*100</f>
        <v>-1.7</v>
      </c>
    </row>
    <row r="69" customFormat="false" ht="15" hidden="false" customHeight="false" outlineLevel="0" collapsed="false">
      <c r="A69" s="15"/>
      <c r="B69" s="21" t="s">
        <v>80</v>
      </c>
      <c r="C69" s="17"/>
      <c r="D69" s="17" t="s">
        <v>27</v>
      </c>
      <c r="E69" s="18" t="n">
        <f aca="false">'2026'!D63</f>
        <v>334</v>
      </c>
      <c r="F69" s="17" t="s">
        <v>27</v>
      </c>
      <c r="G69" s="19" t="n">
        <f aca="false">INDEX('2026'!E63:H63,1,$C$2)</f>
        <v>0.3</v>
      </c>
      <c r="H69" s="22" t="s">
        <v>28</v>
      </c>
    </row>
  </sheetData>
  <mergeCells count="10">
    <mergeCell ref="A1:H1"/>
    <mergeCell ref="A2:B2"/>
    <mergeCell ref="A8:H8"/>
    <mergeCell ref="A17:H17"/>
    <mergeCell ref="A28:H28"/>
    <mergeCell ref="A36:H36"/>
    <mergeCell ref="A41:H41"/>
    <mergeCell ref="A51:H51"/>
    <mergeCell ref="A58:H58"/>
    <mergeCell ref="A67:H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8" min="5" style="0" width="10"/>
  </cols>
  <sheetData>
    <row r="1" customFormat="false" ht="15" hidden="false" customHeight="false" outlineLevel="0" collapsed="false">
      <c r="A1" s="12" t="s">
        <v>9</v>
      </c>
      <c r="B1" s="12" t="s">
        <v>10</v>
      </c>
      <c r="C1" s="12" t="s">
        <v>11</v>
      </c>
      <c r="D1" s="12" t="s">
        <v>81</v>
      </c>
      <c r="E1" s="13" t="s">
        <v>82</v>
      </c>
      <c r="F1" s="13" t="s">
        <v>83</v>
      </c>
      <c r="G1" s="13" t="s">
        <v>84</v>
      </c>
      <c r="H1" s="13" t="s">
        <v>85</v>
      </c>
    </row>
    <row r="2" customFormat="false" ht="15" hidden="false" customHeight="false" outlineLevel="0" collapsed="false">
      <c r="A2" s="14" t="s">
        <v>17</v>
      </c>
      <c r="B2" s="14"/>
      <c r="C2" s="14"/>
      <c r="D2" s="14"/>
      <c r="E2" s="14"/>
      <c r="F2" s="14"/>
      <c r="G2" s="14"/>
      <c r="H2" s="14"/>
    </row>
    <row r="3" customFormat="false" ht="15" hidden="false" customHeight="false" outlineLevel="0" collapsed="false">
      <c r="A3" s="15"/>
      <c r="B3" s="16" t="s">
        <v>18</v>
      </c>
      <c r="C3" s="17" t="s">
        <v>19</v>
      </c>
      <c r="D3" s="23" t="n">
        <v>1762</v>
      </c>
      <c r="E3" s="24" t="n">
        <v>0.77</v>
      </c>
      <c r="F3" s="24" t="n">
        <v>0.792</v>
      </c>
      <c r="G3" s="24" t="n">
        <v>0.208</v>
      </c>
      <c r="H3" s="24" t="n">
        <v>0.254</v>
      </c>
    </row>
    <row r="4" customFormat="false" ht="15" hidden="false" customHeight="false" outlineLevel="0" collapsed="false">
      <c r="A4" s="15"/>
      <c r="B4" s="16" t="s">
        <v>20</v>
      </c>
      <c r="C4" s="17" t="s">
        <v>19</v>
      </c>
      <c r="D4" s="23" t="n">
        <v>500</v>
      </c>
      <c r="E4" s="24" t="n">
        <v>0.529</v>
      </c>
      <c r="F4" s="24" t="n">
        <v>0.589</v>
      </c>
      <c r="G4" s="24" t="n">
        <v>0.12</v>
      </c>
      <c r="H4" s="24" t="n">
        <v>0.196</v>
      </c>
    </row>
    <row r="5" customFormat="false" ht="15" hidden="false" customHeight="false" outlineLevel="0" collapsed="false">
      <c r="A5" s="15"/>
      <c r="B5" s="16" t="s">
        <v>21</v>
      </c>
      <c r="C5" s="17" t="s">
        <v>19</v>
      </c>
      <c r="D5" s="23" t="n">
        <v>219</v>
      </c>
      <c r="E5" s="24" t="n">
        <v>0.42</v>
      </c>
      <c r="F5" s="24" t="n">
        <v>0.433</v>
      </c>
      <c r="G5" s="24" t="n">
        <v>0.153</v>
      </c>
      <c r="H5" s="24" t="n">
        <v>0.24</v>
      </c>
    </row>
    <row r="6" customFormat="false" ht="15" hidden="false" customHeight="false" outlineLevel="0" collapsed="false">
      <c r="A6" s="15"/>
      <c r="B6" s="21" t="s">
        <v>22</v>
      </c>
      <c r="C6" s="17"/>
      <c r="D6" s="23" t="n">
        <v>1298</v>
      </c>
      <c r="E6" s="24" t="n">
        <v>0.853</v>
      </c>
      <c r="F6" s="24" t="n">
        <v>0.818</v>
      </c>
      <c r="G6" s="24" t="n">
        <v>0.268</v>
      </c>
      <c r="H6" s="24" t="n">
        <v>0.206</v>
      </c>
    </row>
    <row r="7" customFormat="false" ht="15" hidden="false" customHeight="false" outlineLevel="0" collapsed="false">
      <c r="A7" s="15"/>
      <c r="B7" s="21" t="s">
        <v>23</v>
      </c>
      <c r="C7" s="17"/>
      <c r="D7" s="23" t="n">
        <v>962</v>
      </c>
      <c r="E7" s="24" t="n">
        <v>0.751</v>
      </c>
      <c r="F7" s="24" t="n">
        <v>0.653</v>
      </c>
      <c r="G7" s="24" t="n">
        <v>0.105</v>
      </c>
      <c r="H7" s="24" t="n">
        <v>0.272</v>
      </c>
    </row>
    <row r="8" customFormat="false" ht="15" hidden="false" customHeight="false" outlineLevel="0" collapsed="false">
      <c r="A8" s="15"/>
      <c r="B8" s="21" t="s">
        <v>24</v>
      </c>
      <c r="C8" s="17"/>
      <c r="D8" s="23" t="n">
        <v>1105</v>
      </c>
      <c r="E8" s="24" t="n">
        <v>0.514</v>
      </c>
      <c r="F8" s="24" t="n">
        <v>0.562</v>
      </c>
      <c r="G8" s="24" t="n">
        <v>0.244</v>
      </c>
      <c r="H8" s="24" t="n">
        <v>0.398</v>
      </c>
    </row>
    <row r="9" customFormat="false" ht="15" hidden="false" customHeight="false" outlineLevel="0" collapsed="false">
      <c r="A9" s="15"/>
      <c r="B9" s="21" t="s">
        <v>25</v>
      </c>
      <c r="C9" s="17"/>
      <c r="D9" s="23" t="n">
        <v>766</v>
      </c>
      <c r="E9" s="24" t="n">
        <v>0.643</v>
      </c>
      <c r="F9" s="24" t="n">
        <v>0.6</v>
      </c>
      <c r="G9" s="24" t="n">
        <v>0.096</v>
      </c>
      <c r="H9" s="24" t="n">
        <v>0.162</v>
      </c>
    </row>
    <row r="10" customFormat="false" ht="15" hidden="false" customHeight="false" outlineLevel="0" collapsed="false">
      <c r="A10" s="15"/>
      <c r="B10" s="16" t="s">
        <v>26</v>
      </c>
      <c r="C10" s="17" t="s">
        <v>19</v>
      </c>
      <c r="D10" s="23" t="n">
        <v>193</v>
      </c>
      <c r="E10" s="24" t="n">
        <v>0.529</v>
      </c>
      <c r="F10" s="24" t="n">
        <v>0.563</v>
      </c>
      <c r="G10" s="24" t="n">
        <v>0.386</v>
      </c>
      <c r="H10" s="24" t="n">
        <v>0.494</v>
      </c>
    </row>
    <row r="11" customFormat="false" ht="15" hidden="false" customHeight="false" outlineLevel="0" collapsed="false">
      <c r="A11" s="14" t="s">
        <v>29</v>
      </c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15"/>
      <c r="B12" s="16" t="s">
        <v>30</v>
      </c>
      <c r="C12" s="17" t="s">
        <v>19</v>
      </c>
      <c r="D12" s="23" t="n">
        <v>1257</v>
      </c>
      <c r="E12" s="24" t="n">
        <v>0.59</v>
      </c>
      <c r="F12" s="24" t="n">
        <v>0.623</v>
      </c>
      <c r="G12" s="24" t="n">
        <v>0.259</v>
      </c>
      <c r="H12" s="24" t="n">
        <v>0.425</v>
      </c>
    </row>
    <row r="13" customFormat="false" ht="15" hidden="false" customHeight="false" outlineLevel="0" collapsed="false">
      <c r="A13" s="15"/>
      <c r="B13" s="16" t="s">
        <v>31</v>
      </c>
      <c r="C13" s="17" t="s">
        <v>19</v>
      </c>
      <c r="D13" s="23" t="n">
        <v>497</v>
      </c>
      <c r="E13" s="24" t="n">
        <v>0.556</v>
      </c>
      <c r="F13" s="24" t="n">
        <v>0.612</v>
      </c>
      <c r="G13" s="24" t="n">
        <v>0.339</v>
      </c>
      <c r="H13" s="24" t="n">
        <v>0.507</v>
      </c>
    </row>
    <row r="14" customFormat="false" ht="15" hidden="false" customHeight="false" outlineLevel="0" collapsed="false">
      <c r="A14" s="15"/>
      <c r="B14" s="16" t="s">
        <v>32</v>
      </c>
      <c r="C14" s="17" t="s">
        <v>19</v>
      </c>
      <c r="D14" s="23" t="n">
        <v>707</v>
      </c>
      <c r="E14" s="24" t="n">
        <v>0.616</v>
      </c>
      <c r="F14" s="24" t="n">
        <v>0.696</v>
      </c>
      <c r="G14" s="24" t="n">
        <v>0.381</v>
      </c>
      <c r="H14" s="24" t="n">
        <v>0.636</v>
      </c>
    </row>
    <row r="15" customFormat="false" ht="15" hidden="false" customHeight="false" outlineLevel="0" collapsed="false">
      <c r="A15" s="15"/>
      <c r="B15" s="21" t="s">
        <v>33</v>
      </c>
      <c r="C15" s="17"/>
      <c r="D15" s="23" t="n">
        <v>392</v>
      </c>
      <c r="E15" s="24" t="n">
        <v>0.646</v>
      </c>
      <c r="F15" s="24" t="n">
        <v>0.715</v>
      </c>
      <c r="G15" s="24" t="n">
        <v>0.479</v>
      </c>
      <c r="H15" s="24" t="n">
        <v>0.652</v>
      </c>
    </row>
    <row r="16" customFormat="false" ht="15" hidden="false" customHeight="false" outlineLevel="0" collapsed="false">
      <c r="A16" s="15"/>
      <c r="B16" s="21" t="s">
        <v>34</v>
      </c>
      <c r="C16" s="17"/>
      <c r="D16" s="23" t="n">
        <v>674</v>
      </c>
      <c r="E16" s="24" t="n">
        <v>0.38</v>
      </c>
      <c r="F16" s="24" t="n">
        <v>0.42</v>
      </c>
      <c r="G16" s="24" t="n">
        <v>0.3</v>
      </c>
      <c r="H16" s="24" t="n">
        <v>0.36</v>
      </c>
    </row>
    <row r="17" customFormat="false" ht="15" hidden="false" customHeight="false" outlineLevel="0" collapsed="false">
      <c r="A17" s="15"/>
      <c r="B17" s="21" t="s">
        <v>35</v>
      </c>
      <c r="C17" s="17"/>
      <c r="D17" s="23" t="n">
        <v>1554</v>
      </c>
      <c r="E17" s="24" t="n">
        <v>0.299</v>
      </c>
      <c r="F17" s="24" t="n">
        <v>0.293</v>
      </c>
      <c r="G17" s="24" t="n">
        <v>0.115</v>
      </c>
      <c r="H17" s="24" t="n">
        <v>0.439</v>
      </c>
    </row>
    <row r="18" customFormat="false" ht="15" hidden="false" customHeight="false" outlineLevel="0" collapsed="false">
      <c r="A18" s="15"/>
      <c r="B18" s="21" t="s">
        <v>36</v>
      </c>
      <c r="C18" s="17"/>
      <c r="D18" s="23" t="n">
        <v>56</v>
      </c>
      <c r="E18" s="24" t="n">
        <v>0.725</v>
      </c>
      <c r="F18" s="24" t="n">
        <v>0.713</v>
      </c>
      <c r="G18" s="24" t="n">
        <v>0.56</v>
      </c>
      <c r="H18" s="24" t="n">
        <v>0.618</v>
      </c>
    </row>
    <row r="19" customFormat="false" ht="15" hidden="false" customHeight="false" outlineLevel="0" collapsed="false">
      <c r="A19" s="15"/>
      <c r="B19" s="21" t="s">
        <v>37</v>
      </c>
      <c r="C19" s="17"/>
      <c r="D19" s="23" t="n">
        <v>529</v>
      </c>
      <c r="E19" s="24" t="n">
        <v>0.15</v>
      </c>
      <c r="F19" s="24" t="n">
        <v>0.19</v>
      </c>
      <c r="G19" s="24" t="n">
        <v>0.09</v>
      </c>
      <c r="H19" s="24" t="n">
        <v>0.2</v>
      </c>
    </row>
    <row r="20" customFormat="false" ht="15" hidden="false" customHeight="false" outlineLevel="0" collapsed="false">
      <c r="A20" s="15"/>
      <c r="B20" s="16" t="s">
        <v>38</v>
      </c>
      <c r="C20" s="17" t="s">
        <v>19</v>
      </c>
      <c r="D20" s="23" t="n">
        <v>87</v>
      </c>
      <c r="E20" s="24" t="n">
        <v>0.804</v>
      </c>
      <c r="F20" s="24" t="n">
        <v>0.826</v>
      </c>
      <c r="G20" s="24" t="n">
        <v>0.575</v>
      </c>
      <c r="H20" s="24" t="n">
        <v>0.663</v>
      </c>
    </row>
    <row r="21" customFormat="false" ht="15" hidden="false" customHeight="false" outlineLevel="0" collapsed="false">
      <c r="A21" s="15"/>
      <c r="B21" s="21" t="s">
        <v>39</v>
      </c>
      <c r="C21" s="17"/>
      <c r="D21" s="23" t="n">
        <v>176</v>
      </c>
      <c r="E21" s="24" t="n">
        <v>0.735</v>
      </c>
      <c r="F21" s="24" t="n">
        <v>0.708</v>
      </c>
      <c r="G21" s="24" t="n">
        <v>0.419</v>
      </c>
      <c r="H21" s="24" t="n">
        <v>0.646</v>
      </c>
    </row>
    <row r="22" customFormat="false" ht="15" hidden="false" customHeight="false" outlineLevel="0" collapsed="false">
      <c r="A22" s="14" t="s">
        <v>40</v>
      </c>
      <c r="B22" s="14"/>
      <c r="C22" s="14"/>
      <c r="D22" s="14"/>
      <c r="E22" s="14"/>
      <c r="F22" s="14"/>
      <c r="G22" s="14"/>
      <c r="H22" s="14"/>
    </row>
    <row r="23" customFormat="false" ht="15" hidden="false" customHeight="false" outlineLevel="0" collapsed="false">
      <c r="A23" s="15"/>
      <c r="B23" s="16" t="s">
        <v>41</v>
      </c>
      <c r="C23" s="17" t="s">
        <v>19</v>
      </c>
      <c r="D23" s="23" t="n">
        <v>417</v>
      </c>
      <c r="E23" s="24" t="n">
        <v>0.745</v>
      </c>
      <c r="F23" s="24" t="n">
        <v>0.805</v>
      </c>
      <c r="G23" s="24" t="n">
        <v>0.56</v>
      </c>
      <c r="H23" s="24" t="n">
        <v>0.918</v>
      </c>
    </row>
    <row r="24" customFormat="false" ht="15" hidden="false" customHeight="false" outlineLevel="0" collapsed="false">
      <c r="A24" s="15"/>
      <c r="B24" s="21" t="s">
        <v>42</v>
      </c>
      <c r="C24" s="17"/>
      <c r="D24" s="23" t="n">
        <v>430</v>
      </c>
      <c r="E24" s="24" t="n">
        <v>0.786</v>
      </c>
      <c r="F24" s="24" t="n">
        <v>0.749</v>
      </c>
      <c r="G24" s="24" t="n">
        <v>0.638</v>
      </c>
      <c r="H24" s="24" t="n">
        <v>0.943</v>
      </c>
    </row>
    <row r="25" customFormat="false" ht="15" hidden="false" customHeight="false" outlineLevel="0" collapsed="false">
      <c r="A25" s="15"/>
      <c r="B25" s="21" t="s">
        <v>43</v>
      </c>
      <c r="C25" s="17"/>
      <c r="D25" s="23" t="n">
        <v>501</v>
      </c>
      <c r="E25" s="24" t="n">
        <v>0.471</v>
      </c>
      <c r="F25" s="24" t="n">
        <v>0.544</v>
      </c>
      <c r="G25" s="24" t="n">
        <v>0.343</v>
      </c>
      <c r="H25" s="24" t="n">
        <v>0.728</v>
      </c>
    </row>
    <row r="26" customFormat="false" ht="15" hidden="false" customHeight="false" outlineLevel="0" collapsed="false">
      <c r="A26" s="15"/>
      <c r="B26" s="21" t="s">
        <v>44</v>
      </c>
      <c r="C26" s="17"/>
      <c r="D26" s="23" t="n">
        <v>393</v>
      </c>
      <c r="E26" s="24" t="n">
        <v>0.611</v>
      </c>
      <c r="F26" s="24" t="n">
        <v>0.611</v>
      </c>
      <c r="G26" s="24" t="n">
        <v>0.568</v>
      </c>
      <c r="H26" s="24" t="n">
        <v>0.842</v>
      </c>
    </row>
    <row r="27" customFormat="false" ht="15" hidden="false" customHeight="false" outlineLevel="0" collapsed="false">
      <c r="A27" s="15"/>
      <c r="B27" s="16" t="s">
        <v>45</v>
      </c>
      <c r="C27" s="17" t="s">
        <v>19</v>
      </c>
      <c r="D27" s="23" t="n">
        <v>843</v>
      </c>
      <c r="E27" s="24" t="n">
        <v>0.574</v>
      </c>
      <c r="F27" s="24" t="n">
        <v>0.609</v>
      </c>
      <c r="G27" s="24" t="n">
        <v>0.311</v>
      </c>
      <c r="H27" s="24" t="n">
        <v>0.418</v>
      </c>
    </row>
    <row r="28" customFormat="false" ht="15" hidden="false" customHeight="false" outlineLevel="0" collapsed="false">
      <c r="A28" s="15"/>
      <c r="B28" s="21" t="s">
        <v>46</v>
      </c>
      <c r="C28" s="17"/>
      <c r="D28" s="23" t="n">
        <v>450</v>
      </c>
      <c r="E28" s="24" t="n">
        <v>0.81</v>
      </c>
      <c r="F28" s="24" t="n">
        <v>0.835</v>
      </c>
      <c r="G28" s="24" t="n">
        <v>0.55</v>
      </c>
      <c r="H28" s="24" t="n">
        <v>0.739</v>
      </c>
    </row>
    <row r="29" customFormat="false" ht="15" hidden="false" customHeight="false" outlineLevel="0" collapsed="false">
      <c r="A29" s="15"/>
      <c r="B29" s="16" t="s">
        <v>47</v>
      </c>
      <c r="C29" s="17" t="s">
        <v>19</v>
      </c>
      <c r="D29" s="23" t="n">
        <v>320</v>
      </c>
      <c r="E29" s="24" t="n">
        <v>0.688</v>
      </c>
      <c r="F29" s="24" t="n">
        <v>0.703</v>
      </c>
      <c r="G29" s="24" t="n">
        <v>0.356</v>
      </c>
      <c r="H29" s="24" t="n">
        <v>0.433</v>
      </c>
    </row>
    <row r="30" customFormat="false" ht="12.65" hidden="false" customHeight="false" outlineLevel="0" collapsed="false">
      <c r="A30" s="14" t="s">
        <v>48</v>
      </c>
      <c r="B30" s="14"/>
      <c r="C30" s="14"/>
      <c r="D30" s="14"/>
      <c r="E30" s="14"/>
      <c r="F30" s="14"/>
      <c r="G30" s="14"/>
      <c r="H30" s="14"/>
    </row>
    <row r="31" customFormat="false" ht="15" hidden="false" customHeight="false" outlineLevel="0" collapsed="false">
      <c r="A31" s="15"/>
      <c r="B31" s="16" t="s">
        <v>49</v>
      </c>
      <c r="C31" s="17" t="s">
        <v>19</v>
      </c>
      <c r="D31" s="23" t="n">
        <v>450</v>
      </c>
      <c r="E31" s="24" t="n">
        <v>0.755</v>
      </c>
      <c r="F31" s="24" t="n">
        <v>0.775</v>
      </c>
      <c r="G31" s="24" t="n">
        <v>0.369</v>
      </c>
      <c r="H31" s="24" t="n">
        <v>0.505</v>
      </c>
    </row>
    <row r="32" customFormat="false" ht="15" hidden="false" customHeight="false" outlineLevel="0" collapsed="false">
      <c r="A32" s="15"/>
      <c r="B32" s="21" t="s">
        <v>50</v>
      </c>
      <c r="C32" s="17"/>
      <c r="D32" s="23" t="n">
        <v>405</v>
      </c>
      <c r="E32" s="24" t="n">
        <v>0.901</v>
      </c>
      <c r="F32" s="24" t="n">
        <v>0.882</v>
      </c>
      <c r="G32" s="24" t="n">
        <v>0.421</v>
      </c>
      <c r="H32" s="24" t="n">
        <v>0.621</v>
      </c>
    </row>
    <row r="33" customFormat="false" ht="15" hidden="false" customHeight="false" outlineLevel="0" collapsed="false">
      <c r="A33" s="15"/>
      <c r="B33" s="21" t="s">
        <v>51</v>
      </c>
      <c r="C33" s="17"/>
      <c r="D33" s="23" t="n">
        <v>248</v>
      </c>
      <c r="E33" s="24" t="n">
        <v>0.605</v>
      </c>
      <c r="F33" s="24" t="n">
        <v>0.681</v>
      </c>
      <c r="G33" s="24" t="n">
        <v>0.494</v>
      </c>
      <c r="H33" s="24" t="n">
        <v>0.784</v>
      </c>
    </row>
    <row r="34" customFormat="false" ht="15" hidden="false" customHeight="false" outlineLevel="0" collapsed="false">
      <c r="A34" s="15"/>
      <c r="B34" s="16" t="s">
        <v>52</v>
      </c>
      <c r="C34" s="17" t="s">
        <v>19</v>
      </c>
      <c r="D34" s="23" t="n">
        <v>503</v>
      </c>
      <c r="E34" s="24" t="n">
        <v>0.464</v>
      </c>
      <c r="F34" s="24" t="n">
        <v>0.62</v>
      </c>
      <c r="G34" s="24" t="n">
        <v>0.315</v>
      </c>
      <c r="H34" s="24" t="n">
        <v>0.506</v>
      </c>
    </row>
    <row r="35" customFormat="false" ht="12.65" hidden="false" customHeight="false" outlineLevel="0" collapsed="false">
      <c r="A35" s="14" t="s">
        <v>53</v>
      </c>
      <c r="B35" s="14"/>
      <c r="C35" s="14"/>
      <c r="D35" s="14"/>
      <c r="E35" s="14"/>
      <c r="F35" s="14"/>
      <c r="G35" s="14"/>
      <c r="H35" s="14"/>
    </row>
    <row r="36" customFormat="false" ht="15" hidden="false" customHeight="false" outlineLevel="0" collapsed="false">
      <c r="A36" s="15"/>
      <c r="B36" s="16" t="s">
        <v>54</v>
      </c>
      <c r="C36" s="17" t="s">
        <v>19</v>
      </c>
      <c r="D36" s="23" t="n">
        <v>310</v>
      </c>
      <c r="E36" s="24" t="n">
        <v>0.409</v>
      </c>
      <c r="F36" s="24" t="n">
        <v>0.491</v>
      </c>
      <c r="G36" s="24" t="n">
        <v>0.42</v>
      </c>
      <c r="H36" s="24" t="n">
        <v>0.646</v>
      </c>
    </row>
    <row r="37" customFormat="false" ht="15" hidden="false" customHeight="false" outlineLevel="0" collapsed="false">
      <c r="A37" s="15"/>
      <c r="B37" s="16" t="s">
        <v>55</v>
      </c>
      <c r="C37" s="17" t="s">
        <v>19</v>
      </c>
      <c r="D37" s="23" t="n">
        <v>561</v>
      </c>
      <c r="E37" s="24" t="n">
        <v>0.52</v>
      </c>
      <c r="F37" s="24" t="n">
        <v>0.667</v>
      </c>
      <c r="G37" s="24" t="n">
        <v>0.294</v>
      </c>
      <c r="H37" s="24" t="n">
        <v>0.581</v>
      </c>
    </row>
    <row r="38" customFormat="false" ht="15" hidden="false" customHeight="false" outlineLevel="0" collapsed="false">
      <c r="A38" s="15"/>
      <c r="B38" s="21" t="s">
        <v>56</v>
      </c>
      <c r="C38" s="17"/>
      <c r="D38" s="23" t="n">
        <v>100</v>
      </c>
      <c r="E38" s="24" t="n">
        <v>0.435</v>
      </c>
      <c r="F38" s="24" t="n">
        <v>0.493</v>
      </c>
      <c r="G38" s="24" t="n">
        <v>0.436</v>
      </c>
      <c r="H38" s="24" t="n">
        <v>0.625</v>
      </c>
    </row>
    <row r="39" customFormat="false" ht="15" hidden="false" customHeight="false" outlineLevel="0" collapsed="false">
      <c r="A39" s="15"/>
      <c r="B39" s="21" t="s">
        <v>57</v>
      </c>
      <c r="C39" s="17"/>
      <c r="D39" s="23" t="n">
        <v>315</v>
      </c>
      <c r="E39" s="24" t="n">
        <v>0.81</v>
      </c>
      <c r="F39" s="24" t="n">
        <v>0.842</v>
      </c>
      <c r="G39" s="24" t="n">
        <v>0.724</v>
      </c>
      <c r="H39" s="24" t="n">
        <v>0.825</v>
      </c>
    </row>
    <row r="40" customFormat="false" ht="15" hidden="false" customHeight="false" outlineLevel="0" collapsed="false">
      <c r="A40" s="15"/>
      <c r="B40" s="21" t="s">
        <v>58</v>
      </c>
      <c r="C40" s="17"/>
      <c r="D40" s="23" t="n">
        <v>298</v>
      </c>
      <c r="E40" s="24" t="n">
        <v>0.646</v>
      </c>
      <c r="F40" s="24" t="n">
        <v>0.687</v>
      </c>
      <c r="G40" s="24" t="n">
        <v>0.554</v>
      </c>
      <c r="H40" s="24" t="n">
        <v>0.692</v>
      </c>
    </row>
    <row r="41" customFormat="false" ht="15" hidden="false" customHeight="false" outlineLevel="0" collapsed="false">
      <c r="A41" s="15"/>
      <c r="B41" s="21" t="s">
        <v>59</v>
      </c>
      <c r="C41" s="17"/>
      <c r="D41" s="23" t="n">
        <v>272</v>
      </c>
      <c r="E41" s="24" t="n">
        <v>0.676</v>
      </c>
      <c r="F41" s="24" t="n">
        <v>0.824</v>
      </c>
      <c r="G41" s="24" t="n">
        <v>0.65</v>
      </c>
      <c r="H41" s="24" t="n">
        <v>0.791</v>
      </c>
    </row>
    <row r="42" customFormat="false" ht="15" hidden="false" customHeight="false" outlineLevel="0" collapsed="false">
      <c r="A42" s="15"/>
      <c r="B42" s="16" t="s">
        <v>60</v>
      </c>
      <c r="C42" s="17" t="s">
        <v>19</v>
      </c>
      <c r="D42" s="23" t="n">
        <v>449</v>
      </c>
      <c r="E42" s="24" t="n">
        <v>0.541</v>
      </c>
      <c r="F42" s="24" t="n">
        <v>0.61</v>
      </c>
      <c r="G42" s="24" t="n">
        <v>0.408</v>
      </c>
      <c r="H42" s="24" t="n">
        <v>0.613</v>
      </c>
    </row>
    <row r="43" customFormat="false" ht="15" hidden="false" customHeight="false" outlineLevel="0" collapsed="false">
      <c r="A43" s="15"/>
      <c r="B43" s="16" t="s">
        <v>61</v>
      </c>
      <c r="C43" s="17" t="s">
        <v>19</v>
      </c>
      <c r="D43" s="23" t="n">
        <v>509</v>
      </c>
      <c r="E43" s="24" t="n">
        <v>0.52</v>
      </c>
      <c r="F43" s="24" t="n">
        <v>0.605</v>
      </c>
      <c r="G43" s="24" t="n">
        <v>0.355</v>
      </c>
      <c r="H43" s="24" t="n">
        <v>0.49</v>
      </c>
    </row>
    <row r="44" customFormat="false" ht="15" hidden="false" customHeight="false" outlineLevel="0" collapsed="false">
      <c r="A44" s="15"/>
      <c r="B44" s="21" t="s">
        <v>62</v>
      </c>
      <c r="C44" s="17"/>
      <c r="D44" s="23" t="n">
        <v>470</v>
      </c>
      <c r="E44" s="24" t="n">
        <v>0.459</v>
      </c>
      <c r="F44" s="24" t="n">
        <v>0.545</v>
      </c>
      <c r="G44" s="24" t="n">
        <v>0.307</v>
      </c>
      <c r="H44" s="24" t="n">
        <v>0.388</v>
      </c>
    </row>
    <row r="45" customFormat="false" ht="15" hidden="false" customHeight="false" outlineLevel="0" collapsed="false">
      <c r="A45" s="14" t="s">
        <v>63</v>
      </c>
      <c r="B45" s="14"/>
      <c r="C45" s="14"/>
      <c r="D45" s="14"/>
      <c r="E45" s="14"/>
      <c r="F45" s="14"/>
      <c r="G45" s="14"/>
      <c r="H45" s="14"/>
    </row>
    <row r="46" customFormat="false" ht="15" hidden="false" customHeight="false" outlineLevel="0" collapsed="false">
      <c r="A46" s="15"/>
      <c r="B46" s="16" t="s">
        <v>64</v>
      </c>
      <c r="C46" s="17" t="s">
        <v>19</v>
      </c>
      <c r="D46" s="23" t="n">
        <v>235</v>
      </c>
      <c r="E46" s="24" t="n">
        <v>0.683</v>
      </c>
      <c r="F46" s="24" t="n">
        <v>0.678</v>
      </c>
      <c r="G46" s="24" t="n">
        <v>0.6</v>
      </c>
      <c r="H46" s="24" t="n">
        <v>0.778</v>
      </c>
    </row>
    <row r="47" customFormat="false" ht="15" hidden="false" customHeight="false" outlineLevel="0" collapsed="false">
      <c r="A47" s="15"/>
      <c r="B47" s="21" t="s">
        <v>65</v>
      </c>
      <c r="C47" s="17"/>
      <c r="D47" s="23" t="n">
        <v>417</v>
      </c>
      <c r="E47" s="24" t="n">
        <v>0.623</v>
      </c>
      <c r="F47" s="24" t="n">
        <v>0.637</v>
      </c>
      <c r="G47" s="24" t="n">
        <v>0.381</v>
      </c>
      <c r="H47" s="24" t="n">
        <v>0.579</v>
      </c>
    </row>
    <row r="48" customFormat="false" ht="15" hidden="false" customHeight="false" outlineLevel="0" collapsed="false">
      <c r="A48" s="15"/>
      <c r="B48" s="21" t="s">
        <v>66</v>
      </c>
      <c r="C48" s="17"/>
      <c r="D48" s="23" t="n">
        <v>383</v>
      </c>
      <c r="E48" s="24" t="n">
        <v>0.653</v>
      </c>
      <c r="F48" s="24" t="n">
        <v>0.772</v>
      </c>
      <c r="G48" s="24" t="n">
        <v>0.726</v>
      </c>
      <c r="H48" s="24" t="n">
        <v>0.831</v>
      </c>
    </row>
    <row r="49" customFormat="false" ht="15" hidden="false" customHeight="false" outlineLevel="0" collapsed="false">
      <c r="A49" s="15"/>
      <c r="B49" s="21" t="s">
        <v>67</v>
      </c>
      <c r="C49" s="17"/>
      <c r="D49" s="23" t="n">
        <v>134</v>
      </c>
      <c r="E49" s="24" t="n">
        <v>0.623</v>
      </c>
      <c r="F49" s="24" t="n">
        <v>0.646</v>
      </c>
      <c r="G49" s="24" t="n">
        <v>0.585</v>
      </c>
      <c r="H49" s="24" t="n">
        <v>0.72</v>
      </c>
    </row>
    <row r="50" customFormat="false" ht="15" hidden="false" customHeight="false" outlineLevel="0" collapsed="false">
      <c r="A50" s="15"/>
      <c r="B50" s="21" t="s">
        <v>68</v>
      </c>
      <c r="C50" s="17"/>
      <c r="D50" s="23" t="n">
        <v>402</v>
      </c>
      <c r="E50" s="24" t="n">
        <v>0.653</v>
      </c>
      <c r="F50" s="24" t="n">
        <v>0.663</v>
      </c>
      <c r="G50" s="24" t="n">
        <v>0.621</v>
      </c>
      <c r="H50" s="24" t="n">
        <v>0.742</v>
      </c>
    </row>
    <row r="51" customFormat="false" ht="15" hidden="false" customHeight="false" outlineLevel="0" collapsed="false">
      <c r="A51" s="15"/>
      <c r="B51" s="21" t="s">
        <v>69</v>
      </c>
      <c r="C51" s="17"/>
      <c r="D51" s="23" t="n">
        <v>250</v>
      </c>
      <c r="E51" s="24" t="n">
        <v>0.584</v>
      </c>
      <c r="F51" s="24" t="n">
        <v>0.549</v>
      </c>
      <c r="G51" s="24" t="n">
        <v>0.373</v>
      </c>
      <c r="H51" s="24" t="n">
        <v>0.485</v>
      </c>
    </row>
    <row r="52" customFormat="false" ht="15" hidden="false" customHeight="false" outlineLevel="0" collapsed="false">
      <c r="A52" s="14" t="s">
        <v>70</v>
      </c>
      <c r="B52" s="14"/>
      <c r="C52" s="14"/>
      <c r="D52" s="14"/>
      <c r="E52" s="14"/>
      <c r="F52" s="14"/>
      <c r="G52" s="14"/>
      <c r="H52" s="14"/>
    </row>
    <row r="53" customFormat="false" ht="15" hidden="false" customHeight="false" outlineLevel="0" collapsed="false">
      <c r="A53" s="15"/>
      <c r="B53" s="16" t="s">
        <v>71</v>
      </c>
      <c r="C53" s="17" t="s">
        <v>19</v>
      </c>
      <c r="D53" s="23" t="n">
        <v>397</v>
      </c>
      <c r="E53" s="24" t="n">
        <v>0.567</v>
      </c>
      <c r="F53" s="24" t="n">
        <v>0.553</v>
      </c>
      <c r="G53" s="24" t="n">
        <v>0.55</v>
      </c>
      <c r="H53" s="24" t="n">
        <v>0.77</v>
      </c>
    </row>
    <row r="54" customFormat="false" ht="15" hidden="false" customHeight="false" outlineLevel="0" collapsed="false">
      <c r="A54" s="15"/>
      <c r="B54" s="16" t="s">
        <v>72</v>
      </c>
      <c r="C54" s="17" t="s">
        <v>19</v>
      </c>
      <c r="D54" s="23" t="n">
        <v>368</v>
      </c>
      <c r="E54" s="24" t="n">
        <v>0.449</v>
      </c>
      <c r="F54" s="24" t="n">
        <v>0.406</v>
      </c>
      <c r="G54" s="24" t="n">
        <v>0.42</v>
      </c>
      <c r="H54" s="24" t="n">
        <v>0.647</v>
      </c>
    </row>
    <row r="55" customFormat="false" ht="15" hidden="false" customHeight="false" outlineLevel="0" collapsed="false">
      <c r="A55" s="15"/>
      <c r="B55" s="21" t="s">
        <v>73</v>
      </c>
      <c r="C55" s="17"/>
      <c r="D55" s="23" t="n">
        <v>395</v>
      </c>
      <c r="E55" s="24" t="n">
        <v>0.488</v>
      </c>
      <c r="F55" s="24" t="n">
        <v>0.397</v>
      </c>
      <c r="G55" s="24" t="n">
        <v>0.392</v>
      </c>
      <c r="H55" s="24" t="n">
        <v>0.599</v>
      </c>
    </row>
    <row r="56" customFormat="false" ht="15" hidden="false" customHeight="false" outlineLevel="0" collapsed="false">
      <c r="A56" s="15"/>
      <c r="B56" s="21" t="s">
        <v>74</v>
      </c>
      <c r="C56" s="17"/>
      <c r="D56" s="23" t="n">
        <v>66</v>
      </c>
      <c r="E56" s="24" t="n">
        <v>0.554</v>
      </c>
      <c r="F56" s="24" t="n">
        <v>0.608</v>
      </c>
      <c r="G56" s="24" t="n">
        <v>0.492</v>
      </c>
      <c r="H56" s="24" t="n">
        <v>0.712</v>
      </c>
    </row>
    <row r="57" customFormat="false" ht="15" hidden="false" customHeight="false" outlineLevel="0" collapsed="false">
      <c r="A57" s="15"/>
      <c r="B57" s="21" t="s">
        <v>75</v>
      </c>
      <c r="C57" s="17"/>
      <c r="D57" s="23" t="n">
        <v>300</v>
      </c>
      <c r="E57" s="24" t="n">
        <v>0.555</v>
      </c>
      <c r="F57" s="24" t="n">
        <v>0.578</v>
      </c>
      <c r="G57" s="24" t="n">
        <v>0.431</v>
      </c>
      <c r="H57" s="24" t="n">
        <v>0.683</v>
      </c>
    </row>
    <row r="58" customFormat="false" ht="15" hidden="false" customHeight="false" outlineLevel="0" collapsed="false">
      <c r="A58" s="15"/>
      <c r="B58" s="21" t="s">
        <v>43</v>
      </c>
      <c r="C58" s="17"/>
      <c r="D58" s="23" t="n">
        <v>214</v>
      </c>
      <c r="E58" s="24" t="n">
        <v>0.766</v>
      </c>
      <c r="F58" s="24" t="n">
        <v>0.644</v>
      </c>
      <c r="G58" s="24" t="n">
        <v>0.553</v>
      </c>
      <c r="H58" s="24" t="n">
        <v>0.722</v>
      </c>
    </row>
    <row r="59" customFormat="false" ht="15" hidden="false" customHeight="false" outlineLevel="0" collapsed="false">
      <c r="A59" s="15"/>
      <c r="B59" s="21" t="s">
        <v>76</v>
      </c>
      <c r="C59" s="17"/>
      <c r="D59" s="23" t="n">
        <v>324</v>
      </c>
      <c r="E59" s="24" t="n">
        <v>0.727</v>
      </c>
      <c r="F59" s="24" t="n">
        <v>0.567</v>
      </c>
      <c r="G59" s="24" t="n">
        <v>0.467</v>
      </c>
      <c r="H59" s="24" t="n">
        <v>0.729</v>
      </c>
    </row>
    <row r="60" customFormat="false" ht="15" hidden="false" customHeight="false" outlineLevel="0" collapsed="false">
      <c r="A60" s="15"/>
      <c r="B60" s="21" t="s">
        <v>77</v>
      </c>
      <c r="C60" s="17"/>
      <c r="D60" s="23" t="n">
        <v>503</v>
      </c>
      <c r="E60" s="24" t="n">
        <v>0.712</v>
      </c>
      <c r="F60" s="24" t="n">
        <v>0.705</v>
      </c>
      <c r="G60" s="24" t="n">
        <v>0.665</v>
      </c>
      <c r="H60" s="24" t="n">
        <v>0.79</v>
      </c>
    </row>
    <row r="61" customFormat="false" ht="12.65" hidden="false" customHeight="false" outlineLevel="0" collapsed="false">
      <c r="A61" s="14" t="s">
        <v>78</v>
      </c>
      <c r="B61" s="14"/>
      <c r="C61" s="14"/>
      <c r="D61" s="14"/>
      <c r="E61" s="14"/>
      <c r="F61" s="14"/>
      <c r="G61" s="14"/>
      <c r="H61" s="14"/>
    </row>
    <row r="62" customFormat="false" ht="15" hidden="false" customHeight="false" outlineLevel="0" collapsed="false">
      <c r="A62" s="15"/>
      <c r="B62" s="16" t="s">
        <v>79</v>
      </c>
      <c r="C62" s="17" t="s">
        <v>19</v>
      </c>
      <c r="D62" s="23" t="n">
        <v>824</v>
      </c>
      <c r="E62" s="24" t="n">
        <v>0.386</v>
      </c>
      <c r="F62" s="24" t="n">
        <v>0.447</v>
      </c>
      <c r="G62" s="24" t="n">
        <v>0.499</v>
      </c>
      <c r="H62" s="24" t="n">
        <v>0.661</v>
      </c>
    </row>
    <row r="63" customFormat="false" ht="15" hidden="false" customHeight="false" outlineLevel="0" collapsed="false">
      <c r="A63" s="15"/>
      <c r="B63" s="21" t="s">
        <v>80</v>
      </c>
      <c r="C63" s="17"/>
      <c r="D63" s="23" t="n">
        <v>334</v>
      </c>
      <c r="E63" s="24" t="n">
        <v>0.331</v>
      </c>
      <c r="F63" s="24" t="n">
        <v>0.691</v>
      </c>
      <c r="G63" s="24" t="n">
        <v>0.25</v>
      </c>
      <c r="H63" s="24" t="n">
        <v>0.3</v>
      </c>
    </row>
  </sheetData>
  <mergeCells count="8">
    <mergeCell ref="A2:H2"/>
    <mergeCell ref="A11:H11"/>
    <mergeCell ref="A22:H22"/>
    <mergeCell ref="A30:H30"/>
    <mergeCell ref="A35:H35"/>
    <mergeCell ref="A45:H45"/>
    <mergeCell ref="A52:H52"/>
    <mergeCell ref="A61:H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8" min="5" style="0" width="10"/>
  </cols>
  <sheetData>
    <row r="1" customFormat="false" ht="15" hidden="false" customHeight="false" outlineLevel="0" collapsed="false">
      <c r="A1" s="12" t="s">
        <v>9</v>
      </c>
      <c r="B1" s="12" t="s">
        <v>10</v>
      </c>
      <c r="C1" s="12" t="s">
        <v>11</v>
      </c>
      <c r="D1" s="12" t="s">
        <v>81</v>
      </c>
      <c r="E1" s="13" t="s">
        <v>82</v>
      </c>
      <c r="F1" s="13" t="s">
        <v>83</v>
      </c>
      <c r="G1" s="13" t="s">
        <v>84</v>
      </c>
      <c r="H1" s="13" t="s">
        <v>85</v>
      </c>
    </row>
    <row r="2" customFormat="false" ht="15" hidden="false" customHeight="false" outlineLevel="0" collapsed="false">
      <c r="A2" s="14" t="s">
        <v>17</v>
      </c>
      <c r="B2" s="14"/>
      <c r="C2" s="14"/>
      <c r="D2" s="14"/>
      <c r="E2" s="14"/>
      <c r="F2" s="14"/>
      <c r="G2" s="14"/>
      <c r="H2" s="14"/>
    </row>
    <row r="3" customFormat="false" ht="15" hidden="false" customHeight="false" outlineLevel="0" collapsed="false">
      <c r="A3" s="15"/>
      <c r="B3" s="16" t="s">
        <v>18</v>
      </c>
      <c r="C3" s="17" t="s">
        <v>19</v>
      </c>
      <c r="D3" s="23" t="n">
        <v>1723</v>
      </c>
      <c r="E3" s="24" t="n">
        <v>0.791</v>
      </c>
      <c r="F3" s="24" t="n">
        <v>0.756</v>
      </c>
      <c r="G3" s="24" t="n">
        <v>0.258</v>
      </c>
      <c r="H3" s="24" t="n">
        <v>0.342</v>
      </c>
    </row>
    <row r="4" customFormat="false" ht="15" hidden="false" customHeight="false" outlineLevel="0" collapsed="false">
      <c r="A4" s="15"/>
      <c r="B4" s="16" t="s">
        <v>20</v>
      </c>
      <c r="C4" s="17" t="s">
        <v>19</v>
      </c>
      <c r="D4" s="23" t="n">
        <v>500</v>
      </c>
      <c r="E4" s="24" t="n">
        <v>0.569</v>
      </c>
      <c r="F4" s="24" t="n">
        <v>0.472</v>
      </c>
      <c r="G4" s="24" t="n">
        <v>0.158</v>
      </c>
      <c r="H4" s="24" t="n">
        <v>0.274</v>
      </c>
    </row>
    <row r="5" customFormat="false" ht="15" hidden="false" customHeight="false" outlineLevel="0" collapsed="false">
      <c r="A5" s="15"/>
      <c r="B5" s="16" t="s">
        <v>21</v>
      </c>
      <c r="C5" s="17" t="s">
        <v>19</v>
      </c>
      <c r="D5" s="23" t="n">
        <v>219</v>
      </c>
      <c r="E5" s="24" t="n">
        <v>0.477</v>
      </c>
      <c r="F5" s="24" t="n">
        <v>0.343</v>
      </c>
      <c r="G5" s="24" t="n">
        <v>0.205</v>
      </c>
      <c r="H5" s="24" t="n">
        <v>0.304</v>
      </c>
    </row>
    <row r="6" customFormat="false" ht="15" hidden="false" customHeight="false" outlineLevel="0" collapsed="false">
      <c r="A6" s="15"/>
      <c r="B6" s="21" t="s">
        <v>22</v>
      </c>
      <c r="C6" s="17"/>
      <c r="D6" s="23" t="n">
        <v>1298</v>
      </c>
      <c r="E6" s="24" t="n">
        <v>0.873</v>
      </c>
      <c r="F6" s="24" t="n">
        <v>0.761</v>
      </c>
      <c r="G6" s="24" t="n">
        <v>0.33</v>
      </c>
      <c r="H6" s="24" t="n">
        <v>0.183</v>
      </c>
    </row>
    <row r="7" customFormat="false" ht="15" hidden="false" customHeight="false" outlineLevel="0" collapsed="false">
      <c r="A7" s="15"/>
      <c r="B7" s="21" t="s">
        <v>23</v>
      </c>
      <c r="C7" s="17"/>
      <c r="D7" s="23" t="n">
        <v>962</v>
      </c>
      <c r="E7" s="24" t="n">
        <v>0.735</v>
      </c>
      <c r="F7" s="24" t="n">
        <v>0.607</v>
      </c>
      <c r="G7" s="24" t="n">
        <v>0.213</v>
      </c>
      <c r="H7" s="24" t="n">
        <v>0.225</v>
      </c>
    </row>
    <row r="8" customFormat="false" ht="15" hidden="false" customHeight="false" outlineLevel="0" collapsed="false">
      <c r="A8" s="15"/>
      <c r="B8" s="21" t="s">
        <v>24</v>
      </c>
      <c r="C8" s="17"/>
      <c r="D8" s="23" t="n">
        <v>1105</v>
      </c>
      <c r="E8" s="24" t="n">
        <v>0.544</v>
      </c>
      <c r="F8" s="24" t="n">
        <v>0.417</v>
      </c>
      <c r="G8" s="24" t="n">
        <v>0.225</v>
      </c>
      <c r="H8" s="24" t="n">
        <v>0.477</v>
      </c>
    </row>
    <row r="9" customFormat="false" ht="15" hidden="false" customHeight="false" outlineLevel="0" collapsed="false">
      <c r="A9" s="15"/>
      <c r="B9" s="21" t="s">
        <v>25</v>
      </c>
      <c r="C9" s="17"/>
      <c r="D9" s="23" t="n">
        <v>766</v>
      </c>
      <c r="E9" s="24" t="n">
        <v>0.73</v>
      </c>
      <c r="F9" s="24" t="n">
        <v>0.576</v>
      </c>
      <c r="G9" s="24" t="n">
        <v>0.122</v>
      </c>
      <c r="H9" s="24" t="n">
        <v>0.166</v>
      </c>
    </row>
    <row r="10" customFormat="false" ht="15" hidden="false" customHeight="false" outlineLevel="0" collapsed="false">
      <c r="A10" s="15"/>
      <c r="B10" s="16" t="s">
        <v>86</v>
      </c>
      <c r="C10" s="17" t="s">
        <v>19</v>
      </c>
      <c r="D10" s="23" t="n">
        <v>189</v>
      </c>
      <c r="E10" s="24" t="n">
        <v>0.585</v>
      </c>
      <c r="F10" s="24" t="n">
        <v>0.465</v>
      </c>
      <c r="G10" s="24" t="n">
        <v>0.399</v>
      </c>
      <c r="H10" s="24" t="n">
        <v>0.506</v>
      </c>
    </row>
    <row r="11" customFormat="false" ht="15" hidden="false" customHeight="false" outlineLevel="0" collapsed="false">
      <c r="A11" s="14" t="s">
        <v>29</v>
      </c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15"/>
      <c r="B12" s="16" t="s">
        <v>30</v>
      </c>
      <c r="C12" s="17" t="s">
        <v>19</v>
      </c>
      <c r="D12" s="23" t="n">
        <v>1196</v>
      </c>
      <c r="E12" s="24" t="n">
        <v>0.656</v>
      </c>
      <c r="F12" s="24" t="n">
        <v>0.547</v>
      </c>
      <c r="G12" s="24" t="n">
        <v>0.311</v>
      </c>
      <c r="H12" s="24" t="n">
        <v>0.429</v>
      </c>
    </row>
    <row r="13" customFormat="false" ht="15" hidden="false" customHeight="false" outlineLevel="0" collapsed="false">
      <c r="A13" s="15"/>
      <c r="B13" s="16" t="s">
        <v>31</v>
      </c>
      <c r="C13" s="17" t="s">
        <v>19</v>
      </c>
      <c r="D13" s="23" t="n">
        <v>501</v>
      </c>
      <c r="E13" s="24" t="n">
        <v>0.565</v>
      </c>
      <c r="F13" s="24" t="n">
        <v>0.535</v>
      </c>
      <c r="G13" s="24" t="n">
        <v>0.383</v>
      </c>
      <c r="H13" s="24" t="n">
        <v>0.533</v>
      </c>
    </row>
    <row r="14" customFormat="false" ht="15" hidden="false" customHeight="false" outlineLevel="0" collapsed="false">
      <c r="A14" s="15"/>
      <c r="B14" s="16" t="s">
        <v>32</v>
      </c>
      <c r="C14" s="17" t="s">
        <v>19</v>
      </c>
      <c r="D14" s="23" t="n">
        <v>707</v>
      </c>
      <c r="E14" s="24" t="n">
        <v>0.612</v>
      </c>
      <c r="F14" s="24" t="n">
        <v>0.646</v>
      </c>
      <c r="G14" s="24" t="n">
        <v>0.429</v>
      </c>
      <c r="H14" s="24" t="n">
        <v>0.607</v>
      </c>
    </row>
    <row r="15" customFormat="false" ht="15" hidden="false" customHeight="false" outlineLevel="0" collapsed="false">
      <c r="A15" s="15"/>
      <c r="B15" s="21" t="s">
        <v>33</v>
      </c>
      <c r="C15" s="17"/>
      <c r="D15" s="23" t="n">
        <v>392</v>
      </c>
      <c r="E15" s="24" t="n">
        <v>0.631</v>
      </c>
      <c r="F15" s="24" t="n">
        <v>0.633</v>
      </c>
      <c r="G15" s="24" t="n">
        <v>0.549</v>
      </c>
      <c r="H15" s="24" t="n">
        <v>0.737</v>
      </c>
    </row>
    <row r="16" customFormat="false" ht="15" hidden="false" customHeight="false" outlineLevel="0" collapsed="false">
      <c r="A16" s="15"/>
      <c r="B16" s="21" t="s">
        <v>87</v>
      </c>
      <c r="C16" s="17"/>
      <c r="D16" s="23" t="n">
        <v>674</v>
      </c>
      <c r="E16" s="24" t="n">
        <v>0.29</v>
      </c>
      <c r="F16" s="24" t="n">
        <v>0.26</v>
      </c>
      <c r="G16" s="24" t="n">
        <v>0.24</v>
      </c>
      <c r="H16" s="24" t="n">
        <v>0.25</v>
      </c>
    </row>
    <row r="17" customFormat="false" ht="15" hidden="false" customHeight="false" outlineLevel="0" collapsed="false">
      <c r="A17" s="15"/>
      <c r="B17" s="21" t="s">
        <v>35</v>
      </c>
      <c r="C17" s="17"/>
      <c r="D17" s="23" t="n">
        <v>1554</v>
      </c>
      <c r="E17" s="24" t="n">
        <v>0.468</v>
      </c>
      <c r="F17" s="24" t="n">
        <v>0.381</v>
      </c>
      <c r="G17" s="24" t="n">
        <v>0.15</v>
      </c>
      <c r="H17" s="24" t="n">
        <v>0.468</v>
      </c>
    </row>
    <row r="18" customFormat="false" ht="15" hidden="false" customHeight="false" outlineLevel="0" collapsed="false">
      <c r="A18" s="15"/>
      <c r="B18" s="21" t="s">
        <v>36</v>
      </c>
      <c r="C18" s="17"/>
      <c r="D18" s="23" t="n">
        <v>56</v>
      </c>
      <c r="E18" s="24" t="n">
        <v>0.819</v>
      </c>
      <c r="F18" s="24" t="n">
        <v>0.885</v>
      </c>
      <c r="G18" s="24" t="n">
        <v>0.696</v>
      </c>
      <c r="H18" s="24" t="n">
        <v>0.705</v>
      </c>
    </row>
    <row r="19" customFormat="false" ht="15" hidden="false" customHeight="false" outlineLevel="0" collapsed="false">
      <c r="A19" s="15"/>
      <c r="B19" s="21" t="s">
        <v>88</v>
      </c>
      <c r="C19" s="17"/>
      <c r="D19" s="23" t="n">
        <v>87</v>
      </c>
      <c r="E19" s="24" t="n">
        <v>0.758</v>
      </c>
      <c r="F19" s="24" t="n">
        <v>0.761</v>
      </c>
      <c r="G19" s="24" t="n">
        <v>0.629</v>
      </c>
      <c r="H19" s="24" t="n">
        <v>0.682</v>
      </c>
    </row>
    <row r="20" customFormat="false" ht="15" hidden="false" customHeight="false" outlineLevel="0" collapsed="false">
      <c r="A20" s="15"/>
      <c r="B20" s="21" t="s">
        <v>39</v>
      </c>
      <c r="C20" s="17"/>
      <c r="D20" s="23" t="n">
        <v>176</v>
      </c>
      <c r="E20" s="24" t="n">
        <v>0.78</v>
      </c>
      <c r="F20" s="24" t="n">
        <v>0.85</v>
      </c>
      <c r="G20" s="24" t="n">
        <v>0.583</v>
      </c>
      <c r="H20" s="24" t="n">
        <v>0.74</v>
      </c>
    </row>
    <row r="21" customFormat="false" ht="15" hidden="false" customHeight="false" outlineLevel="0" collapsed="false">
      <c r="A21" s="14" t="s">
        <v>40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5"/>
      <c r="B22" s="16" t="s">
        <v>41</v>
      </c>
      <c r="C22" s="17" t="s">
        <v>19</v>
      </c>
      <c r="D22" s="23" t="n">
        <v>410</v>
      </c>
      <c r="E22" s="24" t="n">
        <v>0</v>
      </c>
      <c r="F22" s="24" t="n">
        <v>0</v>
      </c>
      <c r="G22" s="24" t="n">
        <v>0</v>
      </c>
      <c r="H22" s="24" t="n">
        <v>0</v>
      </c>
    </row>
    <row r="23" customFormat="false" ht="15" hidden="false" customHeight="false" outlineLevel="0" collapsed="false">
      <c r="A23" s="15"/>
      <c r="B23" s="21" t="s">
        <v>42</v>
      </c>
      <c r="C23" s="17"/>
      <c r="D23" s="23" t="n">
        <v>430</v>
      </c>
      <c r="E23" s="24" t="n">
        <v>0.82</v>
      </c>
      <c r="F23" s="24" t="n">
        <v>0.85</v>
      </c>
      <c r="G23" s="24" t="n">
        <v>0.885</v>
      </c>
      <c r="H23" s="24" t="n">
        <v>0.87</v>
      </c>
    </row>
    <row r="24" customFormat="false" ht="15" hidden="false" customHeight="false" outlineLevel="0" collapsed="false">
      <c r="A24" s="15"/>
      <c r="B24" s="21" t="s">
        <v>43</v>
      </c>
      <c r="C24" s="17"/>
      <c r="D24" s="23" t="n">
        <v>501</v>
      </c>
      <c r="E24" s="24" t="n">
        <v>0.494</v>
      </c>
      <c r="F24" s="24" t="n">
        <v>0.553</v>
      </c>
      <c r="G24" s="24" t="n">
        <v>0.451</v>
      </c>
      <c r="H24" s="24" t="n">
        <v>0.65</v>
      </c>
    </row>
    <row r="25" customFormat="false" ht="15" hidden="false" customHeight="false" outlineLevel="0" collapsed="false">
      <c r="A25" s="15"/>
      <c r="B25" s="21" t="s">
        <v>44</v>
      </c>
      <c r="C25" s="17"/>
      <c r="D25" s="23" t="n">
        <v>393</v>
      </c>
      <c r="E25" s="24" t="n">
        <v>0.551</v>
      </c>
      <c r="F25" s="24" t="n">
        <v>0.417</v>
      </c>
      <c r="G25" s="24" t="n">
        <v>0.382</v>
      </c>
      <c r="H25" s="24" t="n">
        <v>0.625</v>
      </c>
    </row>
    <row r="26" customFormat="false" ht="15" hidden="false" customHeight="false" outlineLevel="0" collapsed="false">
      <c r="A26" s="15"/>
      <c r="B26" s="16" t="s">
        <v>45</v>
      </c>
      <c r="C26" s="17" t="s">
        <v>19</v>
      </c>
      <c r="D26" s="23" t="n">
        <v>830</v>
      </c>
      <c r="E26" s="24" t="n">
        <v>0.563</v>
      </c>
      <c r="F26" s="24" t="n">
        <v>0.407</v>
      </c>
      <c r="G26" s="24" t="n">
        <v>0.496</v>
      </c>
      <c r="H26" s="24" t="n">
        <v>0.603</v>
      </c>
    </row>
    <row r="27" customFormat="false" ht="15" hidden="false" customHeight="false" outlineLevel="0" collapsed="false">
      <c r="A27" s="15"/>
      <c r="B27" s="21" t="s">
        <v>46</v>
      </c>
      <c r="C27" s="17"/>
      <c r="D27" s="23" t="n">
        <v>450</v>
      </c>
      <c r="E27" s="24" t="n">
        <v>0.858</v>
      </c>
      <c r="F27" s="24" t="n">
        <v>0.806</v>
      </c>
      <c r="G27" s="24" t="n">
        <v>0.631</v>
      </c>
      <c r="H27" s="24" t="n">
        <v>0.719</v>
      </c>
    </row>
    <row r="28" customFormat="false" ht="15" hidden="false" customHeight="false" outlineLevel="0" collapsed="false">
      <c r="A28" s="15"/>
      <c r="B28" s="16" t="s">
        <v>47</v>
      </c>
      <c r="C28" s="17" t="s">
        <v>19</v>
      </c>
      <c r="D28" s="23" t="n">
        <v>306</v>
      </c>
      <c r="E28" s="24" t="n">
        <v>0.691</v>
      </c>
      <c r="F28" s="24" t="n">
        <v>0.626</v>
      </c>
      <c r="G28" s="24" t="n">
        <v>0.279</v>
      </c>
      <c r="H28" s="24" t="n">
        <v>0.362</v>
      </c>
    </row>
    <row r="29" customFormat="false" ht="12.65" hidden="false" customHeight="false" outlineLevel="0" collapsed="false">
      <c r="A29" s="14" t="s">
        <v>48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false" outlineLevel="0" collapsed="false">
      <c r="A30" s="15"/>
      <c r="B30" s="16" t="s">
        <v>49</v>
      </c>
      <c r="C30" s="17" t="s">
        <v>19</v>
      </c>
      <c r="D30" s="23" t="n">
        <v>438</v>
      </c>
      <c r="E30" s="24" t="n">
        <v>0.767</v>
      </c>
      <c r="F30" s="24" t="n">
        <v>0.743</v>
      </c>
      <c r="G30" s="24" t="n">
        <v>0.471</v>
      </c>
      <c r="H30" s="24" t="n">
        <v>0.554</v>
      </c>
    </row>
    <row r="31" customFormat="false" ht="15" hidden="false" customHeight="false" outlineLevel="0" collapsed="false">
      <c r="A31" s="15"/>
      <c r="B31" s="21" t="s">
        <v>89</v>
      </c>
      <c r="C31" s="17"/>
      <c r="D31" s="23" t="n">
        <v>405</v>
      </c>
      <c r="E31" s="24" t="n">
        <v>0.894</v>
      </c>
      <c r="F31" s="24" t="n">
        <v>0.832</v>
      </c>
      <c r="G31" s="24" t="n">
        <v>0.352</v>
      </c>
      <c r="H31" s="24" t="n">
        <v>0.369</v>
      </c>
    </row>
    <row r="32" customFormat="false" ht="15" hidden="false" customHeight="false" outlineLevel="0" collapsed="false">
      <c r="A32" s="15"/>
      <c r="B32" s="21" t="s">
        <v>51</v>
      </c>
      <c r="C32" s="17"/>
      <c r="D32" s="23" t="n">
        <v>248</v>
      </c>
      <c r="E32" s="24" t="n">
        <v>0.62</v>
      </c>
      <c r="F32" s="24" t="n">
        <v>0.671</v>
      </c>
      <c r="G32" s="24" t="n">
        <v>0.424</v>
      </c>
      <c r="H32" s="24" t="n">
        <v>0.579</v>
      </c>
    </row>
    <row r="33" customFormat="false" ht="15" hidden="false" customHeight="false" outlineLevel="0" collapsed="false">
      <c r="A33" s="15"/>
      <c r="B33" s="16" t="s">
        <v>52</v>
      </c>
      <c r="C33" s="17" t="s">
        <v>19</v>
      </c>
      <c r="D33" s="23" t="n">
        <v>502</v>
      </c>
      <c r="E33" s="24" t="n">
        <v>0.603</v>
      </c>
      <c r="F33" s="24" t="n">
        <v>0.595</v>
      </c>
      <c r="G33" s="24" t="n">
        <v>0.416</v>
      </c>
      <c r="H33" s="24" t="n">
        <v>0.537</v>
      </c>
    </row>
    <row r="34" customFormat="false" ht="12.65" hidden="false" customHeight="false" outlineLevel="0" collapsed="false">
      <c r="A34" s="14" t="s">
        <v>90</v>
      </c>
      <c r="B34" s="14"/>
      <c r="C34" s="14"/>
      <c r="D34" s="14"/>
      <c r="E34" s="14"/>
      <c r="F34" s="14"/>
      <c r="G34" s="14"/>
      <c r="H34" s="14"/>
    </row>
    <row r="35" customFormat="false" ht="15" hidden="false" customHeight="false" outlineLevel="0" collapsed="false">
      <c r="A35" s="15"/>
      <c r="B35" s="16" t="s">
        <v>54</v>
      </c>
      <c r="C35" s="17" t="s">
        <v>19</v>
      </c>
      <c r="D35" s="23" t="n">
        <v>309</v>
      </c>
      <c r="E35" s="24" t="n">
        <v>0.492</v>
      </c>
      <c r="F35" s="24" t="n">
        <v>0.498</v>
      </c>
      <c r="G35" s="24" t="n">
        <v>0.531</v>
      </c>
      <c r="H35" s="24" t="n">
        <v>0.602</v>
      </c>
    </row>
    <row r="36" customFormat="false" ht="15" hidden="false" customHeight="false" outlineLevel="0" collapsed="false">
      <c r="A36" s="15"/>
      <c r="B36" s="21" t="s">
        <v>56</v>
      </c>
      <c r="C36" s="17"/>
      <c r="D36" s="23" t="n">
        <v>100</v>
      </c>
      <c r="E36" s="24" t="n">
        <v>0.442</v>
      </c>
      <c r="F36" s="24" t="n">
        <v>0.474</v>
      </c>
      <c r="G36" s="24" t="n">
        <v>0.474</v>
      </c>
      <c r="H36" s="24" t="n">
        <v>0.637</v>
      </c>
    </row>
    <row r="37" customFormat="false" ht="15" hidden="false" customHeight="false" outlineLevel="0" collapsed="false">
      <c r="A37" s="15"/>
      <c r="B37" s="21" t="s">
        <v>57</v>
      </c>
      <c r="C37" s="17"/>
      <c r="D37" s="23" t="n">
        <v>315</v>
      </c>
      <c r="E37" s="24" t="n">
        <v>0.724</v>
      </c>
      <c r="F37" s="24" t="n">
        <v>0.75</v>
      </c>
      <c r="G37" s="24" t="n">
        <v>0.656</v>
      </c>
      <c r="H37" s="24" t="n">
        <v>0.776</v>
      </c>
    </row>
    <row r="38" customFormat="false" ht="15" hidden="false" customHeight="false" outlineLevel="0" collapsed="false">
      <c r="A38" s="15"/>
      <c r="B38" s="21" t="s">
        <v>58</v>
      </c>
      <c r="C38" s="17"/>
      <c r="D38" s="23" t="n">
        <v>298</v>
      </c>
      <c r="E38" s="24" t="n">
        <v>0.75</v>
      </c>
      <c r="F38" s="24" t="n">
        <v>0.808</v>
      </c>
      <c r="G38" s="24" t="n">
        <v>0.659</v>
      </c>
      <c r="H38" s="24" t="n">
        <v>0.741</v>
      </c>
    </row>
    <row r="39" customFormat="false" ht="15" hidden="false" customHeight="false" outlineLevel="0" collapsed="false">
      <c r="A39" s="15"/>
      <c r="B39" s="16" t="s">
        <v>61</v>
      </c>
      <c r="C39" s="17" t="s">
        <v>19</v>
      </c>
      <c r="D39" s="23" t="n">
        <v>479</v>
      </c>
      <c r="E39" s="24" t="n">
        <v>0.608</v>
      </c>
      <c r="F39" s="24" t="n">
        <v>0.618</v>
      </c>
      <c r="G39" s="24" t="n">
        <v>0.446</v>
      </c>
      <c r="H39" s="24" t="n">
        <v>0.647</v>
      </c>
    </row>
    <row r="40" customFormat="false" ht="15" hidden="false" customHeight="false" outlineLevel="0" collapsed="false">
      <c r="A40" s="15"/>
      <c r="B40" s="21" t="s">
        <v>62</v>
      </c>
      <c r="C40" s="17"/>
      <c r="D40" s="23" t="n">
        <v>470</v>
      </c>
      <c r="E40" s="24" t="n">
        <v>0.548</v>
      </c>
      <c r="F40" s="24" t="n">
        <v>0.517</v>
      </c>
      <c r="G40" s="24" t="n">
        <v>0.339</v>
      </c>
      <c r="H40" s="24" t="n">
        <v>0.428</v>
      </c>
    </row>
    <row r="41" customFormat="false" ht="15" hidden="false" customHeight="false" outlineLevel="0" collapsed="false">
      <c r="A41" s="15"/>
      <c r="B41" s="16" t="s">
        <v>64</v>
      </c>
      <c r="C41" s="17" t="s">
        <v>19</v>
      </c>
      <c r="D41" s="23" t="n">
        <v>235</v>
      </c>
      <c r="E41" s="24" t="n">
        <v>0.613</v>
      </c>
      <c r="F41" s="24" t="n">
        <v>0.722</v>
      </c>
      <c r="G41" s="24" t="n">
        <v>0.584</v>
      </c>
      <c r="H41" s="24" t="n">
        <v>0.692</v>
      </c>
    </row>
    <row r="42" customFormat="false" ht="15" hidden="false" customHeight="false" outlineLevel="0" collapsed="false">
      <c r="A42" s="15"/>
      <c r="B42" s="21" t="s">
        <v>65</v>
      </c>
      <c r="C42" s="17"/>
      <c r="D42" s="23" t="n">
        <v>417</v>
      </c>
      <c r="E42" s="24" t="n">
        <v>0.683</v>
      </c>
      <c r="F42" s="24" t="n">
        <v>0.679</v>
      </c>
      <c r="G42" s="24" t="n">
        <v>0.375</v>
      </c>
      <c r="H42" s="24" t="n">
        <v>0.501</v>
      </c>
    </row>
    <row r="43" customFormat="false" ht="15" hidden="false" customHeight="false" outlineLevel="0" collapsed="false">
      <c r="A43" s="15"/>
      <c r="B43" s="21" t="s">
        <v>66</v>
      </c>
      <c r="C43" s="17"/>
      <c r="D43" s="23" t="n">
        <v>383</v>
      </c>
      <c r="E43" s="24" t="n">
        <v>0.595</v>
      </c>
      <c r="F43" s="24" t="n">
        <v>0.656</v>
      </c>
      <c r="G43" s="24" t="n">
        <v>0.61</v>
      </c>
      <c r="H43" s="24" t="n">
        <v>0.776</v>
      </c>
    </row>
    <row r="44" customFormat="false" ht="15" hidden="false" customHeight="false" outlineLevel="0" collapsed="false">
      <c r="A44" s="15"/>
      <c r="B44" s="21" t="s">
        <v>67</v>
      </c>
      <c r="C44" s="17"/>
      <c r="D44" s="23" t="n">
        <v>134</v>
      </c>
      <c r="E44" s="24" t="n">
        <v>0.737</v>
      </c>
      <c r="F44" s="24" t="n">
        <v>0.7</v>
      </c>
      <c r="G44" s="24" t="n">
        <v>0.72</v>
      </c>
      <c r="H44" s="24" t="n">
        <v>0.85</v>
      </c>
    </row>
    <row r="45" customFormat="false" ht="15" hidden="false" customHeight="false" outlineLevel="0" collapsed="false">
      <c r="A45" s="15"/>
      <c r="B45" s="21" t="s">
        <v>68</v>
      </c>
      <c r="C45" s="17"/>
      <c r="D45" s="23" t="n">
        <v>402</v>
      </c>
      <c r="E45" s="24" t="n">
        <v>0.58</v>
      </c>
      <c r="F45" s="24" t="n">
        <v>0.58</v>
      </c>
      <c r="G45" s="24" t="n">
        <v>0.62</v>
      </c>
      <c r="H45" s="24" t="n">
        <v>0.79</v>
      </c>
    </row>
    <row r="46" customFormat="false" ht="15" hidden="false" customHeight="false" outlineLevel="0" collapsed="false">
      <c r="A46" s="15"/>
      <c r="B46" s="21" t="s">
        <v>69</v>
      </c>
      <c r="C46" s="17"/>
      <c r="D46" s="23" t="n">
        <v>250</v>
      </c>
      <c r="E46" s="24" t="n">
        <v>0.297</v>
      </c>
      <c r="F46" s="24" t="n">
        <v>0.373</v>
      </c>
      <c r="G46" s="24" t="n">
        <v>0.286</v>
      </c>
      <c r="H46" s="24" t="n">
        <v>0.399</v>
      </c>
    </row>
    <row r="47" customFormat="false" ht="15" hidden="false" customHeight="false" outlineLevel="0" collapsed="false">
      <c r="A47" s="15"/>
      <c r="B47" s="21" t="s">
        <v>59</v>
      </c>
      <c r="C47" s="17"/>
      <c r="D47" s="23" t="n">
        <v>272</v>
      </c>
      <c r="E47" s="24" t="n">
        <v>0.73</v>
      </c>
      <c r="F47" s="24" t="n">
        <v>0.723</v>
      </c>
      <c r="G47" s="24" t="n">
        <v>0.64</v>
      </c>
      <c r="H47" s="24" t="n">
        <v>0.712</v>
      </c>
    </row>
    <row r="48" customFormat="false" ht="15" hidden="false" customHeight="false" outlineLevel="0" collapsed="false">
      <c r="A48" s="15"/>
      <c r="B48" s="16" t="s">
        <v>55</v>
      </c>
      <c r="C48" s="17" t="s">
        <v>19</v>
      </c>
      <c r="D48" s="23" t="n">
        <v>561</v>
      </c>
      <c r="E48" s="24" t="n">
        <v>0.63</v>
      </c>
      <c r="F48" s="24" t="n">
        <v>0.608</v>
      </c>
      <c r="G48" s="24" t="n">
        <v>0.437</v>
      </c>
      <c r="H48" s="24" t="n">
        <v>0.561</v>
      </c>
    </row>
    <row r="49" customFormat="false" ht="15" hidden="false" customHeight="false" outlineLevel="0" collapsed="false">
      <c r="A49" s="14" t="s">
        <v>70</v>
      </c>
      <c r="B49" s="14"/>
      <c r="C49" s="14"/>
      <c r="D49" s="14"/>
      <c r="E49" s="14"/>
      <c r="F49" s="14"/>
      <c r="G49" s="14"/>
      <c r="H49" s="14"/>
    </row>
    <row r="50" customFormat="false" ht="15" hidden="false" customHeight="false" outlineLevel="0" collapsed="false">
      <c r="A50" s="15"/>
      <c r="B50" s="16" t="s">
        <v>71</v>
      </c>
      <c r="C50" s="17" t="s">
        <v>19</v>
      </c>
      <c r="D50" s="23" t="n">
        <v>388</v>
      </c>
      <c r="E50" s="24" t="n">
        <v>0.437</v>
      </c>
      <c r="F50" s="24" t="n">
        <v>0.463</v>
      </c>
      <c r="G50" s="24" t="n">
        <v>0.454</v>
      </c>
      <c r="H50" s="24" t="n">
        <v>0.692</v>
      </c>
    </row>
    <row r="51" customFormat="false" ht="15" hidden="false" customHeight="false" outlineLevel="0" collapsed="false">
      <c r="A51" s="15"/>
      <c r="B51" s="16" t="s">
        <v>72</v>
      </c>
      <c r="C51" s="17" t="s">
        <v>19</v>
      </c>
      <c r="D51" s="23" t="n">
        <v>333</v>
      </c>
      <c r="E51" s="24" t="n">
        <v>0.426</v>
      </c>
      <c r="F51" s="24" t="n">
        <v>0.408</v>
      </c>
      <c r="G51" s="24" t="n">
        <v>0.39</v>
      </c>
      <c r="H51" s="24" t="n">
        <v>0.654</v>
      </c>
    </row>
    <row r="52" customFormat="false" ht="15" hidden="false" customHeight="false" outlineLevel="0" collapsed="false">
      <c r="A52" s="15"/>
      <c r="B52" s="21" t="s">
        <v>73</v>
      </c>
      <c r="C52" s="17"/>
      <c r="D52" s="23" t="n">
        <v>395</v>
      </c>
      <c r="E52" s="24" t="n">
        <v>0.453</v>
      </c>
      <c r="F52" s="24" t="n">
        <v>0.436</v>
      </c>
      <c r="G52" s="24" t="n">
        <v>0.283</v>
      </c>
      <c r="H52" s="24" t="n">
        <v>0.454</v>
      </c>
    </row>
    <row r="53" customFormat="false" ht="15" hidden="false" customHeight="false" outlineLevel="0" collapsed="false">
      <c r="A53" s="15"/>
      <c r="B53" s="21" t="s">
        <v>74</v>
      </c>
      <c r="C53" s="17"/>
      <c r="D53" s="23" t="n">
        <v>66</v>
      </c>
      <c r="E53" s="24" t="n">
        <v>0.37</v>
      </c>
      <c r="F53" s="24" t="n">
        <v>0.345</v>
      </c>
      <c r="G53" s="24" t="n">
        <v>0.447</v>
      </c>
      <c r="H53" s="24" t="n">
        <v>0.606</v>
      </c>
    </row>
    <row r="54" customFormat="false" ht="15" hidden="false" customHeight="false" outlineLevel="0" collapsed="false">
      <c r="A54" s="15"/>
      <c r="B54" s="21" t="s">
        <v>75</v>
      </c>
      <c r="C54" s="17"/>
      <c r="D54" s="23" t="n">
        <v>300</v>
      </c>
      <c r="E54" s="24" t="n">
        <v>0.5</v>
      </c>
      <c r="F54" s="24" t="n">
        <v>0.463</v>
      </c>
      <c r="G54" s="24" t="n">
        <v>0.395</v>
      </c>
      <c r="H54" s="24" t="n">
        <v>0.581</v>
      </c>
    </row>
    <row r="55" customFormat="false" ht="15" hidden="false" customHeight="false" outlineLevel="0" collapsed="false">
      <c r="A55" s="15"/>
      <c r="B55" s="21" t="s">
        <v>43</v>
      </c>
      <c r="C55" s="17"/>
      <c r="D55" s="23" t="n">
        <v>214</v>
      </c>
      <c r="E55" s="24" t="n">
        <v>0.617</v>
      </c>
      <c r="F55" s="24" t="n">
        <v>0.505</v>
      </c>
      <c r="G55" s="24" t="n">
        <v>0.441</v>
      </c>
      <c r="H55" s="24" t="n">
        <v>0.665</v>
      </c>
    </row>
    <row r="56" customFormat="false" ht="15" hidden="false" customHeight="false" outlineLevel="0" collapsed="false">
      <c r="A56" s="15"/>
      <c r="B56" s="21" t="s">
        <v>76</v>
      </c>
      <c r="C56" s="17"/>
      <c r="D56" s="23" t="n">
        <v>324</v>
      </c>
      <c r="E56" s="24" t="n">
        <v>0.593</v>
      </c>
      <c r="F56" s="24" t="n">
        <v>0.504</v>
      </c>
      <c r="G56" s="24" t="n">
        <v>0.463</v>
      </c>
      <c r="H56" s="24" t="n">
        <v>0.685</v>
      </c>
    </row>
    <row r="57" customFormat="false" ht="15" hidden="false" customHeight="false" outlineLevel="0" collapsed="false">
      <c r="A57" s="15"/>
      <c r="B57" s="21" t="s">
        <v>77</v>
      </c>
      <c r="C57" s="17"/>
      <c r="D57" s="23" t="n">
        <v>503</v>
      </c>
      <c r="E57" s="24" t="n">
        <v>0.52</v>
      </c>
      <c r="F57" s="24" t="n">
        <v>0.571</v>
      </c>
      <c r="G57" s="24" t="n">
        <v>0.552</v>
      </c>
      <c r="H57" s="24" t="n">
        <v>0.75</v>
      </c>
    </row>
    <row r="58" customFormat="false" ht="15" hidden="false" customHeight="false" outlineLevel="0" collapsed="false">
      <c r="A58" s="14" t="s">
        <v>91</v>
      </c>
      <c r="B58" s="14"/>
      <c r="C58" s="14"/>
      <c r="D58" s="14"/>
      <c r="E58" s="14"/>
      <c r="F58" s="14"/>
      <c r="G58" s="14"/>
      <c r="H58" s="14"/>
    </row>
    <row r="59" customFormat="false" ht="15" hidden="false" customHeight="false" outlineLevel="0" collapsed="false">
      <c r="A59" s="15"/>
      <c r="B59" s="16" t="s">
        <v>79</v>
      </c>
      <c r="C59" s="17" t="s">
        <v>19</v>
      </c>
      <c r="D59" s="23" t="n">
        <v>799</v>
      </c>
      <c r="E59" s="24" t="n">
        <v>0.434</v>
      </c>
      <c r="F59" s="24" t="n">
        <v>0.638</v>
      </c>
      <c r="G59" s="24" t="n">
        <v>0.496</v>
      </c>
      <c r="H59" s="24" t="n">
        <v>0.678</v>
      </c>
    </row>
  </sheetData>
  <mergeCells count="7">
    <mergeCell ref="A2:H2"/>
    <mergeCell ref="A11:H11"/>
    <mergeCell ref="A21:H21"/>
    <mergeCell ref="A29:H29"/>
    <mergeCell ref="A34:H34"/>
    <mergeCell ref="A49:H49"/>
    <mergeCell ref="A58:H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2026-05-20T23:47:27Z</dcterms:created>
  <dc:creator>openpyxl</dc:creator>
  <dc:description/>
  <dc:language>en-US</dc:language>
  <cp:lastModifiedBy/>
  <dcterms:modified xsi:type="dcterms:W3CDTF">2026-05-20T23:47:27Z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