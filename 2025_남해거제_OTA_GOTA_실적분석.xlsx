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실적" sheetId="1" state="visible" r:id="rId3"/>
    <sheet name="G-OTA 연박(2박+)" sheetId="2" state="visible" r:id="rId4"/>
    <sheet name="요일별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<sst xmlns="http://schemas.openxmlformats.org/spreadsheetml/2006/main" count="237" uniqueCount="38">
  <si>
    <r>
      <rPr>
        <b val="true"/>
        <sz val="14"/>
        <rFont val="Arial"/>
        <family val="0"/>
        <charset val="1"/>
      </rPr>
      <t xml:space="preserve">2025</t>
    </r>
    <r>
      <rPr>
        <b val="true"/>
        <sz val="14"/>
        <rFont val="DejaVu Sans"/>
        <family val="2"/>
      </rPr>
      <t xml:space="preserve">년 남해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DejaVu Sans"/>
        <family val="2"/>
      </rPr>
      <t xml:space="preserve">거제 </t>
    </r>
    <r>
      <rPr>
        <b val="true"/>
        <sz val="14"/>
        <rFont val="Arial"/>
        <family val="0"/>
        <charset val="1"/>
      </rPr>
      <t xml:space="preserve">OTA·G-OTA </t>
    </r>
    <r>
      <rPr>
        <b val="true"/>
        <sz val="14"/>
        <rFont val="DejaVu Sans"/>
        <family val="2"/>
      </rPr>
      <t xml:space="preserve">실적 </t>
    </r>
    <r>
      <rPr>
        <b val="true"/>
        <sz val="14"/>
        <rFont val="Arial"/>
        <family val="0"/>
        <charset val="1"/>
      </rPr>
      <t xml:space="preserve">(27</t>
    </r>
    <r>
      <rPr>
        <b val="true"/>
        <sz val="14"/>
        <rFont val="DejaVu Sans"/>
        <family val="2"/>
      </rPr>
      <t xml:space="preserve">번 온북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DejaVu Sans"/>
        <family val="2"/>
      </rPr>
      <t xml:space="preserve">투숙일 기준</t>
    </r>
    <r>
      <rPr>
        <b val="true"/>
        <sz val="14"/>
        <rFont val="Arial"/>
        <family val="0"/>
        <charset val="1"/>
      </rPr>
      <t xml:space="preserve">)</t>
    </r>
  </si>
  <si>
    <t xml:space="preserve">소노캄 거제</t>
  </si>
  <si>
    <t xml:space="preserve">OTA</t>
  </si>
  <si>
    <t xml:space="preserve">지표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</si>
  <si>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</si>
  <si>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</si>
  <si>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</si>
  <si>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</si>
  <si>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</si>
  <si>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6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</si>
  <si>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</si>
  <si>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8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</si>
  <si>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9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</si>
  <si>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</si>
  <si>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11</t>
    </r>
    <r>
      <rPr>
        <b val="true"/>
        <sz val="11"/>
        <color rgb="FFFFFFFF"/>
        <rFont val="DejaVu Sans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</si>
  <si>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DejaVu Sans"/>
        <family val="2"/>
      </rPr>
      <t xml:space="preserve">월</t>
    </r>
  </si>
  <si>
    <t xml:space="preserve">합계</t>
  </si>
  <si>
    <r>
      <rPr>
        <sz val="10"/>
        <rFont val="DejaVu Sans"/>
        <family val="2"/>
      </rPr>
      <t xml:space="preserve">객실수</t>
    </r>
    <r>
      <rPr>
        <sz val="10"/>
        <rFont val="Arial"/>
        <family val="0"/>
        <charset val="1"/>
      </rPr>
      <t xml:space="preserve">(RN)</t>
    </r>
  </si>
  <si>
    <r>
      <rPr>
        <sz val="10"/>
        <rFont val="DejaVu Sans"/>
        <family val="2"/>
      </rPr>
      <t xml:space="preserve">매출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</si>
  <si>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ADR(</t>
    </r>
    <r>
      <rPr>
        <sz val="10"/>
        <rFont val="DejaVu Sans"/>
        <family val="2"/>
      </rPr>
      <t xml:space="preserve">원</t>
    </r>
    <r>
      <rPr>
        <sz val="10"/>
        <rFont val="Arial"/>
        <family val="0"/>
        <charset val="1"/>
      </rPr>
      <t xml:space="preserve">)</t>
    </r>
  </si>
  <si>
    <t xml:space="preserve">G-OTA</t>
  </si>
  <si>
    <r>
      <rPr>
        <b val="true"/>
        <sz val="10"/>
        <rFont val="Arial"/>
        <family val="0"/>
        <charset val="1"/>
      </rPr>
      <t xml:space="preserve">OTA+G-OTA </t>
    </r>
    <r>
      <rPr>
        <b val="true"/>
        <sz val="10"/>
        <rFont val="DejaVu Sans"/>
        <family val="2"/>
      </rPr>
      <t xml:space="preserve">합계</t>
    </r>
  </si>
  <si>
    <r>
      <rPr>
        <b val="true"/>
        <sz val="10"/>
        <rFont val="DejaVu Sans"/>
        <family val="2"/>
      </rPr>
      <t xml:space="preserve">객실수</t>
    </r>
    <r>
      <rPr>
        <b val="true"/>
        <sz val="10"/>
        <rFont val="Arial"/>
        <family val="0"/>
        <charset val="1"/>
      </rPr>
      <t xml:space="preserve">(RN)</t>
    </r>
  </si>
  <si>
    <r>
      <rPr>
        <b val="true"/>
        <sz val="10"/>
        <rFont val="DejaVu Sans"/>
        <family val="2"/>
      </rPr>
      <t xml:space="preserve">매출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</si>
  <si>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ADR(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</si>
  <si>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쏠비치 남해</t>
  </si>
  <si>
    <r>
      <rPr>
        <b val="true"/>
        <sz val="14"/>
        <rFont val="Arial"/>
        <family val="0"/>
        <charset val="1"/>
      </rPr>
      <t xml:space="preserve">2025</t>
    </r>
    <r>
      <rPr>
        <b val="true"/>
        <sz val="14"/>
        <rFont val="DejaVu Sans"/>
        <family val="2"/>
      </rPr>
      <t xml:space="preserve">년 남해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DejaVu Sans"/>
        <family val="2"/>
      </rPr>
      <t xml:space="preserve">거제 </t>
    </r>
    <r>
      <rPr>
        <b val="true"/>
        <sz val="14"/>
        <rFont val="Arial"/>
        <family val="0"/>
        <charset val="1"/>
      </rPr>
      <t xml:space="preserve">G-OTA </t>
    </r>
    <r>
      <rPr>
        <b val="true"/>
        <sz val="14"/>
        <rFont val="DejaVu Sans"/>
        <family val="2"/>
      </rPr>
      <t xml:space="preserve">연박</t>
    </r>
    <r>
      <rPr>
        <b val="true"/>
        <sz val="14"/>
        <rFont val="Arial"/>
        <family val="0"/>
        <charset val="1"/>
      </rPr>
      <t xml:space="preserve">(2</t>
    </r>
    <r>
      <rPr>
        <b val="true"/>
        <sz val="14"/>
        <rFont val="DejaVu Sans"/>
        <family val="2"/>
      </rPr>
      <t xml:space="preserve">박</t>
    </r>
    <r>
      <rPr>
        <b val="true"/>
        <sz val="14"/>
        <rFont val="Arial"/>
        <family val="0"/>
        <charset val="1"/>
      </rPr>
      <t xml:space="preserve">+) </t>
    </r>
    <r>
      <rPr>
        <b val="true"/>
        <sz val="14"/>
        <rFont val="DejaVu Sans"/>
        <family val="2"/>
      </rPr>
      <t xml:space="preserve">실적 </t>
    </r>
    <r>
      <rPr>
        <b val="true"/>
        <sz val="14"/>
        <rFont val="Arial"/>
        <family val="0"/>
        <charset val="1"/>
      </rPr>
      <t xml:space="preserve">(27</t>
    </r>
    <r>
      <rPr>
        <b val="true"/>
        <sz val="14"/>
        <rFont val="DejaVu Sans"/>
        <family val="2"/>
      </rPr>
      <t xml:space="preserve">번 온북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</si>
  <si>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연박 비중</t>
    </r>
    <r>
      <rPr>
        <sz val="10"/>
        <rFont val="Arial"/>
        <family val="0"/>
        <charset val="1"/>
      </rPr>
      <t xml:space="preserve">(%)</t>
    </r>
  </si>
  <si>
    <r>
      <rPr>
        <b val="true"/>
        <sz val="14"/>
        <rFont val="Arial"/>
        <family val="0"/>
        <charset val="1"/>
      </rPr>
      <t xml:space="preserve">2025</t>
    </r>
    <r>
      <rPr>
        <b val="true"/>
        <sz val="14"/>
        <rFont val="DejaVu Sans"/>
        <family val="2"/>
      </rPr>
      <t xml:space="preserve">년 남해</t>
    </r>
    <r>
      <rPr>
        <b val="true"/>
        <sz val="14"/>
        <rFont val="Arial"/>
        <family val="0"/>
        <charset val="1"/>
      </rPr>
      <t xml:space="preserve">/</t>
    </r>
    <r>
      <rPr>
        <b val="true"/>
        <sz val="14"/>
        <rFont val="DejaVu Sans"/>
        <family val="2"/>
      </rPr>
      <t xml:space="preserve">거제 </t>
    </r>
    <r>
      <rPr>
        <b val="true"/>
        <sz val="14"/>
        <rFont val="Arial"/>
        <family val="0"/>
        <charset val="1"/>
      </rPr>
      <t xml:space="preserve">OTA·G-OTA </t>
    </r>
    <r>
      <rPr>
        <b val="true"/>
        <sz val="14"/>
        <rFont val="DejaVu Sans"/>
        <family val="2"/>
      </rPr>
      <t xml:space="preserve">요일별 실적 </t>
    </r>
    <r>
      <rPr>
        <b val="true"/>
        <sz val="14"/>
        <rFont val="Arial"/>
        <family val="0"/>
        <charset val="1"/>
      </rPr>
      <t xml:space="preserve">(27</t>
    </r>
    <r>
      <rPr>
        <b val="true"/>
        <sz val="14"/>
        <rFont val="DejaVu Sans"/>
        <family val="2"/>
      </rPr>
      <t xml:space="preserve">번 온북</t>
    </r>
    <r>
      <rPr>
        <b val="true"/>
        <sz val="14"/>
        <rFont val="Arial"/>
        <family val="0"/>
        <charset val="1"/>
      </rPr>
      <t xml:space="preserve">)</t>
    </r>
  </si>
  <si>
    <t xml:space="preserve">월</t>
  </si>
  <si>
    <t xml:space="preserve">화</t>
  </si>
  <si>
    <t xml:space="preserve">수</t>
  </si>
  <si>
    <t xml:space="preserve">목</t>
  </si>
  <si>
    <t xml:space="preserve">금</t>
  </si>
  <si>
    <t xml:space="preserve">토</t>
  </si>
  <si>
    <t xml:space="preserve">일</t>
  </si>
  <si>
    <t xml:space="preserve">주중합계</t>
  </si>
  <si>
    <t xml:space="preserve">주말합계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</si>
</sst>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b val="true"/>
      <sz val="12"/>
      <color rgb="FF2F5496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FCE4EC"/>
      </patternFill>
    </fill>
    <fill>
      <patternFill patternType="solid">
        <fgColor rgb="FF2F5496"/>
        <bgColor rgb="FF666699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4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4" t="s">
        <v>16</v>
      </c>
    </row>
    <row r="6" customFormat="false" ht="15" hidden="false" customHeight="false" outlineLevel="0" collapsed="false">
      <c r="A6" s="6" t="s">
        <v>17</v>
      </c>
      <c r="B6" s="7" t="n">
        <v>1922</v>
      </c>
      <c r="C6" s="8" t="n">
        <v>2042</v>
      </c>
      <c r="D6" s="8" t="n">
        <v>1128</v>
      </c>
      <c r="E6" s="8" t="n">
        <v>1302</v>
      </c>
      <c r="F6" s="8" t="n">
        <v>1326</v>
      </c>
      <c r="G6" s="8" t="n">
        <v>1644</v>
      </c>
      <c r="H6" s="8" t="n">
        <v>2237</v>
      </c>
      <c r="I6" s="8" t="n">
        <v>2422</v>
      </c>
      <c r="J6" s="8" t="n">
        <v>1217</v>
      </c>
      <c r="K6" s="8" t="n">
        <v>1081</v>
      </c>
      <c r="L6" s="8" t="n">
        <v>927</v>
      </c>
      <c r="M6" s="8" t="n">
        <v>905</v>
      </c>
      <c r="N6" s="8" t="n">
        <f aca="false">SUM(B6:M6)</f>
        <v>18153</v>
      </c>
    </row>
    <row r="7" customFormat="false" ht="15" hidden="false" customHeight="false" outlineLevel="0" collapsed="false">
      <c r="A7" s="6" t="s">
        <v>18</v>
      </c>
      <c r="B7" s="7" t="n">
        <v>403769323</v>
      </c>
      <c r="C7" s="8" t="n">
        <v>381888148</v>
      </c>
      <c r="D7" s="8" t="n">
        <v>240727653</v>
      </c>
      <c r="E7" s="8" t="n">
        <v>258116264</v>
      </c>
      <c r="F7" s="8" t="n">
        <v>304076829</v>
      </c>
      <c r="G7" s="8" t="n">
        <v>348340115</v>
      </c>
      <c r="H7" s="8" t="n">
        <v>551595321</v>
      </c>
      <c r="I7" s="8" t="n">
        <v>660436024</v>
      </c>
      <c r="J7" s="8" t="n">
        <v>271046730</v>
      </c>
      <c r="K7" s="8" t="n">
        <v>303150443</v>
      </c>
      <c r="L7" s="8" t="n">
        <v>219173227</v>
      </c>
      <c r="M7" s="8" t="n">
        <v>219742322</v>
      </c>
      <c r="N7" s="8" t="n">
        <f aca="false">SUM(B7:M7)</f>
        <v>4162062399</v>
      </c>
    </row>
    <row r="8" customFormat="false" ht="15" hidden="false" customHeight="false" outlineLevel="0" collapsed="false">
      <c r="A8" s="9" t="s">
        <v>19</v>
      </c>
      <c r="B8" s="7" t="n">
        <f aca="false">IF(B6=0,"-",B7/B6)</f>
        <v>210077.691467222</v>
      </c>
      <c r="C8" s="8" t="n">
        <f aca="false">IF(C6=0,"-",C7/C6)</f>
        <v>187016.722820764</v>
      </c>
      <c r="D8" s="8" t="n">
        <f aca="false">IF(D6=0,"-",D7/D6)</f>
        <v>213411.039893617</v>
      </c>
      <c r="E8" s="8" t="n">
        <f aca="false">IF(E6=0,"-",E7/E6)</f>
        <v>198245.978494624</v>
      </c>
      <c r="F8" s="8" t="n">
        <f aca="false">IF(F6=0,"-",F7/F6)</f>
        <v>229318.875565611</v>
      </c>
      <c r="G8" s="8" t="n">
        <f aca="false">IF(G6=0,"-",G7/G6)</f>
        <v>211885.714720195</v>
      </c>
      <c r="H8" s="8" t="n">
        <f aca="false">IF(H6=0,"-",H7/H6)</f>
        <v>246578.149754135</v>
      </c>
      <c r="I8" s="8" t="n">
        <f aca="false">IF(I6=0,"-",I7/I6)</f>
        <v>272682.090834021</v>
      </c>
      <c r="J8" s="8" t="n">
        <f aca="false">IF(J6=0,"-",J7/J6)</f>
        <v>222717.115858669</v>
      </c>
      <c r="K8" s="8" t="n">
        <f aca="false">IF(K6=0,"-",K7/K6)</f>
        <v>280435.192414431</v>
      </c>
      <c r="L8" s="8" t="n">
        <f aca="false">IF(L6=0,"-",L7/L6)</f>
        <v>236432.823085221</v>
      </c>
      <c r="M8" s="8" t="n">
        <f aca="false">IF(M6=0,"-",M7/M6)</f>
        <v>242809.195580111</v>
      </c>
      <c r="N8" s="8" t="n">
        <f aca="false">IF(N6=0,"-",N7/N6)</f>
        <v>229276.835729631</v>
      </c>
    </row>
    <row r="10" customFormat="false" ht="15" hidden="false" customHeight="false" outlineLevel="0" collapsed="false">
      <c r="A10" s="3" t="s">
        <v>20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4" t="s">
        <v>16</v>
      </c>
    </row>
    <row r="12" customFormat="false" ht="15" hidden="false" customHeight="false" outlineLevel="0" collapsed="false">
      <c r="A12" s="6" t="s">
        <v>17</v>
      </c>
      <c r="B12" s="7" t="n">
        <v>1594</v>
      </c>
      <c r="C12" s="8" t="n">
        <v>1470</v>
      </c>
      <c r="D12" s="8" t="n">
        <v>651</v>
      </c>
      <c r="E12" s="8" t="n">
        <v>794</v>
      </c>
      <c r="F12" s="8" t="n">
        <v>823</v>
      </c>
      <c r="G12" s="8" t="n">
        <v>1460</v>
      </c>
      <c r="H12" s="8" t="n">
        <v>1799</v>
      </c>
      <c r="I12" s="8" t="n">
        <v>1789</v>
      </c>
      <c r="J12" s="8" t="n">
        <v>999</v>
      </c>
      <c r="K12" s="8" t="n">
        <v>1029</v>
      </c>
      <c r="L12" s="8" t="n">
        <v>997</v>
      </c>
      <c r="M12" s="8" t="n">
        <v>1205</v>
      </c>
      <c r="N12" s="8" t="n">
        <f aca="false">SUM(B12:M12)</f>
        <v>14610</v>
      </c>
    </row>
    <row r="13" customFormat="false" ht="15" hidden="false" customHeight="false" outlineLevel="0" collapsed="false">
      <c r="A13" s="6" t="s">
        <v>18</v>
      </c>
      <c r="B13" s="7" t="n">
        <v>333637566</v>
      </c>
      <c r="C13" s="8" t="n">
        <v>267569265</v>
      </c>
      <c r="D13" s="8" t="n">
        <v>125031457</v>
      </c>
      <c r="E13" s="8" t="n">
        <v>154380010</v>
      </c>
      <c r="F13" s="8" t="n">
        <v>177564007</v>
      </c>
      <c r="G13" s="8" t="n">
        <v>288819257</v>
      </c>
      <c r="H13" s="8" t="n">
        <v>422326696</v>
      </c>
      <c r="I13" s="8" t="n">
        <v>476190683</v>
      </c>
      <c r="J13" s="8" t="n">
        <v>224981396</v>
      </c>
      <c r="K13" s="8" t="n">
        <v>255728145</v>
      </c>
      <c r="L13" s="8" t="n">
        <v>201943706</v>
      </c>
      <c r="M13" s="8" t="n">
        <v>261169072</v>
      </c>
      <c r="N13" s="8" t="n">
        <f aca="false">SUM(B13:M13)</f>
        <v>3189341260</v>
      </c>
    </row>
    <row r="14" customFormat="false" ht="15" hidden="false" customHeight="false" outlineLevel="0" collapsed="false">
      <c r="A14" s="9" t="s">
        <v>19</v>
      </c>
      <c r="B14" s="7" t="n">
        <f aca="false">IF(B12=0,"-",B13/B12)</f>
        <v>209308.385194479</v>
      </c>
      <c r="C14" s="8" t="n">
        <f aca="false">IF(C12=0,"-",C13/C12)</f>
        <v>182019.908163265</v>
      </c>
      <c r="D14" s="8" t="n">
        <f aca="false">IF(D12=0,"-",D13/D12)</f>
        <v>192060.609831029</v>
      </c>
      <c r="E14" s="8" t="n">
        <f aca="false">IF(E12=0,"-",E13/E12)</f>
        <v>194433.261964736</v>
      </c>
      <c r="F14" s="8" t="n">
        <f aca="false">IF(F12=0,"-",F13/F12)</f>
        <v>215752.134872418</v>
      </c>
      <c r="G14" s="8" t="n">
        <f aca="false">IF(G12=0,"-",G13/G12)</f>
        <v>197821.40890411</v>
      </c>
      <c r="H14" s="8" t="n">
        <f aca="false">IF(H12=0,"-",H13/H12)</f>
        <v>234756.362423569</v>
      </c>
      <c r="I14" s="8" t="n">
        <f aca="false">IF(I12=0,"-",I13/I12)</f>
        <v>266177.016769145</v>
      </c>
      <c r="J14" s="8" t="n">
        <f aca="false">IF(J12=0,"-",J13/J12)</f>
        <v>225206.602602603</v>
      </c>
      <c r="K14" s="8" t="n">
        <f aca="false">IF(K12=0,"-",K13/K12)</f>
        <v>248521.034985423</v>
      </c>
      <c r="L14" s="8" t="n">
        <f aca="false">IF(L12=0,"-",L13/L12)</f>
        <v>202551.360080241</v>
      </c>
      <c r="M14" s="8" t="n">
        <f aca="false">IF(M12=0,"-",M13/M12)</f>
        <v>216737.819087137</v>
      </c>
      <c r="N14" s="8" t="n">
        <f aca="false">IF(N12=0,"-",N13/N12)</f>
        <v>218298.511978097</v>
      </c>
    </row>
    <row r="16" customFormat="false" ht="12.65" hidden="false" customHeight="false" outlineLevel="0" collapsed="false">
      <c r="A16" s="10" t="s">
        <v>21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5" hidden="false" customHeight="false" outlineLevel="0" collapsed="false">
      <c r="A17" s="4" t="s">
        <v>3</v>
      </c>
      <c r="B17" s="5" t="s">
        <v>4</v>
      </c>
      <c r="C17" s="5" t="s">
        <v>5</v>
      </c>
      <c r="D17" s="5" t="s">
        <v>6</v>
      </c>
      <c r="E17" s="5" t="s">
        <v>7</v>
      </c>
      <c r="F17" s="5" t="s">
        <v>8</v>
      </c>
      <c r="G17" s="5" t="s">
        <v>9</v>
      </c>
      <c r="H17" s="5" t="s">
        <v>10</v>
      </c>
      <c r="I17" s="5" t="s">
        <v>11</v>
      </c>
      <c r="J17" s="5" t="s">
        <v>12</v>
      </c>
      <c r="K17" s="5" t="s">
        <v>13</v>
      </c>
      <c r="L17" s="5" t="s">
        <v>14</v>
      </c>
      <c r="M17" s="5" t="s">
        <v>15</v>
      </c>
      <c r="N17" s="4" t="s">
        <v>16</v>
      </c>
    </row>
    <row r="18" customFormat="false" ht="15" hidden="false" customHeight="false" outlineLevel="0" collapsed="false">
      <c r="A18" s="11" t="s">
        <v>22</v>
      </c>
      <c r="B18" s="12" t="n">
        <v>3516</v>
      </c>
      <c r="C18" s="13" t="n">
        <v>3512</v>
      </c>
      <c r="D18" s="13" t="n">
        <v>1779</v>
      </c>
      <c r="E18" s="13" t="n">
        <v>2096</v>
      </c>
      <c r="F18" s="13" t="n">
        <v>2149</v>
      </c>
      <c r="G18" s="13" t="n">
        <v>3104</v>
      </c>
      <c r="H18" s="13" t="n">
        <v>4036</v>
      </c>
      <c r="I18" s="13" t="n">
        <v>4211</v>
      </c>
      <c r="J18" s="13" t="n">
        <v>2216</v>
      </c>
      <c r="K18" s="13" t="n">
        <v>2110</v>
      </c>
      <c r="L18" s="13" t="n">
        <v>1924</v>
      </c>
      <c r="M18" s="13" t="n">
        <v>2110</v>
      </c>
      <c r="N18" s="13" t="n">
        <f aca="false">SUM(B18:M18)</f>
        <v>32763</v>
      </c>
    </row>
    <row r="19" customFormat="false" ht="15" hidden="false" customHeight="false" outlineLevel="0" collapsed="false">
      <c r="A19" s="11" t="s">
        <v>23</v>
      </c>
      <c r="B19" s="12" t="n">
        <v>737406889</v>
      </c>
      <c r="C19" s="13" t="n">
        <v>649457413</v>
      </c>
      <c r="D19" s="13" t="n">
        <v>365759110</v>
      </c>
      <c r="E19" s="13" t="n">
        <v>412496274</v>
      </c>
      <c r="F19" s="13" t="n">
        <v>481640836</v>
      </c>
      <c r="G19" s="13" t="n">
        <v>637159372</v>
      </c>
      <c r="H19" s="13" t="n">
        <v>973922017</v>
      </c>
      <c r="I19" s="13" t="n">
        <v>1136626707</v>
      </c>
      <c r="J19" s="13" t="n">
        <v>496028126</v>
      </c>
      <c r="K19" s="13" t="n">
        <v>558878588</v>
      </c>
      <c r="L19" s="13" t="n">
        <v>421116933</v>
      </c>
      <c r="M19" s="13" t="n">
        <v>480911394</v>
      </c>
      <c r="N19" s="13" t="n">
        <f aca="false">SUM(B19:M19)</f>
        <v>7351403659</v>
      </c>
    </row>
    <row r="20" customFormat="false" ht="15" hidden="false" customHeight="false" outlineLevel="0" collapsed="false">
      <c r="A20" s="14" t="s">
        <v>24</v>
      </c>
      <c r="B20" s="12" t="n">
        <f aca="false">IF(B18=0,"-",B19/B18)</f>
        <v>209728.921786121</v>
      </c>
      <c r="C20" s="13" t="n">
        <f aca="false">IF(C18=0,"-",C19/C18)</f>
        <v>184925.231492027</v>
      </c>
      <c r="D20" s="13" t="n">
        <f aca="false">IF(D18=0,"-",D19/D18)</f>
        <v>205598.150646431</v>
      </c>
      <c r="E20" s="13" t="n">
        <f aca="false">IF(E18=0,"-",E19/E18)</f>
        <v>196801.657442748</v>
      </c>
      <c r="F20" s="13" t="n">
        <f aca="false">IF(F18=0,"-",F19/F18)</f>
        <v>224123.236854351</v>
      </c>
      <c r="G20" s="13" t="n">
        <f aca="false">IF(G18=0,"-",G19/G18)</f>
        <v>205270.416237113</v>
      </c>
      <c r="H20" s="13" t="n">
        <f aca="false">IF(H18=0,"-",H19/H18)</f>
        <v>241308.725718533</v>
      </c>
      <c r="I20" s="13" t="n">
        <f aca="false">IF(I18=0,"-",I19/I18)</f>
        <v>269918.477083828</v>
      </c>
      <c r="J20" s="13" t="n">
        <f aca="false">IF(J18=0,"-",J19/J18)</f>
        <v>223839.407039711</v>
      </c>
      <c r="K20" s="13" t="n">
        <f aca="false">IF(K18=0,"-",K19/K18)</f>
        <v>264871.368720379</v>
      </c>
      <c r="L20" s="13" t="n">
        <f aca="false">IF(L18=0,"-",L19/L18)</f>
        <v>218875.744802495</v>
      </c>
      <c r="M20" s="13" t="n">
        <f aca="false">IF(M18=0,"-",M19/M18)</f>
        <v>227920.091943128</v>
      </c>
      <c r="N20" s="13" t="n">
        <f aca="false">IF(N18=0,"-",N19/N18)</f>
        <v>224381.273357141</v>
      </c>
    </row>
    <row r="23" customFormat="false" ht="15" hidden="false" customHeight="false" outlineLevel="0" collapsed="false">
      <c r="A23" s="2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false" outlineLevel="0" collapsed="false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4" t="s">
        <v>3</v>
      </c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  <c r="G25" s="5" t="s">
        <v>9</v>
      </c>
      <c r="H25" s="5" t="s">
        <v>10</v>
      </c>
      <c r="I25" s="5" t="s">
        <v>11</v>
      </c>
      <c r="J25" s="5" t="s">
        <v>12</v>
      </c>
      <c r="K25" s="5" t="s">
        <v>13</v>
      </c>
      <c r="L25" s="5" t="s">
        <v>14</v>
      </c>
      <c r="M25" s="5" t="s">
        <v>15</v>
      </c>
      <c r="N25" s="4" t="s">
        <v>16</v>
      </c>
    </row>
    <row r="26" customFormat="false" ht="15" hidden="false" customHeight="false" outlineLevel="0" collapsed="false">
      <c r="A26" s="6" t="s">
        <v>17</v>
      </c>
      <c r="B26" s="7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1393</v>
      </c>
      <c r="I26" s="8" t="n">
        <v>1603</v>
      </c>
      <c r="J26" s="8" t="n">
        <v>2246</v>
      </c>
      <c r="K26" s="8" t="n">
        <v>1410</v>
      </c>
      <c r="L26" s="8" t="n">
        <v>1348</v>
      </c>
      <c r="M26" s="8" t="n">
        <v>1012</v>
      </c>
      <c r="N26" s="8" t="n">
        <f aca="false">SUM(B26:M26)</f>
        <v>9012</v>
      </c>
    </row>
    <row r="27" customFormat="false" ht="15" hidden="false" customHeight="false" outlineLevel="0" collapsed="false">
      <c r="A27" s="6" t="s">
        <v>18</v>
      </c>
      <c r="B27" s="7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502516806</v>
      </c>
      <c r="I27" s="8" t="n">
        <v>628201189</v>
      </c>
      <c r="J27" s="8" t="n">
        <v>791140231</v>
      </c>
      <c r="K27" s="8" t="n">
        <v>573241214</v>
      </c>
      <c r="L27" s="8" t="n">
        <v>514872307</v>
      </c>
      <c r="M27" s="8" t="n">
        <v>393181485</v>
      </c>
      <c r="N27" s="8" t="n">
        <f aca="false">SUM(B27:M27)</f>
        <v>3403153232</v>
      </c>
    </row>
    <row r="28" customFormat="false" ht="15" hidden="false" customHeight="false" outlineLevel="0" collapsed="false">
      <c r="A28" s="9" t="s">
        <v>19</v>
      </c>
      <c r="B28" s="7" t="str">
        <f aca="false">IF(B26=0,"-",B27/B26)</f>
        <v>-</v>
      </c>
      <c r="C28" s="8" t="str">
        <f aca="false">IF(C26=0,"-",C27/C26)</f>
        <v>-</v>
      </c>
      <c r="D28" s="8" t="str">
        <f aca="false">IF(D26=0,"-",D27/D26)</f>
        <v>-</v>
      </c>
      <c r="E28" s="8" t="str">
        <f aca="false">IF(E26=0,"-",E27/E26)</f>
        <v>-</v>
      </c>
      <c r="F28" s="8" t="str">
        <f aca="false">IF(F26=0,"-",F27/F26)</f>
        <v>-</v>
      </c>
      <c r="G28" s="8" t="str">
        <f aca="false">IF(G26=0,"-",G27/G26)</f>
        <v>-</v>
      </c>
      <c r="H28" s="8" t="n">
        <f aca="false">IF(H26=0,"-",H27/H26)</f>
        <v>360744.297200287</v>
      </c>
      <c r="I28" s="8" t="n">
        <f aca="false">IF(I26=0,"-",I27/I26)</f>
        <v>391890.947598253</v>
      </c>
      <c r="J28" s="8" t="n">
        <f aca="false">IF(J26=0,"-",J27/J26)</f>
        <v>352244.092163847</v>
      </c>
      <c r="K28" s="8" t="n">
        <f aca="false">IF(K26=0,"-",K27/K26)</f>
        <v>406554.05248227</v>
      </c>
      <c r="L28" s="8" t="n">
        <f aca="false">IF(L26=0,"-",L27/L26)</f>
        <v>381952.75</v>
      </c>
      <c r="M28" s="8" t="n">
        <f aca="false">IF(M26=0,"-",M27/M26)</f>
        <v>388519.253952569</v>
      </c>
      <c r="N28" s="8" t="n">
        <f aca="false">IF(N26=0,"-",N27/N26)</f>
        <v>377624.637372392</v>
      </c>
    </row>
    <row r="30" customFormat="false" ht="15" hidden="false" customHeight="false" outlineLevel="0" collapsed="false">
      <c r="A30" s="3" t="s">
        <v>20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4" t="s">
        <v>3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  <c r="J31" s="5" t="s">
        <v>12</v>
      </c>
      <c r="K31" s="5" t="s">
        <v>13</v>
      </c>
      <c r="L31" s="5" t="s">
        <v>14</v>
      </c>
      <c r="M31" s="5" t="s">
        <v>15</v>
      </c>
      <c r="N31" s="4" t="s">
        <v>16</v>
      </c>
    </row>
    <row r="32" customFormat="false" ht="15" hidden="false" customHeight="false" outlineLevel="0" collapsed="false">
      <c r="A32" s="6" t="s">
        <v>17</v>
      </c>
      <c r="B32" s="7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199</v>
      </c>
      <c r="I32" s="8" t="n">
        <v>370</v>
      </c>
      <c r="J32" s="8" t="n">
        <v>939</v>
      </c>
      <c r="K32" s="8" t="n">
        <v>726</v>
      </c>
      <c r="L32" s="8" t="n">
        <v>955</v>
      </c>
      <c r="M32" s="8" t="n">
        <v>839</v>
      </c>
      <c r="N32" s="8" t="n">
        <f aca="false">SUM(B32:M32)</f>
        <v>4028</v>
      </c>
    </row>
    <row r="33" customFormat="false" ht="15" hidden="false" customHeight="false" outlineLevel="0" collapsed="false">
      <c r="A33" s="6" t="s">
        <v>18</v>
      </c>
      <c r="B33" s="7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74419922</v>
      </c>
      <c r="I33" s="8" t="n">
        <v>143609315</v>
      </c>
      <c r="J33" s="8" t="n">
        <v>334851460</v>
      </c>
      <c r="K33" s="8" t="n">
        <v>268389998</v>
      </c>
      <c r="L33" s="8" t="n">
        <v>331313327</v>
      </c>
      <c r="M33" s="8" t="n">
        <v>302741552</v>
      </c>
      <c r="N33" s="8" t="n">
        <f aca="false">SUM(B33:M33)</f>
        <v>1455325574</v>
      </c>
    </row>
    <row r="34" customFormat="false" ht="15" hidden="false" customHeight="false" outlineLevel="0" collapsed="false">
      <c r="A34" s="9" t="s">
        <v>19</v>
      </c>
      <c r="B34" s="7" t="str">
        <f aca="false">IF(B32=0,"-",B33/B32)</f>
        <v>-</v>
      </c>
      <c r="C34" s="8" t="str">
        <f aca="false">IF(C32=0,"-",C33/C32)</f>
        <v>-</v>
      </c>
      <c r="D34" s="8" t="str">
        <f aca="false">IF(D32=0,"-",D33/D32)</f>
        <v>-</v>
      </c>
      <c r="E34" s="8" t="str">
        <f aca="false">IF(E32=0,"-",E33/E32)</f>
        <v>-</v>
      </c>
      <c r="F34" s="8" t="str">
        <f aca="false">IF(F32=0,"-",F33/F32)</f>
        <v>-</v>
      </c>
      <c r="G34" s="8" t="str">
        <f aca="false">IF(G32=0,"-",G33/G32)</f>
        <v>-</v>
      </c>
      <c r="H34" s="8" t="n">
        <f aca="false">IF(H32=0,"-",H33/H32)</f>
        <v>373969.457286432</v>
      </c>
      <c r="I34" s="8" t="n">
        <f aca="false">IF(I32=0,"-",I33/I32)</f>
        <v>388133.283783784</v>
      </c>
      <c r="J34" s="8" t="n">
        <f aca="false">IF(J32=0,"-",J33/J32)</f>
        <v>356604.323748669</v>
      </c>
      <c r="K34" s="8" t="n">
        <f aca="false">IF(K32=0,"-",K33/K32)</f>
        <v>369683.192837466</v>
      </c>
      <c r="L34" s="8" t="n">
        <f aca="false">IF(L32=0,"-",L33/L32)</f>
        <v>346924.94973822</v>
      </c>
      <c r="M34" s="8" t="n">
        <f aca="false">IF(M32=0,"-",M33/M32)</f>
        <v>360836.176400477</v>
      </c>
      <c r="N34" s="8" t="n">
        <f aca="false">IF(N32=0,"-",N33/N32)</f>
        <v>361302.2775571</v>
      </c>
    </row>
    <row r="36" customFormat="false" ht="12.65" hidden="false" customHeight="false" outlineLevel="0" collapsed="false">
      <c r="A36" s="10" t="s">
        <v>21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5" hidden="false" customHeight="false" outlineLevel="0" collapsed="false">
      <c r="A37" s="4" t="s">
        <v>3</v>
      </c>
      <c r="B37" s="5" t="s">
        <v>4</v>
      </c>
      <c r="C37" s="5" t="s">
        <v>5</v>
      </c>
      <c r="D37" s="5" t="s">
        <v>6</v>
      </c>
      <c r="E37" s="5" t="s">
        <v>7</v>
      </c>
      <c r="F37" s="5" t="s">
        <v>8</v>
      </c>
      <c r="G37" s="5" t="s">
        <v>9</v>
      </c>
      <c r="H37" s="5" t="s">
        <v>10</v>
      </c>
      <c r="I37" s="5" t="s">
        <v>11</v>
      </c>
      <c r="J37" s="5" t="s">
        <v>12</v>
      </c>
      <c r="K37" s="5" t="s">
        <v>13</v>
      </c>
      <c r="L37" s="5" t="s">
        <v>14</v>
      </c>
      <c r="M37" s="5" t="s">
        <v>15</v>
      </c>
      <c r="N37" s="4" t="s">
        <v>16</v>
      </c>
    </row>
    <row r="38" customFormat="false" ht="15" hidden="false" customHeight="false" outlineLevel="0" collapsed="false">
      <c r="A38" s="11" t="s">
        <v>22</v>
      </c>
      <c r="B38" s="12" t="n">
        <v>0</v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1592</v>
      </c>
      <c r="I38" s="13" t="n">
        <v>1973</v>
      </c>
      <c r="J38" s="13" t="n">
        <v>3185</v>
      </c>
      <c r="K38" s="13" t="n">
        <v>2136</v>
      </c>
      <c r="L38" s="13" t="n">
        <v>2303</v>
      </c>
      <c r="M38" s="13" t="n">
        <v>1851</v>
      </c>
      <c r="N38" s="13" t="n">
        <f aca="false">SUM(B38:M38)</f>
        <v>13040</v>
      </c>
    </row>
    <row r="39" customFormat="false" ht="15" hidden="false" customHeight="false" outlineLevel="0" collapsed="false">
      <c r="A39" s="11" t="s">
        <v>23</v>
      </c>
      <c r="B39" s="12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576936728</v>
      </c>
      <c r="I39" s="13" t="n">
        <v>771810504</v>
      </c>
      <c r="J39" s="13" t="n">
        <v>1125991691</v>
      </c>
      <c r="K39" s="13" t="n">
        <v>841631212</v>
      </c>
      <c r="L39" s="13" t="n">
        <v>846185634</v>
      </c>
      <c r="M39" s="13" t="n">
        <v>695923037</v>
      </c>
      <c r="N39" s="13" t="n">
        <f aca="false">SUM(B39:M39)</f>
        <v>4858478806</v>
      </c>
    </row>
    <row r="40" customFormat="false" ht="15" hidden="false" customHeight="false" outlineLevel="0" collapsed="false">
      <c r="A40" s="14" t="s">
        <v>24</v>
      </c>
      <c r="B40" s="12" t="str">
        <f aca="false">IF(B38=0,"-",B39/B38)</f>
        <v>-</v>
      </c>
      <c r="C40" s="13" t="str">
        <f aca="false">IF(C38=0,"-",C39/C38)</f>
        <v>-</v>
      </c>
      <c r="D40" s="13" t="str">
        <f aca="false">IF(D38=0,"-",D39/D38)</f>
        <v>-</v>
      </c>
      <c r="E40" s="13" t="str">
        <f aca="false">IF(E38=0,"-",E39/E38)</f>
        <v>-</v>
      </c>
      <c r="F40" s="13" t="str">
        <f aca="false">IF(F38=0,"-",F39/F38)</f>
        <v>-</v>
      </c>
      <c r="G40" s="13" t="str">
        <f aca="false">IF(G38=0,"-",G39/G38)</f>
        <v>-</v>
      </c>
      <c r="H40" s="13" t="n">
        <f aca="false">IF(H38=0,"-",H39/H38)</f>
        <v>362397.442211055</v>
      </c>
      <c r="I40" s="13" t="n">
        <f aca="false">IF(I38=0,"-",I39/I38)</f>
        <v>391186.266599088</v>
      </c>
      <c r="J40" s="13" t="n">
        <f aca="false">IF(J38=0,"-",J39/J38)</f>
        <v>353529.573312402</v>
      </c>
      <c r="K40" s="13" t="n">
        <f aca="false">IF(K38=0,"-",K39/K38)</f>
        <v>394022.102996255</v>
      </c>
      <c r="L40" s="13" t="n">
        <f aca="false">IF(L38=0,"-",L39/L38)</f>
        <v>367427.544072948</v>
      </c>
      <c r="M40" s="13" t="n">
        <f aca="false">IF(M38=0,"-",M39/M38)</f>
        <v>375971.386817936</v>
      </c>
      <c r="N40" s="13" t="n">
        <f aca="false">IF(N38=0,"-",N39/N38)</f>
        <v>372582.730521472</v>
      </c>
    </row>
  </sheetData>
  <mergeCells count="9">
    <mergeCell ref="A1:N1"/>
    <mergeCell ref="A3:N3"/>
    <mergeCell ref="A4:N4"/>
    <mergeCell ref="A10:N10"/>
    <mergeCell ref="A16:N16"/>
    <mergeCell ref="A23:N23"/>
    <mergeCell ref="A24:N24"/>
    <mergeCell ref="A30:N30"/>
    <mergeCell ref="A36: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14" min="2" style="0" width="14"/>
  </cols>
  <sheetData>
    <row r="1" customFormat="false" ht="17.9" hidden="false" customHeight="fals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4" t="s">
        <v>16</v>
      </c>
    </row>
    <row r="5" customFormat="false" ht="15" hidden="false" customHeight="false" outlineLevel="0" collapsed="false">
      <c r="A5" s="6" t="s">
        <v>17</v>
      </c>
      <c r="B5" s="7" t="n">
        <v>664</v>
      </c>
      <c r="C5" s="8" t="n">
        <v>533</v>
      </c>
      <c r="D5" s="8" t="n">
        <v>248</v>
      </c>
      <c r="E5" s="8" t="n">
        <v>383</v>
      </c>
      <c r="F5" s="8" t="n">
        <v>254</v>
      </c>
      <c r="G5" s="8" t="n">
        <v>617</v>
      </c>
      <c r="H5" s="8" t="n">
        <v>900</v>
      </c>
      <c r="I5" s="8" t="n">
        <v>896</v>
      </c>
      <c r="J5" s="8" t="n">
        <v>398</v>
      </c>
      <c r="K5" s="8" t="n">
        <v>507</v>
      </c>
      <c r="L5" s="8" t="n">
        <v>420</v>
      </c>
      <c r="M5" s="8" t="n">
        <v>496</v>
      </c>
      <c r="N5" s="8" t="n">
        <f aca="false">SUM(B5:M5)</f>
        <v>6316</v>
      </c>
    </row>
    <row r="6" customFormat="false" ht="15" hidden="false" customHeight="false" outlineLevel="0" collapsed="false">
      <c r="A6" s="6" t="s">
        <v>18</v>
      </c>
      <c r="B6" s="7" t="n">
        <v>140784768</v>
      </c>
      <c r="C6" s="8" t="n">
        <v>98261416</v>
      </c>
      <c r="D6" s="8" t="n">
        <v>47680671</v>
      </c>
      <c r="E6" s="8" t="n">
        <v>75570882</v>
      </c>
      <c r="F6" s="8" t="n">
        <v>56038415</v>
      </c>
      <c r="G6" s="8" t="n">
        <v>120040222</v>
      </c>
      <c r="H6" s="8" t="n">
        <v>205799334</v>
      </c>
      <c r="I6" s="8" t="n">
        <v>230613477</v>
      </c>
      <c r="J6" s="8" t="n">
        <v>87369789</v>
      </c>
      <c r="K6" s="8" t="n">
        <v>122883809</v>
      </c>
      <c r="L6" s="8" t="n">
        <v>81805700</v>
      </c>
      <c r="M6" s="8" t="n">
        <v>108193430</v>
      </c>
      <c r="N6" s="8" t="n">
        <f aca="false">SUM(B6:M6)</f>
        <v>1375041913</v>
      </c>
    </row>
    <row r="7" customFormat="false" ht="15" hidden="false" customHeight="false" outlineLevel="0" collapsed="false">
      <c r="A7" s="9" t="s">
        <v>19</v>
      </c>
      <c r="B7" s="7" t="n">
        <f aca="false">IF(B5=0,"-",B6/B5)</f>
        <v>212025.253012048</v>
      </c>
      <c r="C7" s="8" t="n">
        <f aca="false">IF(C5=0,"-",C6/C5)</f>
        <v>184355.377110694</v>
      </c>
      <c r="D7" s="8" t="n">
        <f aca="false">IF(D5=0,"-",D6/D5)</f>
        <v>192260.77016129</v>
      </c>
      <c r="E7" s="8" t="n">
        <f aca="false">IF(E5=0,"-",E6/E5)</f>
        <v>197313.007832898</v>
      </c>
      <c r="F7" s="8" t="n">
        <f aca="false">IF(F5=0,"-",F6/F5)</f>
        <v>220623.681102362</v>
      </c>
      <c r="G7" s="8" t="n">
        <f aca="false">IF(G5=0,"-",G6/G5)</f>
        <v>194554.654781199</v>
      </c>
      <c r="H7" s="8" t="n">
        <f aca="false">IF(H5=0,"-",H6/H5)</f>
        <v>228665.926666667</v>
      </c>
      <c r="I7" s="8" t="n">
        <f aca="false">IF(I5=0,"-",I6/I5)</f>
        <v>257381.112723214</v>
      </c>
      <c r="J7" s="8" t="n">
        <f aca="false">IF(J5=0,"-",J6/J5)</f>
        <v>219522.082914573</v>
      </c>
      <c r="K7" s="8" t="n">
        <f aca="false">IF(K5=0,"-",K6/K5)</f>
        <v>242374.376725838</v>
      </c>
      <c r="L7" s="8" t="n">
        <f aca="false">IF(L5=0,"-",L6/L5)</f>
        <v>194775.476190476</v>
      </c>
      <c r="M7" s="8" t="n">
        <f aca="false">IF(M5=0,"-",M6/M5)</f>
        <v>218131.915322581</v>
      </c>
      <c r="N7" s="8" t="n">
        <f aca="false">IF(N5=0,"-",N6/N5)</f>
        <v>217707.712634579</v>
      </c>
    </row>
    <row r="8" customFormat="false" ht="15" hidden="false" customHeight="false" outlineLevel="0" collapsed="false">
      <c r="A8" s="6" t="s">
        <v>27</v>
      </c>
      <c r="B8" s="15" t="n">
        <v>0.416562107904642</v>
      </c>
      <c r="C8" s="16" t="n">
        <v>0.362585034013605</v>
      </c>
      <c r="D8" s="16" t="n">
        <v>0.380952380952381</v>
      </c>
      <c r="E8" s="16" t="n">
        <v>0.482367758186398</v>
      </c>
      <c r="F8" s="16" t="n">
        <v>0.308626974483597</v>
      </c>
      <c r="G8" s="16" t="n">
        <v>0.422602739726027</v>
      </c>
      <c r="H8" s="16" t="n">
        <v>0.500277932184547</v>
      </c>
      <c r="I8" s="16" t="n">
        <v>0.500838457238681</v>
      </c>
      <c r="J8" s="16" t="n">
        <v>0.398398398398398</v>
      </c>
      <c r="K8" s="16" t="n">
        <v>0.492711370262391</v>
      </c>
      <c r="L8" s="16" t="n">
        <v>0.421263791374122</v>
      </c>
      <c r="M8" s="16" t="n">
        <v>0.411618257261411</v>
      </c>
      <c r="N8" s="16" t="n">
        <v>0.432306639288159</v>
      </c>
    </row>
    <row r="10" customFormat="false" ht="15" hidden="false" customHeight="false" outlineLevel="0" collapsed="false">
      <c r="A10" s="2" t="s">
        <v>25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4" t="s">
        <v>3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14</v>
      </c>
      <c r="M11" s="5" t="s">
        <v>15</v>
      </c>
      <c r="N11" s="4" t="s">
        <v>16</v>
      </c>
    </row>
    <row r="12" customFormat="false" ht="15" hidden="false" customHeight="false" outlineLevel="0" collapsed="false">
      <c r="A12" s="6" t="s">
        <v>17</v>
      </c>
      <c r="B12" s="7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68</v>
      </c>
      <c r="I12" s="8" t="n">
        <v>105</v>
      </c>
      <c r="J12" s="8" t="n">
        <v>364</v>
      </c>
      <c r="K12" s="8" t="n">
        <v>280</v>
      </c>
      <c r="L12" s="8" t="n">
        <v>395</v>
      </c>
      <c r="M12" s="8" t="n">
        <v>352</v>
      </c>
      <c r="N12" s="8" t="n">
        <f aca="false">SUM(B12:M12)</f>
        <v>1564</v>
      </c>
    </row>
    <row r="13" customFormat="false" ht="15" hidden="false" customHeight="false" outlineLevel="0" collapsed="false">
      <c r="A13" s="6" t="s">
        <v>18</v>
      </c>
      <c r="B13" s="7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24589070</v>
      </c>
      <c r="I13" s="8" t="n">
        <v>41824878</v>
      </c>
      <c r="J13" s="8" t="n">
        <v>134933541</v>
      </c>
      <c r="K13" s="8" t="n">
        <v>107131729</v>
      </c>
      <c r="L13" s="8" t="n">
        <v>144197138</v>
      </c>
      <c r="M13" s="8" t="n">
        <v>127720810</v>
      </c>
      <c r="N13" s="8" t="n">
        <f aca="false">SUM(B13:M13)</f>
        <v>580397166</v>
      </c>
    </row>
    <row r="14" customFormat="false" ht="15" hidden="false" customHeight="false" outlineLevel="0" collapsed="false">
      <c r="A14" s="9" t="s">
        <v>19</v>
      </c>
      <c r="B14" s="7" t="str">
        <f aca="false">IF(B12=0,"-",B13/B12)</f>
        <v>-</v>
      </c>
      <c r="C14" s="8" t="str">
        <f aca="false">IF(C12=0,"-",C13/C12)</f>
        <v>-</v>
      </c>
      <c r="D14" s="8" t="str">
        <f aca="false">IF(D12=0,"-",D13/D12)</f>
        <v>-</v>
      </c>
      <c r="E14" s="8" t="str">
        <f aca="false">IF(E12=0,"-",E13/E12)</f>
        <v>-</v>
      </c>
      <c r="F14" s="8" t="str">
        <f aca="false">IF(F12=0,"-",F13/F12)</f>
        <v>-</v>
      </c>
      <c r="G14" s="8" t="str">
        <f aca="false">IF(G12=0,"-",G13/G12)</f>
        <v>-</v>
      </c>
      <c r="H14" s="8" t="n">
        <f aca="false">IF(H12=0,"-",H13/H12)</f>
        <v>361603.970588235</v>
      </c>
      <c r="I14" s="8" t="n">
        <f aca="false">IF(I12=0,"-",I13/I12)</f>
        <v>398332.171428571</v>
      </c>
      <c r="J14" s="8" t="n">
        <f aca="false">IF(J12=0,"-",J13/J12)</f>
        <v>370696.541208791</v>
      </c>
      <c r="K14" s="8" t="n">
        <f aca="false">IF(K12=0,"-",K13/K12)</f>
        <v>382613.317857143</v>
      </c>
      <c r="L14" s="8" t="n">
        <f aca="false">IF(L12=0,"-",L13/L12)</f>
        <v>365056.04556962</v>
      </c>
      <c r="M14" s="8" t="n">
        <f aca="false">IF(M12=0,"-",M13/M12)</f>
        <v>362843.210227273</v>
      </c>
      <c r="N14" s="8" t="n">
        <f aca="false">IF(N12=0,"-",N13/N12)</f>
        <v>371097.932225064</v>
      </c>
    </row>
    <row r="15" customFormat="false" ht="15" hidden="false" customHeight="false" outlineLevel="0" collapsed="false">
      <c r="A15" s="6" t="s">
        <v>27</v>
      </c>
      <c r="B15" s="15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0.341708542713568</v>
      </c>
      <c r="I15" s="16" t="n">
        <v>0.283783783783784</v>
      </c>
      <c r="J15" s="16" t="n">
        <v>0.387646432374867</v>
      </c>
      <c r="K15" s="16" t="n">
        <v>0.385674931129477</v>
      </c>
      <c r="L15" s="16" t="n">
        <v>0.413612565445026</v>
      </c>
      <c r="M15" s="16" t="n">
        <v>0.419547079856973</v>
      </c>
      <c r="N15" s="16" t="n">
        <v>0.388282025819265</v>
      </c>
    </row>
  </sheetData>
  <mergeCells count="3">
    <mergeCell ref="A1:N1"/>
    <mergeCell ref="A3:N3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4"/>
  </cols>
  <sheetData>
    <row r="1" customFormat="false" ht="17.9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3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</row>
    <row r="6" customFormat="false" ht="15" hidden="false" customHeight="false" outlineLevel="0" collapsed="false">
      <c r="A6" s="6" t="s">
        <v>17</v>
      </c>
      <c r="B6" s="7" t="n">
        <v>2183</v>
      </c>
      <c r="C6" s="8" t="n">
        <v>1708</v>
      </c>
      <c r="D6" s="8" t="n">
        <v>1852</v>
      </c>
      <c r="E6" s="8" t="n">
        <v>2064</v>
      </c>
      <c r="F6" s="17" t="n">
        <v>2799</v>
      </c>
      <c r="G6" s="17" t="n">
        <v>4017</v>
      </c>
      <c r="H6" s="17" t="n">
        <v>3530</v>
      </c>
      <c r="I6" s="8" t="n">
        <f aca="false">SUM(B6:E6)</f>
        <v>7807</v>
      </c>
      <c r="J6" s="8" t="n">
        <f aca="false">SUM(F6:H6)</f>
        <v>10346</v>
      </c>
    </row>
    <row r="7" customFormat="false" ht="15" hidden="false" customHeight="false" outlineLevel="0" collapsed="false">
      <c r="A7" s="6" t="s">
        <v>18</v>
      </c>
      <c r="B7" s="7" t="n">
        <v>457857018</v>
      </c>
      <c r="C7" s="8" t="n">
        <v>363707766</v>
      </c>
      <c r="D7" s="8" t="n">
        <v>395170093</v>
      </c>
      <c r="E7" s="8" t="n">
        <v>427317167</v>
      </c>
      <c r="F7" s="17" t="n">
        <v>658769546</v>
      </c>
      <c r="G7" s="17" t="n">
        <v>1147520859</v>
      </c>
      <c r="H7" s="17" t="n">
        <v>711719950</v>
      </c>
      <c r="I7" s="8" t="n">
        <f aca="false">SUM(B7:E7)</f>
        <v>1644052044</v>
      </c>
      <c r="J7" s="8" t="n">
        <f aca="false">SUM(F7:H7)</f>
        <v>2518010355</v>
      </c>
    </row>
    <row r="8" customFormat="false" ht="15" hidden="false" customHeight="false" outlineLevel="0" collapsed="false">
      <c r="A8" s="9" t="s">
        <v>19</v>
      </c>
      <c r="B8" s="7" t="n">
        <f aca="false">IF(B6=0,"-",B7/B6)</f>
        <v>209737.525423729</v>
      </c>
      <c r="C8" s="8" t="n">
        <f aca="false">IF(C6=0,"-",C7/C6)</f>
        <v>212943.656908665</v>
      </c>
      <c r="D8" s="8" t="n">
        <f aca="false">IF(D6=0,"-",D7/D6)</f>
        <v>213374.780237581</v>
      </c>
      <c r="E8" s="8" t="n">
        <f aca="false">IF(E6=0,"-",E7/E6)</f>
        <v>207033.511143411</v>
      </c>
      <c r="F8" s="17" t="n">
        <f aca="false">IF(F6=0,"-",F7/F6)</f>
        <v>235358.894605216</v>
      </c>
      <c r="G8" s="17" t="n">
        <f aca="false">IF(G6=0,"-",G7/G6)</f>
        <v>285666.133681852</v>
      </c>
      <c r="H8" s="17" t="n">
        <f aca="false">IF(H6=0,"-",H7/H6)</f>
        <v>201620.382436261</v>
      </c>
      <c r="I8" s="8" t="n">
        <f aca="false">IF(I6=0,"-",I7/I6)</f>
        <v>210586.914820033</v>
      </c>
      <c r="J8" s="8" t="n">
        <f aca="false">IF(J6=0,"-",J7/J6)</f>
        <v>243380.084573748</v>
      </c>
    </row>
    <row r="10" customFormat="false" ht="15" hidden="false" customHeight="false" outlineLevel="0" collapsed="false">
      <c r="A10" s="3" t="s">
        <v>20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false" outlineLevel="0" collapsed="false">
      <c r="A11" s="4" t="s">
        <v>3</v>
      </c>
      <c r="B11" s="4" t="s">
        <v>29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34</v>
      </c>
      <c r="H11" s="4" t="s">
        <v>35</v>
      </c>
      <c r="I11" s="4" t="s">
        <v>36</v>
      </c>
      <c r="J11" s="4" t="s">
        <v>37</v>
      </c>
    </row>
    <row r="12" customFormat="false" ht="15" hidden="false" customHeight="false" outlineLevel="0" collapsed="false">
      <c r="A12" s="6" t="s">
        <v>17</v>
      </c>
      <c r="B12" s="7" t="n">
        <v>1987</v>
      </c>
      <c r="C12" s="8" t="n">
        <v>1626</v>
      </c>
      <c r="D12" s="8" t="n">
        <v>1637</v>
      </c>
      <c r="E12" s="8" t="n">
        <v>1896</v>
      </c>
      <c r="F12" s="17" t="n">
        <v>2228</v>
      </c>
      <c r="G12" s="17" t="n">
        <v>2539</v>
      </c>
      <c r="H12" s="17" t="n">
        <v>2697</v>
      </c>
      <c r="I12" s="8" t="n">
        <f aca="false">SUM(B12:E12)</f>
        <v>7146</v>
      </c>
      <c r="J12" s="8" t="n">
        <f aca="false">SUM(F12:H12)</f>
        <v>7464</v>
      </c>
    </row>
    <row r="13" customFormat="false" ht="15" hidden="false" customHeight="false" outlineLevel="0" collapsed="false">
      <c r="A13" s="6" t="s">
        <v>18</v>
      </c>
      <c r="B13" s="7" t="n">
        <v>398988981</v>
      </c>
      <c r="C13" s="8" t="n">
        <v>320504492</v>
      </c>
      <c r="D13" s="8" t="n">
        <v>330854382</v>
      </c>
      <c r="E13" s="8" t="n">
        <v>393374904</v>
      </c>
      <c r="F13" s="17" t="n">
        <v>517948987</v>
      </c>
      <c r="G13" s="17" t="n">
        <v>703503684</v>
      </c>
      <c r="H13" s="17" t="n">
        <v>524165830</v>
      </c>
      <c r="I13" s="8" t="n">
        <f aca="false">SUM(B13:E13)</f>
        <v>1443722759</v>
      </c>
      <c r="J13" s="8" t="n">
        <f aca="false">SUM(F13:H13)</f>
        <v>1745618501</v>
      </c>
    </row>
    <row r="14" customFormat="false" ht="15" hidden="false" customHeight="false" outlineLevel="0" collapsed="false">
      <c r="A14" s="9" t="s">
        <v>19</v>
      </c>
      <c r="B14" s="7" t="n">
        <f aca="false">IF(B12=0,"-",B13/B12)</f>
        <v>200799.688475088</v>
      </c>
      <c r="C14" s="8" t="n">
        <f aca="false">IF(C12=0,"-",C13/C12)</f>
        <v>197112.233702337</v>
      </c>
      <c r="D14" s="8" t="n">
        <f aca="false">IF(D12=0,"-",D13/D12)</f>
        <v>202110.190592547</v>
      </c>
      <c r="E14" s="8" t="n">
        <f aca="false">IF(E12=0,"-",E13/E12)</f>
        <v>207476.215189873</v>
      </c>
      <c r="F14" s="17" t="n">
        <f aca="false">IF(F12=0,"-",F13/F12)</f>
        <v>232472.61535009</v>
      </c>
      <c r="G14" s="17" t="n">
        <f aca="false">IF(G12=0,"-",G13/G12)</f>
        <v>277079.040567152</v>
      </c>
      <c r="H14" s="17" t="n">
        <f aca="false">IF(H12=0,"-",H13/H12)</f>
        <v>194351.438635521</v>
      </c>
      <c r="I14" s="8" t="n">
        <f aca="false">IF(I12=0,"-",I13/I12)</f>
        <v>202032.292051497</v>
      </c>
      <c r="J14" s="8" t="n">
        <f aca="false">IF(J12=0,"-",J13/J12)</f>
        <v>233871.717711683</v>
      </c>
    </row>
    <row r="16" customFormat="false" ht="15" hidden="false" customHeight="false" outlineLevel="0" collapsed="false">
      <c r="A16" s="18" t="s">
        <v>16</v>
      </c>
      <c r="B16" s="18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false" outlineLevel="0" collapsed="false">
      <c r="A17" s="4" t="s">
        <v>3</v>
      </c>
      <c r="B17" s="4" t="s">
        <v>29</v>
      </c>
      <c r="C17" s="4" t="s">
        <v>30</v>
      </c>
      <c r="D17" s="4" t="s">
        <v>31</v>
      </c>
      <c r="E17" s="4" t="s">
        <v>32</v>
      </c>
      <c r="F17" s="4" t="s">
        <v>33</v>
      </c>
      <c r="G17" s="4" t="s">
        <v>34</v>
      </c>
      <c r="H17" s="4" t="s">
        <v>35</v>
      </c>
      <c r="I17" s="4" t="s">
        <v>36</v>
      </c>
      <c r="J17" s="4" t="s">
        <v>37</v>
      </c>
    </row>
    <row r="18" customFormat="false" ht="15" hidden="false" customHeight="false" outlineLevel="0" collapsed="false">
      <c r="A18" s="11" t="s">
        <v>22</v>
      </c>
      <c r="B18" s="12" t="n">
        <v>4170</v>
      </c>
      <c r="C18" s="13" t="n">
        <v>3334</v>
      </c>
      <c r="D18" s="13" t="n">
        <v>3489</v>
      </c>
      <c r="E18" s="13" t="n">
        <v>3960</v>
      </c>
      <c r="F18" s="19" t="n">
        <v>5027</v>
      </c>
      <c r="G18" s="19" t="n">
        <v>6556</v>
      </c>
      <c r="H18" s="19" t="n">
        <v>6227</v>
      </c>
      <c r="I18" s="13" t="n">
        <f aca="false">SUM(B18:E18)</f>
        <v>14953</v>
      </c>
      <c r="J18" s="13" t="n">
        <f aca="false">SUM(F18:H18)</f>
        <v>17810</v>
      </c>
    </row>
    <row r="19" customFormat="false" ht="15" hidden="false" customHeight="false" outlineLevel="0" collapsed="false">
      <c r="A19" s="11" t="s">
        <v>23</v>
      </c>
      <c r="B19" s="12" t="n">
        <v>856845999</v>
      </c>
      <c r="C19" s="13" t="n">
        <v>684212258</v>
      </c>
      <c r="D19" s="13" t="n">
        <v>726024475</v>
      </c>
      <c r="E19" s="13" t="n">
        <v>820692071</v>
      </c>
      <c r="F19" s="19" t="n">
        <v>1176718533</v>
      </c>
      <c r="G19" s="19" t="n">
        <v>1851024543</v>
      </c>
      <c r="H19" s="19" t="n">
        <v>1235885780</v>
      </c>
      <c r="I19" s="13" t="n">
        <f aca="false">SUM(B19:E19)</f>
        <v>3087774803</v>
      </c>
      <c r="J19" s="13" t="n">
        <f aca="false">SUM(F19:H19)</f>
        <v>4263628856</v>
      </c>
    </row>
    <row r="20" customFormat="false" ht="15" hidden="false" customHeight="false" outlineLevel="0" collapsed="false">
      <c r="A20" s="14" t="s">
        <v>24</v>
      </c>
      <c r="B20" s="12" t="n">
        <f aca="false">IF(B18=0,"-",B19/B18)</f>
        <v>205478.656834532</v>
      </c>
      <c r="C20" s="13" t="n">
        <f aca="false">IF(C18=0,"-",C19/C18)</f>
        <v>205222.632873425</v>
      </c>
      <c r="D20" s="13" t="n">
        <f aca="false">IF(D18=0,"-",D19/D18)</f>
        <v>208089.560045858</v>
      </c>
      <c r="E20" s="13" t="n">
        <f aca="false">IF(E18=0,"-",E19/E18)</f>
        <v>207245.472474747</v>
      </c>
      <c r="F20" s="19" t="n">
        <f aca="false">IF(F18=0,"-",F19/F18)</f>
        <v>234079.676347722</v>
      </c>
      <c r="G20" s="19" t="n">
        <f aca="false">IF(G18=0,"-",G19/G18)</f>
        <v>282340.534319707</v>
      </c>
      <c r="H20" s="19" t="n">
        <f aca="false">IF(H18=0,"-",H19/H18)</f>
        <v>198472.10213586</v>
      </c>
      <c r="I20" s="13" t="n">
        <f aca="false">IF(I18=0,"-",I19/I18)</f>
        <v>206498.68273925</v>
      </c>
      <c r="J20" s="13" t="n">
        <f aca="false">IF(J18=0,"-",J19/J18)</f>
        <v>239395.219314992</v>
      </c>
    </row>
    <row r="22" customFormat="false" ht="15" hidden="false" customHeight="false" outlineLevel="0" collapsed="false">
      <c r="A22" s="2" t="s">
        <v>25</v>
      </c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3" t="s">
        <v>2</v>
      </c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false" outlineLevel="0" collapsed="false">
      <c r="A24" s="4" t="s">
        <v>3</v>
      </c>
      <c r="B24" s="4" t="s">
        <v>29</v>
      </c>
      <c r="C24" s="4" t="s">
        <v>30</v>
      </c>
      <c r="D24" s="4" t="s">
        <v>31</v>
      </c>
      <c r="E24" s="4" t="s">
        <v>32</v>
      </c>
      <c r="F24" s="4" t="s">
        <v>33</v>
      </c>
      <c r="G24" s="4" t="s">
        <v>34</v>
      </c>
      <c r="H24" s="4" t="s">
        <v>35</v>
      </c>
      <c r="I24" s="4" t="s">
        <v>36</v>
      </c>
      <c r="J24" s="4" t="s">
        <v>37</v>
      </c>
    </row>
    <row r="25" customFormat="false" ht="15" hidden="false" customHeight="false" outlineLevel="0" collapsed="false">
      <c r="A25" s="6" t="s">
        <v>17</v>
      </c>
      <c r="B25" s="7" t="n">
        <v>1290</v>
      </c>
      <c r="C25" s="8" t="n">
        <v>1236</v>
      </c>
      <c r="D25" s="8" t="n">
        <v>1193</v>
      </c>
      <c r="E25" s="8" t="n">
        <v>1176</v>
      </c>
      <c r="F25" s="17" t="n">
        <v>1125</v>
      </c>
      <c r="G25" s="17" t="n">
        <v>1069</v>
      </c>
      <c r="H25" s="17" t="n">
        <v>1923</v>
      </c>
      <c r="I25" s="8" t="n">
        <f aca="false">SUM(B25:E25)</f>
        <v>4895</v>
      </c>
      <c r="J25" s="8" t="n">
        <f aca="false">SUM(F25:H25)</f>
        <v>4117</v>
      </c>
    </row>
    <row r="26" customFormat="false" ht="15" hidden="false" customHeight="false" outlineLevel="0" collapsed="false">
      <c r="A26" s="6" t="s">
        <v>18</v>
      </c>
      <c r="B26" s="7" t="n">
        <v>462557815</v>
      </c>
      <c r="C26" s="8" t="n">
        <v>424016936</v>
      </c>
      <c r="D26" s="8" t="n">
        <v>412642397</v>
      </c>
      <c r="E26" s="8" t="n">
        <v>430530534</v>
      </c>
      <c r="F26" s="17" t="n">
        <v>436058279</v>
      </c>
      <c r="G26" s="17" t="n">
        <v>506494215</v>
      </c>
      <c r="H26" s="17" t="n">
        <v>730853056</v>
      </c>
      <c r="I26" s="8" t="n">
        <f aca="false">SUM(B26:E26)</f>
        <v>1729747682</v>
      </c>
      <c r="J26" s="8" t="n">
        <f aca="false">SUM(F26:H26)</f>
        <v>1673405550</v>
      </c>
    </row>
    <row r="27" customFormat="false" ht="15" hidden="false" customHeight="false" outlineLevel="0" collapsed="false">
      <c r="A27" s="9" t="s">
        <v>19</v>
      </c>
      <c r="B27" s="7" t="n">
        <f aca="false">IF(B25=0,"-",B26/B25)</f>
        <v>358571.949612403</v>
      </c>
      <c r="C27" s="8" t="n">
        <f aca="false">IF(C25=0,"-",C26/C25)</f>
        <v>343055.773462783</v>
      </c>
      <c r="D27" s="8" t="n">
        <f aca="false">IF(D25=0,"-",D26/D25)</f>
        <v>345886.334450964</v>
      </c>
      <c r="E27" s="8" t="n">
        <f aca="false">IF(E25=0,"-",E26/E25)</f>
        <v>366097.392857143</v>
      </c>
      <c r="F27" s="17" t="n">
        <f aca="false">IF(F25=0,"-",F26/F25)</f>
        <v>387607.359111111</v>
      </c>
      <c r="G27" s="17" t="n">
        <f aca="false">IF(G25=0,"-",G26/G25)</f>
        <v>473801.884939196</v>
      </c>
      <c r="H27" s="17" t="n">
        <f aca="false">IF(H25=0,"-",H26/H25)</f>
        <v>380058.791471659</v>
      </c>
      <c r="I27" s="8" t="n">
        <f aca="false">IF(I25=0,"-",I26/I25)</f>
        <v>353370.312972421</v>
      </c>
      <c r="J27" s="8" t="n">
        <f aca="false">IF(J25=0,"-",J26/J25)</f>
        <v>406462.363371387</v>
      </c>
    </row>
    <row r="29" customFormat="false" ht="15" hidden="false" customHeight="false" outlineLevel="0" collapsed="false">
      <c r="A29" s="3" t="s">
        <v>20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4" t="s">
        <v>3</v>
      </c>
      <c r="B30" s="4" t="s">
        <v>29</v>
      </c>
      <c r="C30" s="4" t="s">
        <v>30</v>
      </c>
      <c r="D30" s="4" t="s">
        <v>31</v>
      </c>
      <c r="E30" s="4" t="s">
        <v>32</v>
      </c>
      <c r="F30" s="4" t="s">
        <v>33</v>
      </c>
      <c r="G30" s="4" t="s">
        <v>34</v>
      </c>
      <c r="H30" s="4" t="s">
        <v>35</v>
      </c>
      <c r="I30" s="4" t="s">
        <v>36</v>
      </c>
      <c r="J30" s="4" t="s">
        <v>37</v>
      </c>
    </row>
    <row r="31" customFormat="false" ht="15" hidden="false" customHeight="false" outlineLevel="0" collapsed="false">
      <c r="A31" s="6" t="s">
        <v>17</v>
      </c>
      <c r="B31" s="7" t="n">
        <v>682</v>
      </c>
      <c r="C31" s="8" t="n">
        <v>624</v>
      </c>
      <c r="D31" s="8" t="n">
        <v>578</v>
      </c>
      <c r="E31" s="8" t="n">
        <v>577</v>
      </c>
      <c r="F31" s="17" t="n">
        <v>526</v>
      </c>
      <c r="G31" s="17" t="n">
        <v>221</v>
      </c>
      <c r="H31" s="17" t="n">
        <v>820</v>
      </c>
      <c r="I31" s="8" t="n">
        <f aca="false">SUM(B31:E31)</f>
        <v>2461</v>
      </c>
      <c r="J31" s="8" t="n">
        <f aca="false">SUM(F31:H31)</f>
        <v>1567</v>
      </c>
    </row>
    <row r="32" customFormat="false" ht="15" hidden="false" customHeight="false" outlineLevel="0" collapsed="false">
      <c r="A32" s="6" t="s">
        <v>18</v>
      </c>
      <c r="B32" s="7" t="n">
        <v>249852989</v>
      </c>
      <c r="C32" s="8" t="n">
        <v>215162563</v>
      </c>
      <c r="D32" s="8" t="n">
        <v>196207723</v>
      </c>
      <c r="E32" s="8" t="n">
        <v>203135448</v>
      </c>
      <c r="F32" s="17" t="n">
        <v>194610724</v>
      </c>
      <c r="G32" s="17" t="n">
        <v>96617632</v>
      </c>
      <c r="H32" s="17" t="n">
        <v>299738495</v>
      </c>
      <c r="I32" s="8" t="n">
        <f aca="false">SUM(B32:E32)</f>
        <v>864358723</v>
      </c>
      <c r="J32" s="8" t="n">
        <f aca="false">SUM(F32:H32)</f>
        <v>590966851</v>
      </c>
    </row>
    <row r="33" customFormat="false" ht="15" hidden="false" customHeight="false" outlineLevel="0" collapsed="false">
      <c r="A33" s="9" t="s">
        <v>19</v>
      </c>
      <c r="B33" s="7" t="n">
        <f aca="false">IF(B31=0,"-",B32/B31)</f>
        <v>366353.356304985</v>
      </c>
      <c r="C33" s="8" t="n">
        <f aca="false">IF(C31=0,"-",C32/C31)</f>
        <v>344811.799679487</v>
      </c>
      <c r="D33" s="8" t="n">
        <f aca="false">IF(D31=0,"-",D32/D31)</f>
        <v>339459.728373702</v>
      </c>
      <c r="E33" s="8" t="n">
        <f aca="false">IF(E31=0,"-",E32/E31)</f>
        <v>352054.502599653</v>
      </c>
      <c r="F33" s="17" t="n">
        <f aca="false">IF(F31=0,"-",F32/F31)</f>
        <v>369982.365019011</v>
      </c>
      <c r="G33" s="17" t="n">
        <f aca="false">IF(G31=0,"-",G32/G31)</f>
        <v>437183.85520362</v>
      </c>
      <c r="H33" s="17" t="n">
        <f aca="false">IF(H31=0,"-",H32/H31)</f>
        <v>365534.75</v>
      </c>
      <c r="I33" s="8" t="n">
        <f aca="false">IF(I31=0,"-",I32/I31)</f>
        <v>351222.561154002</v>
      </c>
      <c r="J33" s="8" t="n">
        <f aca="false">IF(J31=0,"-",J32/J31)</f>
        <v>377132.642629228</v>
      </c>
    </row>
    <row r="35" customFormat="false" ht="15" hidden="false" customHeight="false" outlineLevel="0" collapsed="false">
      <c r="A35" s="18" t="s">
        <v>16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false" outlineLevel="0" collapsed="false">
      <c r="A36" s="4" t="s">
        <v>3</v>
      </c>
      <c r="B36" s="4" t="s">
        <v>29</v>
      </c>
      <c r="C36" s="4" t="s">
        <v>30</v>
      </c>
      <c r="D36" s="4" t="s">
        <v>31</v>
      </c>
      <c r="E36" s="4" t="s">
        <v>32</v>
      </c>
      <c r="F36" s="4" t="s">
        <v>33</v>
      </c>
      <c r="G36" s="4" t="s">
        <v>34</v>
      </c>
      <c r="H36" s="4" t="s">
        <v>35</v>
      </c>
      <c r="I36" s="4" t="s">
        <v>36</v>
      </c>
      <c r="J36" s="4" t="s">
        <v>37</v>
      </c>
    </row>
    <row r="37" customFormat="false" ht="15" hidden="false" customHeight="false" outlineLevel="0" collapsed="false">
      <c r="A37" s="11" t="s">
        <v>22</v>
      </c>
      <c r="B37" s="12" t="n">
        <v>1972</v>
      </c>
      <c r="C37" s="13" t="n">
        <v>1860</v>
      </c>
      <c r="D37" s="13" t="n">
        <v>1771</v>
      </c>
      <c r="E37" s="13" t="n">
        <v>1753</v>
      </c>
      <c r="F37" s="19" t="n">
        <v>1651</v>
      </c>
      <c r="G37" s="19" t="n">
        <v>1290</v>
      </c>
      <c r="H37" s="19" t="n">
        <v>2743</v>
      </c>
      <c r="I37" s="13" t="n">
        <f aca="false">SUM(B37:E37)</f>
        <v>7356</v>
      </c>
      <c r="J37" s="13" t="n">
        <f aca="false">SUM(F37:H37)</f>
        <v>5684</v>
      </c>
    </row>
    <row r="38" customFormat="false" ht="15" hidden="false" customHeight="false" outlineLevel="0" collapsed="false">
      <c r="A38" s="11" t="s">
        <v>23</v>
      </c>
      <c r="B38" s="12" t="n">
        <v>712410804</v>
      </c>
      <c r="C38" s="13" t="n">
        <v>639179499</v>
      </c>
      <c r="D38" s="13" t="n">
        <v>608850120</v>
      </c>
      <c r="E38" s="13" t="n">
        <v>633665982</v>
      </c>
      <c r="F38" s="19" t="n">
        <v>630669003</v>
      </c>
      <c r="G38" s="19" t="n">
        <v>603111847</v>
      </c>
      <c r="H38" s="19" t="n">
        <v>1030591551</v>
      </c>
      <c r="I38" s="13" t="n">
        <f aca="false">SUM(B38:E38)</f>
        <v>2594106405</v>
      </c>
      <c r="J38" s="13" t="n">
        <f aca="false">SUM(F38:H38)</f>
        <v>2264372401</v>
      </c>
    </row>
    <row r="39" customFormat="false" ht="15" hidden="false" customHeight="false" outlineLevel="0" collapsed="false">
      <c r="A39" s="14" t="s">
        <v>24</v>
      </c>
      <c r="B39" s="12" t="n">
        <f aca="false">IF(B37=0,"-",B38/B37)</f>
        <v>361263.085192698</v>
      </c>
      <c r="C39" s="13" t="n">
        <f aca="false">IF(C37=0,"-",C38/C37)</f>
        <v>343644.891935484</v>
      </c>
      <c r="D39" s="13" t="n">
        <f aca="false">IF(D37=0,"-",D38/D37)</f>
        <v>343788.887634105</v>
      </c>
      <c r="E39" s="13" t="n">
        <f aca="false">IF(E37=0,"-",E38/E37)</f>
        <v>361475.175128351</v>
      </c>
      <c r="F39" s="19" t="n">
        <f aca="false">IF(F37=0,"-",F38/F37)</f>
        <v>381992.127801333</v>
      </c>
      <c r="G39" s="19" t="n">
        <f aca="false">IF(G37=0,"-",G38/G37)</f>
        <v>467528.563565891</v>
      </c>
      <c r="H39" s="19" t="n">
        <f aca="false">IF(H37=0,"-",H38/H37)</f>
        <v>375716.934378418</v>
      </c>
      <c r="I39" s="13" t="n">
        <f aca="false">IF(I37=0,"-",I38/I37)</f>
        <v>352651.767944535</v>
      </c>
      <c r="J39" s="13" t="n">
        <f aca="false">IF(J37=0,"-",J38/J37)</f>
        <v>398376.565974666</v>
      </c>
    </row>
  </sheetData>
  <mergeCells count="9">
    <mergeCell ref="A1:J1"/>
    <mergeCell ref="A3:J3"/>
    <mergeCell ref="A4:J4"/>
    <mergeCell ref="A10:J10"/>
    <mergeCell ref="A16:J16"/>
    <mergeCell ref="A22:J22"/>
    <mergeCell ref="A23:J23"/>
    <mergeCell ref="A29:J29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2026-05-06T09:15:18Z</dcterms:created>
  <dc:creator>openpyxl</dc:creator>
  <dc:description/>
  <dc:language>en-US</dc:language>
  <cp:lastModifiedBy/>
  <dcterms:modified xsi:type="dcterms:W3CDTF">2026-05-06T09:15:18Z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