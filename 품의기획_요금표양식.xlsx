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스탠다드" sheetId="1" state="visible" r:id="rId3"/>
    <sheet name="디럭스" sheetId="2" state="visible" r:id="rId4"/>
    <sheet name="스위트" sheetId="3" state="visible" r:id="rId5"/>
    <sheet name="패밀리" sheetId="4" state="visible" r:id="rId6"/>
    <sheet name="커넥팅" sheetId="5" state="visible" r:id="rId7"/>
    <sheet name="작성가이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<sst xmlns="http://schemas.openxmlformats.org/spreadsheetml/2006/main" count="483" uniqueCount="108">
  <si>
    <r>
      <rPr>
        <b val="true"/>
        <sz val="14"/>
        <color rgb="FF2F5496"/>
        <rFont val="DejaVu Sans"/>
        <family val="2"/>
      </rPr>
      <t xml:space="preserve">품의 기획 — 요금표 </t>
    </r>
    <r>
      <rPr>
        <b val="true"/>
        <sz val="14"/>
        <color rgb="FF2F5496"/>
        <rFont val="DejaVu Sans"/>
        <family val="2"/>
        <charset val="1"/>
      </rPr>
      <t xml:space="preserve">[</t>
    </r>
    <r>
      <rPr>
        <b val="true"/>
        <sz val="14"/>
        <color rgb="FF2F5496"/>
        <rFont val="DejaVu Sans"/>
        <family val="2"/>
      </rPr>
      <t xml:space="preserve">스탠다드</t>
    </r>
    <r>
      <rPr>
        <b val="true"/>
        <sz val="14"/>
        <color rgb="FF2F5496"/>
        <rFont val="DejaVu Sans"/>
        <family val="2"/>
        <charset val="1"/>
      </rPr>
      <t xml:space="preserve">]</t>
    </r>
  </si>
  <si>
    <r>
      <rPr>
        <i val="true"/>
        <sz val="9"/>
        <color rgb="FF808080"/>
        <rFont val="DejaVu Sans"/>
        <family val="2"/>
      </rPr>
      <t xml:space="preserve">※ 노란색 셀만 입력</t>
    </r>
    <r>
      <rPr>
        <i val="true"/>
        <sz val="9"/>
        <color rgb="FF808080"/>
        <rFont val="DejaVu Sans"/>
        <family val="2"/>
        <charset val="1"/>
      </rPr>
      <t xml:space="preserve">. </t>
    </r>
    <r>
      <rPr>
        <i val="true"/>
        <sz val="9"/>
        <color rgb="FF808080"/>
        <rFont val="DejaVu Sans"/>
        <family val="2"/>
      </rPr>
      <t xml:space="preserve">파란글씨</t>
    </r>
    <r>
      <rPr>
        <i val="true"/>
        <sz val="9"/>
        <color rgb="FF808080"/>
        <rFont val="DejaVu Sans"/>
        <family val="2"/>
        <charset val="1"/>
      </rPr>
      <t xml:space="preserve">=</t>
    </r>
    <r>
      <rPr>
        <i val="true"/>
        <sz val="9"/>
        <color rgb="FF808080"/>
        <rFont val="DejaVu Sans"/>
        <family val="2"/>
      </rPr>
      <t xml:space="preserve">입력값</t>
    </r>
    <r>
      <rPr>
        <i val="true"/>
        <sz val="9"/>
        <color rgb="FF808080"/>
        <rFont val="DejaVu Sans"/>
        <family val="2"/>
        <charset val="1"/>
      </rPr>
      <t xml:space="preserve">, </t>
    </r>
    <r>
      <rPr>
        <i val="true"/>
        <sz val="9"/>
        <color rgb="FF808080"/>
        <rFont val="DejaVu Sans"/>
        <family val="2"/>
      </rPr>
      <t xml:space="preserve">검은글씨</t>
    </r>
    <r>
      <rPr>
        <i val="true"/>
        <sz val="9"/>
        <color rgb="FF808080"/>
        <rFont val="DejaVu Sans"/>
        <family val="2"/>
        <charset val="1"/>
      </rPr>
      <t xml:space="preserve">=</t>
    </r>
    <r>
      <rPr>
        <i val="true"/>
        <sz val="9"/>
        <color rgb="FF808080"/>
        <rFont val="DejaVu Sans"/>
        <family val="2"/>
      </rPr>
      <t xml:space="preserve">자동계산</t>
    </r>
    <r>
      <rPr>
        <i val="true"/>
        <sz val="9"/>
        <color rgb="FF808080"/>
        <rFont val="DejaVu Sans"/>
        <family val="2"/>
        <charset val="1"/>
      </rPr>
      <t xml:space="preserve">. </t>
    </r>
    <r>
      <rPr>
        <i val="true"/>
        <sz val="9"/>
        <color rgb="FF808080"/>
        <rFont val="DejaVu Sans"/>
        <family val="2"/>
      </rPr>
      <t xml:space="preserve">객실타입별 시트를 사용하지 않으면 삭제해도 됩니다</t>
    </r>
    <r>
      <rPr>
        <i val="true"/>
        <sz val="9"/>
        <color rgb="FF808080"/>
        <rFont val="DejaVu Sans"/>
        <family val="2"/>
        <charset val="1"/>
      </rPr>
      <t xml:space="preserve">.</t>
    </r>
  </si>
  <si>
    <t xml:space="preserve">사업장</t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</si>
  <si>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DejaVu Sans"/>
        <family val="2"/>
      </rPr>
      <t xml:space="preserve">사업장명 입력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</si>
  <si>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투숙기간</t>
  </si>
  <si>
    <t xml:space="preserve">2026-07-01</t>
  </si>
  <si>
    <t xml:space="preserve">~</t>
  </si>
  <si>
    <t xml:space="preserve">2026-07-31</t>
  </si>
  <si>
    <t xml:space="preserve">세그먼트</t>
  </si>
  <si>
    <t xml:space="preserve">OTA</t>
  </si>
  <si>
    <t xml:space="preserve">객실타입</t>
  </si>
  <si>
    <t xml:space="preserve">스탠다드</t>
  </si>
  <si>
    <t xml:space="preserve">부대시설 합산</t>
  </si>
  <si>
    <t xml:space="preserve">오션</t>
  </si>
  <si>
    <t xml:space="preserve">조식</t>
  </si>
  <si>
    <t xml:space="preserve">기타</t>
  </si>
  <si>
    <t xml:space="preserve">합계</t>
  </si>
  <si>
    <r>
      <rPr>
        <sz val="10"/>
        <color rgb="FF333333"/>
        <rFont val="DejaVu Sans"/>
        <family val="2"/>
      </rPr>
      <t xml:space="preserve">단가</t>
    </r>
    <r>
      <rPr>
        <sz val="10"/>
        <color rgb="FF333333"/>
        <rFont val="DejaVu Sans"/>
        <family val="2"/>
        <charset val="1"/>
      </rPr>
      <t xml:space="preserve">(</t>
    </r>
    <r>
      <rPr>
        <sz val="10"/>
        <color rgb="FF333333"/>
        <rFont val="DejaVu Sans"/>
        <family val="2"/>
      </rPr>
      <t xml:space="preserve">원</t>
    </r>
    <r>
      <rPr>
        <sz val="10"/>
        <color rgb="FF333333"/>
        <rFont val="DejaVu Sans"/>
        <family val="2"/>
        <charset val="1"/>
      </rPr>
      <t xml:space="preserve">)</t>
    </r>
  </si>
  <si>
    <t xml:space="preserve">기본</t>
  </si>
  <si>
    <t xml:space="preserve">정상가</t>
  </si>
  <si>
    <t xml:space="preserve">스마트요금</t>
  </si>
  <si>
    <t xml:space="preserve">PRM</t>
  </si>
  <si>
    <t xml:space="preserve">프로모션가</t>
  </si>
  <si>
    <t xml:space="preserve">부대</t>
  </si>
  <si>
    <t xml:space="preserve">최종판매가</t>
  </si>
  <si>
    <r>
      <rPr>
        <b val="true"/>
        <sz val="10"/>
        <color rgb="FFFFFFFF"/>
        <rFont val="DejaVu Sans"/>
        <family val="2"/>
      </rPr>
      <t xml:space="preserve">할인율</t>
    </r>
    <r>
      <rPr>
        <b val="true"/>
        <sz val="10"/>
        <color rgb="FFFFFFFF"/>
        <rFont val="DejaVu Sans"/>
        <family val="2"/>
        <charset val="1"/>
      </rPr>
      <t xml:space="preserve">(vs</t>
    </r>
    <r>
      <rPr>
        <b val="true"/>
        <sz val="10"/>
        <color rgb="FFFFFFFF"/>
        <rFont val="DejaVu Sans"/>
        <family val="2"/>
      </rPr>
      <t xml:space="preserve">정상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</si>
  <si>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Gap </t>
    </r>
    <r>
      <rPr>
        <b val="true"/>
        <sz val="10"/>
        <color rgb="FFFFFFFF"/>
        <rFont val="DejaVu Sans"/>
        <family val="2"/>
      </rPr>
      <t xml:space="preserve">분석</t>
    </r>
  </si>
  <si>
    <t xml:space="preserve">날짜</t>
  </si>
  <si>
    <t xml:space="preserve">요일</t>
  </si>
  <si>
    <t xml:space="preserve">기명</t>
  </si>
  <si>
    <t xml:space="preserve">무기명</t>
  </si>
  <si>
    <t xml:space="preserve">FIT</t>
  </si>
  <si>
    <t xml:space="preserve">할인율</t>
  </si>
  <si>
    <t xml:space="preserve">합산</t>
  </si>
  <si>
    <r>
      <rPr>
        <b val="true"/>
        <sz val="10"/>
        <color rgb="FFFFFFFF"/>
        <rFont val="DejaVu Sans"/>
        <family val="2"/>
      </rPr>
      <t xml:space="preserve">기명
</t>
    </r>
    <r>
      <rPr>
        <b val="true"/>
        <sz val="10"/>
        <color rgb="FFFFFFFF"/>
        <rFont val="DejaVu Sans"/>
        <family val="2"/>
        <charset val="1"/>
      </rPr>
      <t xml:space="preserve">-</t>
    </r>
    <r>
      <rPr>
        <b val="true"/>
        <sz val="10"/>
        <color rgb="FFFFFFFF"/>
        <rFont val="DejaVu Sans"/>
        <family val="2"/>
      </rPr>
      <t xml:space="preserve">무기명</t>
    </r>
  </si>
  <si>
    <r>
      <rPr>
        <b val="true"/>
        <sz val="10"/>
        <color rgb="FFFFFFFF"/>
        <rFont val="DejaVu Sans"/>
        <family val="2"/>
      </rPr>
      <t xml:space="preserve">기명
</t>
    </r>
    <r>
      <rPr>
        <b val="true"/>
        <sz val="10"/>
        <color rgb="FFFFFFFF"/>
        <rFont val="DejaVu Sans"/>
        <family val="2"/>
        <charset val="1"/>
      </rPr>
      <t xml:space="preserve">-FIT</t>
    </r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</si>
  <si>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</si>
  <si>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</si>
  <si>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</si>
  <si>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</si>
  <si>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</si>
  <si>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월</t>
  </si>
  <si>
    <t xml:space="preserve">화</t>
  </si>
  <si>
    <t xml:space="preserve">평균</t>
  </si>
  <si>
    <t xml:space="preserve">최고가</t>
  </si>
  <si>
    <t xml:space="preserve">최저가</t>
  </si>
  <si>
    <r>
      <rPr>
        <b val="true"/>
        <sz val="14"/>
        <color rgb="FF548235"/>
        <rFont val="DejaVu Sans"/>
        <family val="2"/>
      </rPr>
      <t xml:space="preserve">품의 기획 — 요금표 </t>
    </r>
    <r>
      <rPr>
        <b val="true"/>
        <sz val="14"/>
        <color rgb="FF548235"/>
        <rFont val="DejaVu Sans"/>
        <family val="2"/>
        <charset val="1"/>
      </rPr>
      <t xml:space="preserve">[</t>
    </r>
    <r>
      <rPr>
        <b val="true"/>
        <sz val="14"/>
        <color rgb="FF548235"/>
        <rFont val="DejaVu Sans"/>
        <family val="2"/>
      </rPr>
      <t xml:space="preserve">디럭스</t>
    </r>
    <r>
      <rPr>
        <b val="true"/>
        <sz val="14"/>
        <color rgb="FF548235"/>
        <rFont val="DejaVu Sans"/>
        <family val="2"/>
        <charset val="1"/>
      </rPr>
      <t xml:space="preserve">]</t>
    </r>
  </si>
  <si>
    <t xml:space="preserve">디럭스</t>
  </si>
  <si>
    <r>
      <rPr>
        <b val="true"/>
        <sz val="14"/>
        <color rgb="FFBF8F00"/>
        <rFont val="DejaVu Sans"/>
        <family val="2"/>
      </rPr>
      <t xml:space="preserve">품의 기획 — 요금표 </t>
    </r>
    <r>
      <rPr>
        <b val="true"/>
        <sz val="14"/>
        <color rgb="FFBF8F00"/>
        <rFont val="DejaVu Sans"/>
        <family val="2"/>
        <charset val="1"/>
      </rPr>
      <t xml:space="preserve">[</t>
    </r>
    <r>
      <rPr>
        <b val="true"/>
        <sz val="14"/>
        <color rgb="FFBF8F00"/>
        <rFont val="DejaVu Sans"/>
        <family val="2"/>
      </rPr>
      <t xml:space="preserve">스위트</t>
    </r>
    <r>
      <rPr>
        <b val="true"/>
        <sz val="14"/>
        <color rgb="FFBF8F00"/>
        <rFont val="DejaVu Sans"/>
        <family val="2"/>
        <charset val="1"/>
      </rPr>
      <t xml:space="preserve">]</t>
    </r>
  </si>
  <si>
    <t xml:space="preserve">스위트</t>
  </si>
  <si>
    <r>
      <rPr>
        <b val="true"/>
        <sz val="14"/>
        <color rgb="FF7030A0"/>
        <rFont val="DejaVu Sans"/>
        <family val="2"/>
      </rPr>
      <t xml:space="preserve">품의 기획 — 요금표 </t>
    </r>
    <r>
      <rPr>
        <b val="true"/>
        <sz val="14"/>
        <color rgb="FF7030A0"/>
        <rFont val="DejaVu Sans"/>
        <family val="2"/>
        <charset val="1"/>
      </rPr>
      <t xml:space="preserve">[</t>
    </r>
    <r>
      <rPr>
        <b val="true"/>
        <sz val="14"/>
        <color rgb="FF7030A0"/>
        <rFont val="DejaVu Sans"/>
        <family val="2"/>
      </rPr>
      <t xml:space="preserve">패밀리</t>
    </r>
    <r>
      <rPr>
        <b val="true"/>
        <sz val="14"/>
        <color rgb="FF7030A0"/>
        <rFont val="DejaVu Sans"/>
        <family val="2"/>
        <charset val="1"/>
      </rPr>
      <t xml:space="preserve">]</t>
    </r>
  </si>
  <si>
    <t xml:space="preserve">패밀리</t>
  </si>
  <si>
    <r>
      <rPr>
        <b val="true"/>
        <sz val="14"/>
        <color rgb="FFC00000"/>
        <rFont val="DejaVu Sans"/>
        <family val="2"/>
      </rPr>
      <t xml:space="preserve">품의 기획 — 요금표 </t>
    </r>
    <r>
      <rPr>
        <b val="true"/>
        <sz val="14"/>
        <color rgb="FFC00000"/>
        <rFont val="DejaVu Sans"/>
        <family val="2"/>
        <charset val="1"/>
      </rPr>
      <t xml:space="preserve">[</t>
    </r>
    <r>
      <rPr>
        <b val="true"/>
        <sz val="14"/>
        <color rgb="FFC00000"/>
        <rFont val="DejaVu Sans"/>
        <family val="2"/>
      </rPr>
      <t xml:space="preserve">커넥팅</t>
    </r>
    <r>
      <rPr>
        <b val="true"/>
        <sz val="14"/>
        <color rgb="FFC00000"/>
        <rFont val="DejaVu Sans"/>
        <family val="2"/>
        <charset val="1"/>
      </rPr>
      <t xml:space="preserve">]</t>
    </r>
  </si>
  <si>
    <t xml:space="preserve">커넥팅</t>
  </si>
  <si>
    <r>
      <rPr>
        <b val="true"/>
        <sz val="14"/>
        <color rgb="FF2F5496"/>
        <rFont val="DejaVu Sans"/>
        <family val="2"/>
      </rPr>
      <t xml:space="preserve">품의 기획 — 요금표 양식 </t>
    </r>
    <r>
      <rPr>
        <b val="true"/>
        <sz val="14"/>
        <color rgb="FF2F5496"/>
        <rFont val="DejaVu Sans"/>
        <family val="2"/>
        <charset val="1"/>
      </rPr>
      <t xml:space="preserve">v2 </t>
    </r>
    <r>
      <rPr>
        <b val="true"/>
        <sz val="14"/>
        <color rgb="FF2F5496"/>
        <rFont val="DejaVu Sans"/>
        <family val="2"/>
      </rPr>
      <t xml:space="preserve">작성 가이드</t>
    </r>
  </si>
  <si>
    <t xml:space="preserve">항목</t>
  </si>
  <si>
    <t xml:space="preserve">설명</t>
  </si>
  <si>
    <t xml:space="preserve">비고</t>
  </si>
  <si>
    <t xml:space="preserve">시트 구조</t>
  </si>
  <si>
    <r>
      <rPr>
        <sz val="10"/>
        <rFont val="DejaVu Sans"/>
        <family val="2"/>
      </rPr>
      <t xml:space="preserve">객실타입별 시트 분리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스탠다드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디럭스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스위트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패밀리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커넥팅</t>
    </r>
    <r>
      <rPr>
        <sz val="10"/>
        <rFont val="DejaVu Sans"/>
        <family val="2"/>
        <charset val="1"/>
      </rPr>
      <t xml:space="preserve">)</t>
    </r>
  </si>
  <si>
    <t xml:space="preserve">사용하지 않는 타입은 시트 삭제</t>
  </si>
  <si>
    <t xml:space="preserve">회원 구분</t>
  </si>
  <si>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(named) / </t>
    </r>
    <r>
      <rPr>
        <sz val="10"/>
        <rFont val="DejaVu Sans"/>
        <family val="2"/>
      </rPr>
      <t xml:space="preserve">무기명</t>
    </r>
    <r>
      <rPr>
        <sz val="10"/>
        <rFont val="DejaVu Sans"/>
        <family val="2"/>
        <charset val="1"/>
      </rPr>
      <t xml:space="preserve">(unnamed) / FIT(</t>
    </r>
    <r>
      <rPr>
        <sz val="10"/>
        <rFont val="DejaVu Sans"/>
        <family val="2"/>
      </rPr>
      <t xml:space="preserve">비회원</t>
    </r>
    <r>
      <rPr>
        <sz val="10"/>
        <rFont val="DejaVu Sans"/>
        <family val="2"/>
        <charset val="1"/>
      </rPr>
      <t xml:space="preserve">) 3</t>
    </r>
    <r>
      <rPr>
        <sz val="10"/>
        <rFont val="DejaVu Sans"/>
        <family val="2"/>
      </rPr>
      <t xml:space="preserve">단 구분</t>
    </r>
  </si>
  <si>
    <r>
      <rPr>
        <sz val="10"/>
        <rFont val="DejaVu Sans"/>
        <family val="2"/>
      </rPr>
      <t xml:space="preserve">정상가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스마트요금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프로모션가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최종판매가 모두 적용</t>
    </r>
  </si>
  <si>
    <t xml:space="preserve">품의 대상 사업장명</t>
  </si>
  <si>
    <t xml:space="preserve">각 시트 상단에 동일하게 입력</t>
  </si>
  <si>
    <r>
      <rPr>
        <sz val="10"/>
        <rFont val="DejaVu Sans"/>
        <family val="2"/>
      </rPr>
      <t xml:space="preserve">프로모션 투숙 시작</t>
    </r>
    <r>
      <rPr>
        <sz val="10"/>
        <rFont val="DejaVu Sans"/>
        <family val="2"/>
        <charset val="1"/>
      </rPr>
      <t xml:space="preserve">~</t>
    </r>
    <r>
      <rPr>
        <sz val="10"/>
        <rFont val="DejaVu Sans"/>
        <family val="2"/>
      </rPr>
      <t xml:space="preserve">종료일</t>
    </r>
  </si>
  <si>
    <t xml:space="preserve">YYYY-MM-DD</t>
  </si>
  <si>
    <t xml:space="preserve">OTA / G-OTA / Inbound</t>
  </si>
  <si>
    <t xml:space="preserve">복수 시 콤마 구분</t>
  </si>
  <si>
    <t xml:space="preserve">부대시설</t>
  </si>
  <si>
    <r>
      <rPr>
        <sz val="10"/>
        <rFont val="DejaVu Sans"/>
        <family val="2"/>
      </rPr>
      <t xml:space="preserve">패키지 포함 부대시설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오션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조식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기타 항목별 단가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원</t>
    </r>
    <r>
      <rPr>
        <sz val="10"/>
        <rFont val="DejaVu Sans"/>
        <family val="2"/>
        <charset val="1"/>
      </rPr>
      <t xml:space="preserve">)</t>
    </r>
  </si>
  <si>
    <t xml:space="preserve">미포함 항목은 비워두기</t>
  </si>
  <si>
    <r>
      <rPr>
        <sz val="10"/>
        <rFont val="맑은 고딕"/>
        <family val="0"/>
        <charset val="1"/>
      </rPr>
      <t xml:space="preserve">PMS </t>
    </r>
    <r>
      <rPr>
        <sz val="10"/>
        <rFont val="DejaVu Sans"/>
        <family val="2"/>
      </rPr>
      <t xml:space="preserve">기준 객실요금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기명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맑은 고딕"/>
        <family val="0"/>
        <charset val="1"/>
      </rPr>
      <t xml:space="preserve">/FIT </t>
    </r>
    <r>
      <rPr>
        <sz val="10"/>
        <rFont val="DejaVu Sans"/>
        <family val="2"/>
      </rPr>
      <t xml:space="preserve">각각</t>
    </r>
    <r>
      <rPr>
        <sz val="10"/>
        <rFont val="맑은 고딕"/>
        <family val="0"/>
        <charset val="1"/>
      </rPr>
      <t xml:space="preserve">)</t>
    </r>
  </si>
  <si>
    <t xml:space="preserve">날짜별 입력</t>
  </si>
  <si>
    <r>
      <rPr>
        <sz val="10"/>
        <rFont val="DejaVu Sans"/>
        <family val="2"/>
      </rPr>
      <t xml:space="preserve">채널 판매 기준 요금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DejaVu Sans"/>
        <family val="2"/>
        <charset val="1"/>
      </rPr>
      <t xml:space="preserve">/FIT </t>
    </r>
    <r>
      <rPr>
        <sz val="10"/>
        <rFont val="DejaVu Sans"/>
        <family val="2"/>
      </rPr>
      <t xml:space="preserve">각각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</si>
  <si>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PRM </t>
    </r>
    <r>
      <rPr>
        <sz val="10"/>
        <rFont val="DejaVu Sans"/>
        <family val="2"/>
      </rPr>
      <t xml:space="preserve">할인율</t>
    </r>
  </si>
  <si>
    <t xml:space="preserve">프로모션 추가 할인율</t>
  </si>
  <si>
    <r>
      <rPr>
        <sz val="10"/>
        <rFont val="맑은 고딕"/>
        <family val="0"/>
        <charset val="1"/>
      </rPr>
      <t xml:space="preserve">10% → 0.1 </t>
    </r>
    <r>
      <rPr>
        <sz val="10"/>
        <rFont val="DejaVu Sans"/>
        <family val="2"/>
      </rPr>
      <t xml:space="preserve">입력</t>
    </r>
  </si>
  <si>
    <t xml:space="preserve">자동 계산 항목</t>
  </si>
  <si>
    <r>
      <rPr>
        <sz val="10"/>
        <rFont val="DejaVu Sans"/>
        <family val="2"/>
      </rPr>
      <t xml:space="preserve">스마트요금 </t>
    </r>
    <r>
      <rPr>
        <sz val="10"/>
        <rFont val="DejaVu Sans"/>
        <family val="2"/>
        <charset val="1"/>
      </rPr>
      <t xml:space="preserve">x (1 - PRM</t>
    </r>
    <r>
      <rPr>
        <sz val="10"/>
        <rFont val="DejaVu Sans"/>
        <family val="2"/>
      </rPr>
      <t xml:space="preserve">할인율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</si>
  <si>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무기명</t>
    </r>
    <r>
      <rPr>
        <sz val="10"/>
        <rFont val="DejaVu Sans"/>
        <family val="2"/>
        <charset val="1"/>
      </rPr>
      <t xml:space="preserve">/FIT </t>
    </r>
    <r>
      <rPr>
        <sz val="10"/>
        <rFont val="DejaVu Sans"/>
        <family val="2"/>
      </rPr>
      <t xml:space="preserve">각각</t>
    </r>
  </si>
  <si>
    <r>
      <rPr>
        <sz val="10"/>
        <rFont val="DejaVu Sans"/>
        <family val="2"/>
      </rPr>
      <t xml:space="preserve">부대시설 항목 합계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고정</t>
    </r>
    <r>
      <rPr>
        <sz val="10"/>
        <rFont val="DejaVu Sans"/>
        <family val="2"/>
        <charset val="1"/>
      </rPr>
      <t xml:space="preserve">)</t>
    </r>
  </si>
  <si>
    <t xml:space="preserve">전 날짜 동일 적용</t>
  </si>
  <si>
    <r>
      <rPr>
        <sz val="10"/>
        <rFont val="DejaVu Sans"/>
        <family val="2"/>
      </rPr>
      <t xml:space="preserve">프로모션가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부대시설 합산</t>
    </r>
  </si>
  <si>
    <t xml:space="preserve">실제 판매 단가</t>
  </si>
  <si>
    <r>
      <rPr>
        <sz val="10"/>
        <rFont val="맑은 고딕"/>
        <family val="0"/>
        <charset val="1"/>
      </rPr>
      <t xml:space="preserve">1 - </t>
    </r>
    <r>
      <rPr>
        <sz val="10"/>
        <rFont val="DejaVu Sans"/>
        <family val="2"/>
      </rPr>
      <t xml:space="preserve">최종판매가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정상가</t>
    </r>
  </si>
  <si>
    <t xml:space="preserve">정상가 대비 할인폭</t>
  </si>
  <si>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-</t>
    </r>
    <r>
      <rPr>
        <sz val="10"/>
        <rFont val="DejaVu Sans"/>
        <family val="2"/>
      </rPr>
      <t xml:space="preserve">무기명 </t>
    </r>
    <r>
      <rPr>
        <sz val="10"/>
        <rFont val="DejaVu Sans"/>
        <family val="2"/>
        <charset val="1"/>
      </rPr>
      <t xml:space="preserve">Gap</t>
    </r>
  </si>
  <si>
    <r>
      <rPr>
        <sz val="10"/>
        <rFont val="DejaVu Sans"/>
        <family val="2"/>
      </rPr>
      <t xml:space="preserve">최종판매가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) - </t>
    </r>
    <r>
      <rPr>
        <sz val="10"/>
        <rFont val="DejaVu Sans"/>
        <family val="2"/>
      </rPr>
      <t xml:space="preserve">최종판매가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무기명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</si>
  <si>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양수</t>
    </r>
    <r>
      <rPr>
        <sz val="10"/>
        <rFont val="DejaVu Sans"/>
        <family val="2"/>
        <charset val="1"/>
      </rPr>
      <t xml:space="preserve">=</t>
    </r>
    <r>
      <rPr>
        <sz val="10"/>
        <rFont val="DejaVu Sans"/>
        <family val="2"/>
      </rPr>
      <t xml:space="preserve">기명이 비쌈</t>
    </r>
  </si>
  <si>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-FIT Gap</t>
    </r>
  </si>
  <si>
    <r>
      <rPr>
        <sz val="10"/>
        <rFont val="DejaVu Sans"/>
        <family val="2"/>
      </rPr>
      <t xml:space="preserve">최종판매가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기명</t>
    </r>
    <r>
      <rPr>
        <sz val="10"/>
        <rFont val="DejaVu Sans"/>
        <family val="2"/>
        <charset val="1"/>
      </rPr>
      <t xml:space="preserve">) - </t>
    </r>
    <r>
      <rPr>
        <sz val="10"/>
        <rFont val="DejaVu Sans"/>
        <family val="2"/>
      </rPr>
      <t xml:space="preserve">최종판매가</t>
    </r>
    <r>
      <rPr>
        <sz val="10"/>
        <rFont val="DejaVu Sans"/>
        <family val="2"/>
        <charset val="1"/>
      </rPr>
      <t xml:space="preserve">(FIT)</t>
    </r>
  </si>
  <si>
    <t xml:space="preserve">객실타입 설계 근거</t>
  </si>
  <si>
    <r>
      <rPr>
        <sz val="10"/>
        <rFont val="DejaVu Sans"/>
        <family val="2"/>
      </rPr>
      <t xml:space="preserve">기본 객실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모든 사업장 공통</t>
    </r>
  </si>
  <si>
    <t xml:space="preserve">필수 시트</t>
  </si>
  <si>
    <r>
      <rPr>
        <sz val="10"/>
        <rFont val="DejaVu Sans"/>
        <family val="2"/>
      </rPr>
      <t xml:space="preserve">업그레이드 객실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대부분 사업장 보유</t>
    </r>
  </si>
  <si>
    <t xml:space="preserve">없으면 삭제</t>
  </si>
  <si>
    <r>
      <rPr>
        <sz val="10"/>
        <rFont val="DejaVu Sans"/>
        <family val="2"/>
      </rPr>
      <t xml:space="preserve">특수 객실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일부 사업장</t>
    </r>
  </si>
  <si>
    <r>
      <rPr>
        <sz val="10"/>
        <rFont val="DejaVu Sans"/>
        <family val="2"/>
      </rPr>
      <t xml:space="preserve">가족형 객실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비발디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캄 등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</si>
  <si>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연결형 객실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단체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가족</t>
    </r>
    <r>
      <rPr>
        <sz val="10"/>
        <rFont val="DejaVu Sans"/>
        <family val="2"/>
        <charset val="1"/>
      </rPr>
      <t xml:space="preserve">)</t>
    </r>
  </si>
  <si>
    <t xml:space="preserve">업로드 순서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</si>
  <si>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단계</t>
    </r>
  </si>
  <si>
    <t xml:space="preserve">각 객실타입 시트에 노란셀 데이터 입력</t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</si>
  <si>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단계</t>
    </r>
  </si>
  <si>
    <r>
      <rPr>
        <sz val="10"/>
        <rFont val="맑은 고딕"/>
        <family val="0"/>
        <charset val="1"/>
      </rPr>
      <t xml:space="preserve">gs-proposal.html → Step 2 → </t>
    </r>
    <r>
      <rPr>
        <sz val="10"/>
        <rFont val="DejaVu Sans"/>
        <family val="2"/>
      </rPr>
      <t xml:space="preserve">요금표 업로드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</si>
  <si>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단계</t>
    </r>
  </si>
  <si>
    <r>
      <rPr>
        <sz val="10"/>
        <rFont val="DejaVu Sans"/>
        <family val="2"/>
      </rPr>
      <t xml:space="preserve">자동 파싱 → 객실타입별 시각화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품의 반영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</si>
</sst>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mm\-dd"/>
    <numFmt numFmtId="167" formatCode="0.0%"/>
    <numFmt numFmtId="168" formatCode="#,##0;\(#,##0\);\-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DejaVu Sans"/>
      <family val="2"/>
    </font>
    <font>
      <b val="true"/>
      <sz val="14"/>
      <color rgb="FF2F5496"/>
      <name val="DejaVu Sans"/>
      <family val="2"/>
      <charset val="1"/>
    </font>
    <font>
      <i val="true"/>
      <sz val="9"/>
      <color rgb="FF808080"/>
      <name val="DejaVu Sans"/>
      <family val="2"/>
    </font>
    <font>
      <i val="true"/>
      <sz val="9"/>
      <color rgb="FF808080"/>
      <name val="DejaVu Sans"/>
      <family val="2"/>
      <charset val="1"/>
    </font>
    <font>
      <b val="true"/>
      <sz val="10"/>
      <name val="DejaVu Sans"/>
      <family val="2"/>
    </font>
    <font>
      <sz val="10"/>
      <color rgb="FF0000FF"/>
      <name val="맑은 고딕"/>
      <family val="0"/>
      <charset val="1"/>
    </font>
    <font>
      <sz val="10"/>
      <color rgb="FF0000FF"/>
      <name val="DejaVu Sans"/>
      <family val="2"/>
    </font>
    <font>
      <b val="true"/>
      <sz val="10"/>
      <color rgb="FF2F5496"/>
      <name val="DejaVu Sans"/>
      <family val="2"/>
    </font>
    <font>
      <b val="true"/>
      <sz val="10"/>
      <color rgb="FFFFFFFF"/>
      <name val="DejaVu Sans"/>
      <family val="2"/>
    </font>
    <font>
      <sz val="10"/>
      <name val="맑은 고딕"/>
      <family val="0"/>
      <charset val="1"/>
    </font>
    <font>
      <sz val="10"/>
      <color rgb="FF333333"/>
      <name val="DejaVu Sans"/>
      <family val="2"/>
    </font>
    <font>
      <sz val="10"/>
      <color rgb="FF333333"/>
      <name val="DejaVu Sans"/>
      <family val="2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DejaVu Sans"/>
      <family val="2"/>
      <charset val="1"/>
    </font>
    <font>
      <sz val="10"/>
      <color rgb="FF333333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C00000"/>
      <name val="DejaVu Sans"/>
      <family val="2"/>
    </font>
    <font>
      <b val="true"/>
      <sz val="14"/>
      <color rgb="FF548235"/>
      <name val="DejaVu Sans"/>
      <family val="2"/>
    </font>
    <font>
      <b val="true"/>
      <sz val="14"/>
      <color rgb="FF548235"/>
      <name val="DejaVu Sans"/>
      <family val="2"/>
      <charset val="1"/>
    </font>
    <font>
      <b val="true"/>
      <sz val="10"/>
      <color rgb="FF548235"/>
      <name val="DejaVu Sans"/>
      <family val="2"/>
    </font>
    <font>
      <b val="true"/>
      <sz val="14"/>
      <color rgb="FFBF8F00"/>
      <name val="DejaVu Sans"/>
      <family val="2"/>
    </font>
    <font>
      <b val="true"/>
      <sz val="14"/>
      <color rgb="FFBF8F00"/>
      <name val="DejaVu Sans"/>
      <family val="2"/>
      <charset val="1"/>
    </font>
    <font>
      <b val="true"/>
      <sz val="10"/>
      <color rgb="FFBF8F00"/>
      <name val="DejaVu Sans"/>
      <family val="2"/>
    </font>
    <font>
      <b val="true"/>
      <sz val="14"/>
      <color rgb="FF7030A0"/>
      <name val="DejaVu Sans"/>
      <family val="2"/>
    </font>
    <font>
      <b val="true"/>
      <sz val="14"/>
      <color rgb="FF7030A0"/>
      <name val="DejaVu Sans"/>
      <family val="2"/>
      <charset val="1"/>
    </font>
    <font>
      <b val="true"/>
      <sz val="10"/>
      <color rgb="FF7030A0"/>
      <name val="DejaVu Sans"/>
      <family val="2"/>
    </font>
    <font>
      <b val="true"/>
      <sz val="14"/>
      <color rgb="FFC00000"/>
      <name val="DejaVu Sans"/>
      <family val="2"/>
    </font>
    <font>
      <b val="true"/>
      <sz val="14"/>
      <color rgb="FFC00000"/>
      <name val="DejaVu Sans"/>
      <family val="2"/>
      <charset val="1"/>
    </font>
    <font>
      <sz val="10"/>
      <name val="DejaVu Sans"/>
      <family val="2"/>
    </font>
    <font>
      <sz val="10"/>
      <name val="DejaVu Sans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4472C4"/>
        <bgColor rgb="FF2F5496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2F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U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"/>
    <col collapsed="false" customWidth="true" hidden="false" outlineLevel="0" max="8" min="3" style="1" width="10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6" min="14" style="1" width="11"/>
    <col collapsed="false" customWidth="true" hidden="false" outlineLevel="0" max="19" min="17" style="1" width="8"/>
    <col collapsed="false" customWidth="true" hidden="false" outlineLevel="0" max="21" min="20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1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5</v>
      </c>
      <c r="F4" s="1" t="s">
        <v>6</v>
      </c>
      <c r="G4" s="5" t="s">
        <v>7</v>
      </c>
      <c r="I4" s="4" t="s">
        <v>8</v>
      </c>
      <c r="J4" s="5" t="s">
        <v>9</v>
      </c>
      <c r="L4" s="4" t="s">
        <v>10</v>
      </c>
      <c r="M4" s="6" t="s">
        <v>11</v>
      </c>
    </row>
    <row r="6" customFormat="false" ht="15" hidden="false" customHeight="true" outlineLevel="0" collapsed="false">
      <c r="A6" s="7" t="s">
        <v>12</v>
      </c>
      <c r="B6" s="7"/>
      <c r="C6" s="8" t="s">
        <v>13</v>
      </c>
      <c r="D6" s="8" t="s">
        <v>14</v>
      </c>
      <c r="E6" s="8" t="s">
        <v>15</v>
      </c>
      <c r="F6" s="9" t="s">
        <v>16</v>
      </c>
      <c r="G6" s="10"/>
      <c r="H6" s="10"/>
      <c r="I6" s="10"/>
      <c r="J6" s="10"/>
    </row>
    <row r="7" customFormat="false" ht="15" hidden="false" customHeight="true" outlineLevel="0" collapsed="false">
      <c r="A7" s="11" t="s">
        <v>17</v>
      </c>
      <c r="B7" s="11"/>
      <c r="C7" s="12" t="n">
        <v>35000</v>
      </c>
      <c r="D7" s="12" t="n">
        <v>28000</v>
      </c>
      <c r="E7" s="12"/>
      <c r="F7" s="13" t="n">
        <f aca="false">SUM(C7:E7)</f>
        <v>63000</v>
      </c>
      <c r="G7" s="14"/>
      <c r="H7" s="14"/>
      <c r="I7" s="14"/>
      <c r="J7" s="14"/>
    </row>
    <row r="8" customFormat="false" ht="18" hidden="false" customHeight="true" outlineLevel="0" collapsed="false">
      <c r="A8" s="15" t="s">
        <v>18</v>
      </c>
      <c r="B8" s="15"/>
      <c r="C8" s="8" t="s">
        <v>19</v>
      </c>
      <c r="D8" s="8"/>
      <c r="E8" s="8"/>
      <c r="F8" s="16" t="s">
        <v>20</v>
      </c>
      <c r="G8" s="16"/>
      <c r="H8" s="16"/>
      <c r="I8" s="17" t="s">
        <v>21</v>
      </c>
      <c r="J8" s="18" t="s">
        <v>22</v>
      </c>
      <c r="K8" s="18"/>
      <c r="L8" s="18"/>
      <c r="M8" s="19" t="s">
        <v>23</v>
      </c>
      <c r="N8" s="9" t="s">
        <v>24</v>
      </c>
      <c r="O8" s="9"/>
      <c r="P8" s="9"/>
      <c r="Q8" s="20" t="s">
        <v>25</v>
      </c>
      <c r="R8" s="20"/>
      <c r="S8" s="20"/>
      <c r="T8" s="21" t="s">
        <v>26</v>
      </c>
      <c r="U8" s="21"/>
    </row>
    <row r="9" customFormat="false" ht="36" hidden="false" customHeight="true" outlineLevel="0" collapsed="false">
      <c r="A9" s="15" t="s">
        <v>27</v>
      </c>
      <c r="B9" s="15" t="s">
        <v>28</v>
      </c>
      <c r="C9" s="8" t="s">
        <v>29</v>
      </c>
      <c r="D9" s="8" t="s">
        <v>30</v>
      </c>
      <c r="E9" s="22" t="s">
        <v>31</v>
      </c>
      <c r="F9" s="16" t="s">
        <v>29</v>
      </c>
      <c r="G9" s="16" t="s">
        <v>30</v>
      </c>
      <c r="H9" s="23" t="s">
        <v>31</v>
      </c>
      <c r="I9" s="24" t="s">
        <v>32</v>
      </c>
      <c r="J9" s="18" t="s">
        <v>29</v>
      </c>
      <c r="K9" s="18" t="s">
        <v>30</v>
      </c>
      <c r="L9" s="25" t="s">
        <v>31</v>
      </c>
      <c r="M9" s="19" t="s">
        <v>33</v>
      </c>
      <c r="N9" s="9" t="s">
        <v>29</v>
      </c>
      <c r="O9" s="9" t="s">
        <v>30</v>
      </c>
      <c r="P9" s="26" t="s">
        <v>31</v>
      </c>
      <c r="Q9" s="20" t="s">
        <v>29</v>
      </c>
      <c r="R9" s="20" t="s">
        <v>30</v>
      </c>
      <c r="S9" s="21" t="s">
        <v>31</v>
      </c>
      <c r="T9" s="20" t="s">
        <v>34</v>
      </c>
      <c r="U9" s="20" t="s">
        <v>35</v>
      </c>
    </row>
    <row r="10" customFormat="false" ht="15" hidden="false" customHeight="true" outlineLevel="0" collapsed="false">
      <c r="A10" s="27" t="n">
        <v>46204</v>
      </c>
      <c r="B10" s="28" t="s">
        <v>36</v>
      </c>
      <c r="C10" s="12" t="n">
        <v>180000</v>
      </c>
      <c r="D10" s="12" t="n">
        <v>170000</v>
      </c>
      <c r="E10" s="12" t="n">
        <v>200000</v>
      </c>
      <c r="F10" s="12" t="n">
        <v>160000</v>
      </c>
      <c r="G10" s="12" t="n">
        <v>150000</v>
      </c>
      <c r="H10" s="12" t="n">
        <v>180000</v>
      </c>
      <c r="I10" s="29" t="n">
        <v>0.1</v>
      </c>
      <c r="J10" s="30" t="n">
        <f aca="false">IF(I10="","",ROUND(F10*(1-I10),0))</f>
        <v>144000</v>
      </c>
      <c r="K10" s="30" t="n">
        <f aca="false">IF(I10="","",ROUND(G10*(1-I10),0))</f>
        <v>135000</v>
      </c>
      <c r="L10" s="30" t="n">
        <f aca="false">IF(I10="","",ROUND(H10*(1-I10),0))</f>
        <v>162000</v>
      </c>
      <c r="M10" s="30" t="n">
        <f aca="false">$F$7</f>
        <v>63000</v>
      </c>
      <c r="N10" s="13" t="n">
        <f aca="false">IF(J10="","",J10+M10)</f>
        <v>207000</v>
      </c>
      <c r="O10" s="13" t="n">
        <f aca="false">IF(K10="","",K10+M10)</f>
        <v>198000</v>
      </c>
      <c r="P10" s="13" t="n">
        <f aca="false">IF(L10="","",L10+M10)</f>
        <v>225000</v>
      </c>
      <c r="Q10" s="31" t="n">
        <f aca="false">IF(OR(C10="",C10=0,N10=""),"",1-N10/C10)</f>
        <v>-0.15</v>
      </c>
      <c r="R10" s="31" t="n">
        <f aca="false">IF(OR(D10="",D10=0,O10=""),"",1-O10/D10)</f>
        <v>-0.164705882352941</v>
      </c>
      <c r="S10" s="31" t="n">
        <f aca="false">IF(OR(E10="",E10=0,P10=""),"",1-P10/E10)</f>
        <v>-0.125</v>
      </c>
      <c r="T10" s="32" t="n">
        <f aca="false">IF(OR(N10="",O10=""),"",N10-O10)</f>
        <v>9000</v>
      </c>
      <c r="U10" s="32" t="n">
        <f aca="false">IF(OR(N10="",P10=""),"",N10-P10)</f>
        <v>-18000</v>
      </c>
    </row>
    <row r="11" customFormat="false" ht="15" hidden="false" customHeight="true" outlineLevel="0" collapsed="false">
      <c r="A11" s="27" t="n">
        <v>46205</v>
      </c>
      <c r="B11" s="28" t="s">
        <v>37</v>
      </c>
      <c r="C11" s="12" t="n">
        <v>180000</v>
      </c>
      <c r="D11" s="12" t="n">
        <v>170000</v>
      </c>
      <c r="E11" s="12" t="n">
        <v>200000</v>
      </c>
      <c r="F11" s="12" t="n">
        <v>160000</v>
      </c>
      <c r="G11" s="12" t="n">
        <v>150000</v>
      </c>
      <c r="H11" s="12" t="n">
        <v>180000</v>
      </c>
      <c r="I11" s="29" t="n">
        <v>0.1</v>
      </c>
      <c r="J11" s="30" t="n">
        <f aca="false">IF(I11="","",ROUND(F11*(1-I11),0))</f>
        <v>144000</v>
      </c>
      <c r="K11" s="30" t="n">
        <f aca="false">IF(I11="","",ROUND(G11*(1-I11),0))</f>
        <v>135000</v>
      </c>
      <c r="L11" s="30" t="n">
        <f aca="false">IF(I11="","",ROUND(H11*(1-I11),0))</f>
        <v>162000</v>
      </c>
      <c r="M11" s="30" t="n">
        <f aca="false">$F$7</f>
        <v>63000</v>
      </c>
      <c r="N11" s="13" t="n">
        <f aca="false">IF(J11="","",J11+M11)</f>
        <v>207000</v>
      </c>
      <c r="O11" s="13" t="n">
        <f aca="false">IF(K11="","",K11+M11)</f>
        <v>198000</v>
      </c>
      <c r="P11" s="13" t="n">
        <f aca="false">IF(L11="","",L11+M11)</f>
        <v>225000</v>
      </c>
      <c r="Q11" s="31" t="n">
        <f aca="false">IF(OR(C11="",C11=0,N11=""),"",1-N11/C11)</f>
        <v>-0.15</v>
      </c>
      <c r="R11" s="31" t="n">
        <f aca="false">IF(OR(D11="",D11=0,O11=""),"",1-O11/D11)</f>
        <v>-0.164705882352941</v>
      </c>
      <c r="S11" s="31" t="n">
        <f aca="false">IF(OR(E11="",E11=0,P11=""),"",1-P11/E11)</f>
        <v>-0.125</v>
      </c>
      <c r="T11" s="32" t="n">
        <f aca="false">IF(OR(N11="",O11=""),"",N11-O11)</f>
        <v>9000</v>
      </c>
      <c r="U11" s="32" t="n">
        <f aca="false">IF(OR(N11="",P11=""),"",N11-P11)</f>
        <v>-18000</v>
      </c>
    </row>
    <row r="12" customFormat="false" ht="15" hidden="false" customHeight="true" outlineLevel="0" collapsed="false">
      <c r="A12" s="27" t="n">
        <v>46206</v>
      </c>
      <c r="B12" s="28" t="s">
        <v>38</v>
      </c>
      <c r="C12" s="12" t="n">
        <v>220000</v>
      </c>
      <c r="D12" s="12" t="n">
        <v>210000</v>
      </c>
      <c r="E12" s="12" t="n">
        <v>250000</v>
      </c>
      <c r="F12" s="12" t="n">
        <v>200000</v>
      </c>
      <c r="G12" s="12" t="n">
        <v>190000</v>
      </c>
      <c r="H12" s="12" t="n">
        <v>230000</v>
      </c>
      <c r="I12" s="29" t="n">
        <v>0.15</v>
      </c>
      <c r="J12" s="30" t="n">
        <f aca="false">IF(I12="","",ROUND(F12*(1-I12),0))</f>
        <v>170000</v>
      </c>
      <c r="K12" s="30" t="n">
        <f aca="false">IF(I12="","",ROUND(G12*(1-I12),0))</f>
        <v>161500</v>
      </c>
      <c r="L12" s="30" t="n">
        <f aca="false">IF(I12="","",ROUND(H12*(1-I12),0))</f>
        <v>195500</v>
      </c>
      <c r="M12" s="30" t="n">
        <f aca="false">$F$7</f>
        <v>63000</v>
      </c>
      <c r="N12" s="13" t="n">
        <f aca="false">IF(J12="","",J12+M12)</f>
        <v>233000</v>
      </c>
      <c r="O12" s="13" t="n">
        <f aca="false">IF(K12="","",K12+M12)</f>
        <v>224500</v>
      </c>
      <c r="P12" s="13" t="n">
        <f aca="false">IF(L12="","",L12+M12)</f>
        <v>258500</v>
      </c>
      <c r="Q12" s="31" t="n">
        <f aca="false">IF(OR(C12="",C12=0,N12=""),"",1-N12/C12)</f>
        <v>-0.0590909090909091</v>
      </c>
      <c r="R12" s="31" t="n">
        <f aca="false">IF(OR(D12="",D12=0,O12=""),"",1-O12/D12)</f>
        <v>-0.069047619047619</v>
      </c>
      <c r="S12" s="31" t="n">
        <f aca="false">IF(OR(E12="",E12=0,P12=""),"",1-P12/E12)</f>
        <v>-0.034</v>
      </c>
      <c r="T12" s="32" t="n">
        <f aca="false">IF(OR(N12="",O12=""),"",N12-O12)</f>
        <v>8500</v>
      </c>
      <c r="U12" s="32" t="n">
        <f aca="false">IF(OR(N12="",P12=""),"",N12-P12)</f>
        <v>-25500</v>
      </c>
    </row>
    <row r="13" customFormat="false" ht="15" hidden="false" customHeight="true" outlineLevel="0" collapsed="false">
      <c r="A13" s="27" t="n">
        <v>46207</v>
      </c>
      <c r="B13" s="33" t="s">
        <v>39</v>
      </c>
      <c r="C13" s="12"/>
      <c r="D13" s="12"/>
      <c r="E13" s="12"/>
      <c r="F13" s="12"/>
      <c r="G13" s="12"/>
      <c r="H13" s="12"/>
      <c r="I13" s="29"/>
      <c r="J13" s="30" t="str">
        <f aca="false">IF(I13="","",ROUND(F13*(1-I13),0))</f>
        <v/>
      </c>
      <c r="K13" s="30" t="str">
        <f aca="false">IF(I13="","",ROUND(G13*(1-I13),0))</f>
        <v/>
      </c>
      <c r="L13" s="30" t="str">
        <f aca="false">IF(I13="","",ROUND(H13*(1-I13),0))</f>
        <v/>
      </c>
      <c r="M13" s="30" t="n">
        <f aca="false">$F$7</f>
        <v>63000</v>
      </c>
      <c r="N13" s="13" t="str">
        <f aca="false">IF(J13="","",J13+M13)</f>
        <v/>
      </c>
      <c r="O13" s="13" t="str">
        <f aca="false">IF(K13="","",K13+M13)</f>
        <v/>
      </c>
      <c r="P13" s="13" t="str">
        <f aca="false">IF(L13="","",L13+M13)</f>
        <v/>
      </c>
      <c r="Q13" s="31" t="str">
        <f aca="false">IF(OR(C13="",C13=0,N13=""),"",1-N13/C13)</f>
        <v/>
      </c>
      <c r="R13" s="31" t="str">
        <f aca="false">IF(OR(D13="",D13=0,O13=""),"",1-O13/D13)</f>
        <v/>
      </c>
      <c r="S13" s="31" t="str">
        <f aca="false">IF(OR(E13="",E13=0,P13=""),"",1-P13/E13)</f>
        <v/>
      </c>
      <c r="T13" s="32" t="str">
        <f aca="false">IF(OR(N13="",O13=""),"",N13-O13)</f>
        <v/>
      </c>
      <c r="U13" s="32" t="str">
        <f aca="false">IF(OR(N13="",P13=""),"",N13-P13)</f>
        <v/>
      </c>
    </row>
    <row r="14" customFormat="false" ht="15" hidden="false" customHeight="true" outlineLevel="0" collapsed="false">
      <c r="A14" s="27" t="n">
        <v>46208</v>
      </c>
      <c r="B14" s="33" t="s">
        <v>40</v>
      </c>
      <c r="C14" s="12"/>
      <c r="D14" s="12"/>
      <c r="E14" s="12"/>
      <c r="F14" s="12"/>
      <c r="G14" s="12"/>
      <c r="H14" s="12"/>
      <c r="I14" s="29"/>
      <c r="J14" s="30" t="str">
        <f aca="false">IF(I14="","",ROUND(F14*(1-I14),0))</f>
        <v/>
      </c>
      <c r="K14" s="30" t="str">
        <f aca="false">IF(I14="","",ROUND(G14*(1-I14),0))</f>
        <v/>
      </c>
      <c r="L14" s="30" t="str">
        <f aca="false">IF(I14="","",ROUND(H14*(1-I14),0))</f>
        <v/>
      </c>
      <c r="M14" s="30" t="n">
        <f aca="false">$F$7</f>
        <v>63000</v>
      </c>
      <c r="N14" s="13" t="str">
        <f aca="false">IF(J14="","",J14+M14)</f>
        <v/>
      </c>
      <c r="O14" s="13" t="str">
        <f aca="false">IF(K14="","",K14+M14)</f>
        <v/>
      </c>
      <c r="P14" s="13" t="str">
        <f aca="false">IF(L14="","",L14+M14)</f>
        <v/>
      </c>
      <c r="Q14" s="31" t="str">
        <f aca="false">IF(OR(C14="",C14=0,N14=""),"",1-N14/C14)</f>
        <v/>
      </c>
      <c r="R14" s="31" t="str">
        <f aca="false">IF(OR(D14="",D14=0,O14=""),"",1-O14/D14)</f>
        <v/>
      </c>
      <c r="S14" s="31" t="str">
        <f aca="false">IF(OR(E14="",E14=0,P14=""),"",1-P14/E14)</f>
        <v/>
      </c>
      <c r="T14" s="32" t="str">
        <f aca="false">IF(OR(N14="",O14=""),"",N14-O14)</f>
        <v/>
      </c>
      <c r="U14" s="32" t="str">
        <f aca="false">IF(OR(N14="",P14=""),"",N14-P14)</f>
        <v/>
      </c>
    </row>
    <row r="15" customFormat="false" ht="15" hidden="false" customHeight="true" outlineLevel="0" collapsed="false">
      <c r="A15" s="27" t="n">
        <v>46209</v>
      </c>
      <c r="B15" s="28" t="s">
        <v>41</v>
      </c>
      <c r="C15" s="12"/>
      <c r="D15" s="12"/>
      <c r="E15" s="12"/>
      <c r="F15" s="12"/>
      <c r="G15" s="12"/>
      <c r="H15" s="12"/>
      <c r="I15" s="29"/>
      <c r="J15" s="30" t="str">
        <f aca="false">IF(I15="","",ROUND(F15*(1-I15),0))</f>
        <v/>
      </c>
      <c r="K15" s="30" t="str">
        <f aca="false">IF(I15="","",ROUND(G15*(1-I15),0))</f>
        <v/>
      </c>
      <c r="L15" s="30" t="str">
        <f aca="false">IF(I15="","",ROUND(H15*(1-I15),0))</f>
        <v/>
      </c>
      <c r="M15" s="30" t="n">
        <f aca="false">$F$7</f>
        <v>63000</v>
      </c>
      <c r="N15" s="13" t="str">
        <f aca="false">IF(J15="","",J15+M15)</f>
        <v/>
      </c>
      <c r="O15" s="13" t="str">
        <f aca="false">IF(K15="","",K15+M15)</f>
        <v/>
      </c>
      <c r="P15" s="13" t="str">
        <f aca="false">IF(L15="","",L15+M15)</f>
        <v/>
      </c>
      <c r="Q15" s="31" t="str">
        <f aca="false">IF(OR(C15="",C15=0,N15=""),"",1-N15/C15)</f>
        <v/>
      </c>
      <c r="R15" s="31" t="str">
        <f aca="false">IF(OR(D15="",D15=0,O15=""),"",1-O15/D15)</f>
        <v/>
      </c>
      <c r="S15" s="31" t="str">
        <f aca="false">IF(OR(E15="",E15=0,P15=""),"",1-P15/E15)</f>
        <v/>
      </c>
      <c r="T15" s="32" t="str">
        <f aca="false">IF(OR(N15="",O15=""),"",N15-O15)</f>
        <v/>
      </c>
      <c r="U15" s="32" t="str">
        <f aca="false">IF(OR(N15="",P15=""),"",N15-P15)</f>
        <v/>
      </c>
    </row>
    <row r="16" customFormat="false" ht="15" hidden="false" customHeight="true" outlineLevel="0" collapsed="false">
      <c r="A16" s="27" t="n">
        <v>46210</v>
      </c>
      <c r="B16" s="28" t="s">
        <v>42</v>
      </c>
      <c r="C16" s="12"/>
      <c r="D16" s="12"/>
      <c r="E16" s="12"/>
      <c r="F16" s="12"/>
      <c r="G16" s="12"/>
      <c r="H16" s="12"/>
      <c r="I16" s="29"/>
      <c r="J16" s="30" t="str">
        <f aca="false">IF(I16="","",ROUND(F16*(1-I16),0))</f>
        <v/>
      </c>
      <c r="K16" s="30" t="str">
        <f aca="false">IF(I16="","",ROUND(G16*(1-I16),0))</f>
        <v/>
      </c>
      <c r="L16" s="30" t="str">
        <f aca="false">IF(I16="","",ROUND(H16*(1-I16),0))</f>
        <v/>
      </c>
      <c r="M16" s="30" t="n">
        <f aca="false">$F$7</f>
        <v>63000</v>
      </c>
      <c r="N16" s="13" t="str">
        <f aca="false">IF(J16="","",J16+M16)</f>
        <v/>
      </c>
      <c r="O16" s="13" t="str">
        <f aca="false">IF(K16="","",K16+M16)</f>
        <v/>
      </c>
      <c r="P16" s="13" t="str">
        <f aca="false">IF(L16="","",L16+M16)</f>
        <v/>
      </c>
      <c r="Q16" s="31" t="str">
        <f aca="false">IF(OR(C16="",C16=0,N16=""),"",1-N16/C16)</f>
        <v/>
      </c>
      <c r="R16" s="31" t="str">
        <f aca="false">IF(OR(D16="",D16=0,O16=""),"",1-O16/D16)</f>
        <v/>
      </c>
      <c r="S16" s="31" t="str">
        <f aca="false">IF(OR(E16="",E16=0,P16=""),"",1-P16/E16)</f>
        <v/>
      </c>
      <c r="T16" s="32" t="str">
        <f aca="false">IF(OR(N16="",O16=""),"",N16-O16)</f>
        <v/>
      </c>
      <c r="U16" s="32" t="str">
        <f aca="false">IF(OR(N16="",P16=""),"",N16-P16)</f>
        <v/>
      </c>
    </row>
    <row r="17" customFormat="false" ht="15" hidden="false" customHeight="true" outlineLevel="0" collapsed="false">
      <c r="A17" s="27" t="n">
        <v>46211</v>
      </c>
      <c r="B17" s="28" t="s">
        <v>36</v>
      </c>
      <c r="C17" s="12"/>
      <c r="D17" s="12"/>
      <c r="E17" s="12"/>
      <c r="F17" s="12"/>
      <c r="G17" s="12"/>
      <c r="H17" s="12"/>
      <c r="I17" s="29"/>
      <c r="J17" s="30" t="str">
        <f aca="false">IF(I17="","",ROUND(F17*(1-I17),0))</f>
        <v/>
      </c>
      <c r="K17" s="30" t="str">
        <f aca="false">IF(I17="","",ROUND(G17*(1-I17),0))</f>
        <v/>
      </c>
      <c r="L17" s="30" t="str">
        <f aca="false">IF(I17="","",ROUND(H17*(1-I17),0))</f>
        <v/>
      </c>
      <c r="M17" s="30" t="n">
        <f aca="false">$F$7</f>
        <v>63000</v>
      </c>
      <c r="N17" s="13" t="str">
        <f aca="false">IF(J17="","",J17+M17)</f>
        <v/>
      </c>
      <c r="O17" s="13" t="str">
        <f aca="false">IF(K17="","",K17+M17)</f>
        <v/>
      </c>
      <c r="P17" s="13" t="str">
        <f aca="false">IF(L17="","",L17+M17)</f>
        <v/>
      </c>
      <c r="Q17" s="31" t="str">
        <f aca="false">IF(OR(C17="",C17=0,N17=""),"",1-N17/C17)</f>
        <v/>
      </c>
      <c r="R17" s="31" t="str">
        <f aca="false">IF(OR(D17="",D17=0,O17=""),"",1-O17/D17)</f>
        <v/>
      </c>
      <c r="S17" s="31" t="str">
        <f aca="false">IF(OR(E17="",E17=0,P17=""),"",1-P17/E17)</f>
        <v/>
      </c>
      <c r="T17" s="32" t="str">
        <f aca="false">IF(OR(N17="",O17=""),"",N17-O17)</f>
        <v/>
      </c>
      <c r="U17" s="32" t="str">
        <f aca="false">IF(OR(N17="",P17=""),"",N17-P17)</f>
        <v/>
      </c>
    </row>
    <row r="18" customFormat="false" ht="15" hidden="false" customHeight="true" outlineLevel="0" collapsed="false">
      <c r="A18" s="27" t="n">
        <v>46212</v>
      </c>
      <c r="B18" s="28" t="s">
        <v>37</v>
      </c>
      <c r="C18" s="12"/>
      <c r="D18" s="12"/>
      <c r="E18" s="12"/>
      <c r="F18" s="12"/>
      <c r="G18" s="12"/>
      <c r="H18" s="12"/>
      <c r="I18" s="29"/>
      <c r="J18" s="30" t="str">
        <f aca="false">IF(I18="","",ROUND(F18*(1-I18),0))</f>
        <v/>
      </c>
      <c r="K18" s="30" t="str">
        <f aca="false">IF(I18="","",ROUND(G18*(1-I18),0))</f>
        <v/>
      </c>
      <c r="L18" s="30" t="str">
        <f aca="false">IF(I18="","",ROUND(H18*(1-I18),0))</f>
        <v/>
      </c>
      <c r="M18" s="30" t="n">
        <f aca="false">$F$7</f>
        <v>63000</v>
      </c>
      <c r="N18" s="13" t="str">
        <f aca="false">IF(J18="","",J18+M18)</f>
        <v/>
      </c>
      <c r="O18" s="13" t="str">
        <f aca="false">IF(K18="","",K18+M18)</f>
        <v/>
      </c>
      <c r="P18" s="13" t="str">
        <f aca="false">IF(L18="","",L18+M18)</f>
        <v/>
      </c>
      <c r="Q18" s="31" t="str">
        <f aca="false">IF(OR(C18="",C18=0,N18=""),"",1-N18/C18)</f>
        <v/>
      </c>
      <c r="R18" s="31" t="str">
        <f aca="false">IF(OR(D18="",D18=0,O18=""),"",1-O18/D18)</f>
        <v/>
      </c>
      <c r="S18" s="31" t="str">
        <f aca="false">IF(OR(E18="",E18=0,P18=""),"",1-P18/E18)</f>
        <v/>
      </c>
      <c r="T18" s="32" t="str">
        <f aca="false">IF(OR(N18="",O18=""),"",N18-O18)</f>
        <v/>
      </c>
      <c r="U18" s="32" t="str">
        <f aca="false">IF(OR(N18="",P18=""),"",N18-P18)</f>
        <v/>
      </c>
    </row>
    <row r="19" customFormat="false" ht="15" hidden="false" customHeight="true" outlineLevel="0" collapsed="false">
      <c r="A19" s="27" t="n">
        <v>46213</v>
      </c>
      <c r="B19" s="28" t="s">
        <v>38</v>
      </c>
      <c r="C19" s="12"/>
      <c r="D19" s="12"/>
      <c r="E19" s="12"/>
      <c r="F19" s="12"/>
      <c r="G19" s="12"/>
      <c r="H19" s="12"/>
      <c r="I19" s="29"/>
      <c r="J19" s="30" t="str">
        <f aca="false">IF(I19="","",ROUND(F19*(1-I19),0))</f>
        <v/>
      </c>
      <c r="K19" s="30" t="str">
        <f aca="false">IF(I19="","",ROUND(G19*(1-I19),0))</f>
        <v/>
      </c>
      <c r="L19" s="30" t="str">
        <f aca="false">IF(I19="","",ROUND(H19*(1-I19),0))</f>
        <v/>
      </c>
      <c r="M19" s="30" t="n">
        <f aca="false">$F$7</f>
        <v>63000</v>
      </c>
      <c r="N19" s="13" t="str">
        <f aca="false">IF(J19="","",J19+M19)</f>
        <v/>
      </c>
      <c r="O19" s="13" t="str">
        <f aca="false">IF(K19="","",K19+M19)</f>
        <v/>
      </c>
      <c r="P19" s="13" t="str">
        <f aca="false">IF(L19="","",L19+M19)</f>
        <v/>
      </c>
      <c r="Q19" s="31" t="str">
        <f aca="false">IF(OR(C19="",C19=0,N19=""),"",1-N19/C19)</f>
        <v/>
      </c>
      <c r="R19" s="31" t="str">
        <f aca="false">IF(OR(D19="",D19=0,O19=""),"",1-O19/D19)</f>
        <v/>
      </c>
      <c r="S19" s="31" t="str">
        <f aca="false">IF(OR(E19="",E19=0,P19=""),"",1-P19/E19)</f>
        <v/>
      </c>
      <c r="T19" s="32" t="str">
        <f aca="false">IF(OR(N19="",O19=""),"",N19-O19)</f>
        <v/>
      </c>
      <c r="U19" s="32" t="str">
        <f aca="false">IF(OR(N19="",P19=""),"",N19-P19)</f>
        <v/>
      </c>
    </row>
    <row r="20" customFormat="false" ht="15" hidden="false" customHeight="true" outlineLevel="0" collapsed="false">
      <c r="A20" s="27" t="n">
        <v>46214</v>
      </c>
      <c r="B20" s="33" t="s">
        <v>39</v>
      </c>
      <c r="C20" s="12"/>
      <c r="D20" s="12"/>
      <c r="E20" s="12"/>
      <c r="F20" s="12"/>
      <c r="G20" s="12"/>
      <c r="H20" s="12"/>
      <c r="I20" s="29"/>
      <c r="J20" s="30" t="str">
        <f aca="false">IF(I20="","",ROUND(F20*(1-I20),0))</f>
        <v/>
      </c>
      <c r="K20" s="30" t="str">
        <f aca="false">IF(I20="","",ROUND(G20*(1-I20),0))</f>
        <v/>
      </c>
      <c r="L20" s="30" t="str">
        <f aca="false">IF(I20="","",ROUND(H20*(1-I20),0))</f>
        <v/>
      </c>
      <c r="M20" s="30" t="n">
        <f aca="false">$F$7</f>
        <v>63000</v>
      </c>
      <c r="N20" s="13" t="str">
        <f aca="false">IF(J20="","",J20+M20)</f>
        <v/>
      </c>
      <c r="O20" s="13" t="str">
        <f aca="false">IF(K20="","",K20+M20)</f>
        <v/>
      </c>
      <c r="P20" s="13" t="str">
        <f aca="false">IF(L20="","",L20+M20)</f>
        <v/>
      </c>
      <c r="Q20" s="31" t="str">
        <f aca="false">IF(OR(C20="",C20=0,N20=""),"",1-N20/C20)</f>
        <v/>
      </c>
      <c r="R20" s="31" t="str">
        <f aca="false">IF(OR(D20="",D20=0,O20=""),"",1-O20/D20)</f>
        <v/>
      </c>
      <c r="S20" s="31" t="str">
        <f aca="false">IF(OR(E20="",E20=0,P20=""),"",1-P20/E20)</f>
        <v/>
      </c>
      <c r="T20" s="32" t="str">
        <f aca="false">IF(OR(N20="",O20=""),"",N20-O20)</f>
        <v/>
      </c>
      <c r="U20" s="32" t="str">
        <f aca="false">IF(OR(N20="",P20=""),"",N20-P20)</f>
        <v/>
      </c>
    </row>
    <row r="21" customFormat="false" ht="15" hidden="false" customHeight="true" outlineLevel="0" collapsed="false">
      <c r="A21" s="27" t="n">
        <v>46215</v>
      </c>
      <c r="B21" s="33" t="s">
        <v>40</v>
      </c>
      <c r="C21" s="12"/>
      <c r="D21" s="12"/>
      <c r="E21" s="12"/>
      <c r="F21" s="12"/>
      <c r="G21" s="12"/>
      <c r="H21" s="12"/>
      <c r="I21" s="29"/>
      <c r="J21" s="30" t="str">
        <f aca="false">IF(I21="","",ROUND(F21*(1-I21),0))</f>
        <v/>
      </c>
      <c r="K21" s="30" t="str">
        <f aca="false">IF(I21="","",ROUND(G21*(1-I21),0))</f>
        <v/>
      </c>
      <c r="L21" s="30" t="str">
        <f aca="false">IF(I21="","",ROUND(H21*(1-I21),0))</f>
        <v/>
      </c>
      <c r="M21" s="30" t="n">
        <f aca="false">$F$7</f>
        <v>63000</v>
      </c>
      <c r="N21" s="13" t="str">
        <f aca="false">IF(J21="","",J21+M21)</f>
        <v/>
      </c>
      <c r="O21" s="13" t="str">
        <f aca="false">IF(K21="","",K21+M21)</f>
        <v/>
      </c>
      <c r="P21" s="13" t="str">
        <f aca="false">IF(L21="","",L21+M21)</f>
        <v/>
      </c>
      <c r="Q21" s="31" t="str">
        <f aca="false">IF(OR(C21="",C21=0,N21=""),"",1-N21/C21)</f>
        <v/>
      </c>
      <c r="R21" s="31" t="str">
        <f aca="false">IF(OR(D21="",D21=0,O21=""),"",1-O21/D21)</f>
        <v/>
      </c>
      <c r="S21" s="31" t="str">
        <f aca="false">IF(OR(E21="",E21=0,P21=""),"",1-P21/E21)</f>
        <v/>
      </c>
      <c r="T21" s="32" t="str">
        <f aca="false">IF(OR(N21="",O21=""),"",N21-O21)</f>
        <v/>
      </c>
      <c r="U21" s="32" t="str">
        <f aca="false">IF(OR(N21="",P21=""),"",N21-P21)</f>
        <v/>
      </c>
    </row>
    <row r="22" customFormat="false" ht="15" hidden="false" customHeight="true" outlineLevel="0" collapsed="false">
      <c r="A22" s="27" t="n">
        <v>46216</v>
      </c>
      <c r="B22" s="28" t="s">
        <v>41</v>
      </c>
      <c r="C22" s="12"/>
      <c r="D22" s="12"/>
      <c r="E22" s="12"/>
      <c r="F22" s="12"/>
      <c r="G22" s="12"/>
      <c r="H22" s="12"/>
      <c r="I22" s="29"/>
      <c r="J22" s="30" t="str">
        <f aca="false">IF(I22="","",ROUND(F22*(1-I22),0))</f>
        <v/>
      </c>
      <c r="K22" s="30" t="str">
        <f aca="false">IF(I22="","",ROUND(G22*(1-I22),0))</f>
        <v/>
      </c>
      <c r="L22" s="30" t="str">
        <f aca="false">IF(I22="","",ROUND(H22*(1-I22),0))</f>
        <v/>
      </c>
      <c r="M22" s="30" t="n">
        <f aca="false">$F$7</f>
        <v>63000</v>
      </c>
      <c r="N22" s="13" t="str">
        <f aca="false">IF(J22="","",J22+M22)</f>
        <v/>
      </c>
      <c r="O22" s="13" t="str">
        <f aca="false">IF(K22="","",K22+M22)</f>
        <v/>
      </c>
      <c r="P22" s="13" t="str">
        <f aca="false">IF(L22="","",L22+M22)</f>
        <v/>
      </c>
      <c r="Q22" s="31" t="str">
        <f aca="false">IF(OR(C22="",C22=0,N22=""),"",1-N22/C22)</f>
        <v/>
      </c>
      <c r="R22" s="31" t="str">
        <f aca="false">IF(OR(D22="",D22=0,O22=""),"",1-O22/D22)</f>
        <v/>
      </c>
      <c r="S22" s="31" t="str">
        <f aca="false">IF(OR(E22="",E22=0,P22=""),"",1-P22/E22)</f>
        <v/>
      </c>
      <c r="T22" s="32" t="str">
        <f aca="false">IF(OR(N22="",O22=""),"",N22-O22)</f>
        <v/>
      </c>
      <c r="U22" s="32" t="str">
        <f aca="false">IF(OR(N22="",P22=""),"",N22-P22)</f>
        <v/>
      </c>
    </row>
    <row r="23" customFormat="false" ht="15" hidden="false" customHeight="true" outlineLevel="0" collapsed="false">
      <c r="A23" s="27" t="n">
        <v>46217</v>
      </c>
      <c r="B23" s="28" t="s">
        <v>42</v>
      </c>
      <c r="C23" s="12"/>
      <c r="D23" s="12"/>
      <c r="E23" s="12"/>
      <c r="F23" s="12"/>
      <c r="G23" s="12"/>
      <c r="H23" s="12"/>
      <c r="I23" s="29"/>
      <c r="J23" s="30" t="str">
        <f aca="false">IF(I23="","",ROUND(F23*(1-I23),0))</f>
        <v/>
      </c>
      <c r="K23" s="30" t="str">
        <f aca="false">IF(I23="","",ROUND(G23*(1-I23),0))</f>
        <v/>
      </c>
      <c r="L23" s="30" t="str">
        <f aca="false">IF(I23="","",ROUND(H23*(1-I23),0))</f>
        <v/>
      </c>
      <c r="M23" s="30" t="n">
        <f aca="false">$F$7</f>
        <v>63000</v>
      </c>
      <c r="N23" s="13" t="str">
        <f aca="false">IF(J23="","",J23+M23)</f>
        <v/>
      </c>
      <c r="O23" s="13" t="str">
        <f aca="false">IF(K23="","",K23+M23)</f>
        <v/>
      </c>
      <c r="P23" s="13" t="str">
        <f aca="false">IF(L23="","",L23+M23)</f>
        <v/>
      </c>
      <c r="Q23" s="31" t="str">
        <f aca="false">IF(OR(C23="",C23=0,N23=""),"",1-N23/C23)</f>
        <v/>
      </c>
      <c r="R23" s="31" t="str">
        <f aca="false">IF(OR(D23="",D23=0,O23=""),"",1-O23/D23)</f>
        <v/>
      </c>
      <c r="S23" s="31" t="str">
        <f aca="false">IF(OR(E23="",E23=0,P23=""),"",1-P23/E23)</f>
        <v/>
      </c>
      <c r="T23" s="32" t="str">
        <f aca="false">IF(OR(N23="",O23=""),"",N23-O23)</f>
        <v/>
      </c>
      <c r="U23" s="32" t="str">
        <f aca="false">IF(OR(N23="",P23=""),"",N23-P23)</f>
        <v/>
      </c>
    </row>
    <row r="24" customFormat="false" ht="15" hidden="false" customHeight="true" outlineLevel="0" collapsed="false">
      <c r="A24" s="27" t="n">
        <v>46218</v>
      </c>
      <c r="B24" s="28" t="s">
        <v>36</v>
      </c>
      <c r="C24" s="12"/>
      <c r="D24" s="12"/>
      <c r="E24" s="12"/>
      <c r="F24" s="12"/>
      <c r="G24" s="12"/>
      <c r="H24" s="12"/>
      <c r="I24" s="29"/>
      <c r="J24" s="30" t="str">
        <f aca="false">IF(I24="","",ROUND(F24*(1-I24),0))</f>
        <v/>
      </c>
      <c r="K24" s="30" t="str">
        <f aca="false">IF(I24="","",ROUND(G24*(1-I24),0))</f>
        <v/>
      </c>
      <c r="L24" s="30" t="str">
        <f aca="false">IF(I24="","",ROUND(H24*(1-I24),0))</f>
        <v/>
      </c>
      <c r="M24" s="30" t="n">
        <f aca="false">$F$7</f>
        <v>63000</v>
      </c>
      <c r="N24" s="13" t="str">
        <f aca="false">IF(J24="","",J24+M24)</f>
        <v/>
      </c>
      <c r="O24" s="13" t="str">
        <f aca="false">IF(K24="","",K24+M24)</f>
        <v/>
      </c>
      <c r="P24" s="13" t="str">
        <f aca="false">IF(L24="","",L24+M24)</f>
        <v/>
      </c>
      <c r="Q24" s="31" t="str">
        <f aca="false">IF(OR(C24="",C24=0,N24=""),"",1-N24/C24)</f>
        <v/>
      </c>
      <c r="R24" s="31" t="str">
        <f aca="false">IF(OR(D24="",D24=0,O24=""),"",1-O24/D24)</f>
        <v/>
      </c>
      <c r="S24" s="31" t="str">
        <f aca="false">IF(OR(E24="",E24=0,P24=""),"",1-P24/E24)</f>
        <v/>
      </c>
      <c r="T24" s="32" t="str">
        <f aca="false">IF(OR(N24="",O24=""),"",N24-O24)</f>
        <v/>
      </c>
      <c r="U24" s="32" t="str">
        <f aca="false">IF(OR(N24="",P24=""),"",N24-P24)</f>
        <v/>
      </c>
    </row>
    <row r="25" customFormat="false" ht="15" hidden="false" customHeight="true" outlineLevel="0" collapsed="false">
      <c r="A25" s="27" t="n">
        <v>46219</v>
      </c>
      <c r="B25" s="28" t="s">
        <v>37</v>
      </c>
      <c r="C25" s="12"/>
      <c r="D25" s="12"/>
      <c r="E25" s="12"/>
      <c r="F25" s="12"/>
      <c r="G25" s="12"/>
      <c r="H25" s="12"/>
      <c r="I25" s="29"/>
      <c r="J25" s="30" t="str">
        <f aca="false">IF(I25="","",ROUND(F25*(1-I25),0))</f>
        <v/>
      </c>
      <c r="K25" s="30" t="str">
        <f aca="false">IF(I25="","",ROUND(G25*(1-I25),0))</f>
        <v/>
      </c>
      <c r="L25" s="30" t="str">
        <f aca="false">IF(I25="","",ROUND(H25*(1-I25),0))</f>
        <v/>
      </c>
      <c r="M25" s="30" t="n">
        <f aca="false">$F$7</f>
        <v>63000</v>
      </c>
      <c r="N25" s="13" t="str">
        <f aca="false">IF(J25="","",J25+M25)</f>
        <v/>
      </c>
      <c r="O25" s="13" t="str">
        <f aca="false">IF(K25="","",K25+M25)</f>
        <v/>
      </c>
      <c r="P25" s="13" t="str">
        <f aca="false">IF(L25="","",L25+M25)</f>
        <v/>
      </c>
      <c r="Q25" s="31" t="str">
        <f aca="false">IF(OR(C25="",C25=0,N25=""),"",1-N25/C25)</f>
        <v/>
      </c>
      <c r="R25" s="31" t="str">
        <f aca="false">IF(OR(D25="",D25=0,O25=""),"",1-O25/D25)</f>
        <v/>
      </c>
      <c r="S25" s="31" t="str">
        <f aca="false">IF(OR(E25="",E25=0,P25=""),"",1-P25/E25)</f>
        <v/>
      </c>
      <c r="T25" s="32" t="str">
        <f aca="false">IF(OR(N25="",O25=""),"",N25-O25)</f>
        <v/>
      </c>
      <c r="U25" s="32" t="str">
        <f aca="false">IF(OR(N25="",P25=""),"",N25-P25)</f>
        <v/>
      </c>
    </row>
    <row r="26" customFormat="false" ht="15" hidden="false" customHeight="true" outlineLevel="0" collapsed="false">
      <c r="A26" s="27" t="n">
        <v>46220</v>
      </c>
      <c r="B26" s="28" t="s">
        <v>38</v>
      </c>
      <c r="C26" s="12"/>
      <c r="D26" s="12"/>
      <c r="E26" s="12"/>
      <c r="F26" s="12"/>
      <c r="G26" s="12"/>
      <c r="H26" s="12"/>
      <c r="I26" s="29"/>
      <c r="J26" s="30" t="str">
        <f aca="false">IF(I26="","",ROUND(F26*(1-I26),0))</f>
        <v/>
      </c>
      <c r="K26" s="30" t="str">
        <f aca="false">IF(I26="","",ROUND(G26*(1-I26),0))</f>
        <v/>
      </c>
      <c r="L26" s="30" t="str">
        <f aca="false">IF(I26="","",ROUND(H26*(1-I26),0))</f>
        <v/>
      </c>
      <c r="M26" s="30" t="n">
        <f aca="false">$F$7</f>
        <v>63000</v>
      </c>
      <c r="N26" s="13" t="str">
        <f aca="false">IF(J26="","",J26+M26)</f>
        <v/>
      </c>
      <c r="O26" s="13" t="str">
        <f aca="false">IF(K26="","",K26+M26)</f>
        <v/>
      </c>
      <c r="P26" s="13" t="str">
        <f aca="false">IF(L26="","",L26+M26)</f>
        <v/>
      </c>
      <c r="Q26" s="31" t="str">
        <f aca="false">IF(OR(C26="",C26=0,N26=""),"",1-N26/C26)</f>
        <v/>
      </c>
      <c r="R26" s="31" t="str">
        <f aca="false">IF(OR(D26="",D26=0,O26=""),"",1-O26/D26)</f>
        <v/>
      </c>
      <c r="S26" s="31" t="str">
        <f aca="false">IF(OR(E26="",E26=0,P26=""),"",1-P26/E26)</f>
        <v/>
      </c>
      <c r="T26" s="32" t="str">
        <f aca="false">IF(OR(N26="",O26=""),"",N26-O26)</f>
        <v/>
      </c>
      <c r="U26" s="32" t="str">
        <f aca="false">IF(OR(N26="",P26=""),"",N26-P26)</f>
        <v/>
      </c>
    </row>
    <row r="27" customFormat="false" ht="15" hidden="false" customHeight="true" outlineLevel="0" collapsed="false">
      <c r="A27" s="27" t="n">
        <v>46221</v>
      </c>
      <c r="B27" s="33" t="s">
        <v>39</v>
      </c>
      <c r="C27" s="12"/>
      <c r="D27" s="12"/>
      <c r="E27" s="12"/>
      <c r="F27" s="12"/>
      <c r="G27" s="12"/>
      <c r="H27" s="12"/>
      <c r="I27" s="29"/>
      <c r="J27" s="30" t="str">
        <f aca="false">IF(I27="","",ROUND(F27*(1-I27),0))</f>
        <v/>
      </c>
      <c r="K27" s="30" t="str">
        <f aca="false">IF(I27="","",ROUND(G27*(1-I27),0))</f>
        <v/>
      </c>
      <c r="L27" s="30" t="str">
        <f aca="false">IF(I27="","",ROUND(H27*(1-I27),0))</f>
        <v/>
      </c>
      <c r="M27" s="30" t="n">
        <f aca="false">$F$7</f>
        <v>63000</v>
      </c>
      <c r="N27" s="13" t="str">
        <f aca="false">IF(J27="","",J27+M27)</f>
        <v/>
      </c>
      <c r="O27" s="13" t="str">
        <f aca="false">IF(K27="","",K27+M27)</f>
        <v/>
      </c>
      <c r="P27" s="13" t="str">
        <f aca="false">IF(L27="","",L27+M27)</f>
        <v/>
      </c>
      <c r="Q27" s="31" t="str">
        <f aca="false">IF(OR(C27="",C27=0,N27=""),"",1-N27/C27)</f>
        <v/>
      </c>
      <c r="R27" s="31" t="str">
        <f aca="false">IF(OR(D27="",D27=0,O27=""),"",1-O27/D27)</f>
        <v/>
      </c>
      <c r="S27" s="31" t="str">
        <f aca="false">IF(OR(E27="",E27=0,P27=""),"",1-P27/E27)</f>
        <v/>
      </c>
      <c r="T27" s="32" t="str">
        <f aca="false">IF(OR(N27="",O27=""),"",N27-O27)</f>
        <v/>
      </c>
      <c r="U27" s="32" t="str">
        <f aca="false">IF(OR(N27="",P27=""),"",N27-P27)</f>
        <v/>
      </c>
    </row>
    <row r="28" customFormat="false" ht="15" hidden="false" customHeight="true" outlineLevel="0" collapsed="false">
      <c r="A28" s="27" t="n">
        <v>46222</v>
      </c>
      <c r="B28" s="33" t="s">
        <v>40</v>
      </c>
      <c r="C28" s="12"/>
      <c r="D28" s="12"/>
      <c r="E28" s="12"/>
      <c r="F28" s="12"/>
      <c r="G28" s="12"/>
      <c r="H28" s="12"/>
      <c r="I28" s="29"/>
      <c r="J28" s="30" t="str">
        <f aca="false">IF(I28="","",ROUND(F28*(1-I28),0))</f>
        <v/>
      </c>
      <c r="K28" s="30" t="str">
        <f aca="false">IF(I28="","",ROUND(G28*(1-I28),0))</f>
        <v/>
      </c>
      <c r="L28" s="30" t="str">
        <f aca="false">IF(I28="","",ROUND(H28*(1-I28),0))</f>
        <v/>
      </c>
      <c r="M28" s="30" t="n">
        <f aca="false">$F$7</f>
        <v>63000</v>
      </c>
      <c r="N28" s="13" t="str">
        <f aca="false">IF(J28="","",J28+M28)</f>
        <v/>
      </c>
      <c r="O28" s="13" t="str">
        <f aca="false">IF(K28="","",K28+M28)</f>
        <v/>
      </c>
      <c r="P28" s="13" t="str">
        <f aca="false">IF(L28="","",L28+M28)</f>
        <v/>
      </c>
      <c r="Q28" s="31" t="str">
        <f aca="false">IF(OR(C28="",C28=0,N28=""),"",1-N28/C28)</f>
        <v/>
      </c>
      <c r="R28" s="31" t="str">
        <f aca="false">IF(OR(D28="",D28=0,O28=""),"",1-O28/D28)</f>
        <v/>
      </c>
      <c r="S28" s="31" t="str">
        <f aca="false">IF(OR(E28="",E28=0,P28=""),"",1-P28/E28)</f>
        <v/>
      </c>
      <c r="T28" s="32" t="str">
        <f aca="false">IF(OR(N28="",O28=""),"",N28-O28)</f>
        <v/>
      </c>
      <c r="U28" s="32" t="str">
        <f aca="false">IF(OR(N28="",P28=""),"",N28-P28)</f>
        <v/>
      </c>
    </row>
    <row r="29" customFormat="false" ht="15" hidden="false" customHeight="true" outlineLevel="0" collapsed="false">
      <c r="A29" s="27" t="n">
        <v>46223</v>
      </c>
      <c r="B29" s="28" t="s">
        <v>41</v>
      </c>
      <c r="C29" s="12"/>
      <c r="D29" s="12"/>
      <c r="E29" s="12"/>
      <c r="F29" s="12"/>
      <c r="G29" s="12"/>
      <c r="H29" s="12"/>
      <c r="I29" s="29"/>
      <c r="J29" s="30" t="str">
        <f aca="false">IF(I29="","",ROUND(F29*(1-I29),0))</f>
        <v/>
      </c>
      <c r="K29" s="30" t="str">
        <f aca="false">IF(I29="","",ROUND(G29*(1-I29),0))</f>
        <v/>
      </c>
      <c r="L29" s="30" t="str">
        <f aca="false">IF(I29="","",ROUND(H29*(1-I29),0))</f>
        <v/>
      </c>
      <c r="M29" s="30" t="n">
        <f aca="false">$F$7</f>
        <v>63000</v>
      </c>
      <c r="N29" s="13" t="str">
        <f aca="false">IF(J29="","",J29+M29)</f>
        <v/>
      </c>
      <c r="O29" s="13" t="str">
        <f aca="false">IF(K29="","",K29+M29)</f>
        <v/>
      </c>
      <c r="P29" s="13" t="str">
        <f aca="false">IF(L29="","",L29+M29)</f>
        <v/>
      </c>
      <c r="Q29" s="31" t="str">
        <f aca="false">IF(OR(C29="",C29=0,N29=""),"",1-N29/C29)</f>
        <v/>
      </c>
      <c r="R29" s="31" t="str">
        <f aca="false">IF(OR(D29="",D29=0,O29=""),"",1-O29/D29)</f>
        <v/>
      </c>
      <c r="S29" s="31" t="str">
        <f aca="false">IF(OR(E29="",E29=0,P29=""),"",1-P29/E29)</f>
        <v/>
      </c>
      <c r="T29" s="32" t="str">
        <f aca="false">IF(OR(N29="",O29=""),"",N29-O29)</f>
        <v/>
      </c>
      <c r="U29" s="32" t="str">
        <f aca="false">IF(OR(N29="",P29=""),"",N29-P29)</f>
        <v/>
      </c>
    </row>
    <row r="30" customFormat="false" ht="15" hidden="false" customHeight="true" outlineLevel="0" collapsed="false">
      <c r="A30" s="27" t="n">
        <v>46224</v>
      </c>
      <c r="B30" s="28" t="s">
        <v>42</v>
      </c>
      <c r="C30" s="12"/>
      <c r="D30" s="12"/>
      <c r="E30" s="12"/>
      <c r="F30" s="12"/>
      <c r="G30" s="12"/>
      <c r="H30" s="12"/>
      <c r="I30" s="29"/>
      <c r="J30" s="30" t="str">
        <f aca="false">IF(I30="","",ROUND(F30*(1-I30),0))</f>
        <v/>
      </c>
      <c r="K30" s="30" t="str">
        <f aca="false">IF(I30="","",ROUND(G30*(1-I30),0))</f>
        <v/>
      </c>
      <c r="L30" s="30" t="str">
        <f aca="false">IF(I30="","",ROUND(H30*(1-I30),0))</f>
        <v/>
      </c>
      <c r="M30" s="30" t="n">
        <f aca="false">$F$7</f>
        <v>63000</v>
      </c>
      <c r="N30" s="13" t="str">
        <f aca="false">IF(J30="","",J30+M30)</f>
        <v/>
      </c>
      <c r="O30" s="13" t="str">
        <f aca="false">IF(K30="","",K30+M30)</f>
        <v/>
      </c>
      <c r="P30" s="13" t="str">
        <f aca="false">IF(L30="","",L30+M30)</f>
        <v/>
      </c>
      <c r="Q30" s="31" t="str">
        <f aca="false">IF(OR(C30="",C30=0,N30=""),"",1-N30/C30)</f>
        <v/>
      </c>
      <c r="R30" s="31" t="str">
        <f aca="false">IF(OR(D30="",D30=0,O30=""),"",1-O30/D30)</f>
        <v/>
      </c>
      <c r="S30" s="31" t="str">
        <f aca="false">IF(OR(E30="",E30=0,P30=""),"",1-P30/E30)</f>
        <v/>
      </c>
      <c r="T30" s="32" t="str">
        <f aca="false">IF(OR(N30="",O30=""),"",N30-O30)</f>
        <v/>
      </c>
      <c r="U30" s="32" t="str">
        <f aca="false">IF(OR(N30="",P30=""),"",N30-P30)</f>
        <v/>
      </c>
    </row>
    <row r="31" customFormat="false" ht="15" hidden="false" customHeight="true" outlineLevel="0" collapsed="false">
      <c r="A31" s="27" t="n">
        <v>46225</v>
      </c>
      <c r="B31" s="28" t="s">
        <v>36</v>
      </c>
      <c r="C31" s="12"/>
      <c r="D31" s="12"/>
      <c r="E31" s="12"/>
      <c r="F31" s="12"/>
      <c r="G31" s="12"/>
      <c r="H31" s="12"/>
      <c r="I31" s="29"/>
      <c r="J31" s="30" t="str">
        <f aca="false">IF(I31="","",ROUND(F31*(1-I31),0))</f>
        <v/>
      </c>
      <c r="K31" s="30" t="str">
        <f aca="false">IF(I31="","",ROUND(G31*(1-I31),0))</f>
        <v/>
      </c>
      <c r="L31" s="30" t="str">
        <f aca="false">IF(I31="","",ROUND(H31*(1-I31),0))</f>
        <v/>
      </c>
      <c r="M31" s="30" t="n">
        <f aca="false">$F$7</f>
        <v>63000</v>
      </c>
      <c r="N31" s="13" t="str">
        <f aca="false">IF(J31="","",J31+M31)</f>
        <v/>
      </c>
      <c r="O31" s="13" t="str">
        <f aca="false">IF(K31="","",K31+M31)</f>
        <v/>
      </c>
      <c r="P31" s="13" t="str">
        <f aca="false">IF(L31="","",L31+M31)</f>
        <v/>
      </c>
      <c r="Q31" s="31" t="str">
        <f aca="false">IF(OR(C31="",C31=0,N31=""),"",1-N31/C31)</f>
        <v/>
      </c>
      <c r="R31" s="31" t="str">
        <f aca="false">IF(OR(D31="",D31=0,O31=""),"",1-O31/D31)</f>
        <v/>
      </c>
      <c r="S31" s="31" t="str">
        <f aca="false">IF(OR(E31="",E31=0,P31=""),"",1-P31/E31)</f>
        <v/>
      </c>
      <c r="T31" s="32" t="str">
        <f aca="false">IF(OR(N31="",O31=""),"",N31-O31)</f>
        <v/>
      </c>
      <c r="U31" s="32" t="str">
        <f aca="false">IF(OR(N31="",P31=""),"",N31-P31)</f>
        <v/>
      </c>
    </row>
    <row r="32" customFormat="false" ht="15" hidden="false" customHeight="true" outlineLevel="0" collapsed="false">
      <c r="A32" s="27" t="n">
        <v>46226</v>
      </c>
      <c r="B32" s="28" t="s">
        <v>37</v>
      </c>
      <c r="C32" s="12"/>
      <c r="D32" s="12"/>
      <c r="E32" s="12"/>
      <c r="F32" s="12"/>
      <c r="G32" s="12"/>
      <c r="H32" s="12"/>
      <c r="I32" s="29"/>
      <c r="J32" s="30" t="str">
        <f aca="false">IF(I32="","",ROUND(F32*(1-I32),0))</f>
        <v/>
      </c>
      <c r="K32" s="30" t="str">
        <f aca="false">IF(I32="","",ROUND(G32*(1-I32),0))</f>
        <v/>
      </c>
      <c r="L32" s="30" t="str">
        <f aca="false">IF(I32="","",ROUND(H32*(1-I32),0))</f>
        <v/>
      </c>
      <c r="M32" s="30" t="n">
        <f aca="false">$F$7</f>
        <v>63000</v>
      </c>
      <c r="N32" s="13" t="str">
        <f aca="false">IF(J32="","",J32+M32)</f>
        <v/>
      </c>
      <c r="O32" s="13" t="str">
        <f aca="false">IF(K32="","",K32+M32)</f>
        <v/>
      </c>
      <c r="P32" s="13" t="str">
        <f aca="false">IF(L32="","",L32+M32)</f>
        <v/>
      </c>
      <c r="Q32" s="31" t="str">
        <f aca="false">IF(OR(C32="",C32=0,N32=""),"",1-N32/C32)</f>
        <v/>
      </c>
      <c r="R32" s="31" t="str">
        <f aca="false">IF(OR(D32="",D32=0,O32=""),"",1-O32/D32)</f>
        <v/>
      </c>
      <c r="S32" s="31" t="str">
        <f aca="false">IF(OR(E32="",E32=0,P32=""),"",1-P32/E32)</f>
        <v/>
      </c>
      <c r="T32" s="32" t="str">
        <f aca="false">IF(OR(N32="",O32=""),"",N32-O32)</f>
        <v/>
      </c>
      <c r="U32" s="32" t="str">
        <f aca="false">IF(OR(N32="",P32=""),"",N32-P32)</f>
        <v/>
      </c>
    </row>
    <row r="33" customFormat="false" ht="15" hidden="false" customHeight="true" outlineLevel="0" collapsed="false">
      <c r="A33" s="27" t="n">
        <v>46227</v>
      </c>
      <c r="B33" s="28" t="s">
        <v>38</v>
      </c>
      <c r="C33" s="12"/>
      <c r="D33" s="12"/>
      <c r="E33" s="12"/>
      <c r="F33" s="12"/>
      <c r="G33" s="12"/>
      <c r="H33" s="12"/>
      <c r="I33" s="29"/>
      <c r="J33" s="30" t="str">
        <f aca="false">IF(I33="","",ROUND(F33*(1-I33),0))</f>
        <v/>
      </c>
      <c r="K33" s="30" t="str">
        <f aca="false">IF(I33="","",ROUND(G33*(1-I33),0))</f>
        <v/>
      </c>
      <c r="L33" s="30" t="str">
        <f aca="false">IF(I33="","",ROUND(H33*(1-I33),0))</f>
        <v/>
      </c>
      <c r="M33" s="30" t="n">
        <f aca="false">$F$7</f>
        <v>63000</v>
      </c>
      <c r="N33" s="13" t="str">
        <f aca="false">IF(J33="","",J33+M33)</f>
        <v/>
      </c>
      <c r="O33" s="13" t="str">
        <f aca="false">IF(K33="","",K33+M33)</f>
        <v/>
      </c>
      <c r="P33" s="13" t="str">
        <f aca="false">IF(L33="","",L33+M33)</f>
        <v/>
      </c>
      <c r="Q33" s="31" t="str">
        <f aca="false">IF(OR(C33="",C33=0,N33=""),"",1-N33/C33)</f>
        <v/>
      </c>
      <c r="R33" s="31" t="str">
        <f aca="false">IF(OR(D33="",D33=0,O33=""),"",1-O33/D33)</f>
        <v/>
      </c>
      <c r="S33" s="31" t="str">
        <f aca="false">IF(OR(E33="",E33=0,P33=""),"",1-P33/E33)</f>
        <v/>
      </c>
      <c r="T33" s="32" t="str">
        <f aca="false">IF(OR(N33="",O33=""),"",N33-O33)</f>
        <v/>
      </c>
      <c r="U33" s="32" t="str">
        <f aca="false">IF(OR(N33="",P33=""),"",N33-P33)</f>
        <v/>
      </c>
    </row>
    <row r="34" customFormat="false" ht="15" hidden="false" customHeight="true" outlineLevel="0" collapsed="false">
      <c r="A34" s="27" t="n">
        <v>46228</v>
      </c>
      <c r="B34" s="33" t="s">
        <v>39</v>
      </c>
      <c r="C34" s="12"/>
      <c r="D34" s="12"/>
      <c r="E34" s="12"/>
      <c r="F34" s="12"/>
      <c r="G34" s="12"/>
      <c r="H34" s="12"/>
      <c r="I34" s="29"/>
      <c r="J34" s="30" t="str">
        <f aca="false">IF(I34="","",ROUND(F34*(1-I34),0))</f>
        <v/>
      </c>
      <c r="K34" s="30" t="str">
        <f aca="false">IF(I34="","",ROUND(G34*(1-I34),0))</f>
        <v/>
      </c>
      <c r="L34" s="30" t="str">
        <f aca="false">IF(I34="","",ROUND(H34*(1-I34),0))</f>
        <v/>
      </c>
      <c r="M34" s="30" t="n">
        <f aca="false">$F$7</f>
        <v>63000</v>
      </c>
      <c r="N34" s="13" t="str">
        <f aca="false">IF(J34="","",J34+M34)</f>
        <v/>
      </c>
      <c r="O34" s="13" t="str">
        <f aca="false">IF(K34="","",K34+M34)</f>
        <v/>
      </c>
      <c r="P34" s="13" t="str">
        <f aca="false">IF(L34="","",L34+M34)</f>
        <v/>
      </c>
      <c r="Q34" s="31" t="str">
        <f aca="false">IF(OR(C34="",C34=0,N34=""),"",1-N34/C34)</f>
        <v/>
      </c>
      <c r="R34" s="31" t="str">
        <f aca="false">IF(OR(D34="",D34=0,O34=""),"",1-O34/D34)</f>
        <v/>
      </c>
      <c r="S34" s="31" t="str">
        <f aca="false">IF(OR(E34="",E34=0,P34=""),"",1-P34/E34)</f>
        <v/>
      </c>
      <c r="T34" s="32" t="str">
        <f aca="false">IF(OR(N34="",O34=""),"",N34-O34)</f>
        <v/>
      </c>
      <c r="U34" s="32" t="str">
        <f aca="false">IF(OR(N34="",P34=""),"",N34-P34)</f>
        <v/>
      </c>
    </row>
    <row r="35" customFormat="false" ht="15" hidden="false" customHeight="true" outlineLevel="0" collapsed="false">
      <c r="A35" s="27" t="n">
        <v>46229</v>
      </c>
      <c r="B35" s="33" t="s">
        <v>40</v>
      </c>
      <c r="C35" s="12"/>
      <c r="D35" s="12"/>
      <c r="E35" s="12"/>
      <c r="F35" s="12"/>
      <c r="G35" s="12"/>
      <c r="H35" s="12"/>
      <c r="I35" s="29"/>
      <c r="J35" s="30" t="str">
        <f aca="false">IF(I35="","",ROUND(F35*(1-I35),0))</f>
        <v/>
      </c>
      <c r="K35" s="30" t="str">
        <f aca="false">IF(I35="","",ROUND(G35*(1-I35),0))</f>
        <v/>
      </c>
      <c r="L35" s="30" t="str">
        <f aca="false">IF(I35="","",ROUND(H35*(1-I35),0))</f>
        <v/>
      </c>
      <c r="M35" s="30" t="n">
        <f aca="false">$F$7</f>
        <v>63000</v>
      </c>
      <c r="N35" s="13" t="str">
        <f aca="false">IF(J35="","",J35+M35)</f>
        <v/>
      </c>
      <c r="O35" s="13" t="str">
        <f aca="false">IF(K35="","",K35+M35)</f>
        <v/>
      </c>
      <c r="P35" s="13" t="str">
        <f aca="false">IF(L35="","",L35+M35)</f>
        <v/>
      </c>
      <c r="Q35" s="31" t="str">
        <f aca="false">IF(OR(C35="",C35=0,N35=""),"",1-N35/C35)</f>
        <v/>
      </c>
      <c r="R35" s="31" t="str">
        <f aca="false">IF(OR(D35="",D35=0,O35=""),"",1-O35/D35)</f>
        <v/>
      </c>
      <c r="S35" s="31" t="str">
        <f aca="false">IF(OR(E35="",E35=0,P35=""),"",1-P35/E35)</f>
        <v/>
      </c>
      <c r="T35" s="32" t="str">
        <f aca="false">IF(OR(N35="",O35=""),"",N35-O35)</f>
        <v/>
      </c>
      <c r="U35" s="32" t="str">
        <f aca="false">IF(OR(N35="",P35=""),"",N35-P35)</f>
        <v/>
      </c>
    </row>
    <row r="36" customFormat="false" ht="15" hidden="false" customHeight="true" outlineLevel="0" collapsed="false">
      <c r="A36" s="27" t="n">
        <v>46230</v>
      </c>
      <c r="B36" s="28" t="s">
        <v>41</v>
      </c>
      <c r="C36" s="12"/>
      <c r="D36" s="12"/>
      <c r="E36" s="12"/>
      <c r="F36" s="12"/>
      <c r="G36" s="12"/>
      <c r="H36" s="12"/>
      <c r="I36" s="29"/>
      <c r="J36" s="30" t="str">
        <f aca="false">IF(I36="","",ROUND(F36*(1-I36),0))</f>
        <v/>
      </c>
      <c r="K36" s="30" t="str">
        <f aca="false">IF(I36="","",ROUND(G36*(1-I36),0))</f>
        <v/>
      </c>
      <c r="L36" s="30" t="str">
        <f aca="false">IF(I36="","",ROUND(H36*(1-I36),0))</f>
        <v/>
      </c>
      <c r="M36" s="30" t="n">
        <f aca="false">$F$7</f>
        <v>63000</v>
      </c>
      <c r="N36" s="13" t="str">
        <f aca="false">IF(J36="","",J36+M36)</f>
        <v/>
      </c>
      <c r="O36" s="13" t="str">
        <f aca="false">IF(K36="","",K36+M36)</f>
        <v/>
      </c>
      <c r="P36" s="13" t="str">
        <f aca="false">IF(L36="","",L36+M36)</f>
        <v/>
      </c>
      <c r="Q36" s="31" t="str">
        <f aca="false">IF(OR(C36="",C36=0,N36=""),"",1-N36/C36)</f>
        <v/>
      </c>
      <c r="R36" s="31" t="str">
        <f aca="false">IF(OR(D36="",D36=0,O36=""),"",1-O36/D36)</f>
        <v/>
      </c>
      <c r="S36" s="31" t="str">
        <f aca="false">IF(OR(E36="",E36=0,P36=""),"",1-P36/E36)</f>
        <v/>
      </c>
      <c r="T36" s="32" t="str">
        <f aca="false">IF(OR(N36="",O36=""),"",N36-O36)</f>
        <v/>
      </c>
      <c r="U36" s="32" t="str">
        <f aca="false">IF(OR(N36="",P36=""),"",N36-P36)</f>
        <v/>
      </c>
    </row>
    <row r="37" customFormat="false" ht="15" hidden="false" customHeight="true" outlineLevel="0" collapsed="false">
      <c r="A37" s="27" t="n">
        <v>46231</v>
      </c>
      <c r="B37" s="28" t="s">
        <v>42</v>
      </c>
      <c r="C37" s="12"/>
      <c r="D37" s="12"/>
      <c r="E37" s="12"/>
      <c r="F37" s="12"/>
      <c r="G37" s="12"/>
      <c r="H37" s="12"/>
      <c r="I37" s="29"/>
      <c r="J37" s="30" t="str">
        <f aca="false">IF(I37="","",ROUND(F37*(1-I37),0))</f>
        <v/>
      </c>
      <c r="K37" s="30" t="str">
        <f aca="false">IF(I37="","",ROUND(G37*(1-I37),0))</f>
        <v/>
      </c>
      <c r="L37" s="30" t="str">
        <f aca="false">IF(I37="","",ROUND(H37*(1-I37),0))</f>
        <v/>
      </c>
      <c r="M37" s="30" t="n">
        <f aca="false">$F$7</f>
        <v>63000</v>
      </c>
      <c r="N37" s="13" t="str">
        <f aca="false">IF(J37="","",J37+M37)</f>
        <v/>
      </c>
      <c r="O37" s="13" t="str">
        <f aca="false">IF(K37="","",K37+M37)</f>
        <v/>
      </c>
      <c r="P37" s="13" t="str">
        <f aca="false">IF(L37="","",L37+M37)</f>
        <v/>
      </c>
      <c r="Q37" s="31" t="str">
        <f aca="false">IF(OR(C37="",C37=0,N37=""),"",1-N37/C37)</f>
        <v/>
      </c>
      <c r="R37" s="31" t="str">
        <f aca="false">IF(OR(D37="",D37=0,O37=""),"",1-O37/D37)</f>
        <v/>
      </c>
      <c r="S37" s="31" t="str">
        <f aca="false">IF(OR(E37="",E37=0,P37=""),"",1-P37/E37)</f>
        <v/>
      </c>
      <c r="T37" s="32" t="str">
        <f aca="false">IF(OR(N37="",O37=""),"",N37-O37)</f>
        <v/>
      </c>
      <c r="U37" s="32" t="str">
        <f aca="false">IF(OR(N37="",P37=""),"",N37-P37)</f>
        <v/>
      </c>
    </row>
    <row r="38" customFormat="false" ht="15" hidden="false" customHeight="true" outlineLevel="0" collapsed="false">
      <c r="A38" s="27" t="n">
        <v>46232</v>
      </c>
      <c r="B38" s="28" t="s">
        <v>36</v>
      </c>
      <c r="C38" s="12"/>
      <c r="D38" s="12"/>
      <c r="E38" s="12"/>
      <c r="F38" s="12"/>
      <c r="G38" s="12"/>
      <c r="H38" s="12"/>
      <c r="I38" s="29"/>
      <c r="J38" s="30" t="str">
        <f aca="false">IF(I38="","",ROUND(F38*(1-I38),0))</f>
        <v/>
      </c>
      <c r="K38" s="30" t="str">
        <f aca="false">IF(I38="","",ROUND(G38*(1-I38),0))</f>
        <v/>
      </c>
      <c r="L38" s="30" t="str">
        <f aca="false">IF(I38="","",ROUND(H38*(1-I38),0))</f>
        <v/>
      </c>
      <c r="M38" s="30" t="n">
        <f aca="false">$F$7</f>
        <v>63000</v>
      </c>
      <c r="N38" s="13" t="str">
        <f aca="false">IF(J38="","",J38+M38)</f>
        <v/>
      </c>
      <c r="O38" s="13" t="str">
        <f aca="false">IF(K38="","",K38+M38)</f>
        <v/>
      </c>
      <c r="P38" s="13" t="str">
        <f aca="false">IF(L38="","",L38+M38)</f>
        <v/>
      </c>
      <c r="Q38" s="31" t="str">
        <f aca="false">IF(OR(C38="",C38=0,N38=""),"",1-N38/C38)</f>
        <v/>
      </c>
      <c r="R38" s="31" t="str">
        <f aca="false">IF(OR(D38="",D38=0,O38=""),"",1-O38/D38)</f>
        <v/>
      </c>
      <c r="S38" s="31" t="str">
        <f aca="false">IF(OR(E38="",E38=0,P38=""),"",1-P38/E38)</f>
        <v/>
      </c>
      <c r="T38" s="32" t="str">
        <f aca="false">IF(OR(N38="",O38=""),"",N38-O38)</f>
        <v/>
      </c>
      <c r="U38" s="32" t="str">
        <f aca="false">IF(OR(N38="",P38=""),"",N38-P38)</f>
        <v/>
      </c>
    </row>
    <row r="39" customFormat="false" ht="15" hidden="false" customHeight="true" outlineLevel="0" collapsed="false">
      <c r="A39" s="27" t="n">
        <v>46233</v>
      </c>
      <c r="B39" s="28" t="s">
        <v>37</v>
      </c>
      <c r="C39" s="12"/>
      <c r="D39" s="12"/>
      <c r="E39" s="12"/>
      <c r="F39" s="12"/>
      <c r="G39" s="12"/>
      <c r="H39" s="12"/>
      <c r="I39" s="29"/>
      <c r="J39" s="30" t="str">
        <f aca="false">IF(I39="","",ROUND(F39*(1-I39),0))</f>
        <v/>
      </c>
      <c r="K39" s="30" t="str">
        <f aca="false">IF(I39="","",ROUND(G39*(1-I39),0))</f>
        <v/>
      </c>
      <c r="L39" s="30" t="str">
        <f aca="false">IF(I39="","",ROUND(H39*(1-I39),0))</f>
        <v/>
      </c>
      <c r="M39" s="30" t="n">
        <f aca="false">$F$7</f>
        <v>63000</v>
      </c>
      <c r="N39" s="13" t="str">
        <f aca="false">IF(J39="","",J39+M39)</f>
        <v/>
      </c>
      <c r="O39" s="13" t="str">
        <f aca="false">IF(K39="","",K39+M39)</f>
        <v/>
      </c>
      <c r="P39" s="13" t="str">
        <f aca="false">IF(L39="","",L39+M39)</f>
        <v/>
      </c>
      <c r="Q39" s="31" t="str">
        <f aca="false">IF(OR(C39="",C39=0,N39=""),"",1-N39/C39)</f>
        <v/>
      </c>
      <c r="R39" s="31" t="str">
        <f aca="false">IF(OR(D39="",D39=0,O39=""),"",1-O39/D39)</f>
        <v/>
      </c>
      <c r="S39" s="31" t="str">
        <f aca="false">IF(OR(E39="",E39=0,P39=""),"",1-P39/E39)</f>
        <v/>
      </c>
      <c r="T39" s="32" t="str">
        <f aca="false">IF(OR(N39="",O39=""),"",N39-O39)</f>
        <v/>
      </c>
      <c r="U39" s="32" t="str">
        <f aca="false">IF(OR(N39="",P39=""),"",N39-P39)</f>
        <v/>
      </c>
    </row>
    <row r="40" customFormat="false" ht="15" hidden="false" customHeight="true" outlineLevel="0" collapsed="false">
      <c r="A40" s="27" t="n">
        <v>46234</v>
      </c>
      <c r="B40" s="28" t="s">
        <v>38</v>
      </c>
      <c r="C40" s="12"/>
      <c r="D40" s="12"/>
      <c r="E40" s="12"/>
      <c r="F40" s="12"/>
      <c r="G40" s="12"/>
      <c r="H40" s="12"/>
      <c r="I40" s="29"/>
      <c r="J40" s="30" t="str">
        <f aca="false">IF(I40="","",ROUND(F40*(1-I40),0))</f>
        <v/>
      </c>
      <c r="K40" s="30" t="str">
        <f aca="false">IF(I40="","",ROUND(G40*(1-I40),0))</f>
        <v/>
      </c>
      <c r="L40" s="30" t="str">
        <f aca="false">IF(I40="","",ROUND(H40*(1-I40),0))</f>
        <v/>
      </c>
      <c r="M40" s="30" t="n">
        <f aca="false">$F$7</f>
        <v>63000</v>
      </c>
      <c r="N40" s="13" t="str">
        <f aca="false">IF(J40="","",J40+M40)</f>
        <v/>
      </c>
      <c r="O40" s="13" t="str">
        <f aca="false">IF(K40="","",K40+M40)</f>
        <v/>
      </c>
      <c r="P40" s="13" t="str">
        <f aca="false">IF(L40="","",L40+M40)</f>
        <v/>
      </c>
      <c r="Q40" s="31" t="str">
        <f aca="false">IF(OR(C40="",C40=0,N40=""),"",1-N40/C40)</f>
        <v/>
      </c>
      <c r="R40" s="31" t="str">
        <f aca="false">IF(OR(D40="",D40=0,O40=""),"",1-O40/D40)</f>
        <v/>
      </c>
      <c r="S40" s="31" t="str">
        <f aca="false">IF(OR(E40="",E40=0,P40=""),"",1-P40/E40)</f>
        <v/>
      </c>
      <c r="T40" s="32" t="str">
        <f aca="false">IF(OR(N40="",O40=""),"",N40-O40)</f>
        <v/>
      </c>
      <c r="U40" s="32" t="str">
        <f aca="false">IF(OR(N40="",P40=""),"",N40-P40)</f>
        <v/>
      </c>
    </row>
    <row r="41" customFormat="false" ht="15" hidden="false" customHeight="true" outlineLevel="0" collapsed="false">
      <c r="A41" s="15" t="s">
        <v>43</v>
      </c>
      <c r="B41" s="15"/>
      <c r="C41" s="34" t="n">
        <f aca="false">AVERAGE(C10:C40)</f>
        <v>193333.333333333</v>
      </c>
      <c r="D41" s="34" t="n">
        <f aca="false">AVERAGE(D10:D40)</f>
        <v>183333.333333333</v>
      </c>
      <c r="E41" s="34" t="n">
        <f aca="false">AVERAGE(E10:E40)</f>
        <v>216666.666666667</v>
      </c>
      <c r="F41" s="34" t="n">
        <f aca="false">AVERAGE(F10:F40)</f>
        <v>173333.333333333</v>
      </c>
      <c r="G41" s="34" t="n">
        <f aca="false">AVERAGE(G10:G40)</f>
        <v>163333.333333333</v>
      </c>
      <c r="H41" s="34" t="n">
        <f aca="false">AVERAGE(H10:H40)</f>
        <v>196666.666666667</v>
      </c>
      <c r="I41" s="35" t="n">
        <f aca="false">AVERAGE(I10:I40)</f>
        <v>0.116666666666667</v>
      </c>
      <c r="J41" s="34" t="n">
        <f aca="false">AVERAGE(J10:J40)</f>
        <v>152666.666666667</v>
      </c>
      <c r="K41" s="34" t="n">
        <f aca="false">AVERAGE(K10:K40)</f>
        <v>143833.333333333</v>
      </c>
      <c r="L41" s="34" t="n">
        <f aca="false">AVERAGE(L10:L40)</f>
        <v>173166.666666667</v>
      </c>
      <c r="M41" s="36" t="n">
        <f aca="false">$F$7</f>
        <v>63000</v>
      </c>
      <c r="N41" s="34" t="n">
        <f aca="false">AVERAGE(N10:N40)</f>
        <v>215666.666666667</v>
      </c>
      <c r="O41" s="34" t="n">
        <f aca="false">AVERAGE(O10:O40)</f>
        <v>206833.333333333</v>
      </c>
      <c r="P41" s="34" t="n">
        <f aca="false">AVERAGE(P10:P40)</f>
        <v>236166.666666667</v>
      </c>
      <c r="Q41" s="35" t="n">
        <f aca="false">AVERAGE(Q10:Q40)</f>
        <v>-0.11969696969697</v>
      </c>
      <c r="R41" s="35" t="n">
        <f aca="false">AVERAGE(R10:R40)</f>
        <v>-0.132819794584501</v>
      </c>
      <c r="S41" s="35" t="n">
        <f aca="false">AVERAGE(S10:S40)</f>
        <v>-0.0946666666666667</v>
      </c>
      <c r="T41" s="37" t="n">
        <f aca="false">AVERAGE(T10:T40)</f>
        <v>8833.33333333333</v>
      </c>
      <c r="U41" s="37" t="n">
        <f aca="false">AVERAGE(U10:U40)</f>
        <v>-20500</v>
      </c>
    </row>
    <row r="42" customFormat="false" ht="15" hidden="false" customHeight="true" outlineLevel="0" collapsed="false">
      <c r="A42" s="15" t="s">
        <v>44</v>
      </c>
      <c r="B42" s="15"/>
      <c r="C42" s="34" t="n">
        <f aca="false">MAX(C10:C40)</f>
        <v>220000</v>
      </c>
      <c r="D42" s="34" t="n">
        <f aca="false">MAX(D10:D40)</f>
        <v>210000</v>
      </c>
      <c r="E42" s="34" t="n">
        <f aca="false">MAX(E10:E40)</f>
        <v>250000</v>
      </c>
      <c r="F42" s="34" t="n">
        <f aca="false">MAX(F10:F40)</f>
        <v>200000</v>
      </c>
      <c r="G42" s="34" t="n">
        <f aca="false">MAX(G10:G40)</f>
        <v>190000</v>
      </c>
      <c r="H42" s="34" t="n">
        <f aca="false">MAX(H10:H40)</f>
        <v>230000</v>
      </c>
      <c r="J42" s="34" t="n">
        <f aca="false">MAX(J10:J40)</f>
        <v>170000</v>
      </c>
      <c r="K42" s="34" t="n">
        <f aca="false">MAX(K10:K40)</f>
        <v>161500</v>
      </c>
      <c r="L42" s="34" t="n">
        <f aca="false">MAX(L10:L40)</f>
        <v>195500</v>
      </c>
      <c r="M42" s="36" t="n">
        <f aca="false">$F$7</f>
        <v>63000</v>
      </c>
      <c r="N42" s="34" t="n">
        <f aca="false">MAX(N10:N40)</f>
        <v>233000</v>
      </c>
      <c r="O42" s="34" t="n">
        <f aca="false">MAX(O10:O40)</f>
        <v>224500</v>
      </c>
      <c r="P42" s="34" t="n">
        <f aca="false">MAX(P10:P40)</f>
        <v>258500</v>
      </c>
      <c r="Q42" s="35" t="n">
        <f aca="false">MAX(Q10:Q40)</f>
        <v>-0.0590909090909091</v>
      </c>
      <c r="R42" s="35" t="n">
        <f aca="false">MAX(R10:R40)</f>
        <v>-0.069047619047619</v>
      </c>
      <c r="S42" s="35" t="n">
        <f aca="false">MAX(S10:S40)</f>
        <v>-0.034</v>
      </c>
      <c r="T42" s="37" t="n">
        <f aca="false">MAX(T10:T40)</f>
        <v>9000</v>
      </c>
      <c r="U42" s="37" t="n">
        <f aca="false">MAX(U10:U40)</f>
        <v>-18000</v>
      </c>
    </row>
    <row r="43" customFormat="false" ht="15" hidden="false" customHeight="true" outlineLevel="0" collapsed="false">
      <c r="A43" s="15" t="s">
        <v>45</v>
      </c>
      <c r="B43" s="15"/>
      <c r="C43" s="34" t="n">
        <f aca="false">MIN(C10:C40)</f>
        <v>180000</v>
      </c>
      <c r="D43" s="34" t="n">
        <f aca="false">MIN(D10:D40)</f>
        <v>170000</v>
      </c>
      <c r="E43" s="34" t="n">
        <f aca="false">MIN(E10:E40)</f>
        <v>200000</v>
      </c>
      <c r="F43" s="34" t="n">
        <f aca="false">MIN(F10:F40)</f>
        <v>160000</v>
      </c>
      <c r="G43" s="34" t="n">
        <f aca="false">MIN(G10:G40)</f>
        <v>150000</v>
      </c>
      <c r="H43" s="34" t="n">
        <f aca="false">MIN(H10:H40)</f>
        <v>180000</v>
      </c>
      <c r="J43" s="34" t="n">
        <f aca="false">MIN(J10:J40)</f>
        <v>144000</v>
      </c>
      <c r="K43" s="34" t="n">
        <f aca="false">MIN(K10:K40)</f>
        <v>135000</v>
      </c>
      <c r="L43" s="34" t="n">
        <f aca="false">MIN(L10:L40)</f>
        <v>162000</v>
      </c>
      <c r="M43" s="36" t="n">
        <f aca="false">$F$7</f>
        <v>63000</v>
      </c>
      <c r="N43" s="34" t="n">
        <f aca="false">MIN(N10:N40)</f>
        <v>207000</v>
      </c>
      <c r="O43" s="34" t="n">
        <f aca="false">MIN(O10:O40)</f>
        <v>198000</v>
      </c>
      <c r="P43" s="34" t="n">
        <f aca="false">MIN(P10:P40)</f>
        <v>225000</v>
      </c>
      <c r="Q43" s="35" t="n">
        <f aca="false">MIN(Q10:Q40)</f>
        <v>-0.15</v>
      </c>
      <c r="R43" s="35" t="n">
        <f aca="false">MIN(R10:R40)</f>
        <v>-0.164705882352941</v>
      </c>
      <c r="S43" s="35" t="n">
        <f aca="false">MIN(S10:S40)</f>
        <v>-0.125</v>
      </c>
      <c r="T43" s="37" t="n">
        <f aca="false">MIN(T10:T40)</f>
        <v>8500</v>
      </c>
      <c r="U43" s="37" t="n">
        <f aca="false">MIN(U10:U40)</f>
        <v>-25500</v>
      </c>
    </row>
  </sheetData>
  <mergeCells count="14">
    <mergeCell ref="A1:U1"/>
    <mergeCell ref="A2:U2"/>
    <mergeCell ref="A6:B6"/>
    <mergeCell ref="A7:B7"/>
    <mergeCell ref="A8:B8"/>
    <mergeCell ref="C8:E8"/>
    <mergeCell ref="F8:H8"/>
    <mergeCell ref="J8:L8"/>
    <mergeCell ref="N8:P8"/>
    <mergeCell ref="Q8:S8"/>
    <mergeCell ref="T8:U8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"/>
    <col collapsed="false" customWidth="true" hidden="false" outlineLevel="0" max="8" min="3" style="1" width="10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6" min="14" style="1" width="11"/>
    <col collapsed="false" customWidth="true" hidden="false" outlineLevel="0" max="19" min="17" style="1" width="8"/>
    <col collapsed="false" customWidth="true" hidden="false" outlineLevel="0" max="21" min="20" style="1" width="10"/>
  </cols>
  <sheetData>
    <row r="1" customFormat="false" ht="30" hidden="false" customHeight="true" outlineLevel="0" collapsed="false">
      <c r="A1" s="38" t="s">
        <v>46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1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5</v>
      </c>
      <c r="F4" s="1" t="s">
        <v>6</v>
      </c>
      <c r="G4" s="5" t="s">
        <v>7</v>
      </c>
      <c r="I4" s="4" t="s">
        <v>8</v>
      </c>
      <c r="J4" s="5" t="s">
        <v>9</v>
      </c>
      <c r="L4" s="4" t="s">
        <v>10</v>
      </c>
      <c r="M4" s="39" t="s">
        <v>47</v>
      </c>
    </row>
    <row r="6" customFormat="false" ht="15" hidden="false" customHeight="true" outlineLevel="0" collapsed="false">
      <c r="A6" s="7" t="s">
        <v>12</v>
      </c>
      <c r="B6" s="7"/>
      <c r="C6" s="8" t="s">
        <v>13</v>
      </c>
      <c r="D6" s="8" t="s">
        <v>14</v>
      </c>
      <c r="E6" s="8" t="s">
        <v>15</v>
      </c>
      <c r="F6" s="9" t="s">
        <v>16</v>
      </c>
      <c r="G6" s="10"/>
      <c r="H6" s="10"/>
      <c r="I6" s="10"/>
      <c r="J6" s="10"/>
    </row>
    <row r="7" customFormat="false" ht="15" hidden="false" customHeight="true" outlineLevel="0" collapsed="false">
      <c r="A7" s="11" t="s">
        <v>17</v>
      </c>
      <c r="B7" s="11"/>
      <c r="C7" s="12"/>
      <c r="D7" s="12"/>
      <c r="E7" s="12"/>
      <c r="F7" s="13" t="n">
        <f aca="false">SUM(C7:E7)</f>
        <v>0</v>
      </c>
      <c r="G7" s="14"/>
      <c r="H7" s="14"/>
      <c r="I7" s="14"/>
      <c r="J7" s="14"/>
    </row>
    <row r="8" customFormat="false" ht="18" hidden="false" customHeight="true" outlineLevel="0" collapsed="false">
      <c r="A8" s="15" t="s">
        <v>18</v>
      </c>
      <c r="B8" s="15"/>
      <c r="C8" s="8" t="s">
        <v>19</v>
      </c>
      <c r="D8" s="8"/>
      <c r="E8" s="8"/>
      <c r="F8" s="16" t="s">
        <v>20</v>
      </c>
      <c r="G8" s="16"/>
      <c r="H8" s="16"/>
      <c r="I8" s="17" t="s">
        <v>21</v>
      </c>
      <c r="J8" s="18" t="s">
        <v>22</v>
      </c>
      <c r="K8" s="18"/>
      <c r="L8" s="18"/>
      <c r="M8" s="19" t="s">
        <v>23</v>
      </c>
      <c r="N8" s="9" t="s">
        <v>24</v>
      </c>
      <c r="O8" s="9"/>
      <c r="P8" s="9"/>
      <c r="Q8" s="20" t="s">
        <v>25</v>
      </c>
      <c r="R8" s="20"/>
      <c r="S8" s="20"/>
      <c r="T8" s="21" t="s">
        <v>26</v>
      </c>
      <c r="U8" s="21"/>
    </row>
    <row r="9" customFormat="false" ht="36" hidden="false" customHeight="true" outlineLevel="0" collapsed="false">
      <c r="A9" s="15" t="s">
        <v>27</v>
      </c>
      <c r="B9" s="15" t="s">
        <v>28</v>
      </c>
      <c r="C9" s="8" t="s">
        <v>29</v>
      </c>
      <c r="D9" s="8" t="s">
        <v>30</v>
      </c>
      <c r="E9" s="22" t="s">
        <v>31</v>
      </c>
      <c r="F9" s="16" t="s">
        <v>29</v>
      </c>
      <c r="G9" s="16" t="s">
        <v>30</v>
      </c>
      <c r="H9" s="23" t="s">
        <v>31</v>
      </c>
      <c r="I9" s="24" t="s">
        <v>32</v>
      </c>
      <c r="J9" s="18" t="s">
        <v>29</v>
      </c>
      <c r="K9" s="18" t="s">
        <v>30</v>
      </c>
      <c r="L9" s="25" t="s">
        <v>31</v>
      </c>
      <c r="M9" s="19" t="s">
        <v>33</v>
      </c>
      <c r="N9" s="9" t="s">
        <v>29</v>
      </c>
      <c r="O9" s="9" t="s">
        <v>30</v>
      </c>
      <c r="P9" s="26" t="s">
        <v>31</v>
      </c>
      <c r="Q9" s="20" t="s">
        <v>29</v>
      </c>
      <c r="R9" s="20" t="s">
        <v>30</v>
      </c>
      <c r="S9" s="21" t="s">
        <v>31</v>
      </c>
      <c r="T9" s="20" t="s">
        <v>34</v>
      </c>
      <c r="U9" s="20" t="s">
        <v>35</v>
      </c>
    </row>
    <row r="10" customFormat="false" ht="15" hidden="false" customHeight="true" outlineLevel="0" collapsed="false">
      <c r="A10" s="27" t="n">
        <v>46204</v>
      </c>
      <c r="B10" s="28" t="s">
        <v>36</v>
      </c>
      <c r="C10" s="12"/>
      <c r="D10" s="12"/>
      <c r="E10" s="12"/>
      <c r="F10" s="12"/>
      <c r="G10" s="12"/>
      <c r="H10" s="12"/>
      <c r="I10" s="29"/>
      <c r="J10" s="30" t="str">
        <f aca="false">IF(I10="","",ROUND(F10*(1-I10),0))</f>
        <v/>
      </c>
      <c r="K10" s="30" t="str">
        <f aca="false">IF(I10="","",ROUND(G10*(1-I10),0))</f>
        <v/>
      </c>
      <c r="L10" s="30" t="str">
        <f aca="false">IF(I10="","",ROUND(H10*(1-I10),0))</f>
        <v/>
      </c>
      <c r="M10" s="30" t="n">
        <f aca="false">$F$7</f>
        <v>0</v>
      </c>
      <c r="N10" s="13" t="str">
        <f aca="false">IF(J10="","",J10+M10)</f>
        <v/>
      </c>
      <c r="O10" s="13" t="str">
        <f aca="false">IF(K10="","",K10+M10)</f>
        <v/>
      </c>
      <c r="P10" s="13" t="str">
        <f aca="false">IF(L10="","",L10+M10)</f>
        <v/>
      </c>
      <c r="Q10" s="31" t="str">
        <f aca="false">IF(OR(C10="",C10=0,N10=""),"",1-N10/C10)</f>
        <v/>
      </c>
      <c r="R10" s="31" t="str">
        <f aca="false">IF(OR(D10="",D10=0,O10=""),"",1-O10/D10)</f>
        <v/>
      </c>
      <c r="S10" s="31" t="str">
        <f aca="false">IF(OR(E10="",E10=0,P10=""),"",1-P10/E10)</f>
        <v/>
      </c>
      <c r="T10" s="32" t="str">
        <f aca="false">IF(OR(N10="",O10=""),"",N10-O10)</f>
        <v/>
      </c>
      <c r="U10" s="32" t="str">
        <f aca="false">IF(OR(N10="",P10=""),"",N10-P10)</f>
        <v/>
      </c>
    </row>
    <row r="11" customFormat="false" ht="15" hidden="false" customHeight="true" outlineLevel="0" collapsed="false">
      <c r="A11" s="27" t="n">
        <v>46205</v>
      </c>
      <c r="B11" s="28" t="s">
        <v>37</v>
      </c>
      <c r="C11" s="12"/>
      <c r="D11" s="12"/>
      <c r="E11" s="12"/>
      <c r="F11" s="12"/>
      <c r="G11" s="12"/>
      <c r="H11" s="12"/>
      <c r="I11" s="29"/>
      <c r="J11" s="30" t="str">
        <f aca="false">IF(I11="","",ROUND(F11*(1-I11),0))</f>
        <v/>
      </c>
      <c r="K11" s="30" t="str">
        <f aca="false">IF(I11="","",ROUND(G11*(1-I11),0))</f>
        <v/>
      </c>
      <c r="L11" s="30" t="str">
        <f aca="false">IF(I11="","",ROUND(H11*(1-I11),0))</f>
        <v/>
      </c>
      <c r="M11" s="30" t="n">
        <f aca="false">$F$7</f>
        <v>0</v>
      </c>
      <c r="N11" s="13" t="str">
        <f aca="false">IF(J11="","",J11+M11)</f>
        <v/>
      </c>
      <c r="O11" s="13" t="str">
        <f aca="false">IF(K11="","",K11+M11)</f>
        <v/>
      </c>
      <c r="P11" s="13" t="str">
        <f aca="false">IF(L11="","",L11+M11)</f>
        <v/>
      </c>
      <c r="Q11" s="31" t="str">
        <f aca="false">IF(OR(C11="",C11=0,N11=""),"",1-N11/C11)</f>
        <v/>
      </c>
      <c r="R11" s="31" t="str">
        <f aca="false">IF(OR(D11="",D11=0,O11=""),"",1-O11/D11)</f>
        <v/>
      </c>
      <c r="S11" s="31" t="str">
        <f aca="false">IF(OR(E11="",E11=0,P11=""),"",1-P11/E11)</f>
        <v/>
      </c>
      <c r="T11" s="32" t="str">
        <f aca="false">IF(OR(N11="",O11=""),"",N11-O11)</f>
        <v/>
      </c>
      <c r="U11" s="32" t="str">
        <f aca="false">IF(OR(N11="",P11=""),"",N11-P11)</f>
        <v/>
      </c>
    </row>
    <row r="12" customFormat="false" ht="15" hidden="false" customHeight="true" outlineLevel="0" collapsed="false">
      <c r="A12" s="27" t="n">
        <v>46206</v>
      </c>
      <c r="B12" s="28" t="s">
        <v>38</v>
      </c>
      <c r="C12" s="12"/>
      <c r="D12" s="12"/>
      <c r="E12" s="12"/>
      <c r="F12" s="12"/>
      <c r="G12" s="12"/>
      <c r="H12" s="12"/>
      <c r="I12" s="29"/>
      <c r="J12" s="30" t="str">
        <f aca="false">IF(I12="","",ROUND(F12*(1-I12),0))</f>
        <v/>
      </c>
      <c r="K12" s="30" t="str">
        <f aca="false">IF(I12="","",ROUND(G12*(1-I12),0))</f>
        <v/>
      </c>
      <c r="L12" s="30" t="str">
        <f aca="false">IF(I12="","",ROUND(H12*(1-I12),0))</f>
        <v/>
      </c>
      <c r="M12" s="30" t="n">
        <f aca="false">$F$7</f>
        <v>0</v>
      </c>
      <c r="N12" s="13" t="str">
        <f aca="false">IF(J12="","",J12+M12)</f>
        <v/>
      </c>
      <c r="O12" s="13" t="str">
        <f aca="false">IF(K12="","",K12+M12)</f>
        <v/>
      </c>
      <c r="P12" s="13" t="str">
        <f aca="false">IF(L12="","",L12+M12)</f>
        <v/>
      </c>
      <c r="Q12" s="31" t="str">
        <f aca="false">IF(OR(C12="",C12=0,N12=""),"",1-N12/C12)</f>
        <v/>
      </c>
      <c r="R12" s="31" t="str">
        <f aca="false">IF(OR(D12="",D12=0,O12=""),"",1-O12/D12)</f>
        <v/>
      </c>
      <c r="S12" s="31" t="str">
        <f aca="false">IF(OR(E12="",E12=0,P12=""),"",1-P12/E12)</f>
        <v/>
      </c>
      <c r="T12" s="32" t="str">
        <f aca="false">IF(OR(N12="",O12=""),"",N12-O12)</f>
        <v/>
      </c>
      <c r="U12" s="32" t="str">
        <f aca="false">IF(OR(N12="",P12=""),"",N12-P12)</f>
        <v/>
      </c>
    </row>
    <row r="13" customFormat="false" ht="15" hidden="false" customHeight="true" outlineLevel="0" collapsed="false">
      <c r="A13" s="27" t="n">
        <v>46207</v>
      </c>
      <c r="B13" s="33" t="s">
        <v>39</v>
      </c>
      <c r="C13" s="12"/>
      <c r="D13" s="12"/>
      <c r="E13" s="12"/>
      <c r="F13" s="12"/>
      <c r="G13" s="12"/>
      <c r="H13" s="12"/>
      <c r="I13" s="29"/>
      <c r="J13" s="30" t="str">
        <f aca="false">IF(I13="","",ROUND(F13*(1-I13),0))</f>
        <v/>
      </c>
      <c r="K13" s="30" t="str">
        <f aca="false">IF(I13="","",ROUND(G13*(1-I13),0))</f>
        <v/>
      </c>
      <c r="L13" s="30" t="str">
        <f aca="false">IF(I13="","",ROUND(H13*(1-I13),0))</f>
        <v/>
      </c>
      <c r="M13" s="30" t="n">
        <f aca="false">$F$7</f>
        <v>0</v>
      </c>
      <c r="N13" s="13" t="str">
        <f aca="false">IF(J13="","",J13+M13)</f>
        <v/>
      </c>
      <c r="O13" s="13" t="str">
        <f aca="false">IF(K13="","",K13+M13)</f>
        <v/>
      </c>
      <c r="P13" s="13" t="str">
        <f aca="false">IF(L13="","",L13+M13)</f>
        <v/>
      </c>
      <c r="Q13" s="31" t="str">
        <f aca="false">IF(OR(C13="",C13=0,N13=""),"",1-N13/C13)</f>
        <v/>
      </c>
      <c r="R13" s="31" t="str">
        <f aca="false">IF(OR(D13="",D13=0,O13=""),"",1-O13/D13)</f>
        <v/>
      </c>
      <c r="S13" s="31" t="str">
        <f aca="false">IF(OR(E13="",E13=0,P13=""),"",1-P13/E13)</f>
        <v/>
      </c>
      <c r="T13" s="32" t="str">
        <f aca="false">IF(OR(N13="",O13=""),"",N13-O13)</f>
        <v/>
      </c>
      <c r="U13" s="32" t="str">
        <f aca="false">IF(OR(N13="",P13=""),"",N13-P13)</f>
        <v/>
      </c>
    </row>
    <row r="14" customFormat="false" ht="15" hidden="false" customHeight="true" outlineLevel="0" collapsed="false">
      <c r="A14" s="27" t="n">
        <v>46208</v>
      </c>
      <c r="B14" s="33" t="s">
        <v>40</v>
      </c>
      <c r="C14" s="12"/>
      <c r="D14" s="12"/>
      <c r="E14" s="12"/>
      <c r="F14" s="12"/>
      <c r="G14" s="12"/>
      <c r="H14" s="12"/>
      <c r="I14" s="29"/>
      <c r="J14" s="30" t="str">
        <f aca="false">IF(I14="","",ROUND(F14*(1-I14),0))</f>
        <v/>
      </c>
      <c r="K14" s="30" t="str">
        <f aca="false">IF(I14="","",ROUND(G14*(1-I14),0))</f>
        <v/>
      </c>
      <c r="L14" s="30" t="str">
        <f aca="false">IF(I14="","",ROUND(H14*(1-I14),0))</f>
        <v/>
      </c>
      <c r="M14" s="30" t="n">
        <f aca="false">$F$7</f>
        <v>0</v>
      </c>
      <c r="N14" s="13" t="str">
        <f aca="false">IF(J14="","",J14+M14)</f>
        <v/>
      </c>
      <c r="O14" s="13" t="str">
        <f aca="false">IF(K14="","",K14+M14)</f>
        <v/>
      </c>
      <c r="P14" s="13" t="str">
        <f aca="false">IF(L14="","",L14+M14)</f>
        <v/>
      </c>
      <c r="Q14" s="31" t="str">
        <f aca="false">IF(OR(C14="",C14=0,N14=""),"",1-N14/C14)</f>
        <v/>
      </c>
      <c r="R14" s="31" t="str">
        <f aca="false">IF(OR(D14="",D14=0,O14=""),"",1-O14/D14)</f>
        <v/>
      </c>
      <c r="S14" s="31" t="str">
        <f aca="false">IF(OR(E14="",E14=0,P14=""),"",1-P14/E14)</f>
        <v/>
      </c>
      <c r="T14" s="32" t="str">
        <f aca="false">IF(OR(N14="",O14=""),"",N14-O14)</f>
        <v/>
      </c>
      <c r="U14" s="32" t="str">
        <f aca="false">IF(OR(N14="",P14=""),"",N14-P14)</f>
        <v/>
      </c>
    </row>
    <row r="15" customFormat="false" ht="15" hidden="false" customHeight="true" outlineLevel="0" collapsed="false">
      <c r="A15" s="27" t="n">
        <v>46209</v>
      </c>
      <c r="B15" s="28" t="s">
        <v>41</v>
      </c>
      <c r="C15" s="12"/>
      <c r="D15" s="12"/>
      <c r="E15" s="12"/>
      <c r="F15" s="12"/>
      <c r="G15" s="12"/>
      <c r="H15" s="12"/>
      <c r="I15" s="29"/>
      <c r="J15" s="30" t="str">
        <f aca="false">IF(I15="","",ROUND(F15*(1-I15),0))</f>
        <v/>
      </c>
      <c r="K15" s="30" t="str">
        <f aca="false">IF(I15="","",ROUND(G15*(1-I15),0))</f>
        <v/>
      </c>
      <c r="L15" s="30" t="str">
        <f aca="false">IF(I15="","",ROUND(H15*(1-I15),0))</f>
        <v/>
      </c>
      <c r="M15" s="30" t="n">
        <f aca="false">$F$7</f>
        <v>0</v>
      </c>
      <c r="N15" s="13" t="str">
        <f aca="false">IF(J15="","",J15+M15)</f>
        <v/>
      </c>
      <c r="O15" s="13" t="str">
        <f aca="false">IF(K15="","",K15+M15)</f>
        <v/>
      </c>
      <c r="P15" s="13" t="str">
        <f aca="false">IF(L15="","",L15+M15)</f>
        <v/>
      </c>
      <c r="Q15" s="31" t="str">
        <f aca="false">IF(OR(C15="",C15=0,N15=""),"",1-N15/C15)</f>
        <v/>
      </c>
      <c r="R15" s="31" t="str">
        <f aca="false">IF(OR(D15="",D15=0,O15=""),"",1-O15/D15)</f>
        <v/>
      </c>
      <c r="S15" s="31" t="str">
        <f aca="false">IF(OR(E15="",E15=0,P15=""),"",1-P15/E15)</f>
        <v/>
      </c>
      <c r="T15" s="32" t="str">
        <f aca="false">IF(OR(N15="",O15=""),"",N15-O15)</f>
        <v/>
      </c>
      <c r="U15" s="32" t="str">
        <f aca="false">IF(OR(N15="",P15=""),"",N15-P15)</f>
        <v/>
      </c>
    </row>
    <row r="16" customFormat="false" ht="15" hidden="false" customHeight="true" outlineLevel="0" collapsed="false">
      <c r="A16" s="27" t="n">
        <v>46210</v>
      </c>
      <c r="B16" s="28" t="s">
        <v>42</v>
      </c>
      <c r="C16" s="12"/>
      <c r="D16" s="12"/>
      <c r="E16" s="12"/>
      <c r="F16" s="12"/>
      <c r="G16" s="12"/>
      <c r="H16" s="12"/>
      <c r="I16" s="29"/>
      <c r="J16" s="30" t="str">
        <f aca="false">IF(I16="","",ROUND(F16*(1-I16),0))</f>
        <v/>
      </c>
      <c r="K16" s="30" t="str">
        <f aca="false">IF(I16="","",ROUND(G16*(1-I16),0))</f>
        <v/>
      </c>
      <c r="L16" s="30" t="str">
        <f aca="false">IF(I16="","",ROUND(H16*(1-I16),0))</f>
        <v/>
      </c>
      <c r="M16" s="30" t="n">
        <f aca="false">$F$7</f>
        <v>0</v>
      </c>
      <c r="N16" s="13" t="str">
        <f aca="false">IF(J16="","",J16+M16)</f>
        <v/>
      </c>
      <c r="O16" s="13" t="str">
        <f aca="false">IF(K16="","",K16+M16)</f>
        <v/>
      </c>
      <c r="P16" s="13" t="str">
        <f aca="false">IF(L16="","",L16+M16)</f>
        <v/>
      </c>
      <c r="Q16" s="31" t="str">
        <f aca="false">IF(OR(C16="",C16=0,N16=""),"",1-N16/C16)</f>
        <v/>
      </c>
      <c r="R16" s="31" t="str">
        <f aca="false">IF(OR(D16="",D16=0,O16=""),"",1-O16/D16)</f>
        <v/>
      </c>
      <c r="S16" s="31" t="str">
        <f aca="false">IF(OR(E16="",E16=0,P16=""),"",1-P16/E16)</f>
        <v/>
      </c>
      <c r="T16" s="32" t="str">
        <f aca="false">IF(OR(N16="",O16=""),"",N16-O16)</f>
        <v/>
      </c>
      <c r="U16" s="32" t="str">
        <f aca="false">IF(OR(N16="",P16=""),"",N16-P16)</f>
        <v/>
      </c>
    </row>
    <row r="17" customFormat="false" ht="15" hidden="false" customHeight="true" outlineLevel="0" collapsed="false">
      <c r="A17" s="27" t="n">
        <v>46211</v>
      </c>
      <c r="B17" s="28" t="s">
        <v>36</v>
      </c>
      <c r="C17" s="12"/>
      <c r="D17" s="12"/>
      <c r="E17" s="12"/>
      <c r="F17" s="12"/>
      <c r="G17" s="12"/>
      <c r="H17" s="12"/>
      <c r="I17" s="29"/>
      <c r="J17" s="30" t="str">
        <f aca="false">IF(I17="","",ROUND(F17*(1-I17),0))</f>
        <v/>
      </c>
      <c r="K17" s="30" t="str">
        <f aca="false">IF(I17="","",ROUND(G17*(1-I17),0))</f>
        <v/>
      </c>
      <c r="L17" s="30" t="str">
        <f aca="false">IF(I17="","",ROUND(H17*(1-I17),0))</f>
        <v/>
      </c>
      <c r="M17" s="30" t="n">
        <f aca="false">$F$7</f>
        <v>0</v>
      </c>
      <c r="N17" s="13" t="str">
        <f aca="false">IF(J17="","",J17+M17)</f>
        <v/>
      </c>
      <c r="O17" s="13" t="str">
        <f aca="false">IF(K17="","",K17+M17)</f>
        <v/>
      </c>
      <c r="P17" s="13" t="str">
        <f aca="false">IF(L17="","",L17+M17)</f>
        <v/>
      </c>
      <c r="Q17" s="31" t="str">
        <f aca="false">IF(OR(C17="",C17=0,N17=""),"",1-N17/C17)</f>
        <v/>
      </c>
      <c r="R17" s="31" t="str">
        <f aca="false">IF(OR(D17="",D17=0,O17=""),"",1-O17/D17)</f>
        <v/>
      </c>
      <c r="S17" s="31" t="str">
        <f aca="false">IF(OR(E17="",E17=0,P17=""),"",1-P17/E17)</f>
        <v/>
      </c>
      <c r="T17" s="32" t="str">
        <f aca="false">IF(OR(N17="",O17=""),"",N17-O17)</f>
        <v/>
      </c>
      <c r="U17" s="32" t="str">
        <f aca="false">IF(OR(N17="",P17=""),"",N17-P17)</f>
        <v/>
      </c>
    </row>
    <row r="18" customFormat="false" ht="15" hidden="false" customHeight="true" outlineLevel="0" collapsed="false">
      <c r="A18" s="27" t="n">
        <v>46212</v>
      </c>
      <c r="B18" s="28" t="s">
        <v>37</v>
      </c>
      <c r="C18" s="12"/>
      <c r="D18" s="12"/>
      <c r="E18" s="12"/>
      <c r="F18" s="12"/>
      <c r="G18" s="12"/>
      <c r="H18" s="12"/>
      <c r="I18" s="29"/>
      <c r="J18" s="30" t="str">
        <f aca="false">IF(I18="","",ROUND(F18*(1-I18),0))</f>
        <v/>
      </c>
      <c r="K18" s="30" t="str">
        <f aca="false">IF(I18="","",ROUND(G18*(1-I18),0))</f>
        <v/>
      </c>
      <c r="L18" s="30" t="str">
        <f aca="false">IF(I18="","",ROUND(H18*(1-I18),0))</f>
        <v/>
      </c>
      <c r="M18" s="30" t="n">
        <f aca="false">$F$7</f>
        <v>0</v>
      </c>
      <c r="N18" s="13" t="str">
        <f aca="false">IF(J18="","",J18+M18)</f>
        <v/>
      </c>
      <c r="O18" s="13" t="str">
        <f aca="false">IF(K18="","",K18+M18)</f>
        <v/>
      </c>
      <c r="P18" s="13" t="str">
        <f aca="false">IF(L18="","",L18+M18)</f>
        <v/>
      </c>
      <c r="Q18" s="31" t="str">
        <f aca="false">IF(OR(C18="",C18=0,N18=""),"",1-N18/C18)</f>
        <v/>
      </c>
      <c r="R18" s="31" t="str">
        <f aca="false">IF(OR(D18="",D18=0,O18=""),"",1-O18/D18)</f>
        <v/>
      </c>
      <c r="S18" s="31" t="str">
        <f aca="false">IF(OR(E18="",E18=0,P18=""),"",1-P18/E18)</f>
        <v/>
      </c>
      <c r="T18" s="32" t="str">
        <f aca="false">IF(OR(N18="",O18=""),"",N18-O18)</f>
        <v/>
      </c>
      <c r="U18" s="32" t="str">
        <f aca="false">IF(OR(N18="",P18=""),"",N18-P18)</f>
        <v/>
      </c>
    </row>
    <row r="19" customFormat="false" ht="15" hidden="false" customHeight="true" outlineLevel="0" collapsed="false">
      <c r="A19" s="27" t="n">
        <v>46213</v>
      </c>
      <c r="B19" s="28" t="s">
        <v>38</v>
      </c>
      <c r="C19" s="12"/>
      <c r="D19" s="12"/>
      <c r="E19" s="12"/>
      <c r="F19" s="12"/>
      <c r="G19" s="12"/>
      <c r="H19" s="12"/>
      <c r="I19" s="29"/>
      <c r="J19" s="30" t="str">
        <f aca="false">IF(I19="","",ROUND(F19*(1-I19),0))</f>
        <v/>
      </c>
      <c r="K19" s="30" t="str">
        <f aca="false">IF(I19="","",ROUND(G19*(1-I19),0))</f>
        <v/>
      </c>
      <c r="L19" s="30" t="str">
        <f aca="false">IF(I19="","",ROUND(H19*(1-I19),0))</f>
        <v/>
      </c>
      <c r="M19" s="30" t="n">
        <f aca="false">$F$7</f>
        <v>0</v>
      </c>
      <c r="N19" s="13" t="str">
        <f aca="false">IF(J19="","",J19+M19)</f>
        <v/>
      </c>
      <c r="O19" s="13" t="str">
        <f aca="false">IF(K19="","",K19+M19)</f>
        <v/>
      </c>
      <c r="P19" s="13" t="str">
        <f aca="false">IF(L19="","",L19+M19)</f>
        <v/>
      </c>
      <c r="Q19" s="31" t="str">
        <f aca="false">IF(OR(C19="",C19=0,N19=""),"",1-N19/C19)</f>
        <v/>
      </c>
      <c r="R19" s="31" t="str">
        <f aca="false">IF(OR(D19="",D19=0,O19=""),"",1-O19/D19)</f>
        <v/>
      </c>
      <c r="S19" s="31" t="str">
        <f aca="false">IF(OR(E19="",E19=0,P19=""),"",1-P19/E19)</f>
        <v/>
      </c>
      <c r="T19" s="32" t="str">
        <f aca="false">IF(OR(N19="",O19=""),"",N19-O19)</f>
        <v/>
      </c>
      <c r="U19" s="32" t="str">
        <f aca="false">IF(OR(N19="",P19=""),"",N19-P19)</f>
        <v/>
      </c>
    </row>
    <row r="20" customFormat="false" ht="15" hidden="false" customHeight="true" outlineLevel="0" collapsed="false">
      <c r="A20" s="27" t="n">
        <v>46214</v>
      </c>
      <c r="B20" s="33" t="s">
        <v>39</v>
      </c>
      <c r="C20" s="12"/>
      <c r="D20" s="12"/>
      <c r="E20" s="12"/>
      <c r="F20" s="12"/>
      <c r="G20" s="12"/>
      <c r="H20" s="12"/>
      <c r="I20" s="29"/>
      <c r="J20" s="30" t="str">
        <f aca="false">IF(I20="","",ROUND(F20*(1-I20),0))</f>
        <v/>
      </c>
      <c r="K20" s="30" t="str">
        <f aca="false">IF(I20="","",ROUND(G20*(1-I20),0))</f>
        <v/>
      </c>
      <c r="L20" s="30" t="str">
        <f aca="false">IF(I20="","",ROUND(H20*(1-I20),0))</f>
        <v/>
      </c>
      <c r="M20" s="30" t="n">
        <f aca="false">$F$7</f>
        <v>0</v>
      </c>
      <c r="N20" s="13" t="str">
        <f aca="false">IF(J20="","",J20+M20)</f>
        <v/>
      </c>
      <c r="O20" s="13" t="str">
        <f aca="false">IF(K20="","",K20+M20)</f>
        <v/>
      </c>
      <c r="P20" s="13" t="str">
        <f aca="false">IF(L20="","",L20+M20)</f>
        <v/>
      </c>
      <c r="Q20" s="31" t="str">
        <f aca="false">IF(OR(C20="",C20=0,N20=""),"",1-N20/C20)</f>
        <v/>
      </c>
      <c r="R20" s="31" t="str">
        <f aca="false">IF(OR(D20="",D20=0,O20=""),"",1-O20/D20)</f>
        <v/>
      </c>
      <c r="S20" s="31" t="str">
        <f aca="false">IF(OR(E20="",E20=0,P20=""),"",1-P20/E20)</f>
        <v/>
      </c>
      <c r="T20" s="32" t="str">
        <f aca="false">IF(OR(N20="",O20=""),"",N20-O20)</f>
        <v/>
      </c>
      <c r="U20" s="32" t="str">
        <f aca="false">IF(OR(N20="",P20=""),"",N20-P20)</f>
        <v/>
      </c>
    </row>
    <row r="21" customFormat="false" ht="15" hidden="false" customHeight="true" outlineLevel="0" collapsed="false">
      <c r="A21" s="27" t="n">
        <v>46215</v>
      </c>
      <c r="B21" s="33" t="s">
        <v>40</v>
      </c>
      <c r="C21" s="12"/>
      <c r="D21" s="12"/>
      <c r="E21" s="12"/>
      <c r="F21" s="12"/>
      <c r="G21" s="12"/>
      <c r="H21" s="12"/>
      <c r="I21" s="29"/>
      <c r="J21" s="30" t="str">
        <f aca="false">IF(I21="","",ROUND(F21*(1-I21),0))</f>
        <v/>
      </c>
      <c r="K21" s="30" t="str">
        <f aca="false">IF(I21="","",ROUND(G21*(1-I21),0))</f>
        <v/>
      </c>
      <c r="L21" s="30" t="str">
        <f aca="false">IF(I21="","",ROUND(H21*(1-I21),0))</f>
        <v/>
      </c>
      <c r="M21" s="30" t="n">
        <f aca="false">$F$7</f>
        <v>0</v>
      </c>
      <c r="N21" s="13" t="str">
        <f aca="false">IF(J21="","",J21+M21)</f>
        <v/>
      </c>
      <c r="O21" s="13" t="str">
        <f aca="false">IF(K21="","",K21+M21)</f>
        <v/>
      </c>
      <c r="P21" s="13" t="str">
        <f aca="false">IF(L21="","",L21+M21)</f>
        <v/>
      </c>
      <c r="Q21" s="31" t="str">
        <f aca="false">IF(OR(C21="",C21=0,N21=""),"",1-N21/C21)</f>
        <v/>
      </c>
      <c r="R21" s="31" t="str">
        <f aca="false">IF(OR(D21="",D21=0,O21=""),"",1-O21/D21)</f>
        <v/>
      </c>
      <c r="S21" s="31" t="str">
        <f aca="false">IF(OR(E21="",E21=0,P21=""),"",1-P21/E21)</f>
        <v/>
      </c>
      <c r="T21" s="32" t="str">
        <f aca="false">IF(OR(N21="",O21=""),"",N21-O21)</f>
        <v/>
      </c>
      <c r="U21" s="32" t="str">
        <f aca="false">IF(OR(N21="",P21=""),"",N21-P21)</f>
        <v/>
      </c>
    </row>
    <row r="22" customFormat="false" ht="15" hidden="false" customHeight="true" outlineLevel="0" collapsed="false">
      <c r="A22" s="27" t="n">
        <v>46216</v>
      </c>
      <c r="B22" s="28" t="s">
        <v>41</v>
      </c>
      <c r="C22" s="12"/>
      <c r="D22" s="12"/>
      <c r="E22" s="12"/>
      <c r="F22" s="12"/>
      <c r="G22" s="12"/>
      <c r="H22" s="12"/>
      <c r="I22" s="29"/>
      <c r="J22" s="30" t="str">
        <f aca="false">IF(I22="","",ROUND(F22*(1-I22),0))</f>
        <v/>
      </c>
      <c r="K22" s="30" t="str">
        <f aca="false">IF(I22="","",ROUND(G22*(1-I22),0))</f>
        <v/>
      </c>
      <c r="L22" s="30" t="str">
        <f aca="false">IF(I22="","",ROUND(H22*(1-I22),0))</f>
        <v/>
      </c>
      <c r="M22" s="30" t="n">
        <f aca="false">$F$7</f>
        <v>0</v>
      </c>
      <c r="N22" s="13" t="str">
        <f aca="false">IF(J22="","",J22+M22)</f>
        <v/>
      </c>
      <c r="O22" s="13" t="str">
        <f aca="false">IF(K22="","",K22+M22)</f>
        <v/>
      </c>
      <c r="P22" s="13" t="str">
        <f aca="false">IF(L22="","",L22+M22)</f>
        <v/>
      </c>
      <c r="Q22" s="31" t="str">
        <f aca="false">IF(OR(C22="",C22=0,N22=""),"",1-N22/C22)</f>
        <v/>
      </c>
      <c r="R22" s="31" t="str">
        <f aca="false">IF(OR(D22="",D22=0,O22=""),"",1-O22/D22)</f>
        <v/>
      </c>
      <c r="S22" s="31" t="str">
        <f aca="false">IF(OR(E22="",E22=0,P22=""),"",1-P22/E22)</f>
        <v/>
      </c>
      <c r="T22" s="32" t="str">
        <f aca="false">IF(OR(N22="",O22=""),"",N22-O22)</f>
        <v/>
      </c>
      <c r="U22" s="32" t="str">
        <f aca="false">IF(OR(N22="",P22=""),"",N22-P22)</f>
        <v/>
      </c>
    </row>
    <row r="23" customFormat="false" ht="15" hidden="false" customHeight="true" outlineLevel="0" collapsed="false">
      <c r="A23" s="27" t="n">
        <v>46217</v>
      </c>
      <c r="B23" s="28" t="s">
        <v>42</v>
      </c>
      <c r="C23" s="12"/>
      <c r="D23" s="12"/>
      <c r="E23" s="12"/>
      <c r="F23" s="12"/>
      <c r="G23" s="12"/>
      <c r="H23" s="12"/>
      <c r="I23" s="29"/>
      <c r="J23" s="30" t="str">
        <f aca="false">IF(I23="","",ROUND(F23*(1-I23),0))</f>
        <v/>
      </c>
      <c r="K23" s="30" t="str">
        <f aca="false">IF(I23="","",ROUND(G23*(1-I23),0))</f>
        <v/>
      </c>
      <c r="L23" s="30" t="str">
        <f aca="false">IF(I23="","",ROUND(H23*(1-I23),0))</f>
        <v/>
      </c>
      <c r="M23" s="30" t="n">
        <f aca="false">$F$7</f>
        <v>0</v>
      </c>
      <c r="N23" s="13" t="str">
        <f aca="false">IF(J23="","",J23+M23)</f>
        <v/>
      </c>
      <c r="O23" s="13" t="str">
        <f aca="false">IF(K23="","",K23+M23)</f>
        <v/>
      </c>
      <c r="P23" s="13" t="str">
        <f aca="false">IF(L23="","",L23+M23)</f>
        <v/>
      </c>
      <c r="Q23" s="31" t="str">
        <f aca="false">IF(OR(C23="",C23=0,N23=""),"",1-N23/C23)</f>
        <v/>
      </c>
      <c r="R23" s="31" t="str">
        <f aca="false">IF(OR(D23="",D23=0,O23=""),"",1-O23/D23)</f>
        <v/>
      </c>
      <c r="S23" s="31" t="str">
        <f aca="false">IF(OR(E23="",E23=0,P23=""),"",1-P23/E23)</f>
        <v/>
      </c>
      <c r="T23" s="32" t="str">
        <f aca="false">IF(OR(N23="",O23=""),"",N23-O23)</f>
        <v/>
      </c>
      <c r="U23" s="32" t="str">
        <f aca="false">IF(OR(N23="",P23=""),"",N23-P23)</f>
        <v/>
      </c>
    </row>
    <row r="24" customFormat="false" ht="15" hidden="false" customHeight="true" outlineLevel="0" collapsed="false">
      <c r="A24" s="27" t="n">
        <v>46218</v>
      </c>
      <c r="B24" s="28" t="s">
        <v>36</v>
      </c>
      <c r="C24" s="12"/>
      <c r="D24" s="12"/>
      <c r="E24" s="12"/>
      <c r="F24" s="12"/>
      <c r="G24" s="12"/>
      <c r="H24" s="12"/>
      <c r="I24" s="29"/>
      <c r="J24" s="30" t="str">
        <f aca="false">IF(I24="","",ROUND(F24*(1-I24),0))</f>
        <v/>
      </c>
      <c r="K24" s="30" t="str">
        <f aca="false">IF(I24="","",ROUND(G24*(1-I24),0))</f>
        <v/>
      </c>
      <c r="L24" s="30" t="str">
        <f aca="false">IF(I24="","",ROUND(H24*(1-I24),0))</f>
        <v/>
      </c>
      <c r="M24" s="30" t="n">
        <f aca="false">$F$7</f>
        <v>0</v>
      </c>
      <c r="N24" s="13" t="str">
        <f aca="false">IF(J24="","",J24+M24)</f>
        <v/>
      </c>
      <c r="O24" s="13" t="str">
        <f aca="false">IF(K24="","",K24+M24)</f>
        <v/>
      </c>
      <c r="P24" s="13" t="str">
        <f aca="false">IF(L24="","",L24+M24)</f>
        <v/>
      </c>
      <c r="Q24" s="31" t="str">
        <f aca="false">IF(OR(C24="",C24=0,N24=""),"",1-N24/C24)</f>
        <v/>
      </c>
      <c r="R24" s="31" t="str">
        <f aca="false">IF(OR(D24="",D24=0,O24=""),"",1-O24/D24)</f>
        <v/>
      </c>
      <c r="S24" s="31" t="str">
        <f aca="false">IF(OR(E24="",E24=0,P24=""),"",1-P24/E24)</f>
        <v/>
      </c>
      <c r="T24" s="32" t="str">
        <f aca="false">IF(OR(N24="",O24=""),"",N24-O24)</f>
        <v/>
      </c>
      <c r="U24" s="32" t="str">
        <f aca="false">IF(OR(N24="",P24=""),"",N24-P24)</f>
        <v/>
      </c>
    </row>
    <row r="25" customFormat="false" ht="15" hidden="false" customHeight="true" outlineLevel="0" collapsed="false">
      <c r="A25" s="27" t="n">
        <v>46219</v>
      </c>
      <c r="B25" s="28" t="s">
        <v>37</v>
      </c>
      <c r="C25" s="12"/>
      <c r="D25" s="12"/>
      <c r="E25" s="12"/>
      <c r="F25" s="12"/>
      <c r="G25" s="12"/>
      <c r="H25" s="12"/>
      <c r="I25" s="29"/>
      <c r="J25" s="30" t="str">
        <f aca="false">IF(I25="","",ROUND(F25*(1-I25),0))</f>
        <v/>
      </c>
      <c r="K25" s="30" t="str">
        <f aca="false">IF(I25="","",ROUND(G25*(1-I25),0))</f>
        <v/>
      </c>
      <c r="L25" s="30" t="str">
        <f aca="false">IF(I25="","",ROUND(H25*(1-I25),0))</f>
        <v/>
      </c>
      <c r="M25" s="30" t="n">
        <f aca="false">$F$7</f>
        <v>0</v>
      </c>
      <c r="N25" s="13" t="str">
        <f aca="false">IF(J25="","",J25+M25)</f>
        <v/>
      </c>
      <c r="O25" s="13" t="str">
        <f aca="false">IF(K25="","",K25+M25)</f>
        <v/>
      </c>
      <c r="P25" s="13" t="str">
        <f aca="false">IF(L25="","",L25+M25)</f>
        <v/>
      </c>
      <c r="Q25" s="31" t="str">
        <f aca="false">IF(OR(C25="",C25=0,N25=""),"",1-N25/C25)</f>
        <v/>
      </c>
      <c r="R25" s="31" t="str">
        <f aca="false">IF(OR(D25="",D25=0,O25=""),"",1-O25/D25)</f>
        <v/>
      </c>
      <c r="S25" s="31" t="str">
        <f aca="false">IF(OR(E25="",E25=0,P25=""),"",1-P25/E25)</f>
        <v/>
      </c>
      <c r="T25" s="32" t="str">
        <f aca="false">IF(OR(N25="",O25=""),"",N25-O25)</f>
        <v/>
      </c>
      <c r="U25" s="32" t="str">
        <f aca="false">IF(OR(N25="",P25=""),"",N25-P25)</f>
        <v/>
      </c>
    </row>
    <row r="26" customFormat="false" ht="15" hidden="false" customHeight="true" outlineLevel="0" collapsed="false">
      <c r="A26" s="27" t="n">
        <v>46220</v>
      </c>
      <c r="B26" s="28" t="s">
        <v>38</v>
      </c>
      <c r="C26" s="12"/>
      <c r="D26" s="12"/>
      <c r="E26" s="12"/>
      <c r="F26" s="12"/>
      <c r="G26" s="12"/>
      <c r="H26" s="12"/>
      <c r="I26" s="29"/>
      <c r="J26" s="30" t="str">
        <f aca="false">IF(I26="","",ROUND(F26*(1-I26),0))</f>
        <v/>
      </c>
      <c r="K26" s="30" t="str">
        <f aca="false">IF(I26="","",ROUND(G26*(1-I26),0))</f>
        <v/>
      </c>
      <c r="L26" s="30" t="str">
        <f aca="false">IF(I26="","",ROUND(H26*(1-I26),0))</f>
        <v/>
      </c>
      <c r="M26" s="30" t="n">
        <f aca="false">$F$7</f>
        <v>0</v>
      </c>
      <c r="N26" s="13" t="str">
        <f aca="false">IF(J26="","",J26+M26)</f>
        <v/>
      </c>
      <c r="O26" s="13" t="str">
        <f aca="false">IF(K26="","",K26+M26)</f>
        <v/>
      </c>
      <c r="P26" s="13" t="str">
        <f aca="false">IF(L26="","",L26+M26)</f>
        <v/>
      </c>
      <c r="Q26" s="31" t="str">
        <f aca="false">IF(OR(C26="",C26=0,N26=""),"",1-N26/C26)</f>
        <v/>
      </c>
      <c r="R26" s="31" t="str">
        <f aca="false">IF(OR(D26="",D26=0,O26=""),"",1-O26/D26)</f>
        <v/>
      </c>
      <c r="S26" s="31" t="str">
        <f aca="false">IF(OR(E26="",E26=0,P26=""),"",1-P26/E26)</f>
        <v/>
      </c>
      <c r="T26" s="32" t="str">
        <f aca="false">IF(OR(N26="",O26=""),"",N26-O26)</f>
        <v/>
      </c>
      <c r="U26" s="32" t="str">
        <f aca="false">IF(OR(N26="",P26=""),"",N26-P26)</f>
        <v/>
      </c>
    </row>
    <row r="27" customFormat="false" ht="15" hidden="false" customHeight="true" outlineLevel="0" collapsed="false">
      <c r="A27" s="27" t="n">
        <v>46221</v>
      </c>
      <c r="B27" s="33" t="s">
        <v>39</v>
      </c>
      <c r="C27" s="12"/>
      <c r="D27" s="12"/>
      <c r="E27" s="12"/>
      <c r="F27" s="12"/>
      <c r="G27" s="12"/>
      <c r="H27" s="12"/>
      <c r="I27" s="29"/>
      <c r="J27" s="30" t="str">
        <f aca="false">IF(I27="","",ROUND(F27*(1-I27),0))</f>
        <v/>
      </c>
      <c r="K27" s="30" t="str">
        <f aca="false">IF(I27="","",ROUND(G27*(1-I27),0))</f>
        <v/>
      </c>
      <c r="L27" s="30" t="str">
        <f aca="false">IF(I27="","",ROUND(H27*(1-I27),0))</f>
        <v/>
      </c>
      <c r="M27" s="30" t="n">
        <f aca="false">$F$7</f>
        <v>0</v>
      </c>
      <c r="N27" s="13" t="str">
        <f aca="false">IF(J27="","",J27+M27)</f>
        <v/>
      </c>
      <c r="O27" s="13" t="str">
        <f aca="false">IF(K27="","",K27+M27)</f>
        <v/>
      </c>
      <c r="P27" s="13" t="str">
        <f aca="false">IF(L27="","",L27+M27)</f>
        <v/>
      </c>
      <c r="Q27" s="31" t="str">
        <f aca="false">IF(OR(C27="",C27=0,N27=""),"",1-N27/C27)</f>
        <v/>
      </c>
      <c r="R27" s="31" t="str">
        <f aca="false">IF(OR(D27="",D27=0,O27=""),"",1-O27/D27)</f>
        <v/>
      </c>
      <c r="S27" s="31" t="str">
        <f aca="false">IF(OR(E27="",E27=0,P27=""),"",1-P27/E27)</f>
        <v/>
      </c>
      <c r="T27" s="32" t="str">
        <f aca="false">IF(OR(N27="",O27=""),"",N27-O27)</f>
        <v/>
      </c>
      <c r="U27" s="32" t="str">
        <f aca="false">IF(OR(N27="",P27=""),"",N27-P27)</f>
        <v/>
      </c>
    </row>
    <row r="28" customFormat="false" ht="15" hidden="false" customHeight="true" outlineLevel="0" collapsed="false">
      <c r="A28" s="27" t="n">
        <v>46222</v>
      </c>
      <c r="B28" s="33" t="s">
        <v>40</v>
      </c>
      <c r="C28" s="12"/>
      <c r="D28" s="12"/>
      <c r="E28" s="12"/>
      <c r="F28" s="12"/>
      <c r="G28" s="12"/>
      <c r="H28" s="12"/>
      <c r="I28" s="29"/>
      <c r="J28" s="30" t="str">
        <f aca="false">IF(I28="","",ROUND(F28*(1-I28),0))</f>
        <v/>
      </c>
      <c r="K28" s="30" t="str">
        <f aca="false">IF(I28="","",ROUND(G28*(1-I28),0))</f>
        <v/>
      </c>
      <c r="L28" s="30" t="str">
        <f aca="false">IF(I28="","",ROUND(H28*(1-I28),0))</f>
        <v/>
      </c>
      <c r="M28" s="30" t="n">
        <f aca="false">$F$7</f>
        <v>0</v>
      </c>
      <c r="N28" s="13" t="str">
        <f aca="false">IF(J28="","",J28+M28)</f>
        <v/>
      </c>
      <c r="O28" s="13" t="str">
        <f aca="false">IF(K28="","",K28+M28)</f>
        <v/>
      </c>
      <c r="P28" s="13" t="str">
        <f aca="false">IF(L28="","",L28+M28)</f>
        <v/>
      </c>
      <c r="Q28" s="31" t="str">
        <f aca="false">IF(OR(C28="",C28=0,N28=""),"",1-N28/C28)</f>
        <v/>
      </c>
      <c r="R28" s="31" t="str">
        <f aca="false">IF(OR(D28="",D28=0,O28=""),"",1-O28/D28)</f>
        <v/>
      </c>
      <c r="S28" s="31" t="str">
        <f aca="false">IF(OR(E28="",E28=0,P28=""),"",1-P28/E28)</f>
        <v/>
      </c>
      <c r="T28" s="32" t="str">
        <f aca="false">IF(OR(N28="",O28=""),"",N28-O28)</f>
        <v/>
      </c>
      <c r="U28" s="32" t="str">
        <f aca="false">IF(OR(N28="",P28=""),"",N28-P28)</f>
        <v/>
      </c>
    </row>
    <row r="29" customFormat="false" ht="15" hidden="false" customHeight="true" outlineLevel="0" collapsed="false">
      <c r="A29" s="27" t="n">
        <v>46223</v>
      </c>
      <c r="B29" s="28" t="s">
        <v>41</v>
      </c>
      <c r="C29" s="12"/>
      <c r="D29" s="12"/>
      <c r="E29" s="12"/>
      <c r="F29" s="12"/>
      <c r="G29" s="12"/>
      <c r="H29" s="12"/>
      <c r="I29" s="29"/>
      <c r="J29" s="30" t="str">
        <f aca="false">IF(I29="","",ROUND(F29*(1-I29),0))</f>
        <v/>
      </c>
      <c r="K29" s="30" t="str">
        <f aca="false">IF(I29="","",ROUND(G29*(1-I29),0))</f>
        <v/>
      </c>
      <c r="L29" s="30" t="str">
        <f aca="false">IF(I29="","",ROUND(H29*(1-I29),0))</f>
        <v/>
      </c>
      <c r="M29" s="30" t="n">
        <f aca="false">$F$7</f>
        <v>0</v>
      </c>
      <c r="N29" s="13" t="str">
        <f aca="false">IF(J29="","",J29+M29)</f>
        <v/>
      </c>
      <c r="O29" s="13" t="str">
        <f aca="false">IF(K29="","",K29+M29)</f>
        <v/>
      </c>
      <c r="P29" s="13" t="str">
        <f aca="false">IF(L29="","",L29+M29)</f>
        <v/>
      </c>
      <c r="Q29" s="31" t="str">
        <f aca="false">IF(OR(C29="",C29=0,N29=""),"",1-N29/C29)</f>
        <v/>
      </c>
      <c r="R29" s="31" t="str">
        <f aca="false">IF(OR(D29="",D29=0,O29=""),"",1-O29/D29)</f>
        <v/>
      </c>
      <c r="S29" s="31" t="str">
        <f aca="false">IF(OR(E29="",E29=0,P29=""),"",1-P29/E29)</f>
        <v/>
      </c>
      <c r="T29" s="32" t="str">
        <f aca="false">IF(OR(N29="",O29=""),"",N29-O29)</f>
        <v/>
      </c>
      <c r="U29" s="32" t="str">
        <f aca="false">IF(OR(N29="",P29=""),"",N29-P29)</f>
        <v/>
      </c>
    </row>
    <row r="30" customFormat="false" ht="15" hidden="false" customHeight="true" outlineLevel="0" collapsed="false">
      <c r="A30" s="27" t="n">
        <v>46224</v>
      </c>
      <c r="B30" s="28" t="s">
        <v>42</v>
      </c>
      <c r="C30" s="12"/>
      <c r="D30" s="12"/>
      <c r="E30" s="12"/>
      <c r="F30" s="12"/>
      <c r="G30" s="12"/>
      <c r="H30" s="12"/>
      <c r="I30" s="29"/>
      <c r="J30" s="30" t="str">
        <f aca="false">IF(I30="","",ROUND(F30*(1-I30),0))</f>
        <v/>
      </c>
      <c r="K30" s="30" t="str">
        <f aca="false">IF(I30="","",ROUND(G30*(1-I30),0))</f>
        <v/>
      </c>
      <c r="L30" s="30" t="str">
        <f aca="false">IF(I30="","",ROUND(H30*(1-I30),0))</f>
        <v/>
      </c>
      <c r="M30" s="30" t="n">
        <f aca="false">$F$7</f>
        <v>0</v>
      </c>
      <c r="N30" s="13" t="str">
        <f aca="false">IF(J30="","",J30+M30)</f>
        <v/>
      </c>
      <c r="O30" s="13" t="str">
        <f aca="false">IF(K30="","",K30+M30)</f>
        <v/>
      </c>
      <c r="P30" s="13" t="str">
        <f aca="false">IF(L30="","",L30+M30)</f>
        <v/>
      </c>
      <c r="Q30" s="31" t="str">
        <f aca="false">IF(OR(C30="",C30=0,N30=""),"",1-N30/C30)</f>
        <v/>
      </c>
      <c r="R30" s="31" t="str">
        <f aca="false">IF(OR(D30="",D30=0,O30=""),"",1-O30/D30)</f>
        <v/>
      </c>
      <c r="S30" s="31" t="str">
        <f aca="false">IF(OR(E30="",E30=0,P30=""),"",1-P30/E30)</f>
        <v/>
      </c>
      <c r="T30" s="32" t="str">
        <f aca="false">IF(OR(N30="",O30=""),"",N30-O30)</f>
        <v/>
      </c>
      <c r="U30" s="32" t="str">
        <f aca="false">IF(OR(N30="",P30=""),"",N30-P30)</f>
        <v/>
      </c>
    </row>
    <row r="31" customFormat="false" ht="15" hidden="false" customHeight="true" outlineLevel="0" collapsed="false">
      <c r="A31" s="27" t="n">
        <v>46225</v>
      </c>
      <c r="B31" s="28" t="s">
        <v>36</v>
      </c>
      <c r="C31" s="12"/>
      <c r="D31" s="12"/>
      <c r="E31" s="12"/>
      <c r="F31" s="12"/>
      <c r="G31" s="12"/>
      <c r="H31" s="12"/>
      <c r="I31" s="29"/>
      <c r="J31" s="30" t="str">
        <f aca="false">IF(I31="","",ROUND(F31*(1-I31),0))</f>
        <v/>
      </c>
      <c r="K31" s="30" t="str">
        <f aca="false">IF(I31="","",ROUND(G31*(1-I31),0))</f>
        <v/>
      </c>
      <c r="L31" s="30" t="str">
        <f aca="false">IF(I31="","",ROUND(H31*(1-I31),0))</f>
        <v/>
      </c>
      <c r="M31" s="30" t="n">
        <f aca="false">$F$7</f>
        <v>0</v>
      </c>
      <c r="N31" s="13" t="str">
        <f aca="false">IF(J31="","",J31+M31)</f>
        <v/>
      </c>
      <c r="O31" s="13" t="str">
        <f aca="false">IF(K31="","",K31+M31)</f>
        <v/>
      </c>
      <c r="P31" s="13" t="str">
        <f aca="false">IF(L31="","",L31+M31)</f>
        <v/>
      </c>
      <c r="Q31" s="31" t="str">
        <f aca="false">IF(OR(C31="",C31=0,N31=""),"",1-N31/C31)</f>
        <v/>
      </c>
      <c r="R31" s="31" t="str">
        <f aca="false">IF(OR(D31="",D31=0,O31=""),"",1-O31/D31)</f>
        <v/>
      </c>
      <c r="S31" s="31" t="str">
        <f aca="false">IF(OR(E31="",E31=0,P31=""),"",1-P31/E31)</f>
        <v/>
      </c>
      <c r="T31" s="32" t="str">
        <f aca="false">IF(OR(N31="",O31=""),"",N31-O31)</f>
        <v/>
      </c>
      <c r="U31" s="32" t="str">
        <f aca="false">IF(OR(N31="",P31=""),"",N31-P31)</f>
        <v/>
      </c>
    </row>
    <row r="32" customFormat="false" ht="15" hidden="false" customHeight="true" outlineLevel="0" collapsed="false">
      <c r="A32" s="27" t="n">
        <v>46226</v>
      </c>
      <c r="B32" s="28" t="s">
        <v>37</v>
      </c>
      <c r="C32" s="12"/>
      <c r="D32" s="12"/>
      <c r="E32" s="12"/>
      <c r="F32" s="12"/>
      <c r="G32" s="12"/>
      <c r="H32" s="12"/>
      <c r="I32" s="29"/>
      <c r="J32" s="30" t="str">
        <f aca="false">IF(I32="","",ROUND(F32*(1-I32),0))</f>
        <v/>
      </c>
      <c r="K32" s="30" t="str">
        <f aca="false">IF(I32="","",ROUND(G32*(1-I32),0))</f>
        <v/>
      </c>
      <c r="L32" s="30" t="str">
        <f aca="false">IF(I32="","",ROUND(H32*(1-I32),0))</f>
        <v/>
      </c>
      <c r="M32" s="30" t="n">
        <f aca="false">$F$7</f>
        <v>0</v>
      </c>
      <c r="N32" s="13" t="str">
        <f aca="false">IF(J32="","",J32+M32)</f>
        <v/>
      </c>
      <c r="O32" s="13" t="str">
        <f aca="false">IF(K32="","",K32+M32)</f>
        <v/>
      </c>
      <c r="P32" s="13" t="str">
        <f aca="false">IF(L32="","",L32+M32)</f>
        <v/>
      </c>
      <c r="Q32" s="31" t="str">
        <f aca="false">IF(OR(C32="",C32=0,N32=""),"",1-N32/C32)</f>
        <v/>
      </c>
      <c r="R32" s="31" t="str">
        <f aca="false">IF(OR(D32="",D32=0,O32=""),"",1-O32/D32)</f>
        <v/>
      </c>
      <c r="S32" s="31" t="str">
        <f aca="false">IF(OR(E32="",E32=0,P32=""),"",1-P32/E32)</f>
        <v/>
      </c>
      <c r="T32" s="32" t="str">
        <f aca="false">IF(OR(N32="",O32=""),"",N32-O32)</f>
        <v/>
      </c>
      <c r="U32" s="32" t="str">
        <f aca="false">IF(OR(N32="",P32=""),"",N32-P32)</f>
        <v/>
      </c>
    </row>
    <row r="33" customFormat="false" ht="15" hidden="false" customHeight="true" outlineLevel="0" collapsed="false">
      <c r="A33" s="27" t="n">
        <v>46227</v>
      </c>
      <c r="B33" s="28" t="s">
        <v>38</v>
      </c>
      <c r="C33" s="12"/>
      <c r="D33" s="12"/>
      <c r="E33" s="12"/>
      <c r="F33" s="12"/>
      <c r="G33" s="12"/>
      <c r="H33" s="12"/>
      <c r="I33" s="29"/>
      <c r="J33" s="30" t="str">
        <f aca="false">IF(I33="","",ROUND(F33*(1-I33),0))</f>
        <v/>
      </c>
      <c r="K33" s="30" t="str">
        <f aca="false">IF(I33="","",ROUND(G33*(1-I33),0))</f>
        <v/>
      </c>
      <c r="L33" s="30" t="str">
        <f aca="false">IF(I33="","",ROUND(H33*(1-I33),0))</f>
        <v/>
      </c>
      <c r="M33" s="30" t="n">
        <f aca="false">$F$7</f>
        <v>0</v>
      </c>
      <c r="N33" s="13" t="str">
        <f aca="false">IF(J33="","",J33+M33)</f>
        <v/>
      </c>
      <c r="O33" s="13" t="str">
        <f aca="false">IF(K33="","",K33+M33)</f>
        <v/>
      </c>
      <c r="P33" s="13" t="str">
        <f aca="false">IF(L33="","",L33+M33)</f>
        <v/>
      </c>
      <c r="Q33" s="31" t="str">
        <f aca="false">IF(OR(C33="",C33=0,N33=""),"",1-N33/C33)</f>
        <v/>
      </c>
      <c r="R33" s="31" t="str">
        <f aca="false">IF(OR(D33="",D33=0,O33=""),"",1-O33/D33)</f>
        <v/>
      </c>
      <c r="S33" s="31" t="str">
        <f aca="false">IF(OR(E33="",E33=0,P33=""),"",1-P33/E33)</f>
        <v/>
      </c>
      <c r="T33" s="32" t="str">
        <f aca="false">IF(OR(N33="",O33=""),"",N33-O33)</f>
        <v/>
      </c>
      <c r="U33" s="32" t="str">
        <f aca="false">IF(OR(N33="",P33=""),"",N33-P33)</f>
        <v/>
      </c>
    </row>
    <row r="34" customFormat="false" ht="15" hidden="false" customHeight="true" outlineLevel="0" collapsed="false">
      <c r="A34" s="27" t="n">
        <v>46228</v>
      </c>
      <c r="B34" s="33" t="s">
        <v>39</v>
      </c>
      <c r="C34" s="12"/>
      <c r="D34" s="12"/>
      <c r="E34" s="12"/>
      <c r="F34" s="12"/>
      <c r="G34" s="12"/>
      <c r="H34" s="12"/>
      <c r="I34" s="29"/>
      <c r="J34" s="30" t="str">
        <f aca="false">IF(I34="","",ROUND(F34*(1-I34),0))</f>
        <v/>
      </c>
      <c r="K34" s="30" t="str">
        <f aca="false">IF(I34="","",ROUND(G34*(1-I34),0))</f>
        <v/>
      </c>
      <c r="L34" s="30" t="str">
        <f aca="false">IF(I34="","",ROUND(H34*(1-I34),0))</f>
        <v/>
      </c>
      <c r="M34" s="30" t="n">
        <f aca="false">$F$7</f>
        <v>0</v>
      </c>
      <c r="N34" s="13" t="str">
        <f aca="false">IF(J34="","",J34+M34)</f>
        <v/>
      </c>
      <c r="O34" s="13" t="str">
        <f aca="false">IF(K34="","",K34+M34)</f>
        <v/>
      </c>
      <c r="P34" s="13" t="str">
        <f aca="false">IF(L34="","",L34+M34)</f>
        <v/>
      </c>
      <c r="Q34" s="31" t="str">
        <f aca="false">IF(OR(C34="",C34=0,N34=""),"",1-N34/C34)</f>
        <v/>
      </c>
      <c r="R34" s="31" t="str">
        <f aca="false">IF(OR(D34="",D34=0,O34=""),"",1-O34/D34)</f>
        <v/>
      </c>
      <c r="S34" s="31" t="str">
        <f aca="false">IF(OR(E34="",E34=0,P34=""),"",1-P34/E34)</f>
        <v/>
      </c>
      <c r="T34" s="32" t="str">
        <f aca="false">IF(OR(N34="",O34=""),"",N34-O34)</f>
        <v/>
      </c>
      <c r="U34" s="32" t="str">
        <f aca="false">IF(OR(N34="",P34=""),"",N34-P34)</f>
        <v/>
      </c>
    </row>
    <row r="35" customFormat="false" ht="15" hidden="false" customHeight="true" outlineLevel="0" collapsed="false">
      <c r="A35" s="27" t="n">
        <v>46229</v>
      </c>
      <c r="B35" s="33" t="s">
        <v>40</v>
      </c>
      <c r="C35" s="12"/>
      <c r="D35" s="12"/>
      <c r="E35" s="12"/>
      <c r="F35" s="12"/>
      <c r="G35" s="12"/>
      <c r="H35" s="12"/>
      <c r="I35" s="29"/>
      <c r="J35" s="30" t="str">
        <f aca="false">IF(I35="","",ROUND(F35*(1-I35),0))</f>
        <v/>
      </c>
      <c r="K35" s="30" t="str">
        <f aca="false">IF(I35="","",ROUND(G35*(1-I35),0))</f>
        <v/>
      </c>
      <c r="L35" s="30" t="str">
        <f aca="false">IF(I35="","",ROUND(H35*(1-I35),0))</f>
        <v/>
      </c>
      <c r="M35" s="30" t="n">
        <f aca="false">$F$7</f>
        <v>0</v>
      </c>
      <c r="N35" s="13" t="str">
        <f aca="false">IF(J35="","",J35+M35)</f>
        <v/>
      </c>
      <c r="O35" s="13" t="str">
        <f aca="false">IF(K35="","",K35+M35)</f>
        <v/>
      </c>
      <c r="P35" s="13" t="str">
        <f aca="false">IF(L35="","",L35+M35)</f>
        <v/>
      </c>
      <c r="Q35" s="31" t="str">
        <f aca="false">IF(OR(C35="",C35=0,N35=""),"",1-N35/C35)</f>
        <v/>
      </c>
      <c r="R35" s="31" t="str">
        <f aca="false">IF(OR(D35="",D35=0,O35=""),"",1-O35/D35)</f>
        <v/>
      </c>
      <c r="S35" s="31" t="str">
        <f aca="false">IF(OR(E35="",E35=0,P35=""),"",1-P35/E35)</f>
        <v/>
      </c>
      <c r="T35" s="32" t="str">
        <f aca="false">IF(OR(N35="",O35=""),"",N35-O35)</f>
        <v/>
      </c>
      <c r="U35" s="32" t="str">
        <f aca="false">IF(OR(N35="",P35=""),"",N35-P35)</f>
        <v/>
      </c>
    </row>
    <row r="36" customFormat="false" ht="15" hidden="false" customHeight="true" outlineLevel="0" collapsed="false">
      <c r="A36" s="27" t="n">
        <v>46230</v>
      </c>
      <c r="B36" s="28" t="s">
        <v>41</v>
      </c>
      <c r="C36" s="12"/>
      <c r="D36" s="12"/>
      <c r="E36" s="12"/>
      <c r="F36" s="12"/>
      <c r="G36" s="12"/>
      <c r="H36" s="12"/>
      <c r="I36" s="29"/>
      <c r="J36" s="30" t="str">
        <f aca="false">IF(I36="","",ROUND(F36*(1-I36),0))</f>
        <v/>
      </c>
      <c r="K36" s="30" t="str">
        <f aca="false">IF(I36="","",ROUND(G36*(1-I36),0))</f>
        <v/>
      </c>
      <c r="L36" s="30" t="str">
        <f aca="false">IF(I36="","",ROUND(H36*(1-I36),0))</f>
        <v/>
      </c>
      <c r="M36" s="30" t="n">
        <f aca="false">$F$7</f>
        <v>0</v>
      </c>
      <c r="N36" s="13" t="str">
        <f aca="false">IF(J36="","",J36+M36)</f>
        <v/>
      </c>
      <c r="O36" s="13" t="str">
        <f aca="false">IF(K36="","",K36+M36)</f>
        <v/>
      </c>
      <c r="P36" s="13" t="str">
        <f aca="false">IF(L36="","",L36+M36)</f>
        <v/>
      </c>
      <c r="Q36" s="31" t="str">
        <f aca="false">IF(OR(C36="",C36=0,N36=""),"",1-N36/C36)</f>
        <v/>
      </c>
      <c r="R36" s="31" t="str">
        <f aca="false">IF(OR(D36="",D36=0,O36=""),"",1-O36/D36)</f>
        <v/>
      </c>
      <c r="S36" s="31" t="str">
        <f aca="false">IF(OR(E36="",E36=0,P36=""),"",1-P36/E36)</f>
        <v/>
      </c>
      <c r="T36" s="32" t="str">
        <f aca="false">IF(OR(N36="",O36=""),"",N36-O36)</f>
        <v/>
      </c>
      <c r="U36" s="32" t="str">
        <f aca="false">IF(OR(N36="",P36=""),"",N36-P36)</f>
        <v/>
      </c>
    </row>
    <row r="37" customFormat="false" ht="15" hidden="false" customHeight="true" outlineLevel="0" collapsed="false">
      <c r="A37" s="27" t="n">
        <v>46231</v>
      </c>
      <c r="B37" s="28" t="s">
        <v>42</v>
      </c>
      <c r="C37" s="12"/>
      <c r="D37" s="12"/>
      <c r="E37" s="12"/>
      <c r="F37" s="12"/>
      <c r="G37" s="12"/>
      <c r="H37" s="12"/>
      <c r="I37" s="29"/>
      <c r="J37" s="30" t="str">
        <f aca="false">IF(I37="","",ROUND(F37*(1-I37),0))</f>
        <v/>
      </c>
      <c r="K37" s="30" t="str">
        <f aca="false">IF(I37="","",ROUND(G37*(1-I37),0))</f>
        <v/>
      </c>
      <c r="L37" s="30" t="str">
        <f aca="false">IF(I37="","",ROUND(H37*(1-I37),0))</f>
        <v/>
      </c>
      <c r="M37" s="30" t="n">
        <f aca="false">$F$7</f>
        <v>0</v>
      </c>
      <c r="N37" s="13" t="str">
        <f aca="false">IF(J37="","",J37+M37)</f>
        <v/>
      </c>
      <c r="O37" s="13" t="str">
        <f aca="false">IF(K37="","",K37+M37)</f>
        <v/>
      </c>
      <c r="P37" s="13" t="str">
        <f aca="false">IF(L37="","",L37+M37)</f>
        <v/>
      </c>
      <c r="Q37" s="31" t="str">
        <f aca="false">IF(OR(C37="",C37=0,N37=""),"",1-N37/C37)</f>
        <v/>
      </c>
      <c r="R37" s="31" t="str">
        <f aca="false">IF(OR(D37="",D37=0,O37=""),"",1-O37/D37)</f>
        <v/>
      </c>
      <c r="S37" s="31" t="str">
        <f aca="false">IF(OR(E37="",E37=0,P37=""),"",1-P37/E37)</f>
        <v/>
      </c>
      <c r="T37" s="32" t="str">
        <f aca="false">IF(OR(N37="",O37=""),"",N37-O37)</f>
        <v/>
      </c>
      <c r="U37" s="32" t="str">
        <f aca="false">IF(OR(N37="",P37=""),"",N37-P37)</f>
        <v/>
      </c>
    </row>
    <row r="38" customFormat="false" ht="15" hidden="false" customHeight="true" outlineLevel="0" collapsed="false">
      <c r="A38" s="27" t="n">
        <v>46232</v>
      </c>
      <c r="B38" s="28" t="s">
        <v>36</v>
      </c>
      <c r="C38" s="12"/>
      <c r="D38" s="12"/>
      <c r="E38" s="12"/>
      <c r="F38" s="12"/>
      <c r="G38" s="12"/>
      <c r="H38" s="12"/>
      <c r="I38" s="29"/>
      <c r="J38" s="30" t="str">
        <f aca="false">IF(I38="","",ROUND(F38*(1-I38),0))</f>
        <v/>
      </c>
      <c r="K38" s="30" t="str">
        <f aca="false">IF(I38="","",ROUND(G38*(1-I38),0))</f>
        <v/>
      </c>
      <c r="L38" s="30" t="str">
        <f aca="false">IF(I38="","",ROUND(H38*(1-I38),0))</f>
        <v/>
      </c>
      <c r="M38" s="30" t="n">
        <f aca="false">$F$7</f>
        <v>0</v>
      </c>
      <c r="N38" s="13" t="str">
        <f aca="false">IF(J38="","",J38+M38)</f>
        <v/>
      </c>
      <c r="O38" s="13" t="str">
        <f aca="false">IF(K38="","",K38+M38)</f>
        <v/>
      </c>
      <c r="P38" s="13" t="str">
        <f aca="false">IF(L38="","",L38+M38)</f>
        <v/>
      </c>
      <c r="Q38" s="31" t="str">
        <f aca="false">IF(OR(C38="",C38=0,N38=""),"",1-N38/C38)</f>
        <v/>
      </c>
      <c r="R38" s="31" t="str">
        <f aca="false">IF(OR(D38="",D38=0,O38=""),"",1-O38/D38)</f>
        <v/>
      </c>
      <c r="S38" s="31" t="str">
        <f aca="false">IF(OR(E38="",E38=0,P38=""),"",1-P38/E38)</f>
        <v/>
      </c>
      <c r="T38" s="32" t="str">
        <f aca="false">IF(OR(N38="",O38=""),"",N38-O38)</f>
        <v/>
      </c>
      <c r="U38" s="32" t="str">
        <f aca="false">IF(OR(N38="",P38=""),"",N38-P38)</f>
        <v/>
      </c>
    </row>
    <row r="39" customFormat="false" ht="15" hidden="false" customHeight="true" outlineLevel="0" collapsed="false">
      <c r="A39" s="27" t="n">
        <v>46233</v>
      </c>
      <c r="B39" s="28" t="s">
        <v>37</v>
      </c>
      <c r="C39" s="12"/>
      <c r="D39" s="12"/>
      <c r="E39" s="12"/>
      <c r="F39" s="12"/>
      <c r="G39" s="12"/>
      <c r="H39" s="12"/>
      <c r="I39" s="29"/>
      <c r="J39" s="30" t="str">
        <f aca="false">IF(I39="","",ROUND(F39*(1-I39),0))</f>
        <v/>
      </c>
      <c r="K39" s="30" t="str">
        <f aca="false">IF(I39="","",ROUND(G39*(1-I39),0))</f>
        <v/>
      </c>
      <c r="L39" s="30" t="str">
        <f aca="false">IF(I39="","",ROUND(H39*(1-I39),0))</f>
        <v/>
      </c>
      <c r="M39" s="30" t="n">
        <f aca="false">$F$7</f>
        <v>0</v>
      </c>
      <c r="N39" s="13" t="str">
        <f aca="false">IF(J39="","",J39+M39)</f>
        <v/>
      </c>
      <c r="O39" s="13" t="str">
        <f aca="false">IF(K39="","",K39+M39)</f>
        <v/>
      </c>
      <c r="P39" s="13" t="str">
        <f aca="false">IF(L39="","",L39+M39)</f>
        <v/>
      </c>
      <c r="Q39" s="31" t="str">
        <f aca="false">IF(OR(C39="",C39=0,N39=""),"",1-N39/C39)</f>
        <v/>
      </c>
      <c r="R39" s="31" t="str">
        <f aca="false">IF(OR(D39="",D39=0,O39=""),"",1-O39/D39)</f>
        <v/>
      </c>
      <c r="S39" s="31" t="str">
        <f aca="false">IF(OR(E39="",E39=0,P39=""),"",1-P39/E39)</f>
        <v/>
      </c>
      <c r="T39" s="32" t="str">
        <f aca="false">IF(OR(N39="",O39=""),"",N39-O39)</f>
        <v/>
      </c>
      <c r="U39" s="32" t="str">
        <f aca="false">IF(OR(N39="",P39=""),"",N39-P39)</f>
        <v/>
      </c>
    </row>
    <row r="40" customFormat="false" ht="15" hidden="false" customHeight="true" outlineLevel="0" collapsed="false">
      <c r="A40" s="27" t="n">
        <v>46234</v>
      </c>
      <c r="B40" s="28" t="s">
        <v>38</v>
      </c>
      <c r="C40" s="12"/>
      <c r="D40" s="12"/>
      <c r="E40" s="12"/>
      <c r="F40" s="12"/>
      <c r="G40" s="12"/>
      <c r="H40" s="12"/>
      <c r="I40" s="29"/>
      <c r="J40" s="30" t="str">
        <f aca="false">IF(I40="","",ROUND(F40*(1-I40),0))</f>
        <v/>
      </c>
      <c r="K40" s="30" t="str">
        <f aca="false">IF(I40="","",ROUND(G40*(1-I40),0))</f>
        <v/>
      </c>
      <c r="L40" s="30" t="str">
        <f aca="false">IF(I40="","",ROUND(H40*(1-I40),0))</f>
        <v/>
      </c>
      <c r="M40" s="30" t="n">
        <f aca="false">$F$7</f>
        <v>0</v>
      </c>
      <c r="N40" s="13" t="str">
        <f aca="false">IF(J40="","",J40+M40)</f>
        <v/>
      </c>
      <c r="O40" s="13" t="str">
        <f aca="false">IF(K40="","",K40+M40)</f>
        <v/>
      </c>
      <c r="P40" s="13" t="str">
        <f aca="false">IF(L40="","",L40+M40)</f>
        <v/>
      </c>
      <c r="Q40" s="31" t="str">
        <f aca="false">IF(OR(C40="",C40=0,N40=""),"",1-N40/C40)</f>
        <v/>
      </c>
      <c r="R40" s="31" t="str">
        <f aca="false">IF(OR(D40="",D40=0,O40=""),"",1-O40/D40)</f>
        <v/>
      </c>
      <c r="S40" s="31" t="str">
        <f aca="false">IF(OR(E40="",E40=0,P40=""),"",1-P40/E40)</f>
        <v/>
      </c>
      <c r="T40" s="32" t="str">
        <f aca="false">IF(OR(N40="",O40=""),"",N40-O40)</f>
        <v/>
      </c>
      <c r="U40" s="32" t="str">
        <f aca="false">IF(OR(N40="",P40=""),"",N40-P40)</f>
        <v/>
      </c>
    </row>
    <row r="41" customFormat="false" ht="23.25" hidden="false" customHeight="true" outlineLevel="0" collapsed="false">
      <c r="A41" s="15" t="s">
        <v>43</v>
      </c>
      <c r="B41" s="15"/>
      <c r="C41" s="34" t="e">
        <f aca="false">AVERAGE(C10:C40)</f>
        <v>#DIV/0!</v>
      </c>
      <c r="D41" s="34" t="e">
        <f aca="false">AVERAGE(D10:D40)</f>
        <v>#DIV/0!</v>
      </c>
      <c r="E41" s="34" t="e">
        <f aca="false">AVERAGE(E10:E40)</f>
        <v>#DIV/0!</v>
      </c>
      <c r="F41" s="34" t="e">
        <f aca="false">AVERAGE(F10:F40)</f>
        <v>#DIV/0!</v>
      </c>
      <c r="G41" s="34" t="e">
        <f aca="false">AVERAGE(G10:G40)</f>
        <v>#DIV/0!</v>
      </c>
      <c r="H41" s="34" t="e">
        <f aca="false">AVERAGE(H10:H40)</f>
        <v>#DIV/0!</v>
      </c>
      <c r="I41" s="35" t="e">
        <f aca="false">AVERAGE(I10:I40)</f>
        <v>#DIV/0!</v>
      </c>
      <c r="J41" s="34" t="e">
        <f aca="false">AVERAGE(J10:J40)</f>
        <v>#DIV/0!</v>
      </c>
      <c r="K41" s="34" t="e">
        <f aca="false">AVERAGE(K10:K40)</f>
        <v>#DIV/0!</v>
      </c>
      <c r="L41" s="34" t="e">
        <f aca="false">AVERAGE(L10:L40)</f>
        <v>#DIV/0!</v>
      </c>
      <c r="M41" s="36" t="n">
        <f aca="false">$F$7</f>
        <v>0</v>
      </c>
      <c r="N41" s="34" t="e">
        <f aca="false">AVERAGE(N10:N40)</f>
        <v>#DIV/0!</v>
      </c>
      <c r="O41" s="34" t="e">
        <f aca="false">AVERAGE(O10:O40)</f>
        <v>#DIV/0!</v>
      </c>
      <c r="P41" s="34" t="e">
        <f aca="false">AVERAGE(P10:P40)</f>
        <v>#DIV/0!</v>
      </c>
      <c r="Q41" s="35" t="e">
        <f aca="false">AVERAGE(Q10:Q40)</f>
        <v>#DIV/0!</v>
      </c>
      <c r="R41" s="35" t="e">
        <f aca="false">AVERAGE(R10:R40)</f>
        <v>#DIV/0!</v>
      </c>
      <c r="S41" s="35" t="e">
        <f aca="false">AVERAGE(S10:S40)</f>
        <v>#DIV/0!</v>
      </c>
      <c r="T41" s="37" t="e">
        <f aca="false">AVERAGE(T10:T40)</f>
        <v>#DIV/0!</v>
      </c>
      <c r="U41" s="37" t="e">
        <f aca="false">AVERAGE(U10:U40)</f>
        <v>#DIV/0!</v>
      </c>
    </row>
    <row r="42" customFormat="false" ht="15" hidden="false" customHeight="true" outlineLevel="0" collapsed="false">
      <c r="A42" s="15" t="s">
        <v>44</v>
      </c>
      <c r="B42" s="15"/>
      <c r="C42" s="34" t="n">
        <f aca="false">MAX(C10:C40)</f>
        <v>0</v>
      </c>
      <c r="D42" s="34" t="n">
        <f aca="false">MAX(D10:D40)</f>
        <v>0</v>
      </c>
      <c r="E42" s="34" t="n">
        <f aca="false">MAX(E10:E40)</f>
        <v>0</v>
      </c>
      <c r="F42" s="34" t="n">
        <f aca="false">MAX(F10:F40)</f>
        <v>0</v>
      </c>
      <c r="G42" s="34" t="n">
        <f aca="false">MAX(G10:G40)</f>
        <v>0</v>
      </c>
      <c r="H42" s="34" t="n">
        <f aca="false">MAX(H10:H40)</f>
        <v>0</v>
      </c>
      <c r="J42" s="34" t="n">
        <f aca="false">MAX(J10:J40)</f>
        <v>0</v>
      </c>
      <c r="K42" s="34" t="n">
        <f aca="false">MAX(K10:K40)</f>
        <v>0</v>
      </c>
      <c r="L42" s="34" t="n">
        <f aca="false">MAX(L10:L40)</f>
        <v>0</v>
      </c>
      <c r="M42" s="36" t="n">
        <f aca="false">$F$7</f>
        <v>0</v>
      </c>
      <c r="N42" s="34" t="n">
        <f aca="false">MAX(N10:N40)</f>
        <v>0</v>
      </c>
      <c r="O42" s="34" t="n">
        <f aca="false">MAX(O10:O40)</f>
        <v>0</v>
      </c>
      <c r="P42" s="34" t="n">
        <f aca="false">MAX(P10:P40)</f>
        <v>0</v>
      </c>
      <c r="Q42" s="35" t="n">
        <f aca="false">MAX(Q10:Q40)</f>
        <v>0</v>
      </c>
      <c r="R42" s="35" t="n">
        <f aca="false">MAX(R10:R40)</f>
        <v>0</v>
      </c>
      <c r="S42" s="35" t="n">
        <f aca="false">MAX(S10:S40)</f>
        <v>0</v>
      </c>
      <c r="T42" s="37" t="n">
        <f aca="false">MAX(T10:T40)</f>
        <v>0</v>
      </c>
      <c r="U42" s="37" t="n">
        <f aca="false">MAX(U10:U40)</f>
        <v>0</v>
      </c>
    </row>
    <row r="43" customFormat="false" ht="15" hidden="false" customHeight="true" outlineLevel="0" collapsed="false">
      <c r="A43" s="15" t="s">
        <v>45</v>
      </c>
      <c r="B43" s="15"/>
      <c r="C43" s="34" t="n">
        <f aca="false">MIN(C10:C40)</f>
        <v>0</v>
      </c>
      <c r="D43" s="34" t="n">
        <f aca="false">MIN(D10:D40)</f>
        <v>0</v>
      </c>
      <c r="E43" s="34" t="n">
        <f aca="false">MIN(E10:E40)</f>
        <v>0</v>
      </c>
      <c r="F43" s="34" t="n">
        <f aca="false">MIN(F10:F40)</f>
        <v>0</v>
      </c>
      <c r="G43" s="34" t="n">
        <f aca="false">MIN(G10:G40)</f>
        <v>0</v>
      </c>
      <c r="H43" s="34" t="n">
        <f aca="false">MIN(H10:H40)</f>
        <v>0</v>
      </c>
      <c r="J43" s="34" t="n">
        <f aca="false">MIN(J10:J40)</f>
        <v>0</v>
      </c>
      <c r="K43" s="34" t="n">
        <f aca="false">MIN(K10:K40)</f>
        <v>0</v>
      </c>
      <c r="L43" s="34" t="n">
        <f aca="false">MIN(L10:L40)</f>
        <v>0</v>
      </c>
      <c r="M43" s="36" t="n">
        <f aca="false">$F$7</f>
        <v>0</v>
      </c>
      <c r="N43" s="34" t="n">
        <f aca="false">MIN(N10:N40)</f>
        <v>0</v>
      </c>
      <c r="O43" s="34" t="n">
        <f aca="false">MIN(O10:O40)</f>
        <v>0</v>
      </c>
      <c r="P43" s="34" t="n">
        <f aca="false">MIN(P10:P40)</f>
        <v>0</v>
      </c>
      <c r="Q43" s="35" t="n">
        <f aca="false">MIN(Q10:Q40)</f>
        <v>0</v>
      </c>
      <c r="R43" s="35" t="n">
        <f aca="false">MIN(R10:R40)</f>
        <v>0</v>
      </c>
      <c r="S43" s="35" t="n">
        <f aca="false">MIN(S10:S40)</f>
        <v>0</v>
      </c>
      <c r="T43" s="37" t="n">
        <f aca="false">MIN(T10:T40)</f>
        <v>0</v>
      </c>
      <c r="U43" s="37" t="n">
        <f aca="false">MIN(U10:U40)</f>
        <v>0</v>
      </c>
    </row>
  </sheetData>
  <mergeCells count="14">
    <mergeCell ref="A1:U1"/>
    <mergeCell ref="A2:U2"/>
    <mergeCell ref="A6:B6"/>
    <mergeCell ref="A7:B7"/>
    <mergeCell ref="A8:B8"/>
    <mergeCell ref="C8:E8"/>
    <mergeCell ref="F8:H8"/>
    <mergeCell ref="J8:L8"/>
    <mergeCell ref="N8:P8"/>
    <mergeCell ref="Q8:S8"/>
    <mergeCell ref="T8:U8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"/>
    <col collapsed="false" customWidth="true" hidden="false" outlineLevel="0" max="8" min="3" style="1" width="10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6" min="14" style="1" width="11"/>
    <col collapsed="false" customWidth="true" hidden="false" outlineLevel="0" max="19" min="17" style="1" width="8"/>
    <col collapsed="false" customWidth="true" hidden="false" outlineLevel="0" max="21" min="20" style="1" width="10"/>
  </cols>
  <sheetData>
    <row r="1" customFormat="false" ht="30" hidden="false" customHeight="true" outlineLevel="0" collapsed="false">
      <c r="A1" s="40" t="s">
        <v>48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1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5</v>
      </c>
      <c r="F4" s="1" t="s">
        <v>6</v>
      </c>
      <c r="G4" s="5" t="s">
        <v>7</v>
      </c>
      <c r="I4" s="4" t="s">
        <v>8</v>
      </c>
      <c r="J4" s="5" t="s">
        <v>9</v>
      </c>
      <c r="L4" s="4" t="s">
        <v>10</v>
      </c>
      <c r="M4" s="41" t="s">
        <v>49</v>
      </c>
    </row>
    <row r="6" customFormat="false" ht="15" hidden="false" customHeight="true" outlineLevel="0" collapsed="false">
      <c r="A6" s="7" t="s">
        <v>12</v>
      </c>
      <c r="B6" s="7"/>
      <c r="C6" s="8" t="s">
        <v>13</v>
      </c>
      <c r="D6" s="8" t="s">
        <v>14</v>
      </c>
      <c r="E6" s="8" t="s">
        <v>15</v>
      </c>
      <c r="F6" s="9" t="s">
        <v>16</v>
      </c>
      <c r="G6" s="10"/>
      <c r="H6" s="10"/>
      <c r="I6" s="10"/>
      <c r="J6" s="10"/>
    </row>
    <row r="7" customFormat="false" ht="15" hidden="false" customHeight="true" outlineLevel="0" collapsed="false">
      <c r="A7" s="11" t="s">
        <v>17</v>
      </c>
      <c r="B7" s="11"/>
      <c r="C7" s="12"/>
      <c r="D7" s="12"/>
      <c r="E7" s="12"/>
      <c r="F7" s="13" t="n">
        <f aca="false">SUM(C7:E7)</f>
        <v>0</v>
      </c>
      <c r="G7" s="14"/>
      <c r="H7" s="14"/>
      <c r="I7" s="14"/>
      <c r="J7" s="14"/>
    </row>
    <row r="8" customFormat="false" ht="18" hidden="false" customHeight="true" outlineLevel="0" collapsed="false">
      <c r="A8" s="15" t="s">
        <v>18</v>
      </c>
      <c r="B8" s="15"/>
      <c r="C8" s="8" t="s">
        <v>19</v>
      </c>
      <c r="D8" s="8"/>
      <c r="E8" s="8"/>
      <c r="F8" s="16" t="s">
        <v>20</v>
      </c>
      <c r="G8" s="16"/>
      <c r="H8" s="16"/>
      <c r="I8" s="17" t="s">
        <v>21</v>
      </c>
      <c r="J8" s="18" t="s">
        <v>22</v>
      </c>
      <c r="K8" s="18"/>
      <c r="L8" s="18"/>
      <c r="M8" s="19" t="s">
        <v>23</v>
      </c>
      <c r="N8" s="9" t="s">
        <v>24</v>
      </c>
      <c r="O8" s="9"/>
      <c r="P8" s="9"/>
      <c r="Q8" s="20" t="s">
        <v>25</v>
      </c>
      <c r="R8" s="20"/>
      <c r="S8" s="20"/>
      <c r="T8" s="21" t="s">
        <v>26</v>
      </c>
      <c r="U8" s="21"/>
    </row>
    <row r="9" customFormat="false" ht="36" hidden="false" customHeight="true" outlineLevel="0" collapsed="false">
      <c r="A9" s="15" t="s">
        <v>27</v>
      </c>
      <c r="B9" s="15" t="s">
        <v>28</v>
      </c>
      <c r="C9" s="8" t="s">
        <v>29</v>
      </c>
      <c r="D9" s="8" t="s">
        <v>30</v>
      </c>
      <c r="E9" s="22" t="s">
        <v>31</v>
      </c>
      <c r="F9" s="16" t="s">
        <v>29</v>
      </c>
      <c r="G9" s="16" t="s">
        <v>30</v>
      </c>
      <c r="H9" s="23" t="s">
        <v>31</v>
      </c>
      <c r="I9" s="24" t="s">
        <v>32</v>
      </c>
      <c r="J9" s="18" t="s">
        <v>29</v>
      </c>
      <c r="K9" s="18" t="s">
        <v>30</v>
      </c>
      <c r="L9" s="25" t="s">
        <v>31</v>
      </c>
      <c r="M9" s="19" t="s">
        <v>33</v>
      </c>
      <c r="N9" s="9" t="s">
        <v>29</v>
      </c>
      <c r="O9" s="9" t="s">
        <v>30</v>
      </c>
      <c r="P9" s="26" t="s">
        <v>31</v>
      </c>
      <c r="Q9" s="20" t="s">
        <v>29</v>
      </c>
      <c r="R9" s="20" t="s">
        <v>30</v>
      </c>
      <c r="S9" s="21" t="s">
        <v>31</v>
      </c>
      <c r="T9" s="20" t="s">
        <v>34</v>
      </c>
      <c r="U9" s="20" t="s">
        <v>35</v>
      </c>
    </row>
    <row r="10" customFormat="false" ht="15" hidden="false" customHeight="true" outlineLevel="0" collapsed="false">
      <c r="A10" s="27" t="n">
        <v>46204</v>
      </c>
      <c r="B10" s="28" t="s">
        <v>36</v>
      </c>
      <c r="C10" s="12"/>
      <c r="D10" s="12"/>
      <c r="E10" s="12"/>
      <c r="F10" s="12"/>
      <c r="G10" s="12"/>
      <c r="H10" s="12"/>
      <c r="I10" s="29"/>
      <c r="J10" s="30" t="str">
        <f aca="false">IF(I10="","",ROUND(F10*(1-I10),0))</f>
        <v/>
      </c>
      <c r="K10" s="30" t="str">
        <f aca="false">IF(I10="","",ROUND(G10*(1-I10),0))</f>
        <v/>
      </c>
      <c r="L10" s="30" t="str">
        <f aca="false">IF(I10="","",ROUND(H10*(1-I10),0))</f>
        <v/>
      </c>
      <c r="M10" s="30" t="n">
        <f aca="false">$F$7</f>
        <v>0</v>
      </c>
      <c r="N10" s="13" t="str">
        <f aca="false">IF(J10="","",J10+M10)</f>
        <v/>
      </c>
      <c r="O10" s="13" t="str">
        <f aca="false">IF(K10="","",K10+M10)</f>
        <v/>
      </c>
      <c r="P10" s="13" t="str">
        <f aca="false">IF(L10="","",L10+M10)</f>
        <v/>
      </c>
      <c r="Q10" s="31" t="str">
        <f aca="false">IF(OR(C10="",C10=0,N10=""),"",1-N10/C10)</f>
        <v/>
      </c>
      <c r="R10" s="31" t="str">
        <f aca="false">IF(OR(D10="",D10=0,O10=""),"",1-O10/D10)</f>
        <v/>
      </c>
      <c r="S10" s="31" t="str">
        <f aca="false">IF(OR(E10="",E10=0,P10=""),"",1-P10/E10)</f>
        <v/>
      </c>
      <c r="T10" s="32" t="str">
        <f aca="false">IF(OR(N10="",O10=""),"",N10-O10)</f>
        <v/>
      </c>
      <c r="U10" s="32" t="str">
        <f aca="false">IF(OR(N10="",P10=""),"",N10-P10)</f>
        <v/>
      </c>
    </row>
    <row r="11" customFormat="false" ht="15" hidden="false" customHeight="true" outlineLevel="0" collapsed="false">
      <c r="A11" s="27" t="n">
        <v>46205</v>
      </c>
      <c r="B11" s="28" t="s">
        <v>37</v>
      </c>
      <c r="C11" s="12"/>
      <c r="D11" s="12"/>
      <c r="E11" s="12"/>
      <c r="F11" s="12"/>
      <c r="G11" s="12"/>
      <c r="H11" s="12"/>
      <c r="I11" s="29"/>
      <c r="J11" s="30" t="str">
        <f aca="false">IF(I11="","",ROUND(F11*(1-I11),0))</f>
        <v/>
      </c>
      <c r="K11" s="30" t="str">
        <f aca="false">IF(I11="","",ROUND(G11*(1-I11),0))</f>
        <v/>
      </c>
      <c r="L11" s="30" t="str">
        <f aca="false">IF(I11="","",ROUND(H11*(1-I11),0))</f>
        <v/>
      </c>
      <c r="M11" s="30" t="n">
        <f aca="false">$F$7</f>
        <v>0</v>
      </c>
      <c r="N11" s="13" t="str">
        <f aca="false">IF(J11="","",J11+M11)</f>
        <v/>
      </c>
      <c r="O11" s="13" t="str">
        <f aca="false">IF(K11="","",K11+M11)</f>
        <v/>
      </c>
      <c r="P11" s="13" t="str">
        <f aca="false">IF(L11="","",L11+M11)</f>
        <v/>
      </c>
      <c r="Q11" s="31" t="str">
        <f aca="false">IF(OR(C11="",C11=0,N11=""),"",1-N11/C11)</f>
        <v/>
      </c>
      <c r="R11" s="31" t="str">
        <f aca="false">IF(OR(D11="",D11=0,O11=""),"",1-O11/D11)</f>
        <v/>
      </c>
      <c r="S11" s="31" t="str">
        <f aca="false">IF(OR(E11="",E11=0,P11=""),"",1-P11/E11)</f>
        <v/>
      </c>
      <c r="T11" s="32" t="str">
        <f aca="false">IF(OR(N11="",O11=""),"",N11-O11)</f>
        <v/>
      </c>
      <c r="U11" s="32" t="str">
        <f aca="false">IF(OR(N11="",P11=""),"",N11-P11)</f>
        <v/>
      </c>
    </row>
    <row r="12" customFormat="false" ht="15" hidden="false" customHeight="true" outlineLevel="0" collapsed="false">
      <c r="A12" s="27" t="n">
        <v>46206</v>
      </c>
      <c r="B12" s="28" t="s">
        <v>38</v>
      </c>
      <c r="C12" s="12"/>
      <c r="D12" s="12"/>
      <c r="E12" s="12"/>
      <c r="F12" s="12"/>
      <c r="G12" s="12"/>
      <c r="H12" s="12"/>
      <c r="I12" s="29"/>
      <c r="J12" s="30" t="str">
        <f aca="false">IF(I12="","",ROUND(F12*(1-I12),0))</f>
        <v/>
      </c>
      <c r="K12" s="30" t="str">
        <f aca="false">IF(I12="","",ROUND(G12*(1-I12),0))</f>
        <v/>
      </c>
      <c r="L12" s="30" t="str">
        <f aca="false">IF(I12="","",ROUND(H12*(1-I12),0))</f>
        <v/>
      </c>
      <c r="M12" s="30" t="n">
        <f aca="false">$F$7</f>
        <v>0</v>
      </c>
      <c r="N12" s="13" t="str">
        <f aca="false">IF(J12="","",J12+M12)</f>
        <v/>
      </c>
      <c r="O12" s="13" t="str">
        <f aca="false">IF(K12="","",K12+M12)</f>
        <v/>
      </c>
      <c r="P12" s="13" t="str">
        <f aca="false">IF(L12="","",L12+M12)</f>
        <v/>
      </c>
      <c r="Q12" s="31" t="str">
        <f aca="false">IF(OR(C12="",C12=0,N12=""),"",1-N12/C12)</f>
        <v/>
      </c>
      <c r="R12" s="31" t="str">
        <f aca="false">IF(OR(D12="",D12=0,O12=""),"",1-O12/D12)</f>
        <v/>
      </c>
      <c r="S12" s="31" t="str">
        <f aca="false">IF(OR(E12="",E12=0,P12=""),"",1-P12/E12)</f>
        <v/>
      </c>
      <c r="T12" s="32" t="str">
        <f aca="false">IF(OR(N12="",O12=""),"",N12-O12)</f>
        <v/>
      </c>
      <c r="U12" s="32" t="str">
        <f aca="false">IF(OR(N12="",P12=""),"",N12-P12)</f>
        <v/>
      </c>
    </row>
    <row r="13" customFormat="false" ht="15" hidden="false" customHeight="true" outlineLevel="0" collapsed="false">
      <c r="A13" s="27" t="n">
        <v>46207</v>
      </c>
      <c r="B13" s="33" t="s">
        <v>39</v>
      </c>
      <c r="C13" s="12"/>
      <c r="D13" s="12"/>
      <c r="E13" s="12"/>
      <c r="F13" s="12"/>
      <c r="G13" s="12"/>
      <c r="H13" s="12"/>
      <c r="I13" s="29"/>
      <c r="J13" s="30" t="str">
        <f aca="false">IF(I13="","",ROUND(F13*(1-I13),0))</f>
        <v/>
      </c>
      <c r="K13" s="30" t="str">
        <f aca="false">IF(I13="","",ROUND(G13*(1-I13),0))</f>
        <v/>
      </c>
      <c r="L13" s="30" t="str">
        <f aca="false">IF(I13="","",ROUND(H13*(1-I13),0))</f>
        <v/>
      </c>
      <c r="M13" s="30" t="n">
        <f aca="false">$F$7</f>
        <v>0</v>
      </c>
      <c r="N13" s="13" t="str">
        <f aca="false">IF(J13="","",J13+M13)</f>
        <v/>
      </c>
      <c r="O13" s="13" t="str">
        <f aca="false">IF(K13="","",K13+M13)</f>
        <v/>
      </c>
      <c r="P13" s="13" t="str">
        <f aca="false">IF(L13="","",L13+M13)</f>
        <v/>
      </c>
      <c r="Q13" s="31" t="str">
        <f aca="false">IF(OR(C13="",C13=0,N13=""),"",1-N13/C13)</f>
        <v/>
      </c>
      <c r="R13" s="31" t="str">
        <f aca="false">IF(OR(D13="",D13=0,O13=""),"",1-O13/D13)</f>
        <v/>
      </c>
      <c r="S13" s="31" t="str">
        <f aca="false">IF(OR(E13="",E13=0,P13=""),"",1-P13/E13)</f>
        <v/>
      </c>
      <c r="T13" s="32" t="str">
        <f aca="false">IF(OR(N13="",O13=""),"",N13-O13)</f>
        <v/>
      </c>
      <c r="U13" s="32" t="str">
        <f aca="false">IF(OR(N13="",P13=""),"",N13-P13)</f>
        <v/>
      </c>
    </row>
    <row r="14" customFormat="false" ht="15" hidden="false" customHeight="true" outlineLevel="0" collapsed="false">
      <c r="A14" s="27" t="n">
        <v>46208</v>
      </c>
      <c r="B14" s="33" t="s">
        <v>40</v>
      </c>
      <c r="C14" s="12"/>
      <c r="D14" s="12"/>
      <c r="E14" s="12"/>
      <c r="F14" s="12"/>
      <c r="G14" s="12"/>
      <c r="H14" s="12"/>
      <c r="I14" s="29"/>
      <c r="J14" s="30" t="str">
        <f aca="false">IF(I14="","",ROUND(F14*(1-I14),0))</f>
        <v/>
      </c>
      <c r="K14" s="30" t="str">
        <f aca="false">IF(I14="","",ROUND(G14*(1-I14),0))</f>
        <v/>
      </c>
      <c r="L14" s="30" t="str">
        <f aca="false">IF(I14="","",ROUND(H14*(1-I14),0))</f>
        <v/>
      </c>
      <c r="M14" s="30" t="n">
        <f aca="false">$F$7</f>
        <v>0</v>
      </c>
      <c r="N14" s="13" t="str">
        <f aca="false">IF(J14="","",J14+M14)</f>
        <v/>
      </c>
      <c r="O14" s="13" t="str">
        <f aca="false">IF(K14="","",K14+M14)</f>
        <v/>
      </c>
      <c r="P14" s="13" t="str">
        <f aca="false">IF(L14="","",L14+M14)</f>
        <v/>
      </c>
      <c r="Q14" s="31" t="str">
        <f aca="false">IF(OR(C14="",C14=0,N14=""),"",1-N14/C14)</f>
        <v/>
      </c>
      <c r="R14" s="31" t="str">
        <f aca="false">IF(OR(D14="",D14=0,O14=""),"",1-O14/D14)</f>
        <v/>
      </c>
      <c r="S14" s="31" t="str">
        <f aca="false">IF(OR(E14="",E14=0,P14=""),"",1-P14/E14)</f>
        <v/>
      </c>
      <c r="T14" s="32" t="str">
        <f aca="false">IF(OR(N14="",O14=""),"",N14-O14)</f>
        <v/>
      </c>
      <c r="U14" s="32" t="str">
        <f aca="false">IF(OR(N14="",P14=""),"",N14-P14)</f>
        <v/>
      </c>
    </row>
    <row r="15" customFormat="false" ht="15" hidden="false" customHeight="true" outlineLevel="0" collapsed="false">
      <c r="A15" s="27" t="n">
        <v>46209</v>
      </c>
      <c r="B15" s="28" t="s">
        <v>41</v>
      </c>
      <c r="C15" s="12"/>
      <c r="D15" s="12"/>
      <c r="E15" s="12"/>
      <c r="F15" s="12"/>
      <c r="G15" s="12"/>
      <c r="H15" s="12"/>
      <c r="I15" s="29"/>
      <c r="J15" s="30" t="str">
        <f aca="false">IF(I15="","",ROUND(F15*(1-I15),0))</f>
        <v/>
      </c>
      <c r="K15" s="30" t="str">
        <f aca="false">IF(I15="","",ROUND(G15*(1-I15),0))</f>
        <v/>
      </c>
      <c r="L15" s="30" t="str">
        <f aca="false">IF(I15="","",ROUND(H15*(1-I15),0))</f>
        <v/>
      </c>
      <c r="M15" s="30" t="n">
        <f aca="false">$F$7</f>
        <v>0</v>
      </c>
      <c r="N15" s="13" t="str">
        <f aca="false">IF(J15="","",J15+M15)</f>
        <v/>
      </c>
      <c r="O15" s="13" t="str">
        <f aca="false">IF(K15="","",K15+M15)</f>
        <v/>
      </c>
      <c r="P15" s="13" t="str">
        <f aca="false">IF(L15="","",L15+M15)</f>
        <v/>
      </c>
      <c r="Q15" s="31" t="str">
        <f aca="false">IF(OR(C15="",C15=0,N15=""),"",1-N15/C15)</f>
        <v/>
      </c>
      <c r="R15" s="31" t="str">
        <f aca="false">IF(OR(D15="",D15=0,O15=""),"",1-O15/D15)</f>
        <v/>
      </c>
      <c r="S15" s="31" t="str">
        <f aca="false">IF(OR(E15="",E15=0,P15=""),"",1-P15/E15)</f>
        <v/>
      </c>
      <c r="T15" s="32" t="str">
        <f aca="false">IF(OR(N15="",O15=""),"",N15-O15)</f>
        <v/>
      </c>
      <c r="U15" s="32" t="str">
        <f aca="false">IF(OR(N15="",P15=""),"",N15-P15)</f>
        <v/>
      </c>
    </row>
    <row r="16" customFormat="false" ht="15" hidden="false" customHeight="true" outlineLevel="0" collapsed="false">
      <c r="A16" s="27" t="n">
        <v>46210</v>
      </c>
      <c r="B16" s="28" t="s">
        <v>42</v>
      </c>
      <c r="C16" s="12"/>
      <c r="D16" s="12"/>
      <c r="E16" s="12"/>
      <c r="F16" s="12"/>
      <c r="G16" s="12"/>
      <c r="H16" s="12"/>
      <c r="I16" s="29"/>
      <c r="J16" s="30" t="str">
        <f aca="false">IF(I16="","",ROUND(F16*(1-I16),0))</f>
        <v/>
      </c>
      <c r="K16" s="30" t="str">
        <f aca="false">IF(I16="","",ROUND(G16*(1-I16),0))</f>
        <v/>
      </c>
      <c r="L16" s="30" t="str">
        <f aca="false">IF(I16="","",ROUND(H16*(1-I16),0))</f>
        <v/>
      </c>
      <c r="M16" s="30" t="n">
        <f aca="false">$F$7</f>
        <v>0</v>
      </c>
      <c r="N16" s="13" t="str">
        <f aca="false">IF(J16="","",J16+M16)</f>
        <v/>
      </c>
      <c r="O16" s="13" t="str">
        <f aca="false">IF(K16="","",K16+M16)</f>
        <v/>
      </c>
      <c r="P16" s="13" t="str">
        <f aca="false">IF(L16="","",L16+M16)</f>
        <v/>
      </c>
      <c r="Q16" s="31" t="str">
        <f aca="false">IF(OR(C16="",C16=0,N16=""),"",1-N16/C16)</f>
        <v/>
      </c>
      <c r="R16" s="31" t="str">
        <f aca="false">IF(OR(D16="",D16=0,O16=""),"",1-O16/D16)</f>
        <v/>
      </c>
      <c r="S16" s="31" t="str">
        <f aca="false">IF(OR(E16="",E16=0,P16=""),"",1-P16/E16)</f>
        <v/>
      </c>
      <c r="T16" s="32" t="str">
        <f aca="false">IF(OR(N16="",O16=""),"",N16-O16)</f>
        <v/>
      </c>
      <c r="U16" s="32" t="str">
        <f aca="false">IF(OR(N16="",P16=""),"",N16-P16)</f>
        <v/>
      </c>
    </row>
    <row r="17" customFormat="false" ht="15" hidden="false" customHeight="true" outlineLevel="0" collapsed="false">
      <c r="A17" s="27" t="n">
        <v>46211</v>
      </c>
      <c r="B17" s="28" t="s">
        <v>36</v>
      </c>
      <c r="C17" s="12"/>
      <c r="D17" s="12"/>
      <c r="E17" s="12"/>
      <c r="F17" s="12"/>
      <c r="G17" s="12"/>
      <c r="H17" s="12"/>
      <c r="I17" s="29"/>
      <c r="J17" s="30" t="str">
        <f aca="false">IF(I17="","",ROUND(F17*(1-I17),0))</f>
        <v/>
      </c>
      <c r="K17" s="30" t="str">
        <f aca="false">IF(I17="","",ROUND(G17*(1-I17),0))</f>
        <v/>
      </c>
      <c r="L17" s="30" t="str">
        <f aca="false">IF(I17="","",ROUND(H17*(1-I17),0))</f>
        <v/>
      </c>
      <c r="M17" s="30" t="n">
        <f aca="false">$F$7</f>
        <v>0</v>
      </c>
      <c r="N17" s="13" t="str">
        <f aca="false">IF(J17="","",J17+M17)</f>
        <v/>
      </c>
      <c r="O17" s="13" t="str">
        <f aca="false">IF(K17="","",K17+M17)</f>
        <v/>
      </c>
      <c r="P17" s="13" t="str">
        <f aca="false">IF(L17="","",L17+M17)</f>
        <v/>
      </c>
      <c r="Q17" s="31" t="str">
        <f aca="false">IF(OR(C17="",C17=0,N17=""),"",1-N17/C17)</f>
        <v/>
      </c>
      <c r="R17" s="31" t="str">
        <f aca="false">IF(OR(D17="",D17=0,O17=""),"",1-O17/D17)</f>
        <v/>
      </c>
      <c r="S17" s="31" t="str">
        <f aca="false">IF(OR(E17="",E17=0,P17=""),"",1-P17/E17)</f>
        <v/>
      </c>
      <c r="T17" s="32" t="str">
        <f aca="false">IF(OR(N17="",O17=""),"",N17-O17)</f>
        <v/>
      </c>
      <c r="U17" s="32" t="str">
        <f aca="false">IF(OR(N17="",P17=""),"",N17-P17)</f>
        <v/>
      </c>
    </row>
    <row r="18" customFormat="false" ht="15" hidden="false" customHeight="true" outlineLevel="0" collapsed="false">
      <c r="A18" s="27" t="n">
        <v>46212</v>
      </c>
      <c r="B18" s="28" t="s">
        <v>37</v>
      </c>
      <c r="C18" s="12"/>
      <c r="D18" s="12"/>
      <c r="E18" s="12"/>
      <c r="F18" s="12"/>
      <c r="G18" s="12"/>
      <c r="H18" s="12"/>
      <c r="I18" s="29"/>
      <c r="J18" s="30" t="str">
        <f aca="false">IF(I18="","",ROUND(F18*(1-I18),0))</f>
        <v/>
      </c>
      <c r="K18" s="30" t="str">
        <f aca="false">IF(I18="","",ROUND(G18*(1-I18),0))</f>
        <v/>
      </c>
      <c r="L18" s="30" t="str">
        <f aca="false">IF(I18="","",ROUND(H18*(1-I18),0))</f>
        <v/>
      </c>
      <c r="M18" s="30" t="n">
        <f aca="false">$F$7</f>
        <v>0</v>
      </c>
      <c r="N18" s="13" t="str">
        <f aca="false">IF(J18="","",J18+M18)</f>
        <v/>
      </c>
      <c r="O18" s="13" t="str">
        <f aca="false">IF(K18="","",K18+M18)</f>
        <v/>
      </c>
      <c r="P18" s="13" t="str">
        <f aca="false">IF(L18="","",L18+M18)</f>
        <v/>
      </c>
      <c r="Q18" s="31" t="str">
        <f aca="false">IF(OR(C18="",C18=0,N18=""),"",1-N18/C18)</f>
        <v/>
      </c>
      <c r="R18" s="31" t="str">
        <f aca="false">IF(OR(D18="",D18=0,O18=""),"",1-O18/D18)</f>
        <v/>
      </c>
      <c r="S18" s="31" t="str">
        <f aca="false">IF(OR(E18="",E18=0,P18=""),"",1-P18/E18)</f>
        <v/>
      </c>
      <c r="T18" s="32" t="str">
        <f aca="false">IF(OR(N18="",O18=""),"",N18-O18)</f>
        <v/>
      </c>
      <c r="U18" s="32" t="str">
        <f aca="false">IF(OR(N18="",P18=""),"",N18-P18)</f>
        <v/>
      </c>
    </row>
    <row r="19" customFormat="false" ht="15" hidden="false" customHeight="true" outlineLevel="0" collapsed="false">
      <c r="A19" s="27" t="n">
        <v>46213</v>
      </c>
      <c r="B19" s="28" t="s">
        <v>38</v>
      </c>
      <c r="C19" s="12"/>
      <c r="D19" s="12"/>
      <c r="E19" s="12"/>
      <c r="F19" s="12"/>
      <c r="G19" s="12"/>
      <c r="H19" s="12"/>
      <c r="I19" s="29"/>
      <c r="J19" s="30" t="str">
        <f aca="false">IF(I19="","",ROUND(F19*(1-I19),0))</f>
        <v/>
      </c>
      <c r="K19" s="30" t="str">
        <f aca="false">IF(I19="","",ROUND(G19*(1-I19),0))</f>
        <v/>
      </c>
      <c r="L19" s="30" t="str">
        <f aca="false">IF(I19="","",ROUND(H19*(1-I19),0))</f>
        <v/>
      </c>
      <c r="M19" s="30" t="n">
        <f aca="false">$F$7</f>
        <v>0</v>
      </c>
      <c r="N19" s="13" t="str">
        <f aca="false">IF(J19="","",J19+M19)</f>
        <v/>
      </c>
      <c r="O19" s="13" t="str">
        <f aca="false">IF(K19="","",K19+M19)</f>
        <v/>
      </c>
      <c r="P19" s="13" t="str">
        <f aca="false">IF(L19="","",L19+M19)</f>
        <v/>
      </c>
      <c r="Q19" s="31" t="str">
        <f aca="false">IF(OR(C19="",C19=0,N19=""),"",1-N19/C19)</f>
        <v/>
      </c>
      <c r="R19" s="31" t="str">
        <f aca="false">IF(OR(D19="",D19=0,O19=""),"",1-O19/D19)</f>
        <v/>
      </c>
      <c r="S19" s="31" t="str">
        <f aca="false">IF(OR(E19="",E19=0,P19=""),"",1-P19/E19)</f>
        <v/>
      </c>
      <c r="T19" s="32" t="str">
        <f aca="false">IF(OR(N19="",O19=""),"",N19-O19)</f>
        <v/>
      </c>
      <c r="U19" s="32" t="str">
        <f aca="false">IF(OR(N19="",P19=""),"",N19-P19)</f>
        <v/>
      </c>
    </row>
    <row r="20" customFormat="false" ht="15" hidden="false" customHeight="true" outlineLevel="0" collapsed="false">
      <c r="A20" s="27" t="n">
        <v>46214</v>
      </c>
      <c r="B20" s="33" t="s">
        <v>39</v>
      </c>
      <c r="C20" s="12"/>
      <c r="D20" s="12"/>
      <c r="E20" s="12"/>
      <c r="F20" s="12"/>
      <c r="G20" s="12"/>
      <c r="H20" s="12"/>
      <c r="I20" s="29"/>
      <c r="J20" s="30" t="str">
        <f aca="false">IF(I20="","",ROUND(F20*(1-I20),0))</f>
        <v/>
      </c>
      <c r="K20" s="30" t="str">
        <f aca="false">IF(I20="","",ROUND(G20*(1-I20),0))</f>
        <v/>
      </c>
      <c r="L20" s="30" t="str">
        <f aca="false">IF(I20="","",ROUND(H20*(1-I20),0))</f>
        <v/>
      </c>
      <c r="M20" s="30" t="n">
        <f aca="false">$F$7</f>
        <v>0</v>
      </c>
      <c r="N20" s="13" t="str">
        <f aca="false">IF(J20="","",J20+M20)</f>
        <v/>
      </c>
      <c r="O20" s="13" t="str">
        <f aca="false">IF(K20="","",K20+M20)</f>
        <v/>
      </c>
      <c r="P20" s="13" t="str">
        <f aca="false">IF(L20="","",L20+M20)</f>
        <v/>
      </c>
      <c r="Q20" s="31" t="str">
        <f aca="false">IF(OR(C20="",C20=0,N20=""),"",1-N20/C20)</f>
        <v/>
      </c>
      <c r="R20" s="31" t="str">
        <f aca="false">IF(OR(D20="",D20=0,O20=""),"",1-O20/D20)</f>
        <v/>
      </c>
      <c r="S20" s="31" t="str">
        <f aca="false">IF(OR(E20="",E20=0,P20=""),"",1-P20/E20)</f>
        <v/>
      </c>
      <c r="T20" s="32" t="str">
        <f aca="false">IF(OR(N20="",O20=""),"",N20-O20)</f>
        <v/>
      </c>
      <c r="U20" s="32" t="str">
        <f aca="false">IF(OR(N20="",P20=""),"",N20-P20)</f>
        <v/>
      </c>
    </row>
    <row r="21" customFormat="false" ht="15" hidden="false" customHeight="true" outlineLevel="0" collapsed="false">
      <c r="A21" s="27" t="n">
        <v>46215</v>
      </c>
      <c r="B21" s="33" t="s">
        <v>40</v>
      </c>
      <c r="C21" s="12"/>
      <c r="D21" s="12"/>
      <c r="E21" s="12"/>
      <c r="F21" s="12"/>
      <c r="G21" s="12"/>
      <c r="H21" s="12"/>
      <c r="I21" s="29"/>
      <c r="J21" s="30" t="str">
        <f aca="false">IF(I21="","",ROUND(F21*(1-I21),0))</f>
        <v/>
      </c>
      <c r="K21" s="30" t="str">
        <f aca="false">IF(I21="","",ROUND(G21*(1-I21),0))</f>
        <v/>
      </c>
      <c r="L21" s="30" t="str">
        <f aca="false">IF(I21="","",ROUND(H21*(1-I21),0))</f>
        <v/>
      </c>
      <c r="M21" s="30" t="n">
        <f aca="false">$F$7</f>
        <v>0</v>
      </c>
      <c r="N21" s="13" t="str">
        <f aca="false">IF(J21="","",J21+M21)</f>
        <v/>
      </c>
      <c r="O21" s="13" t="str">
        <f aca="false">IF(K21="","",K21+M21)</f>
        <v/>
      </c>
      <c r="P21" s="13" t="str">
        <f aca="false">IF(L21="","",L21+M21)</f>
        <v/>
      </c>
      <c r="Q21" s="31" t="str">
        <f aca="false">IF(OR(C21="",C21=0,N21=""),"",1-N21/C21)</f>
        <v/>
      </c>
      <c r="R21" s="31" t="str">
        <f aca="false">IF(OR(D21="",D21=0,O21=""),"",1-O21/D21)</f>
        <v/>
      </c>
      <c r="S21" s="31" t="str">
        <f aca="false">IF(OR(E21="",E21=0,P21=""),"",1-P21/E21)</f>
        <v/>
      </c>
      <c r="T21" s="32" t="str">
        <f aca="false">IF(OR(N21="",O21=""),"",N21-O21)</f>
        <v/>
      </c>
      <c r="U21" s="32" t="str">
        <f aca="false">IF(OR(N21="",P21=""),"",N21-P21)</f>
        <v/>
      </c>
    </row>
    <row r="22" customFormat="false" ht="15" hidden="false" customHeight="true" outlineLevel="0" collapsed="false">
      <c r="A22" s="27" t="n">
        <v>46216</v>
      </c>
      <c r="B22" s="28" t="s">
        <v>41</v>
      </c>
      <c r="C22" s="12"/>
      <c r="D22" s="12"/>
      <c r="E22" s="12"/>
      <c r="F22" s="12"/>
      <c r="G22" s="12"/>
      <c r="H22" s="12"/>
      <c r="I22" s="29"/>
      <c r="J22" s="30" t="str">
        <f aca="false">IF(I22="","",ROUND(F22*(1-I22),0))</f>
        <v/>
      </c>
      <c r="K22" s="30" t="str">
        <f aca="false">IF(I22="","",ROUND(G22*(1-I22),0))</f>
        <v/>
      </c>
      <c r="L22" s="30" t="str">
        <f aca="false">IF(I22="","",ROUND(H22*(1-I22),0))</f>
        <v/>
      </c>
      <c r="M22" s="30" t="n">
        <f aca="false">$F$7</f>
        <v>0</v>
      </c>
      <c r="N22" s="13" t="str">
        <f aca="false">IF(J22="","",J22+M22)</f>
        <v/>
      </c>
      <c r="O22" s="13" t="str">
        <f aca="false">IF(K22="","",K22+M22)</f>
        <v/>
      </c>
      <c r="P22" s="13" t="str">
        <f aca="false">IF(L22="","",L22+M22)</f>
        <v/>
      </c>
      <c r="Q22" s="31" t="str">
        <f aca="false">IF(OR(C22="",C22=0,N22=""),"",1-N22/C22)</f>
        <v/>
      </c>
      <c r="R22" s="31" t="str">
        <f aca="false">IF(OR(D22="",D22=0,O22=""),"",1-O22/D22)</f>
        <v/>
      </c>
      <c r="S22" s="31" t="str">
        <f aca="false">IF(OR(E22="",E22=0,P22=""),"",1-P22/E22)</f>
        <v/>
      </c>
      <c r="T22" s="32" t="str">
        <f aca="false">IF(OR(N22="",O22=""),"",N22-O22)</f>
        <v/>
      </c>
      <c r="U22" s="32" t="str">
        <f aca="false">IF(OR(N22="",P22=""),"",N22-P22)</f>
        <v/>
      </c>
    </row>
    <row r="23" customFormat="false" ht="15" hidden="false" customHeight="true" outlineLevel="0" collapsed="false">
      <c r="A23" s="27" t="n">
        <v>46217</v>
      </c>
      <c r="B23" s="28" t="s">
        <v>42</v>
      </c>
      <c r="C23" s="12"/>
      <c r="D23" s="12"/>
      <c r="E23" s="12"/>
      <c r="F23" s="12"/>
      <c r="G23" s="12"/>
      <c r="H23" s="12"/>
      <c r="I23" s="29"/>
      <c r="J23" s="30" t="str">
        <f aca="false">IF(I23="","",ROUND(F23*(1-I23),0))</f>
        <v/>
      </c>
      <c r="K23" s="30" t="str">
        <f aca="false">IF(I23="","",ROUND(G23*(1-I23),0))</f>
        <v/>
      </c>
      <c r="L23" s="30" t="str">
        <f aca="false">IF(I23="","",ROUND(H23*(1-I23),0))</f>
        <v/>
      </c>
      <c r="M23" s="30" t="n">
        <f aca="false">$F$7</f>
        <v>0</v>
      </c>
      <c r="N23" s="13" t="str">
        <f aca="false">IF(J23="","",J23+M23)</f>
        <v/>
      </c>
      <c r="O23" s="13" t="str">
        <f aca="false">IF(K23="","",K23+M23)</f>
        <v/>
      </c>
      <c r="P23" s="13" t="str">
        <f aca="false">IF(L23="","",L23+M23)</f>
        <v/>
      </c>
      <c r="Q23" s="31" t="str">
        <f aca="false">IF(OR(C23="",C23=0,N23=""),"",1-N23/C23)</f>
        <v/>
      </c>
      <c r="R23" s="31" t="str">
        <f aca="false">IF(OR(D23="",D23=0,O23=""),"",1-O23/D23)</f>
        <v/>
      </c>
      <c r="S23" s="31" t="str">
        <f aca="false">IF(OR(E23="",E23=0,P23=""),"",1-P23/E23)</f>
        <v/>
      </c>
      <c r="T23" s="32" t="str">
        <f aca="false">IF(OR(N23="",O23=""),"",N23-O23)</f>
        <v/>
      </c>
      <c r="U23" s="32" t="str">
        <f aca="false">IF(OR(N23="",P23=""),"",N23-P23)</f>
        <v/>
      </c>
    </row>
    <row r="24" customFormat="false" ht="15" hidden="false" customHeight="true" outlineLevel="0" collapsed="false">
      <c r="A24" s="27" t="n">
        <v>46218</v>
      </c>
      <c r="B24" s="28" t="s">
        <v>36</v>
      </c>
      <c r="C24" s="12"/>
      <c r="D24" s="12"/>
      <c r="E24" s="12"/>
      <c r="F24" s="12"/>
      <c r="G24" s="12"/>
      <c r="H24" s="12"/>
      <c r="I24" s="29"/>
      <c r="J24" s="30" t="str">
        <f aca="false">IF(I24="","",ROUND(F24*(1-I24),0))</f>
        <v/>
      </c>
      <c r="K24" s="30" t="str">
        <f aca="false">IF(I24="","",ROUND(G24*(1-I24),0))</f>
        <v/>
      </c>
      <c r="L24" s="30" t="str">
        <f aca="false">IF(I24="","",ROUND(H24*(1-I24),0))</f>
        <v/>
      </c>
      <c r="M24" s="30" t="n">
        <f aca="false">$F$7</f>
        <v>0</v>
      </c>
      <c r="N24" s="13" t="str">
        <f aca="false">IF(J24="","",J24+M24)</f>
        <v/>
      </c>
      <c r="O24" s="13" t="str">
        <f aca="false">IF(K24="","",K24+M24)</f>
        <v/>
      </c>
      <c r="P24" s="13" t="str">
        <f aca="false">IF(L24="","",L24+M24)</f>
        <v/>
      </c>
      <c r="Q24" s="31" t="str">
        <f aca="false">IF(OR(C24="",C24=0,N24=""),"",1-N24/C24)</f>
        <v/>
      </c>
      <c r="R24" s="31" t="str">
        <f aca="false">IF(OR(D24="",D24=0,O24=""),"",1-O24/D24)</f>
        <v/>
      </c>
      <c r="S24" s="31" t="str">
        <f aca="false">IF(OR(E24="",E24=0,P24=""),"",1-P24/E24)</f>
        <v/>
      </c>
      <c r="T24" s="32" t="str">
        <f aca="false">IF(OR(N24="",O24=""),"",N24-O24)</f>
        <v/>
      </c>
      <c r="U24" s="32" t="str">
        <f aca="false">IF(OR(N24="",P24=""),"",N24-P24)</f>
        <v/>
      </c>
    </row>
    <row r="25" customFormat="false" ht="15" hidden="false" customHeight="true" outlineLevel="0" collapsed="false">
      <c r="A25" s="27" t="n">
        <v>46219</v>
      </c>
      <c r="B25" s="28" t="s">
        <v>37</v>
      </c>
      <c r="C25" s="12"/>
      <c r="D25" s="12"/>
      <c r="E25" s="12"/>
      <c r="F25" s="12"/>
      <c r="G25" s="12"/>
      <c r="H25" s="12"/>
      <c r="I25" s="29"/>
      <c r="J25" s="30" t="str">
        <f aca="false">IF(I25="","",ROUND(F25*(1-I25),0))</f>
        <v/>
      </c>
      <c r="K25" s="30" t="str">
        <f aca="false">IF(I25="","",ROUND(G25*(1-I25),0))</f>
        <v/>
      </c>
      <c r="L25" s="30" t="str">
        <f aca="false">IF(I25="","",ROUND(H25*(1-I25),0))</f>
        <v/>
      </c>
      <c r="M25" s="30" t="n">
        <f aca="false">$F$7</f>
        <v>0</v>
      </c>
      <c r="N25" s="13" t="str">
        <f aca="false">IF(J25="","",J25+M25)</f>
        <v/>
      </c>
      <c r="O25" s="13" t="str">
        <f aca="false">IF(K25="","",K25+M25)</f>
        <v/>
      </c>
      <c r="P25" s="13" t="str">
        <f aca="false">IF(L25="","",L25+M25)</f>
        <v/>
      </c>
      <c r="Q25" s="31" t="str">
        <f aca="false">IF(OR(C25="",C25=0,N25=""),"",1-N25/C25)</f>
        <v/>
      </c>
      <c r="R25" s="31" t="str">
        <f aca="false">IF(OR(D25="",D25=0,O25=""),"",1-O25/D25)</f>
        <v/>
      </c>
      <c r="S25" s="31" t="str">
        <f aca="false">IF(OR(E25="",E25=0,P25=""),"",1-P25/E25)</f>
        <v/>
      </c>
      <c r="T25" s="32" t="str">
        <f aca="false">IF(OR(N25="",O25=""),"",N25-O25)</f>
        <v/>
      </c>
      <c r="U25" s="32" t="str">
        <f aca="false">IF(OR(N25="",P25=""),"",N25-P25)</f>
        <v/>
      </c>
    </row>
    <row r="26" customFormat="false" ht="15" hidden="false" customHeight="true" outlineLevel="0" collapsed="false">
      <c r="A26" s="27" t="n">
        <v>46220</v>
      </c>
      <c r="B26" s="28" t="s">
        <v>38</v>
      </c>
      <c r="C26" s="12"/>
      <c r="D26" s="12"/>
      <c r="E26" s="12"/>
      <c r="F26" s="12"/>
      <c r="G26" s="12"/>
      <c r="H26" s="12"/>
      <c r="I26" s="29"/>
      <c r="J26" s="30" t="str">
        <f aca="false">IF(I26="","",ROUND(F26*(1-I26),0))</f>
        <v/>
      </c>
      <c r="K26" s="30" t="str">
        <f aca="false">IF(I26="","",ROUND(G26*(1-I26),0))</f>
        <v/>
      </c>
      <c r="L26" s="30" t="str">
        <f aca="false">IF(I26="","",ROUND(H26*(1-I26),0))</f>
        <v/>
      </c>
      <c r="M26" s="30" t="n">
        <f aca="false">$F$7</f>
        <v>0</v>
      </c>
      <c r="N26" s="13" t="str">
        <f aca="false">IF(J26="","",J26+M26)</f>
        <v/>
      </c>
      <c r="O26" s="13" t="str">
        <f aca="false">IF(K26="","",K26+M26)</f>
        <v/>
      </c>
      <c r="P26" s="13" t="str">
        <f aca="false">IF(L26="","",L26+M26)</f>
        <v/>
      </c>
      <c r="Q26" s="31" t="str">
        <f aca="false">IF(OR(C26="",C26=0,N26=""),"",1-N26/C26)</f>
        <v/>
      </c>
      <c r="R26" s="31" t="str">
        <f aca="false">IF(OR(D26="",D26=0,O26=""),"",1-O26/D26)</f>
        <v/>
      </c>
      <c r="S26" s="31" t="str">
        <f aca="false">IF(OR(E26="",E26=0,P26=""),"",1-P26/E26)</f>
        <v/>
      </c>
      <c r="T26" s="32" t="str">
        <f aca="false">IF(OR(N26="",O26=""),"",N26-O26)</f>
        <v/>
      </c>
      <c r="U26" s="32" t="str">
        <f aca="false">IF(OR(N26="",P26=""),"",N26-P26)</f>
        <v/>
      </c>
    </row>
    <row r="27" customFormat="false" ht="15" hidden="false" customHeight="true" outlineLevel="0" collapsed="false">
      <c r="A27" s="27" t="n">
        <v>46221</v>
      </c>
      <c r="B27" s="33" t="s">
        <v>39</v>
      </c>
      <c r="C27" s="12"/>
      <c r="D27" s="12"/>
      <c r="E27" s="12"/>
      <c r="F27" s="12"/>
      <c r="G27" s="12"/>
      <c r="H27" s="12"/>
      <c r="I27" s="29"/>
      <c r="J27" s="30" t="str">
        <f aca="false">IF(I27="","",ROUND(F27*(1-I27),0))</f>
        <v/>
      </c>
      <c r="K27" s="30" t="str">
        <f aca="false">IF(I27="","",ROUND(G27*(1-I27),0))</f>
        <v/>
      </c>
      <c r="L27" s="30" t="str">
        <f aca="false">IF(I27="","",ROUND(H27*(1-I27),0))</f>
        <v/>
      </c>
      <c r="M27" s="30" t="n">
        <f aca="false">$F$7</f>
        <v>0</v>
      </c>
      <c r="N27" s="13" t="str">
        <f aca="false">IF(J27="","",J27+M27)</f>
        <v/>
      </c>
      <c r="O27" s="13" t="str">
        <f aca="false">IF(K27="","",K27+M27)</f>
        <v/>
      </c>
      <c r="P27" s="13" t="str">
        <f aca="false">IF(L27="","",L27+M27)</f>
        <v/>
      </c>
      <c r="Q27" s="31" t="str">
        <f aca="false">IF(OR(C27="",C27=0,N27=""),"",1-N27/C27)</f>
        <v/>
      </c>
      <c r="R27" s="31" t="str">
        <f aca="false">IF(OR(D27="",D27=0,O27=""),"",1-O27/D27)</f>
        <v/>
      </c>
      <c r="S27" s="31" t="str">
        <f aca="false">IF(OR(E27="",E27=0,P27=""),"",1-P27/E27)</f>
        <v/>
      </c>
      <c r="T27" s="32" t="str">
        <f aca="false">IF(OR(N27="",O27=""),"",N27-O27)</f>
        <v/>
      </c>
      <c r="U27" s="32" t="str">
        <f aca="false">IF(OR(N27="",P27=""),"",N27-P27)</f>
        <v/>
      </c>
    </row>
    <row r="28" customFormat="false" ht="15" hidden="false" customHeight="true" outlineLevel="0" collapsed="false">
      <c r="A28" s="27" t="n">
        <v>46222</v>
      </c>
      <c r="B28" s="33" t="s">
        <v>40</v>
      </c>
      <c r="C28" s="12"/>
      <c r="D28" s="12"/>
      <c r="E28" s="12"/>
      <c r="F28" s="12"/>
      <c r="G28" s="12"/>
      <c r="H28" s="12"/>
      <c r="I28" s="29"/>
      <c r="J28" s="30" t="str">
        <f aca="false">IF(I28="","",ROUND(F28*(1-I28),0))</f>
        <v/>
      </c>
      <c r="K28" s="30" t="str">
        <f aca="false">IF(I28="","",ROUND(G28*(1-I28),0))</f>
        <v/>
      </c>
      <c r="L28" s="30" t="str">
        <f aca="false">IF(I28="","",ROUND(H28*(1-I28),0))</f>
        <v/>
      </c>
      <c r="M28" s="30" t="n">
        <f aca="false">$F$7</f>
        <v>0</v>
      </c>
      <c r="N28" s="13" t="str">
        <f aca="false">IF(J28="","",J28+M28)</f>
        <v/>
      </c>
      <c r="O28" s="13" t="str">
        <f aca="false">IF(K28="","",K28+M28)</f>
        <v/>
      </c>
      <c r="P28" s="13" t="str">
        <f aca="false">IF(L28="","",L28+M28)</f>
        <v/>
      </c>
      <c r="Q28" s="31" t="str">
        <f aca="false">IF(OR(C28="",C28=0,N28=""),"",1-N28/C28)</f>
        <v/>
      </c>
      <c r="R28" s="31" t="str">
        <f aca="false">IF(OR(D28="",D28=0,O28=""),"",1-O28/D28)</f>
        <v/>
      </c>
      <c r="S28" s="31" t="str">
        <f aca="false">IF(OR(E28="",E28=0,P28=""),"",1-P28/E28)</f>
        <v/>
      </c>
      <c r="T28" s="32" t="str">
        <f aca="false">IF(OR(N28="",O28=""),"",N28-O28)</f>
        <v/>
      </c>
      <c r="U28" s="32" t="str">
        <f aca="false">IF(OR(N28="",P28=""),"",N28-P28)</f>
        <v/>
      </c>
    </row>
    <row r="29" customFormat="false" ht="15" hidden="false" customHeight="true" outlineLevel="0" collapsed="false">
      <c r="A29" s="27" t="n">
        <v>46223</v>
      </c>
      <c r="B29" s="28" t="s">
        <v>41</v>
      </c>
      <c r="C29" s="12"/>
      <c r="D29" s="12"/>
      <c r="E29" s="12"/>
      <c r="F29" s="12"/>
      <c r="G29" s="12"/>
      <c r="H29" s="12"/>
      <c r="I29" s="29"/>
      <c r="J29" s="30" t="str">
        <f aca="false">IF(I29="","",ROUND(F29*(1-I29),0))</f>
        <v/>
      </c>
      <c r="K29" s="30" t="str">
        <f aca="false">IF(I29="","",ROUND(G29*(1-I29),0))</f>
        <v/>
      </c>
      <c r="L29" s="30" t="str">
        <f aca="false">IF(I29="","",ROUND(H29*(1-I29),0))</f>
        <v/>
      </c>
      <c r="M29" s="30" t="n">
        <f aca="false">$F$7</f>
        <v>0</v>
      </c>
      <c r="N29" s="13" t="str">
        <f aca="false">IF(J29="","",J29+M29)</f>
        <v/>
      </c>
      <c r="O29" s="13" t="str">
        <f aca="false">IF(K29="","",K29+M29)</f>
        <v/>
      </c>
      <c r="P29" s="13" t="str">
        <f aca="false">IF(L29="","",L29+M29)</f>
        <v/>
      </c>
      <c r="Q29" s="31" t="str">
        <f aca="false">IF(OR(C29="",C29=0,N29=""),"",1-N29/C29)</f>
        <v/>
      </c>
      <c r="R29" s="31" t="str">
        <f aca="false">IF(OR(D29="",D29=0,O29=""),"",1-O29/D29)</f>
        <v/>
      </c>
      <c r="S29" s="31" t="str">
        <f aca="false">IF(OR(E29="",E29=0,P29=""),"",1-P29/E29)</f>
        <v/>
      </c>
      <c r="T29" s="32" t="str">
        <f aca="false">IF(OR(N29="",O29=""),"",N29-O29)</f>
        <v/>
      </c>
      <c r="U29" s="32" t="str">
        <f aca="false">IF(OR(N29="",P29=""),"",N29-P29)</f>
        <v/>
      </c>
    </row>
    <row r="30" customFormat="false" ht="15" hidden="false" customHeight="true" outlineLevel="0" collapsed="false">
      <c r="A30" s="27" t="n">
        <v>46224</v>
      </c>
      <c r="B30" s="28" t="s">
        <v>42</v>
      </c>
      <c r="C30" s="12"/>
      <c r="D30" s="12"/>
      <c r="E30" s="12"/>
      <c r="F30" s="12"/>
      <c r="G30" s="12"/>
      <c r="H30" s="12"/>
      <c r="I30" s="29"/>
      <c r="J30" s="30" t="str">
        <f aca="false">IF(I30="","",ROUND(F30*(1-I30),0))</f>
        <v/>
      </c>
      <c r="K30" s="30" t="str">
        <f aca="false">IF(I30="","",ROUND(G30*(1-I30),0))</f>
        <v/>
      </c>
      <c r="L30" s="30" t="str">
        <f aca="false">IF(I30="","",ROUND(H30*(1-I30),0))</f>
        <v/>
      </c>
      <c r="M30" s="30" t="n">
        <f aca="false">$F$7</f>
        <v>0</v>
      </c>
      <c r="N30" s="13" t="str">
        <f aca="false">IF(J30="","",J30+M30)</f>
        <v/>
      </c>
      <c r="O30" s="13" t="str">
        <f aca="false">IF(K30="","",K30+M30)</f>
        <v/>
      </c>
      <c r="P30" s="13" t="str">
        <f aca="false">IF(L30="","",L30+M30)</f>
        <v/>
      </c>
      <c r="Q30" s="31" t="str">
        <f aca="false">IF(OR(C30="",C30=0,N30=""),"",1-N30/C30)</f>
        <v/>
      </c>
      <c r="R30" s="31" t="str">
        <f aca="false">IF(OR(D30="",D30=0,O30=""),"",1-O30/D30)</f>
        <v/>
      </c>
      <c r="S30" s="31" t="str">
        <f aca="false">IF(OR(E30="",E30=0,P30=""),"",1-P30/E30)</f>
        <v/>
      </c>
      <c r="T30" s="32" t="str">
        <f aca="false">IF(OR(N30="",O30=""),"",N30-O30)</f>
        <v/>
      </c>
      <c r="U30" s="32" t="str">
        <f aca="false">IF(OR(N30="",P30=""),"",N30-P30)</f>
        <v/>
      </c>
    </row>
    <row r="31" customFormat="false" ht="15" hidden="false" customHeight="true" outlineLevel="0" collapsed="false">
      <c r="A31" s="27" t="n">
        <v>46225</v>
      </c>
      <c r="B31" s="28" t="s">
        <v>36</v>
      </c>
      <c r="C31" s="12"/>
      <c r="D31" s="12"/>
      <c r="E31" s="12"/>
      <c r="F31" s="12"/>
      <c r="G31" s="12"/>
      <c r="H31" s="12"/>
      <c r="I31" s="29"/>
      <c r="J31" s="30" t="str">
        <f aca="false">IF(I31="","",ROUND(F31*(1-I31),0))</f>
        <v/>
      </c>
      <c r="K31" s="30" t="str">
        <f aca="false">IF(I31="","",ROUND(G31*(1-I31),0))</f>
        <v/>
      </c>
      <c r="L31" s="30" t="str">
        <f aca="false">IF(I31="","",ROUND(H31*(1-I31),0))</f>
        <v/>
      </c>
      <c r="M31" s="30" t="n">
        <f aca="false">$F$7</f>
        <v>0</v>
      </c>
      <c r="N31" s="13" t="str">
        <f aca="false">IF(J31="","",J31+M31)</f>
        <v/>
      </c>
      <c r="O31" s="13" t="str">
        <f aca="false">IF(K31="","",K31+M31)</f>
        <v/>
      </c>
      <c r="P31" s="13" t="str">
        <f aca="false">IF(L31="","",L31+M31)</f>
        <v/>
      </c>
      <c r="Q31" s="31" t="str">
        <f aca="false">IF(OR(C31="",C31=0,N31=""),"",1-N31/C31)</f>
        <v/>
      </c>
      <c r="R31" s="31" t="str">
        <f aca="false">IF(OR(D31="",D31=0,O31=""),"",1-O31/D31)</f>
        <v/>
      </c>
      <c r="S31" s="31" t="str">
        <f aca="false">IF(OR(E31="",E31=0,P31=""),"",1-P31/E31)</f>
        <v/>
      </c>
      <c r="T31" s="32" t="str">
        <f aca="false">IF(OR(N31="",O31=""),"",N31-O31)</f>
        <v/>
      </c>
      <c r="U31" s="32" t="str">
        <f aca="false">IF(OR(N31="",P31=""),"",N31-P31)</f>
        <v/>
      </c>
    </row>
    <row r="32" customFormat="false" ht="15" hidden="false" customHeight="true" outlineLevel="0" collapsed="false">
      <c r="A32" s="27" t="n">
        <v>46226</v>
      </c>
      <c r="B32" s="28" t="s">
        <v>37</v>
      </c>
      <c r="C32" s="12"/>
      <c r="D32" s="12"/>
      <c r="E32" s="12"/>
      <c r="F32" s="12"/>
      <c r="G32" s="12"/>
      <c r="H32" s="12"/>
      <c r="I32" s="29"/>
      <c r="J32" s="30" t="str">
        <f aca="false">IF(I32="","",ROUND(F32*(1-I32),0))</f>
        <v/>
      </c>
      <c r="K32" s="30" t="str">
        <f aca="false">IF(I32="","",ROUND(G32*(1-I32),0))</f>
        <v/>
      </c>
      <c r="L32" s="30" t="str">
        <f aca="false">IF(I32="","",ROUND(H32*(1-I32),0))</f>
        <v/>
      </c>
      <c r="M32" s="30" t="n">
        <f aca="false">$F$7</f>
        <v>0</v>
      </c>
      <c r="N32" s="13" t="str">
        <f aca="false">IF(J32="","",J32+M32)</f>
        <v/>
      </c>
      <c r="O32" s="13" t="str">
        <f aca="false">IF(K32="","",K32+M32)</f>
        <v/>
      </c>
      <c r="P32" s="13" t="str">
        <f aca="false">IF(L32="","",L32+M32)</f>
        <v/>
      </c>
      <c r="Q32" s="31" t="str">
        <f aca="false">IF(OR(C32="",C32=0,N32=""),"",1-N32/C32)</f>
        <v/>
      </c>
      <c r="R32" s="31" t="str">
        <f aca="false">IF(OR(D32="",D32=0,O32=""),"",1-O32/D32)</f>
        <v/>
      </c>
      <c r="S32" s="31" t="str">
        <f aca="false">IF(OR(E32="",E32=0,P32=""),"",1-P32/E32)</f>
        <v/>
      </c>
      <c r="T32" s="32" t="str">
        <f aca="false">IF(OR(N32="",O32=""),"",N32-O32)</f>
        <v/>
      </c>
      <c r="U32" s="32" t="str">
        <f aca="false">IF(OR(N32="",P32=""),"",N32-P32)</f>
        <v/>
      </c>
    </row>
    <row r="33" customFormat="false" ht="15" hidden="false" customHeight="true" outlineLevel="0" collapsed="false">
      <c r="A33" s="27" t="n">
        <v>46227</v>
      </c>
      <c r="B33" s="28" t="s">
        <v>38</v>
      </c>
      <c r="C33" s="12"/>
      <c r="D33" s="12"/>
      <c r="E33" s="12"/>
      <c r="F33" s="12"/>
      <c r="G33" s="12"/>
      <c r="H33" s="12"/>
      <c r="I33" s="29"/>
      <c r="J33" s="30" t="str">
        <f aca="false">IF(I33="","",ROUND(F33*(1-I33),0))</f>
        <v/>
      </c>
      <c r="K33" s="30" t="str">
        <f aca="false">IF(I33="","",ROUND(G33*(1-I33),0))</f>
        <v/>
      </c>
      <c r="L33" s="30" t="str">
        <f aca="false">IF(I33="","",ROUND(H33*(1-I33),0))</f>
        <v/>
      </c>
      <c r="M33" s="30" t="n">
        <f aca="false">$F$7</f>
        <v>0</v>
      </c>
      <c r="N33" s="13" t="str">
        <f aca="false">IF(J33="","",J33+M33)</f>
        <v/>
      </c>
      <c r="O33" s="13" t="str">
        <f aca="false">IF(K33="","",K33+M33)</f>
        <v/>
      </c>
      <c r="P33" s="13" t="str">
        <f aca="false">IF(L33="","",L33+M33)</f>
        <v/>
      </c>
      <c r="Q33" s="31" t="str">
        <f aca="false">IF(OR(C33="",C33=0,N33=""),"",1-N33/C33)</f>
        <v/>
      </c>
      <c r="R33" s="31" t="str">
        <f aca="false">IF(OR(D33="",D33=0,O33=""),"",1-O33/D33)</f>
        <v/>
      </c>
      <c r="S33" s="31" t="str">
        <f aca="false">IF(OR(E33="",E33=0,P33=""),"",1-P33/E33)</f>
        <v/>
      </c>
      <c r="T33" s="32" t="str">
        <f aca="false">IF(OR(N33="",O33=""),"",N33-O33)</f>
        <v/>
      </c>
      <c r="U33" s="32" t="str">
        <f aca="false">IF(OR(N33="",P33=""),"",N33-P33)</f>
        <v/>
      </c>
    </row>
    <row r="34" customFormat="false" ht="15" hidden="false" customHeight="true" outlineLevel="0" collapsed="false">
      <c r="A34" s="27" t="n">
        <v>46228</v>
      </c>
      <c r="B34" s="33" t="s">
        <v>39</v>
      </c>
      <c r="C34" s="12"/>
      <c r="D34" s="12"/>
      <c r="E34" s="12"/>
      <c r="F34" s="12"/>
      <c r="G34" s="12"/>
      <c r="H34" s="12"/>
      <c r="I34" s="29"/>
      <c r="J34" s="30" t="str">
        <f aca="false">IF(I34="","",ROUND(F34*(1-I34),0))</f>
        <v/>
      </c>
      <c r="K34" s="30" t="str">
        <f aca="false">IF(I34="","",ROUND(G34*(1-I34),0))</f>
        <v/>
      </c>
      <c r="L34" s="30" t="str">
        <f aca="false">IF(I34="","",ROUND(H34*(1-I34),0))</f>
        <v/>
      </c>
      <c r="M34" s="30" t="n">
        <f aca="false">$F$7</f>
        <v>0</v>
      </c>
      <c r="N34" s="13" t="str">
        <f aca="false">IF(J34="","",J34+M34)</f>
        <v/>
      </c>
      <c r="O34" s="13" t="str">
        <f aca="false">IF(K34="","",K34+M34)</f>
        <v/>
      </c>
      <c r="P34" s="13" t="str">
        <f aca="false">IF(L34="","",L34+M34)</f>
        <v/>
      </c>
      <c r="Q34" s="31" t="str">
        <f aca="false">IF(OR(C34="",C34=0,N34=""),"",1-N34/C34)</f>
        <v/>
      </c>
      <c r="R34" s="31" t="str">
        <f aca="false">IF(OR(D34="",D34=0,O34=""),"",1-O34/D34)</f>
        <v/>
      </c>
      <c r="S34" s="31" t="str">
        <f aca="false">IF(OR(E34="",E34=0,P34=""),"",1-P34/E34)</f>
        <v/>
      </c>
      <c r="T34" s="32" t="str">
        <f aca="false">IF(OR(N34="",O34=""),"",N34-O34)</f>
        <v/>
      </c>
      <c r="U34" s="32" t="str">
        <f aca="false">IF(OR(N34="",P34=""),"",N34-P34)</f>
        <v/>
      </c>
    </row>
    <row r="35" customFormat="false" ht="15" hidden="false" customHeight="true" outlineLevel="0" collapsed="false">
      <c r="A35" s="27" t="n">
        <v>46229</v>
      </c>
      <c r="B35" s="33" t="s">
        <v>40</v>
      </c>
      <c r="C35" s="12"/>
      <c r="D35" s="12"/>
      <c r="E35" s="12"/>
      <c r="F35" s="12"/>
      <c r="G35" s="12"/>
      <c r="H35" s="12"/>
      <c r="I35" s="29"/>
      <c r="J35" s="30" t="str">
        <f aca="false">IF(I35="","",ROUND(F35*(1-I35),0))</f>
        <v/>
      </c>
      <c r="K35" s="30" t="str">
        <f aca="false">IF(I35="","",ROUND(G35*(1-I35),0))</f>
        <v/>
      </c>
      <c r="L35" s="30" t="str">
        <f aca="false">IF(I35="","",ROUND(H35*(1-I35),0))</f>
        <v/>
      </c>
      <c r="M35" s="30" t="n">
        <f aca="false">$F$7</f>
        <v>0</v>
      </c>
      <c r="N35" s="13" t="str">
        <f aca="false">IF(J35="","",J35+M35)</f>
        <v/>
      </c>
      <c r="O35" s="13" t="str">
        <f aca="false">IF(K35="","",K35+M35)</f>
        <v/>
      </c>
      <c r="P35" s="13" t="str">
        <f aca="false">IF(L35="","",L35+M35)</f>
        <v/>
      </c>
      <c r="Q35" s="31" t="str">
        <f aca="false">IF(OR(C35="",C35=0,N35=""),"",1-N35/C35)</f>
        <v/>
      </c>
      <c r="R35" s="31" t="str">
        <f aca="false">IF(OR(D35="",D35=0,O35=""),"",1-O35/D35)</f>
        <v/>
      </c>
      <c r="S35" s="31" t="str">
        <f aca="false">IF(OR(E35="",E35=0,P35=""),"",1-P35/E35)</f>
        <v/>
      </c>
      <c r="T35" s="32" t="str">
        <f aca="false">IF(OR(N35="",O35=""),"",N35-O35)</f>
        <v/>
      </c>
      <c r="U35" s="32" t="str">
        <f aca="false">IF(OR(N35="",P35=""),"",N35-P35)</f>
        <v/>
      </c>
    </row>
    <row r="36" customFormat="false" ht="15" hidden="false" customHeight="true" outlineLevel="0" collapsed="false">
      <c r="A36" s="27" t="n">
        <v>46230</v>
      </c>
      <c r="B36" s="28" t="s">
        <v>41</v>
      </c>
      <c r="C36" s="12"/>
      <c r="D36" s="12"/>
      <c r="E36" s="12"/>
      <c r="F36" s="12"/>
      <c r="G36" s="12"/>
      <c r="H36" s="12"/>
      <c r="I36" s="29"/>
      <c r="J36" s="30" t="str">
        <f aca="false">IF(I36="","",ROUND(F36*(1-I36),0))</f>
        <v/>
      </c>
      <c r="K36" s="30" t="str">
        <f aca="false">IF(I36="","",ROUND(G36*(1-I36),0))</f>
        <v/>
      </c>
      <c r="L36" s="30" t="str">
        <f aca="false">IF(I36="","",ROUND(H36*(1-I36),0))</f>
        <v/>
      </c>
      <c r="M36" s="30" t="n">
        <f aca="false">$F$7</f>
        <v>0</v>
      </c>
      <c r="N36" s="13" t="str">
        <f aca="false">IF(J36="","",J36+M36)</f>
        <v/>
      </c>
      <c r="O36" s="13" t="str">
        <f aca="false">IF(K36="","",K36+M36)</f>
        <v/>
      </c>
      <c r="P36" s="13" t="str">
        <f aca="false">IF(L36="","",L36+M36)</f>
        <v/>
      </c>
      <c r="Q36" s="31" t="str">
        <f aca="false">IF(OR(C36="",C36=0,N36=""),"",1-N36/C36)</f>
        <v/>
      </c>
      <c r="R36" s="31" t="str">
        <f aca="false">IF(OR(D36="",D36=0,O36=""),"",1-O36/D36)</f>
        <v/>
      </c>
      <c r="S36" s="31" t="str">
        <f aca="false">IF(OR(E36="",E36=0,P36=""),"",1-P36/E36)</f>
        <v/>
      </c>
      <c r="T36" s="32" t="str">
        <f aca="false">IF(OR(N36="",O36=""),"",N36-O36)</f>
        <v/>
      </c>
      <c r="U36" s="32" t="str">
        <f aca="false">IF(OR(N36="",P36=""),"",N36-P36)</f>
        <v/>
      </c>
    </row>
    <row r="37" customFormat="false" ht="15" hidden="false" customHeight="true" outlineLevel="0" collapsed="false">
      <c r="A37" s="27" t="n">
        <v>46231</v>
      </c>
      <c r="B37" s="28" t="s">
        <v>42</v>
      </c>
      <c r="C37" s="12"/>
      <c r="D37" s="12"/>
      <c r="E37" s="12"/>
      <c r="F37" s="12"/>
      <c r="G37" s="12"/>
      <c r="H37" s="12"/>
      <c r="I37" s="29"/>
      <c r="J37" s="30" t="str">
        <f aca="false">IF(I37="","",ROUND(F37*(1-I37),0))</f>
        <v/>
      </c>
      <c r="K37" s="30" t="str">
        <f aca="false">IF(I37="","",ROUND(G37*(1-I37),0))</f>
        <v/>
      </c>
      <c r="L37" s="30" t="str">
        <f aca="false">IF(I37="","",ROUND(H37*(1-I37),0))</f>
        <v/>
      </c>
      <c r="M37" s="30" t="n">
        <f aca="false">$F$7</f>
        <v>0</v>
      </c>
      <c r="N37" s="13" t="str">
        <f aca="false">IF(J37="","",J37+M37)</f>
        <v/>
      </c>
      <c r="O37" s="13" t="str">
        <f aca="false">IF(K37="","",K37+M37)</f>
        <v/>
      </c>
      <c r="P37" s="13" t="str">
        <f aca="false">IF(L37="","",L37+M37)</f>
        <v/>
      </c>
      <c r="Q37" s="31" t="str">
        <f aca="false">IF(OR(C37="",C37=0,N37=""),"",1-N37/C37)</f>
        <v/>
      </c>
      <c r="R37" s="31" t="str">
        <f aca="false">IF(OR(D37="",D37=0,O37=""),"",1-O37/D37)</f>
        <v/>
      </c>
      <c r="S37" s="31" t="str">
        <f aca="false">IF(OR(E37="",E37=0,P37=""),"",1-P37/E37)</f>
        <v/>
      </c>
      <c r="T37" s="32" t="str">
        <f aca="false">IF(OR(N37="",O37=""),"",N37-O37)</f>
        <v/>
      </c>
      <c r="U37" s="32" t="str">
        <f aca="false">IF(OR(N37="",P37=""),"",N37-P37)</f>
        <v/>
      </c>
    </row>
    <row r="38" customFormat="false" ht="15" hidden="false" customHeight="true" outlineLevel="0" collapsed="false">
      <c r="A38" s="27" t="n">
        <v>46232</v>
      </c>
      <c r="B38" s="28" t="s">
        <v>36</v>
      </c>
      <c r="C38" s="12"/>
      <c r="D38" s="12"/>
      <c r="E38" s="12"/>
      <c r="F38" s="12"/>
      <c r="G38" s="12"/>
      <c r="H38" s="12"/>
      <c r="I38" s="29"/>
      <c r="J38" s="30" t="str">
        <f aca="false">IF(I38="","",ROUND(F38*(1-I38),0))</f>
        <v/>
      </c>
      <c r="K38" s="30" t="str">
        <f aca="false">IF(I38="","",ROUND(G38*(1-I38),0))</f>
        <v/>
      </c>
      <c r="L38" s="30" t="str">
        <f aca="false">IF(I38="","",ROUND(H38*(1-I38),0))</f>
        <v/>
      </c>
      <c r="M38" s="30" t="n">
        <f aca="false">$F$7</f>
        <v>0</v>
      </c>
      <c r="N38" s="13" t="str">
        <f aca="false">IF(J38="","",J38+M38)</f>
        <v/>
      </c>
      <c r="O38" s="13" t="str">
        <f aca="false">IF(K38="","",K38+M38)</f>
        <v/>
      </c>
      <c r="P38" s="13" t="str">
        <f aca="false">IF(L38="","",L38+M38)</f>
        <v/>
      </c>
      <c r="Q38" s="31" t="str">
        <f aca="false">IF(OR(C38="",C38=0,N38=""),"",1-N38/C38)</f>
        <v/>
      </c>
      <c r="R38" s="31" t="str">
        <f aca="false">IF(OR(D38="",D38=0,O38=""),"",1-O38/D38)</f>
        <v/>
      </c>
      <c r="S38" s="31" t="str">
        <f aca="false">IF(OR(E38="",E38=0,P38=""),"",1-P38/E38)</f>
        <v/>
      </c>
      <c r="T38" s="32" t="str">
        <f aca="false">IF(OR(N38="",O38=""),"",N38-O38)</f>
        <v/>
      </c>
      <c r="U38" s="32" t="str">
        <f aca="false">IF(OR(N38="",P38=""),"",N38-P38)</f>
        <v/>
      </c>
    </row>
    <row r="39" customFormat="false" ht="15" hidden="false" customHeight="true" outlineLevel="0" collapsed="false">
      <c r="A39" s="27" t="n">
        <v>46233</v>
      </c>
      <c r="B39" s="28" t="s">
        <v>37</v>
      </c>
      <c r="C39" s="12"/>
      <c r="D39" s="12"/>
      <c r="E39" s="12"/>
      <c r="F39" s="12"/>
      <c r="G39" s="12"/>
      <c r="H39" s="12"/>
      <c r="I39" s="29"/>
      <c r="J39" s="30" t="str">
        <f aca="false">IF(I39="","",ROUND(F39*(1-I39),0))</f>
        <v/>
      </c>
      <c r="K39" s="30" t="str">
        <f aca="false">IF(I39="","",ROUND(G39*(1-I39),0))</f>
        <v/>
      </c>
      <c r="L39" s="30" t="str">
        <f aca="false">IF(I39="","",ROUND(H39*(1-I39),0))</f>
        <v/>
      </c>
      <c r="M39" s="30" t="n">
        <f aca="false">$F$7</f>
        <v>0</v>
      </c>
      <c r="N39" s="13" t="str">
        <f aca="false">IF(J39="","",J39+M39)</f>
        <v/>
      </c>
      <c r="O39" s="13" t="str">
        <f aca="false">IF(K39="","",K39+M39)</f>
        <v/>
      </c>
      <c r="P39" s="13" t="str">
        <f aca="false">IF(L39="","",L39+M39)</f>
        <v/>
      </c>
      <c r="Q39" s="31" t="str">
        <f aca="false">IF(OR(C39="",C39=0,N39=""),"",1-N39/C39)</f>
        <v/>
      </c>
      <c r="R39" s="31" t="str">
        <f aca="false">IF(OR(D39="",D39=0,O39=""),"",1-O39/D39)</f>
        <v/>
      </c>
      <c r="S39" s="31" t="str">
        <f aca="false">IF(OR(E39="",E39=0,P39=""),"",1-P39/E39)</f>
        <v/>
      </c>
      <c r="T39" s="32" t="str">
        <f aca="false">IF(OR(N39="",O39=""),"",N39-O39)</f>
        <v/>
      </c>
      <c r="U39" s="32" t="str">
        <f aca="false">IF(OR(N39="",P39=""),"",N39-P39)</f>
        <v/>
      </c>
    </row>
    <row r="40" customFormat="false" ht="15" hidden="false" customHeight="true" outlineLevel="0" collapsed="false">
      <c r="A40" s="27" t="n">
        <v>46234</v>
      </c>
      <c r="B40" s="28" t="s">
        <v>38</v>
      </c>
      <c r="C40" s="12"/>
      <c r="D40" s="12"/>
      <c r="E40" s="12"/>
      <c r="F40" s="12"/>
      <c r="G40" s="12"/>
      <c r="H40" s="12"/>
      <c r="I40" s="29"/>
      <c r="J40" s="30" t="str">
        <f aca="false">IF(I40="","",ROUND(F40*(1-I40),0))</f>
        <v/>
      </c>
      <c r="K40" s="30" t="str">
        <f aca="false">IF(I40="","",ROUND(G40*(1-I40),0))</f>
        <v/>
      </c>
      <c r="L40" s="30" t="str">
        <f aca="false">IF(I40="","",ROUND(H40*(1-I40),0))</f>
        <v/>
      </c>
      <c r="M40" s="30" t="n">
        <f aca="false">$F$7</f>
        <v>0</v>
      </c>
      <c r="N40" s="13" t="str">
        <f aca="false">IF(J40="","",J40+M40)</f>
        <v/>
      </c>
      <c r="O40" s="13" t="str">
        <f aca="false">IF(K40="","",K40+M40)</f>
        <v/>
      </c>
      <c r="P40" s="13" t="str">
        <f aca="false">IF(L40="","",L40+M40)</f>
        <v/>
      </c>
      <c r="Q40" s="31" t="str">
        <f aca="false">IF(OR(C40="",C40=0,N40=""),"",1-N40/C40)</f>
        <v/>
      </c>
      <c r="R40" s="31" t="str">
        <f aca="false">IF(OR(D40="",D40=0,O40=""),"",1-O40/D40)</f>
        <v/>
      </c>
      <c r="S40" s="31" t="str">
        <f aca="false">IF(OR(E40="",E40=0,P40=""),"",1-P40/E40)</f>
        <v/>
      </c>
      <c r="T40" s="32" t="str">
        <f aca="false">IF(OR(N40="",O40=""),"",N40-O40)</f>
        <v/>
      </c>
      <c r="U40" s="32" t="str">
        <f aca="false">IF(OR(N40="",P40=""),"",N40-P40)</f>
        <v/>
      </c>
    </row>
    <row r="41" customFormat="false" ht="23.25" hidden="false" customHeight="true" outlineLevel="0" collapsed="false">
      <c r="A41" s="15" t="s">
        <v>43</v>
      </c>
      <c r="B41" s="15"/>
      <c r="C41" s="34" t="e">
        <f aca="false">AVERAGE(C10:C40)</f>
        <v>#DIV/0!</v>
      </c>
      <c r="D41" s="34" t="e">
        <f aca="false">AVERAGE(D10:D40)</f>
        <v>#DIV/0!</v>
      </c>
      <c r="E41" s="34" t="e">
        <f aca="false">AVERAGE(E10:E40)</f>
        <v>#DIV/0!</v>
      </c>
      <c r="F41" s="34" t="e">
        <f aca="false">AVERAGE(F10:F40)</f>
        <v>#DIV/0!</v>
      </c>
      <c r="G41" s="34" t="e">
        <f aca="false">AVERAGE(G10:G40)</f>
        <v>#DIV/0!</v>
      </c>
      <c r="H41" s="34" t="e">
        <f aca="false">AVERAGE(H10:H40)</f>
        <v>#DIV/0!</v>
      </c>
      <c r="I41" s="35" t="e">
        <f aca="false">AVERAGE(I10:I40)</f>
        <v>#DIV/0!</v>
      </c>
      <c r="J41" s="34" t="e">
        <f aca="false">AVERAGE(J10:J40)</f>
        <v>#DIV/0!</v>
      </c>
      <c r="K41" s="34" t="e">
        <f aca="false">AVERAGE(K10:K40)</f>
        <v>#DIV/0!</v>
      </c>
      <c r="L41" s="34" t="e">
        <f aca="false">AVERAGE(L10:L40)</f>
        <v>#DIV/0!</v>
      </c>
      <c r="M41" s="36" t="n">
        <f aca="false">$F$7</f>
        <v>0</v>
      </c>
      <c r="N41" s="34" t="e">
        <f aca="false">AVERAGE(N10:N40)</f>
        <v>#DIV/0!</v>
      </c>
      <c r="O41" s="34" t="e">
        <f aca="false">AVERAGE(O10:O40)</f>
        <v>#DIV/0!</v>
      </c>
      <c r="P41" s="34" t="e">
        <f aca="false">AVERAGE(P10:P40)</f>
        <v>#DIV/0!</v>
      </c>
      <c r="Q41" s="35" t="e">
        <f aca="false">AVERAGE(Q10:Q40)</f>
        <v>#DIV/0!</v>
      </c>
      <c r="R41" s="35" t="e">
        <f aca="false">AVERAGE(R10:R40)</f>
        <v>#DIV/0!</v>
      </c>
      <c r="S41" s="35" t="e">
        <f aca="false">AVERAGE(S10:S40)</f>
        <v>#DIV/0!</v>
      </c>
      <c r="T41" s="37" t="e">
        <f aca="false">AVERAGE(T10:T40)</f>
        <v>#DIV/0!</v>
      </c>
      <c r="U41" s="37" t="e">
        <f aca="false">AVERAGE(U10:U40)</f>
        <v>#DIV/0!</v>
      </c>
    </row>
    <row r="42" customFormat="false" ht="15" hidden="false" customHeight="true" outlineLevel="0" collapsed="false">
      <c r="A42" s="15" t="s">
        <v>44</v>
      </c>
      <c r="B42" s="15"/>
      <c r="C42" s="34" t="n">
        <f aca="false">MAX(C10:C40)</f>
        <v>0</v>
      </c>
      <c r="D42" s="34" t="n">
        <f aca="false">MAX(D10:D40)</f>
        <v>0</v>
      </c>
      <c r="E42" s="34" t="n">
        <f aca="false">MAX(E10:E40)</f>
        <v>0</v>
      </c>
      <c r="F42" s="34" t="n">
        <f aca="false">MAX(F10:F40)</f>
        <v>0</v>
      </c>
      <c r="G42" s="34" t="n">
        <f aca="false">MAX(G10:G40)</f>
        <v>0</v>
      </c>
      <c r="H42" s="34" t="n">
        <f aca="false">MAX(H10:H40)</f>
        <v>0</v>
      </c>
      <c r="J42" s="34" t="n">
        <f aca="false">MAX(J10:J40)</f>
        <v>0</v>
      </c>
      <c r="K42" s="34" t="n">
        <f aca="false">MAX(K10:K40)</f>
        <v>0</v>
      </c>
      <c r="L42" s="34" t="n">
        <f aca="false">MAX(L10:L40)</f>
        <v>0</v>
      </c>
      <c r="M42" s="36" t="n">
        <f aca="false">$F$7</f>
        <v>0</v>
      </c>
      <c r="N42" s="34" t="n">
        <f aca="false">MAX(N10:N40)</f>
        <v>0</v>
      </c>
      <c r="O42" s="34" t="n">
        <f aca="false">MAX(O10:O40)</f>
        <v>0</v>
      </c>
      <c r="P42" s="34" t="n">
        <f aca="false">MAX(P10:P40)</f>
        <v>0</v>
      </c>
      <c r="Q42" s="35" t="n">
        <f aca="false">MAX(Q10:Q40)</f>
        <v>0</v>
      </c>
      <c r="R42" s="35" t="n">
        <f aca="false">MAX(R10:R40)</f>
        <v>0</v>
      </c>
      <c r="S42" s="35" t="n">
        <f aca="false">MAX(S10:S40)</f>
        <v>0</v>
      </c>
      <c r="T42" s="37" t="n">
        <f aca="false">MAX(T10:T40)</f>
        <v>0</v>
      </c>
      <c r="U42" s="37" t="n">
        <f aca="false">MAX(U10:U40)</f>
        <v>0</v>
      </c>
    </row>
    <row r="43" customFormat="false" ht="15" hidden="false" customHeight="true" outlineLevel="0" collapsed="false">
      <c r="A43" s="15" t="s">
        <v>45</v>
      </c>
      <c r="B43" s="15"/>
      <c r="C43" s="34" t="n">
        <f aca="false">MIN(C10:C40)</f>
        <v>0</v>
      </c>
      <c r="D43" s="34" t="n">
        <f aca="false">MIN(D10:D40)</f>
        <v>0</v>
      </c>
      <c r="E43" s="34" t="n">
        <f aca="false">MIN(E10:E40)</f>
        <v>0</v>
      </c>
      <c r="F43" s="34" t="n">
        <f aca="false">MIN(F10:F40)</f>
        <v>0</v>
      </c>
      <c r="G43" s="34" t="n">
        <f aca="false">MIN(G10:G40)</f>
        <v>0</v>
      </c>
      <c r="H43" s="34" t="n">
        <f aca="false">MIN(H10:H40)</f>
        <v>0</v>
      </c>
      <c r="J43" s="34" t="n">
        <f aca="false">MIN(J10:J40)</f>
        <v>0</v>
      </c>
      <c r="K43" s="34" t="n">
        <f aca="false">MIN(K10:K40)</f>
        <v>0</v>
      </c>
      <c r="L43" s="34" t="n">
        <f aca="false">MIN(L10:L40)</f>
        <v>0</v>
      </c>
      <c r="M43" s="36" t="n">
        <f aca="false">$F$7</f>
        <v>0</v>
      </c>
      <c r="N43" s="34" t="n">
        <f aca="false">MIN(N10:N40)</f>
        <v>0</v>
      </c>
      <c r="O43" s="34" t="n">
        <f aca="false">MIN(O10:O40)</f>
        <v>0</v>
      </c>
      <c r="P43" s="34" t="n">
        <f aca="false">MIN(P10:P40)</f>
        <v>0</v>
      </c>
      <c r="Q43" s="35" t="n">
        <f aca="false">MIN(Q10:Q40)</f>
        <v>0</v>
      </c>
      <c r="R43" s="35" t="n">
        <f aca="false">MIN(R10:R40)</f>
        <v>0</v>
      </c>
      <c r="S43" s="35" t="n">
        <f aca="false">MIN(S10:S40)</f>
        <v>0</v>
      </c>
      <c r="T43" s="37" t="n">
        <f aca="false">MIN(T10:T40)</f>
        <v>0</v>
      </c>
      <c r="U43" s="37" t="n">
        <f aca="false">MIN(U10:U40)</f>
        <v>0</v>
      </c>
    </row>
  </sheetData>
  <mergeCells count="14">
    <mergeCell ref="A1:U1"/>
    <mergeCell ref="A2:U2"/>
    <mergeCell ref="A6:B6"/>
    <mergeCell ref="A7:B7"/>
    <mergeCell ref="A8:B8"/>
    <mergeCell ref="C8:E8"/>
    <mergeCell ref="F8:H8"/>
    <mergeCell ref="J8:L8"/>
    <mergeCell ref="N8:P8"/>
    <mergeCell ref="Q8:S8"/>
    <mergeCell ref="T8:U8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"/>
    <col collapsed="false" customWidth="true" hidden="false" outlineLevel="0" max="8" min="3" style="1" width="10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6" min="14" style="1" width="11"/>
    <col collapsed="false" customWidth="true" hidden="false" outlineLevel="0" max="19" min="17" style="1" width="8"/>
    <col collapsed="false" customWidth="true" hidden="false" outlineLevel="0" max="21" min="20" style="1" width="10"/>
  </cols>
  <sheetData>
    <row r="1" customFormat="false" ht="30" hidden="false" customHeight="true" outlineLevel="0" collapsed="false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1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5</v>
      </c>
      <c r="F4" s="1" t="s">
        <v>6</v>
      </c>
      <c r="G4" s="5" t="s">
        <v>7</v>
      </c>
      <c r="I4" s="4" t="s">
        <v>8</v>
      </c>
      <c r="J4" s="5" t="s">
        <v>9</v>
      </c>
      <c r="L4" s="4" t="s">
        <v>10</v>
      </c>
      <c r="M4" s="43" t="s">
        <v>51</v>
      </c>
    </row>
    <row r="6" customFormat="false" ht="15" hidden="false" customHeight="true" outlineLevel="0" collapsed="false">
      <c r="A6" s="7" t="s">
        <v>12</v>
      </c>
      <c r="B6" s="7"/>
      <c r="C6" s="8" t="s">
        <v>13</v>
      </c>
      <c r="D6" s="8" t="s">
        <v>14</v>
      </c>
      <c r="E6" s="8" t="s">
        <v>15</v>
      </c>
      <c r="F6" s="9" t="s">
        <v>16</v>
      </c>
      <c r="G6" s="10"/>
      <c r="H6" s="10"/>
      <c r="I6" s="10"/>
      <c r="J6" s="10"/>
    </row>
    <row r="7" customFormat="false" ht="15" hidden="false" customHeight="true" outlineLevel="0" collapsed="false">
      <c r="A7" s="11" t="s">
        <v>17</v>
      </c>
      <c r="B7" s="11"/>
      <c r="C7" s="12"/>
      <c r="D7" s="12"/>
      <c r="E7" s="12"/>
      <c r="F7" s="13" t="n">
        <f aca="false">SUM(C7:E7)</f>
        <v>0</v>
      </c>
      <c r="G7" s="14"/>
      <c r="H7" s="14"/>
      <c r="I7" s="14"/>
      <c r="J7" s="14"/>
    </row>
    <row r="8" customFormat="false" ht="18" hidden="false" customHeight="true" outlineLevel="0" collapsed="false">
      <c r="A8" s="15" t="s">
        <v>18</v>
      </c>
      <c r="B8" s="15"/>
      <c r="C8" s="8" t="s">
        <v>19</v>
      </c>
      <c r="D8" s="8"/>
      <c r="E8" s="8"/>
      <c r="F8" s="16" t="s">
        <v>20</v>
      </c>
      <c r="G8" s="16"/>
      <c r="H8" s="16"/>
      <c r="I8" s="17" t="s">
        <v>21</v>
      </c>
      <c r="J8" s="18" t="s">
        <v>22</v>
      </c>
      <c r="K8" s="18"/>
      <c r="L8" s="18"/>
      <c r="M8" s="19" t="s">
        <v>23</v>
      </c>
      <c r="N8" s="9" t="s">
        <v>24</v>
      </c>
      <c r="O8" s="9"/>
      <c r="P8" s="9"/>
      <c r="Q8" s="20" t="s">
        <v>25</v>
      </c>
      <c r="R8" s="20"/>
      <c r="S8" s="20"/>
      <c r="T8" s="21" t="s">
        <v>26</v>
      </c>
      <c r="U8" s="21"/>
    </row>
    <row r="9" customFormat="false" ht="36" hidden="false" customHeight="true" outlineLevel="0" collapsed="false">
      <c r="A9" s="15" t="s">
        <v>27</v>
      </c>
      <c r="B9" s="15" t="s">
        <v>28</v>
      </c>
      <c r="C9" s="8" t="s">
        <v>29</v>
      </c>
      <c r="D9" s="8" t="s">
        <v>30</v>
      </c>
      <c r="E9" s="22" t="s">
        <v>31</v>
      </c>
      <c r="F9" s="16" t="s">
        <v>29</v>
      </c>
      <c r="G9" s="16" t="s">
        <v>30</v>
      </c>
      <c r="H9" s="23" t="s">
        <v>31</v>
      </c>
      <c r="I9" s="24" t="s">
        <v>32</v>
      </c>
      <c r="J9" s="18" t="s">
        <v>29</v>
      </c>
      <c r="K9" s="18" t="s">
        <v>30</v>
      </c>
      <c r="L9" s="25" t="s">
        <v>31</v>
      </c>
      <c r="M9" s="19" t="s">
        <v>33</v>
      </c>
      <c r="N9" s="9" t="s">
        <v>29</v>
      </c>
      <c r="O9" s="9" t="s">
        <v>30</v>
      </c>
      <c r="P9" s="26" t="s">
        <v>31</v>
      </c>
      <c r="Q9" s="20" t="s">
        <v>29</v>
      </c>
      <c r="R9" s="20" t="s">
        <v>30</v>
      </c>
      <c r="S9" s="21" t="s">
        <v>31</v>
      </c>
      <c r="T9" s="20" t="s">
        <v>34</v>
      </c>
      <c r="U9" s="20" t="s">
        <v>35</v>
      </c>
    </row>
    <row r="10" customFormat="false" ht="15" hidden="false" customHeight="true" outlineLevel="0" collapsed="false">
      <c r="A10" s="27" t="n">
        <v>46204</v>
      </c>
      <c r="B10" s="28" t="s">
        <v>36</v>
      </c>
      <c r="C10" s="12"/>
      <c r="D10" s="12"/>
      <c r="E10" s="12"/>
      <c r="F10" s="12"/>
      <c r="G10" s="12"/>
      <c r="H10" s="12"/>
      <c r="I10" s="29"/>
      <c r="J10" s="30" t="str">
        <f aca="false">IF(I10="","",ROUND(F10*(1-I10),0))</f>
        <v/>
      </c>
      <c r="K10" s="30" t="str">
        <f aca="false">IF(I10="","",ROUND(G10*(1-I10),0))</f>
        <v/>
      </c>
      <c r="L10" s="30" t="str">
        <f aca="false">IF(I10="","",ROUND(H10*(1-I10),0))</f>
        <v/>
      </c>
      <c r="M10" s="30" t="n">
        <f aca="false">$F$7</f>
        <v>0</v>
      </c>
      <c r="N10" s="13" t="str">
        <f aca="false">IF(J10="","",J10+M10)</f>
        <v/>
      </c>
      <c r="O10" s="13" t="str">
        <f aca="false">IF(K10="","",K10+M10)</f>
        <v/>
      </c>
      <c r="P10" s="13" t="str">
        <f aca="false">IF(L10="","",L10+M10)</f>
        <v/>
      </c>
      <c r="Q10" s="31" t="str">
        <f aca="false">IF(OR(C10="",C10=0,N10=""),"",1-N10/C10)</f>
        <v/>
      </c>
      <c r="R10" s="31" t="str">
        <f aca="false">IF(OR(D10="",D10=0,O10=""),"",1-O10/D10)</f>
        <v/>
      </c>
      <c r="S10" s="31" t="str">
        <f aca="false">IF(OR(E10="",E10=0,P10=""),"",1-P10/E10)</f>
        <v/>
      </c>
      <c r="T10" s="32" t="str">
        <f aca="false">IF(OR(N10="",O10=""),"",N10-O10)</f>
        <v/>
      </c>
      <c r="U10" s="32" t="str">
        <f aca="false">IF(OR(N10="",P10=""),"",N10-P10)</f>
        <v/>
      </c>
    </row>
    <row r="11" customFormat="false" ht="15" hidden="false" customHeight="true" outlineLevel="0" collapsed="false">
      <c r="A11" s="27" t="n">
        <v>46205</v>
      </c>
      <c r="B11" s="28" t="s">
        <v>37</v>
      </c>
      <c r="C11" s="12"/>
      <c r="D11" s="12"/>
      <c r="E11" s="12"/>
      <c r="F11" s="12"/>
      <c r="G11" s="12"/>
      <c r="H11" s="12"/>
      <c r="I11" s="29"/>
      <c r="J11" s="30" t="str">
        <f aca="false">IF(I11="","",ROUND(F11*(1-I11),0))</f>
        <v/>
      </c>
      <c r="K11" s="30" t="str">
        <f aca="false">IF(I11="","",ROUND(G11*(1-I11),0))</f>
        <v/>
      </c>
      <c r="L11" s="30" t="str">
        <f aca="false">IF(I11="","",ROUND(H11*(1-I11),0))</f>
        <v/>
      </c>
      <c r="M11" s="30" t="n">
        <f aca="false">$F$7</f>
        <v>0</v>
      </c>
      <c r="N11" s="13" t="str">
        <f aca="false">IF(J11="","",J11+M11)</f>
        <v/>
      </c>
      <c r="O11" s="13" t="str">
        <f aca="false">IF(K11="","",K11+M11)</f>
        <v/>
      </c>
      <c r="P11" s="13" t="str">
        <f aca="false">IF(L11="","",L11+M11)</f>
        <v/>
      </c>
      <c r="Q11" s="31" t="str">
        <f aca="false">IF(OR(C11="",C11=0,N11=""),"",1-N11/C11)</f>
        <v/>
      </c>
      <c r="R11" s="31" t="str">
        <f aca="false">IF(OR(D11="",D11=0,O11=""),"",1-O11/D11)</f>
        <v/>
      </c>
      <c r="S11" s="31" t="str">
        <f aca="false">IF(OR(E11="",E11=0,P11=""),"",1-P11/E11)</f>
        <v/>
      </c>
      <c r="T11" s="32" t="str">
        <f aca="false">IF(OR(N11="",O11=""),"",N11-O11)</f>
        <v/>
      </c>
      <c r="U11" s="32" t="str">
        <f aca="false">IF(OR(N11="",P11=""),"",N11-P11)</f>
        <v/>
      </c>
    </row>
    <row r="12" customFormat="false" ht="15" hidden="false" customHeight="true" outlineLevel="0" collapsed="false">
      <c r="A12" s="27" t="n">
        <v>46206</v>
      </c>
      <c r="B12" s="28" t="s">
        <v>38</v>
      </c>
      <c r="C12" s="12"/>
      <c r="D12" s="12"/>
      <c r="E12" s="12"/>
      <c r="F12" s="12"/>
      <c r="G12" s="12"/>
      <c r="H12" s="12"/>
      <c r="I12" s="29"/>
      <c r="J12" s="30" t="str">
        <f aca="false">IF(I12="","",ROUND(F12*(1-I12),0))</f>
        <v/>
      </c>
      <c r="K12" s="30" t="str">
        <f aca="false">IF(I12="","",ROUND(G12*(1-I12),0))</f>
        <v/>
      </c>
      <c r="L12" s="30" t="str">
        <f aca="false">IF(I12="","",ROUND(H12*(1-I12),0))</f>
        <v/>
      </c>
      <c r="M12" s="30" t="n">
        <f aca="false">$F$7</f>
        <v>0</v>
      </c>
      <c r="N12" s="13" t="str">
        <f aca="false">IF(J12="","",J12+M12)</f>
        <v/>
      </c>
      <c r="O12" s="13" t="str">
        <f aca="false">IF(K12="","",K12+M12)</f>
        <v/>
      </c>
      <c r="P12" s="13" t="str">
        <f aca="false">IF(L12="","",L12+M12)</f>
        <v/>
      </c>
      <c r="Q12" s="31" t="str">
        <f aca="false">IF(OR(C12="",C12=0,N12=""),"",1-N12/C12)</f>
        <v/>
      </c>
      <c r="R12" s="31" t="str">
        <f aca="false">IF(OR(D12="",D12=0,O12=""),"",1-O12/D12)</f>
        <v/>
      </c>
      <c r="S12" s="31" t="str">
        <f aca="false">IF(OR(E12="",E12=0,P12=""),"",1-P12/E12)</f>
        <v/>
      </c>
      <c r="T12" s="32" t="str">
        <f aca="false">IF(OR(N12="",O12=""),"",N12-O12)</f>
        <v/>
      </c>
      <c r="U12" s="32" t="str">
        <f aca="false">IF(OR(N12="",P12=""),"",N12-P12)</f>
        <v/>
      </c>
    </row>
    <row r="13" customFormat="false" ht="15" hidden="false" customHeight="true" outlineLevel="0" collapsed="false">
      <c r="A13" s="27" t="n">
        <v>46207</v>
      </c>
      <c r="B13" s="33" t="s">
        <v>39</v>
      </c>
      <c r="C13" s="12"/>
      <c r="D13" s="12"/>
      <c r="E13" s="12"/>
      <c r="F13" s="12"/>
      <c r="G13" s="12"/>
      <c r="H13" s="12"/>
      <c r="I13" s="29"/>
      <c r="J13" s="30" t="str">
        <f aca="false">IF(I13="","",ROUND(F13*(1-I13),0))</f>
        <v/>
      </c>
      <c r="K13" s="30" t="str">
        <f aca="false">IF(I13="","",ROUND(G13*(1-I13),0))</f>
        <v/>
      </c>
      <c r="L13" s="30" t="str">
        <f aca="false">IF(I13="","",ROUND(H13*(1-I13),0))</f>
        <v/>
      </c>
      <c r="M13" s="30" t="n">
        <f aca="false">$F$7</f>
        <v>0</v>
      </c>
      <c r="N13" s="13" t="str">
        <f aca="false">IF(J13="","",J13+M13)</f>
        <v/>
      </c>
      <c r="O13" s="13" t="str">
        <f aca="false">IF(K13="","",K13+M13)</f>
        <v/>
      </c>
      <c r="P13" s="13" t="str">
        <f aca="false">IF(L13="","",L13+M13)</f>
        <v/>
      </c>
      <c r="Q13" s="31" t="str">
        <f aca="false">IF(OR(C13="",C13=0,N13=""),"",1-N13/C13)</f>
        <v/>
      </c>
      <c r="R13" s="31" t="str">
        <f aca="false">IF(OR(D13="",D13=0,O13=""),"",1-O13/D13)</f>
        <v/>
      </c>
      <c r="S13" s="31" t="str">
        <f aca="false">IF(OR(E13="",E13=0,P13=""),"",1-P13/E13)</f>
        <v/>
      </c>
      <c r="T13" s="32" t="str">
        <f aca="false">IF(OR(N13="",O13=""),"",N13-O13)</f>
        <v/>
      </c>
      <c r="U13" s="32" t="str">
        <f aca="false">IF(OR(N13="",P13=""),"",N13-P13)</f>
        <v/>
      </c>
    </row>
    <row r="14" customFormat="false" ht="15" hidden="false" customHeight="true" outlineLevel="0" collapsed="false">
      <c r="A14" s="27" t="n">
        <v>46208</v>
      </c>
      <c r="B14" s="33" t="s">
        <v>40</v>
      </c>
      <c r="C14" s="12"/>
      <c r="D14" s="12"/>
      <c r="E14" s="12"/>
      <c r="F14" s="12"/>
      <c r="G14" s="12"/>
      <c r="H14" s="12"/>
      <c r="I14" s="29"/>
      <c r="J14" s="30" t="str">
        <f aca="false">IF(I14="","",ROUND(F14*(1-I14),0))</f>
        <v/>
      </c>
      <c r="K14" s="30" t="str">
        <f aca="false">IF(I14="","",ROUND(G14*(1-I14),0))</f>
        <v/>
      </c>
      <c r="L14" s="30" t="str">
        <f aca="false">IF(I14="","",ROUND(H14*(1-I14),0))</f>
        <v/>
      </c>
      <c r="M14" s="30" t="n">
        <f aca="false">$F$7</f>
        <v>0</v>
      </c>
      <c r="N14" s="13" t="str">
        <f aca="false">IF(J14="","",J14+M14)</f>
        <v/>
      </c>
      <c r="O14" s="13" t="str">
        <f aca="false">IF(K14="","",K14+M14)</f>
        <v/>
      </c>
      <c r="P14" s="13" t="str">
        <f aca="false">IF(L14="","",L14+M14)</f>
        <v/>
      </c>
      <c r="Q14" s="31" t="str">
        <f aca="false">IF(OR(C14="",C14=0,N14=""),"",1-N14/C14)</f>
        <v/>
      </c>
      <c r="R14" s="31" t="str">
        <f aca="false">IF(OR(D14="",D14=0,O14=""),"",1-O14/D14)</f>
        <v/>
      </c>
      <c r="S14" s="31" t="str">
        <f aca="false">IF(OR(E14="",E14=0,P14=""),"",1-P14/E14)</f>
        <v/>
      </c>
      <c r="T14" s="32" t="str">
        <f aca="false">IF(OR(N14="",O14=""),"",N14-O14)</f>
        <v/>
      </c>
      <c r="U14" s="32" t="str">
        <f aca="false">IF(OR(N14="",P14=""),"",N14-P14)</f>
        <v/>
      </c>
    </row>
    <row r="15" customFormat="false" ht="15" hidden="false" customHeight="true" outlineLevel="0" collapsed="false">
      <c r="A15" s="27" t="n">
        <v>46209</v>
      </c>
      <c r="B15" s="28" t="s">
        <v>41</v>
      </c>
      <c r="C15" s="12"/>
      <c r="D15" s="12"/>
      <c r="E15" s="12"/>
      <c r="F15" s="12"/>
      <c r="G15" s="12"/>
      <c r="H15" s="12"/>
      <c r="I15" s="29"/>
      <c r="J15" s="30" t="str">
        <f aca="false">IF(I15="","",ROUND(F15*(1-I15),0))</f>
        <v/>
      </c>
      <c r="K15" s="30" t="str">
        <f aca="false">IF(I15="","",ROUND(G15*(1-I15),0))</f>
        <v/>
      </c>
      <c r="L15" s="30" t="str">
        <f aca="false">IF(I15="","",ROUND(H15*(1-I15),0))</f>
        <v/>
      </c>
      <c r="M15" s="30" t="n">
        <f aca="false">$F$7</f>
        <v>0</v>
      </c>
      <c r="N15" s="13" t="str">
        <f aca="false">IF(J15="","",J15+M15)</f>
        <v/>
      </c>
      <c r="O15" s="13" t="str">
        <f aca="false">IF(K15="","",K15+M15)</f>
        <v/>
      </c>
      <c r="P15" s="13" t="str">
        <f aca="false">IF(L15="","",L15+M15)</f>
        <v/>
      </c>
      <c r="Q15" s="31" t="str">
        <f aca="false">IF(OR(C15="",C15=0,N15=""),"",1-N15/C15)</f>
        <v/>
      </c>
      <c r="R15" s="31" t="str">
        <f aca="false">IF(OR(D15="",D15=0,O15=""),"",1-O15/D15)</f>
        <v/>
      </c>
      <c r="S15" s="31" t="str">
        <f aca="false">IF(OR(E15="",E15=0,P15=""),"",1-P15/E15)</f>
        <v/>
      </c>
      <c r="T15" s="32" t="str">
        <f aca="false">IF(OR(N15="",O15=""),"",N15-O15)</f>
        <v/>
      </c>
      <c r="U15" s="32" t="str">
        <f aca="false">IF(OR(N15="",P15=""),"",N15-P15)</f>
        <v/>
      </c>
    </row>
    <row r="16" customFormat="false" ht="15" hidden="false" customHeight="true" outlineLevel="0" collapsed="false">
      <c r="A16" s="27" t="n">
        <v>46210</v>
      </c>
      <c r="B16" s="28" t="s">
        <v>42</v>
      </c>
      <c r="C16" s="12"/>
      <c r="D16" s="12"/>
      <c r="E16" s="12"/>
      <c r="F16" s="12"/>
      <c r="G16" s="12"/>
      <c r="H16" s="12"/>
      <c r="I16" s="29"/>
      <c r="J16" s="30" t="str">
        <f aca="false">IF(I16="","",ROUND(F16*(1-I16),0))</f>
        <v/>
      </c>
      <c r="K16" s="30" t="str">
        <f aca="false">IF(I16="","",ROUND(G16*(1-I16),0))</f>
        <v/>
      </c>
      <c r="L16" s="30" t="str">
        <f aca="false">IF(I16="","",ROUND(H16*(1-I16),0))</f>
        <v/>
      </c>
      <c r="M16" s="30" t="n">
        <f aca="false">$F$7</f>
        <v>0</v>
      </c>
      <c r="N16" s="13" t="str">
        <f aca="false">IF(J16="","",J16+M16)</f>
        <v/>
      </c>
      <c r="O16" s="13" t="str">
        <f aca="false">IF(K16="","",K16+M16)</f>
        <v/>
      </c>
      <c r="P16" s="13" t="str">
        <f aca="false">IF(L16="","",L16+M16)</f>
        <v/>
      </c>
      <c r="Q16" s="31" t="str">
        <f aca="false">IF(OR(C16="",C16=0,N16=""),"",1-N16/C16)</f>
        <v/>
      </c>
      <c r="R16" s="31" t="str">
        <f aca="false">IF(OR(D16="",D16=0,O16=""),"",1-O16/D16)</f>
        <v/>
      </c>
      <c r="S16" s="31" t="str">
        <f aca="false">IF(OR(E16="",E16=0,P16=""),"",1-P16/E16)</f>
        <v/>
      </c>
      <c r="T16" s="32" t="str">
        <f aca="false">IF(OR(N16="",O16=""),"",N16-O16)</f>
        <v/>
      </c>
      <c r="U16" s="32" t="str">
        <f aca="false">IF(OR(N16="",P16=""),"",N16-P16)</f>
        <v/>
      </c>
    </row>
    <row r="17" customFormat="false" ht="15" hidden="false" customHeight="true" outlineLevel="0" collapsed="false">
      <c r="A17" s="27" t="n">
        <v>46211</v>
      </c>
      <c r="B17" s="28" t="s">
        <v>36</v>
      </c>
      <c r="C17" s="12"/>
      <c r="D17" s="12"/>
      <c r="E17" s="12"/>
      <c r="F17" s="12"/>
      <c r="G17" s="12"/>
      <c r="H17" s="12"/>
      <c r="I17" s="29"/>
      <c r="J17" s="30" t="str">
        <f aca="false">IF(I17="","",ROUND(F17*(1-I17),0))</f>
        <v/>
      </c>
      <c r="K17" s="30" t="str">
        <f aca="false">IF(I17="","",ROUND(G17*(1-I17),0))</f>
        <v/>
      </c>
      <c r="L17" s="30" t="str">
        <f aca="false">IF(I17="","",ROUND(H17*(1-I17),0))</f>
        <v/>
      </c>
      <c r="M17" s="30" t="n">
        <f aca="false">$F$7</f>
        <v>0</v>
      </c>
      <c r="N17" s="13" t="str">
        <f aca="false">IF(J17="","",J17+M17)</f>
        <v/>
      </c>
      <c r="O17" s="13" t="str">
        <f aca="false">IF(K17="","",K17+M17)</f>
        <v/>
      </c>
      <c r="P17" s="13" t="str">
        <f aca="false">IF(L17="","",L17+M17)</f>
        <v/>
      </c>
      <c r="Q17" s="31" t="str">
        <f aca="false">IF(OR(C17="",C17=0,N17=""),"",1-N17/C17)</f>
        <v/>
      </c>
      <c r="R17" s="31" t="str">
        <f aca="false">IF(OR(D17="",D17=0,O17=""),"",1-O17/D17)</f>
        <v/>
      </c>
      <c r="S17" s="31" t="str">
        <f aca="false">IF(OR(E17="",E17=0,P17=""),"",1-P17/E17)</f>
        <v/>
      </c>
      <c r="T17" s="32" t="str">
        <f aca="false">IF(OR(N17="",O17=""),"",N17-O17)</f>
        <v/>
      </c>
      <c r="U17" s="32" t="str">
        <f aca="false">IF(OR(N17="",P17=""),"",N17-P17)</f>
        <v/>
      </c>
    </row>
    <row r="18" customFormat="false" ht="15" hidden="false" customHeight="true" outlineLevel="0" collapsed="false">
      <c r="A18" s="27" t="n">
        <v>46212</v>
      </c>
      <c r="B18" s="28" t="s">
        <v>37</v>
      </c>
      <c r="C18" s="12"/>
      <c r="D18" s="12"/>
      <c r="E18" s="12"/>
      <c r="F18" s="12"/>
      <c r="G18" s="12"/>
      <c r="H18" s="12"/>
      <c r="I18" s="29"/>
      <c r="J18" s="30" t="str">
        <f aca="false">IF(I18="","",ROUND(F18*(1-I18),0))</f>
        <v/>
      </c>
      <c r="K18" s="30" t="str">
        <f aca="false">IF(I18="","",ROUND(G18*(1-I18),0))</f>
        <v/>
      </c>
      <c r="L18" s="30" t="str">
        <f aca="false">IF(I18="","",ROUND(H18*(1-I18),0))</f>
        <v/>
      </c>
      <c r="M18" s="30" t="n">
        <f aca="false">$F$7</f>
        <v>0</v>
      </c>
      <c r="N18" s="13" t="str">
        <f aca="false">IF(J18="","",J18+M18)</f>
        <v/>
      </c>
      <c r="O18" s="13" t="str">
        <f aca="false">IF(K18="","",K18+M18)</f>
        <v/>
      </c>
      <c r="P18" s="13" t="str">
        <f aca="false">IF(L18="","",L18+M18)</f>
        <v/>
      </c>
      <c r="Q18" s="31" t="str">
        <f aca="false">IF(OR(C18="",C18=0,N18=""),"",1-N18/C18)</f>
        <v/>
      </c>
      <c r="R18" s="31" t="str">
        <f aca="false">IF(OR(D18="",D18=0,O18=""),"",1-O18/D18)</f>
        <v/>
      </c>
      <c r="S18" s="31" t="str">
        <f aca="false">IF(OR(E18="",E18=0,P18=""),"",1-P18/E18)</f>
        <v/>
      </c>
      <c r="T18" s="32" t="str">
        <f aca="false">IF(OR(N18="",O18=""),"",N18-O18)</f>
        <v/>
      </c>
      <c r="U18" s="32" t="str">
        <f aca="false">IF(OR(N18="",P18=""),"",N18-P18)</f>
        <v/>
      </c>
    </row>
    <row r="19" customFormat="false" ht="15" hidden="false" customHeight="true" outlineLevel="0" collapsed="false">
      <c r="A19" s="27" t="n">
        <v>46213</v>
      </c>
      <c r="B19" s="28" t="s">
        <v>38</v>
      </c>
      <c r="C19" s="12"/>
      <c r="D19" s="12"/>
      <c r="E19" s="12"/>
      <c r="F19" s="12"/>
      <c r="G19" s="12"/>
      <c r="H19" s="12"/>
      <c r="I19" s="29"/>
      <c r="J19" s="30" t="str">
        <f aca="false">IF(I19="","",ROUND(F19*(1-I19),0))</f>
        <v/>
      </c>
      <c r="K19" s="30" t="str">
        <f aca="false">IF(I19="","",ROUND(G19*(1-I19),0))</f>
        <v/>
      </c>
      <c r="L19" s="30" t="str">
        <f aca="false">IF(I19="","",ROUND(H19*(1-I19),0))</f>
        <v/>
      </c>
      <c r="M19" s="30" t="n">
        <f aca="false">$F$7</f>
        <v>0</v>
      </c>
      <c r="N19" s="13" t="str">
        <f aca="false">IF(J19="","",J19+M19)</f>
        <v/>
      </c>
      <c r="O19" s="13" t="str">
        <f aca="false">IF(K19="","",K19+M19)</f>
        <v/>
      </c>
      <c r="P19" s="13" t="str">
        <f aca="false">IF(L19="","",L19+M19)</f>
        <v/>
      </c>
      <c r="Q19" s="31" t="str">
        <f aca="false">IF(OR(C19="",C19=0,N19=""),"",1-N19/C19)</f>
        <v/>
      </c>
      <c r="R19" s="31" t="str">
        <f aca="false">IF(OR(D19="",D19=0,O19=""),"",1-O19/D19)</f>
        <v/>
      </c>
      <c r="S19" s="31" t="str">
        <f aca="false">IF(OR(E19="",E19=0,P19=""),"",1-P19/E19)</f>
        <v/>
      </c>
      <c r="T19" s="32" t="str">
        <f aca="false">IF(OR(N19="",O19=""),"",N19-O19)</f>
        <v/>
      </c>
      <c r="U19" s="32" t="str">
        <f aca="false">IF(OR(N19="",P19=""),"",N19-P19)</f>
        <v/>
      </c>
    </row>
    <row r="20" customFormat="false" ht="15" hidden="false" customHeight="true" outlineLevel="0" collapsed="false">
      <c r="A20" s="27" t="n">
        <v>46214</v>
      </c>
      <c r="B20" s="33" t="s">
        <v>39</v>
      </c>
      <c r="C20" s="12"/>
      <c r="D20" s="12"/>
      <c r="E20" s="12"/>
      <c r="F20" s="12"/>
      <c r="G20" s="12"/>
      <c r="H20" s="12"/>
      <c r="I20" s="29"/>
      <c r="J20" s="30" t="str">
        <f aca="false">IF(I20="","",ROUND(F20*(1-I20),0))</f>
        <v/>
      </c>
      <c r="K20" s="30" t="str">
        <f aca="false">IF(I20="","",ROUND(G20*(1-I20),0))</f>
        <v/>
      </c>
      <c r="L20" s="30" t="str">
        <f aca="false">IF(I20="","",ROUND(H20*(1-I20),0))</f>
        <v/>
      </c>
      <c r="M20" s="30" t="n">
        <f aca="false">$F$7</f>
        <v>0</v>
      </c>
      <c r="N20" s="13" t="str">
        <f aca="false">IF(J20="","",J20+M20)</f>
        <v/>
      </c>
      <c r="O20" s="13" t="str">
        <f aca="false">IF(K20="","",K20+M20)</f>
        <v/>
      </c>
      <c r="P20" s="13" t="str">
        <f aca="false">IF(L20="","",L20+M20)</f>
        <v/>
      </c>
      <c r="Q20" s="31" t="str">
        <f aca="false">IF(OR(C20="",C20=0,N20=""),"",1-N20/C20)</f>
        <v/>
      </c>
      <c r="R20" s="31" t="str">
        <f aca="false">IF(OR(D20="",D20=0,O20=""),"",1-O20/D20)</f>
        <v/>
      </c>
      <c r="S20" s="31" t="str">
        <f aca="false">IF(OR(E20="",E20=0,P20=""),"",1-P20/E20)</f>
        <v/>
      </c>
      <c r="T20" s="32" t="str">
        <f aca="false">IF(OR(N20="",O20=""),"",N20-O20)</f>
        <v/>
      </c>
      <c r="U20" s="32" t="str">
        <f aca="false">IF(OR(N20="",P20=""),"",N20-P20)</f>
        <v/>
      </c>
    </row>
    <row r="21" customFormat="false" ht="15" hidden="false" customHeight="true" outlineLevel="0" collapsed="false">
      <c r="A21" s="27" t="n">
        <v>46215</v>
      </c>
      <c r="B21" s="33" t="s">
        <v>40</v>
      </c>
      <c r="C21" s="12"/>
      <c r="D21" s="12"/>
      <c r="E21" s="12"/>
      <c r="F21" s="12"/>
      <c r="G21" s="12"/>
      <c r="H21" s="12"/>
      <c r="I21" s="29"/>
      <c r="J21" s="30" t="str">
        <f aca="false">IF(I21="","",ROUND(F21*(1-I21),0))</f>
        <v/>
      </c>
      <c r="K21" s="30" t="str">
        <f aca="false">IF(I21="","",ROUND(G21*(1-I21),0))</f>
        <v/>
      </c>
      <c r="L21" s="30" t="str">
        <f aca="false">IF(I21="","",ROUND(H21*(1-I21),0))</f>
        <v/>
      </c>
      <c r="M21" s="30" t="n">
        <f aca="false">$F$7</f>
        <v>0</v>
      </c>
      <c r="N21" s="13" t="str">
        <f aca="false">IF(J21="","",J21+M21)</f>
        <v/>
      </c>
      <c r="O21" s="13" t="str">
        <f aca="false">IF(K21="","",K21+M21)</f>
        <v/>
      </c>
      <c r="P21" s="13" t="str">
        <f aca="false">IF(L21="","",L21+M21)</f>
        <v/>
      </c>
      <c r="Q21" s="31" t="str">
        <f aca="false">IF(OR(C21="",C21=0,N21=""),"",1-N21/C21)</f>
        <v/>
      </c>
      <c r="R21" s="31" t="str">
        <f aca="false">IF(OR(D21="",D21=0,O21=""),"",1-O21/D21)</f>
        <v/>
      </c>
      <c r="S21" s="31" t="str">
        <f aca="false">IF(OR(E21="",E21=0,P21=""),"",1-P21/E21)</f>
        <v/>
      </c>
      <c r="T21" s="32" t="str">
        <f aca="false">IF(OR(N21="",O21=""),"",N21-O21)</f>
        <v/>
      </c>
      <c r="U21" s="32" t="str">
        <f aca="false">IF(OR(N21="",P21=""),"",N21-P21)</f>
        <v/>
      </c>
    </row>
    <row r="22" customFormat="false" ht="15" hidden="false" customHeight="true" outlineLevel="0" collapsed="false">
      <c r="A22" s="27" t="n">
        <v>46216</v>
      </c>
      <c r="B22" s="28" t="s">
        <v>41</v>
      </c>
      <c r="C22" s="12"/>
      <c r="D22" s="12"/>
      <c r="E22" s="12"/>
      <c r="F22" s="12"/>
      <c r="G22" s="12"/>
      <c r="H22" s="12"/>
      <c r="I22" s="29"/>
      <c r="J22" s="30" t="str">
        <f aca="false">IF(I22="","",ROUND(F22*(1-I22),0))</f>
        <v/>
      </c>
      <c r="K22" s="30" t="str">
        <f aca="false">IF(I22="","",ROUND(G22*(1-I22),0))</f>
        <v/>
      </c>
      <c r="L22" s="30" t="str">
        <f aca="false">IF(I22="","",ROUND(H22*(1-I22),0))</f>
        <v/>
      </c>
      <c r="M22" s="30" t="n">
        <f aca="false">$F$7</f>
        <v>0</v>
      </c>
      <c r="N22" s="13" t="str">
        <f aca="false">IF(J22="","",J22+M22)</f>
        <v/>
      </c>
      <c r="O22" s="13" t="str">
        <f aca="false">IF(K22="","",K22+M22)</f>
        <v/>
      </c>
      <c r="P22" s="13" t="str">
        <f aca="false">IF(L22="","",L22+M22)</f>
        <v/>
      </c>
      <c r="Q22" s="31" t="str">
        <f aca="false">IF(OR(C22="",C22=0,N22=""),"",1-N22/C22)</f>
        <v/>
      </c>
      <c r="R22" s="31" t="str">
        <f aca="false">IF(OR(D22="",D22=0,O22=""),"",1-O22/D22)</f>
        <v/>
      </c>
      <c r="S22" s="31" t="str">
        <f aca="false">IF(OR(E22="",E22=0,P22=""),"",1-P22/E22)</f>
        <v/>
      </c>
      <c r="T22" s="32" t="str">
        <f aca="false">IF(OR(N22="",O22=""),"",N22-O22)</f>
        <v/>
      </c>
      <c r="U22" s="32" t="str">
        <f aca="false">IF(OR(N22="",P22=""),"",N22-P22)</f>
        <v/>
      </c>
    </row>
    <row r="23" customFormat="false" ht="15" hidden="false" customHeight="true" outlineLevel="0" collapsed="false">
      <c r="A23" s="27" t="n">
        <v>46217</v>
      </c>
      <c r="B23" s="28" t="s">
        <v>42</v>
      </c>
      <c r="C23" s="12"/>
      <c r="D23" s="12"/>
      <c r="E23" s="12"/>
      <c r="F23" s="12"/>
      <c r="G23" s="12"/>
      <c r="H23" s="12"/>
      <c r="I23" s="29"/>
      <c r="J23" s="30" t="str">
        <f aca="false">IF(I23="","",ROUND(F23*(1-I23),0))</f>
        <v/>
      </c>
      <c r="K23" s="30" t="str">
        <f aca="false">IF(I23="","",ROUND(G23*(1-I23),0))</f>
        <v/>
      </c>
      <c r="L23" s="30" t="str">
        <f aca="false">IF(I23="","",ROUND(H23*(1-I23),0))</f>
        <v/>
      </c>
      <c r="M23" s="30" t="n">
        <f aca="false">$F$7</f>
        <v>0</v>
      </c>
      <c r="N23" s="13" t="str">
        <f aca="false">IF(J23="","",J23+M23)</f>
        <v/>
      </c>
      <c r="O23" s="13" t="str">
        <f aca="false">IF(K23="","",K23+M23)</f>
        <v/>
      </c>
      <c r="P23" s="13" t="str">
        <f aca="false">IF(L23="","",L23+M23)</f>
        <v/>
      </c>
      <c r="Q23" s="31" t="str">
        <f aca="false">IF(OR(C23="",C23=0,N23=""),"",1-N23/C23)</f>
        <v/>
      </c>
      <c r="R23" s="31" t="str">
        <f aca="false">IF(OR(D23="",D23=0,O23=""),"",1-O23/D23)</f>
        <v/>
      </c>
      <c r="S23" s="31" t="str">
        <f aca="false">IF(OR(E23="",E23=0,P23=""),"",1-P23/E23)</f>
        <v/>
      </c>
      <c r="T23" s="32" t="str">
        <f aca="false">IF(OR(N23="",O23=""),"",N23-O23)</f>
        <v/>
      </c>
      <c r="U23" s="32" t="str">
        <f aca="false">IF(OR(N23="",P23=""),"",N23-P23)</f>
        <v/>
      </c>
    </row>
    <row r="24" customFormat="false" ht="15" hidden="false" customHeight="true" outlineLevel="0" collapsed="false">
      <c r="A24" s="27" t="n">
        <v>46218</v>
      </c>
      <c r="B24" s="28" t="s">
        <v>36</v>
      </c>
      <c r="C24" s="12"/>
      <c r="D24" s="12"/>
      <c r="E24" s="12"/>
      <c r="F24" s="12"/>
      <c r="G24" s="12"/>
      <c r="H24" s="12"/>
      <c r="I24" s="29"/>
      <c r="J24" s="30" t="str">
        <f aca="false">IF(I24="","",ROUND(F24*(1-I24),0))</f>
        <v/>
      </c>
      <c r="K24" s="30" t="str">
        <f aca="false">IF(I24="","",ROUND(G24*(1-I24),0))</f>
        <v/>
      </c>
      <c r="L24" s="30" t="str">
        <f aca="false">IF(I24="","",ROUND(H24*(1-I24),0))</f>
        <v/>
      </c>
      <c r="M24" s="30" t="n">
        <f aca="false">$F$7</f>
        <v>0</v>
      </c>
      <c r="N24" s="13" t="str">
        <f aca="false">IF(J24="","",J24+M24)</f>
        <v/>
      </c>
      <c r="O24" s="13" t="str">
        <f aca="false">IF(K24="","",K24+M24)</f>
        <v/>
      </c>
      <c r="P24" s="13" t="str">
        <f aca="false">IF(L24="","",L24+M24)</f>
        <v/>
      </c>
      <c r="Q24" s="31" t="str">
        <f aca="false">IF(OR(C24="",C24=0,N24=""),"",1-N24/C24)</f>
        <v/>
      </c>
      <c r="R24" s="31" t="str">
        <f aca="false">IF(OR(D24="",D24=0,O24=""),"",1-O24/D24)</f>
        <v/>
      </c>
      <c r="S24" s="31" t="str">
        <f aca="false">IF(OR(E24="",E24=0,P24=""),"",1-P24/E24)</f>
        <v/>
      </c>
      <c r="T24" s="32" t="str">
        <f aca="false">IF(OR(N24="",O24=""),"",N24-O24)</f>
        <v/>
      </c>
      <c r="U24" s="32" t="str">
        <f aca="false">IF(OR(N24="",P24=""),"",N24-P24)</f>
        <v/>
      </c>
    </row>
    <row r="25" customFormat="false" ht="15" hidden="false" customHeight="true" outlineLevel="0" collapsed="false">
      <c r="A25" s="27" t="n">
        <v>46219</v>
      </c>
      <c r="B25" s="28" t="s">
        <v>37</v>
      </c>
      <c r="C25" s="12"/>
      <c r="D25" s="12"/>
      <c r="E25" s="12"/>
      <c r="F25" s="12"/>
      <c r="G25" s="12"/>
      <c r="H25" s="12"/>
      <c r="I25" s="29"/>
      <c r="J25" s="30" t="str">
        <f aca="false">IF(I25="","",ROUND(F25*(1-I25),0))</f>
        <v/>
      </c>
      <c r="K25" s="30" t="str">
        <f aca="false">IF(I25="","",ROUND(G25*(1-I25),0))</f>
        <v/>
      </c>
      <c r="L25" s="30" t="str">
        <f aca="false">IF(I25="","",ROUND(H25*(1-I25),0))</f>
        <v/>
      </c>
      <c r="M25" s="30" t="n">
        <f aca="false">$F$7</f>
        <v>0</v>
      </c>
      <c r="N25" s="13" t="str">
        <f aca="false">IF(J25="","",J25+M25)</f>
        <v/>
      </c>
      <c r="O25" s="13" t="str">
        <f aca="false">IF(K25="","",K25+M25)</f>
        <v/>
      </c>
      <c r="P25" s="13" t="str">
        <f aca="false">IF(L25="","",L25+M25)</f>
        <v/>
      </c>
      <c r="Q25" s="31" t="str">
        <f aca="false">IF(OR(C25="",C25=0,N25=""),"",1-N25/C25)</f>
        <v/>
      </c>
      <c r="R25" s="31" t="str">
        <f aca="false">IF(OR(D25="",D25=0,O25=""),"",1-O25/D25)</f>
        <v/>
      </c>
      <c r="S25" s="31" t="str">
        <f aca="false">IF(OR(E25="",E25=0,P25=""),"",1-P25/E25)</f>
        <v/>
      </c>
      <c r="T25" s="32" t="str">
        <f aca="false">IF(OR(N25="",O25=""),"",N25-O25)</f>
        <v/>
      </c>
      <c r="U25" s="32" t="str">
        <f aca="false">IF(OR(N25="",P25=""),"",N25-P25)</f>
        <v/>
      </c>
    </row>
    <row r="26" customFormat="false" ht="15" hidden="false" customHeight="true" outlineLevel="0" collapsed="false">
      <c r="A26" s="27" t="n">
        <v>46220</v>
      </c>
      <c r="B26" s="28" t="s">
        <v>38</v>
      </c>
      <c r="C26" s="12"/>
      <c r="D26" s="12"/>
      <c r="E26" s="12"/>
      <c r="F26" s="12"/>
      <c r="G26" s="12"/>
      <c r="H26" s="12"/>
      <c r="I26" s="29"/>
      <c r="J26" s="30" t="str">
        <f aca="false">IF(I26="","",ROUND(F26*(1-I26),0))</f>
        <v/>
      </c>
      <c r="K26" s="30" t="str">
        <f aca="false">IF(I26="","",ROUND(G26*(1-I26),0))</f>
        <v/>
      </c>
      <c r="L26" s="30" t="str">
        <f aca="false">IF(I26="","",ROUND(H26*(1-I26),0))</f>
        <v/>
      </c>
      <c r="M26" s="30" t="n">
        <f aca="false">$F$7</f>
        <v>0</v>
      </c>
      <c r="N26" s="13" t="str">
        <f aca="false">IF(J26="","",J26+M26)</f>
        <v/>
      </c>
      <c r="O26" s="13" t="str">
        <f aca="false">IF(K26="","",K26+M26)</f>
        <v/>
      </c>
      <c r="P26" s="13" t="str">
        <f aca="false">IF(L26="","",L26+M26)</f>
        <v/>
      </c>
      <c r="Q26" s="31" t="str">
        <f aca="false">IF(OR(C26="",C26=0,N26=""),"",1-N26/C26)</f>
        <v/>
      </c>
      <c r="R26" s="31" t="str">
        <f aca="false">IF(OR(D26="",D26=0,O26=""),"",1-O26/D26)</f>
        <v/>
      </c>
      <c r="S26" s="31" t="str">
        <f aca="false">IF(OR(E26="",E26=0,P26=""),"",1-P26/E26)</f>
        <v/>
      </c>
      <c r="T26" s="32" t="str">
        <f aca="false">IF(OR(N26="",O26=""),"",N26-O26)</f>
        <v/>
      </c>
      <c r="U26" s="32" t="str">
        <f aca="false">IF(OR(N26="",P26=""),"",N26-P26)</f>
        <v/>
      </c>
    </row>
    <row r="27" customFormat="false" ht="15" hidden="false" customHeight="true" outlineLevel="0" collapsed="false">
      <c r="A27" s="27" t="n">
        <v>46221</v>
      </c>
      <c r="B27" s="33" t="s">
        <v>39</v>
      </c>
      <c r="C27" s="12"/>
      <c r="D27" s="12"/>
      <c r="E27" s="12"/>
      <c r="F27" s="12"/>
      <c r="G27" s="12"/>
      <c r="H27" s="12"/>
      <c r="I27" s="29"/>
      <c r="J27" s="30" t="str">
        <f aca="false">IF(I27="","",ROUND(F27*(1-I27),0))</f>
        <v/>
      </c>
      <c r="K27" s="30" t="str">
        <f aca="false">IF(I27="","",ROUND(G27*(1-I27),0))</f>
        <v/>
      </c>
      <c r="L27" s="30" t="str">
        <f aca="false">IF(I27="","",ROUND(H27*(1-I27),0))</f>
        <v/>
      </c>
      <c r="M27" s="30" t="n">
        <f aca="false">$F$7</f>
        <v>0</v>
      </c>
      <c r="N27" s="13" t="str">
        <f aca="false">IF(J27="","",J27+M27)</f>
        <v/>
      </c>
      <c r="O27" s="13" t="str">
        <f aca="false">IF(K27="","",K27+M27)</f>
        <v/>
      </c>
      <c r="P27" s="13" t="str">
        <f aca="false">IF(L27="","",L27+M27)</f>
        <v/>
      </c>
      <c r="Q27" s="31" t="str">
        <f aca="false">IF(OR(C27="",C27=0,N27=""),"",1-N27/C27)</f>
        <v/>
      </c>
      <c r="R27" s="31" t="str">
        <f aca="false">IF(OR(D27="",D27=0,O27=""),"",1-O27/D27)</f>
        <v/>
      </c>
      <c r="S27" s="31" t="str">
        <f aca="false">IF(OR(E27="",E27=0,P27=""),"",1-P27/E27)</f>
        <v/>
      </c>
      <c r="T27" s="32" t="str">
        <f aca="false">IF(OR(N27="",O27=""),"",N27-O27)</f>
        <v/>
      </c>
      <c r="U27" s="32" t="str">
        <f aca="false">IF(OR(N27="",P27=""),"",N27-P27)</f>
        <v/>
      </c>
    </row>
    <row r="28" customFormat="false" ht="15" hidden="false" customHeight="true" outlineLevel="0" collapsed="false">
      <c r="A28" s="27" t="n">
        <v>46222</v>
      </c>
      <c r="B28" s="33" t="s">
        <v>40</v>
      </c>
      <c r="C28" s="12"/>
      <c r="D28" s="12"/>
      <c r="E28" s="12"/>
      <c r="F28" s="12"/>
      <c r="G28" s="12"/>
      <c r="H28" s="12"/>
      <c r="I28" s="29"/>
      <c r="J28" s="30" t="str">
        <f aca="false">IF(I28="","",ROUND(F28*(1-I28),0))</f>
        <v/>
      </c>
      <c r="K28" s="30" t="str">
        <f aca="false">IF(I28="","",ROUND(G28*(1-I28),0))</f>
        <v/>
      </c>
      <c r="L28" s="30" t="str">
        <f aca="false">IF(I28="","",ROUND(H28*(1-I28),0))</f>
        <v/>
      </c>
      <c r="M28" s="30" t="n">
        <f aca="false">$F$7</f>
        <v>0</v>
      </c>
      <c r="N28" s="13" t="str">
        <f aca="false">IF(J28="","",J28+M28)</f>
        <v/>
      </c>
      <c r="O28" s="13" t="str">
        <f aca="false">IF(K28="","",K28+M28)</f>
        <v/>
      </c>
      <c r="P28" s="13" t="str">
        <f aca="false">IF(L28="","",L28+M28)</f>
        <v/>
      </c>
      <c r="Q28" s="31" t="str">
        <f aca="false">IF(OR(C28="",C28=0,N28=""),"",1-N28/C28)</f>
        <v/>
      </c>
      <c r="R28" s="31" t="str">
        <f aca="false">IF(OR(D28="",D28=0,O28=""),"",1-O28/D28)</f>
        <v/>
      </c>
      <c r="S28" s="31" t="str">
        <f aca="false">IF(OR(E28="",E28=0,P28=""),"",1-P28/E28)</f>
        <v/>
      </c>
      <c r="T28" s="32" t="str">
        <f aca="false">IF(OR(N28="",O28=""),"",N28-O28)</f>
        <v/>
      </c>
      <c r="U28" s="32" t="str">
        <f aca="false">IF(OR(N28="",P28=""),"",N28-P28)</f>
        <v/>
      </c>
    </row>
    <row r="29" customFormat="false" ht="15" hidden="false" customHeight="true" outlineLevel="0" collapsed="false">
      <c r="A29" s="27" t="n">
        <v>46223</v>
      </c>
      <c r="B29" s="28" t="s">
        <v>41</v>
      </c>
      <c r="C29" s="12"/>
      <c r="D29" s="12"/>
      <c r="E29" s="12"/>
      <c r="F29" s="12"/>
      <c r="G29" s="12"/>
      <c r="H29" s="12"/>
      <c r="I29" s="29"/>
      <c r="J29" s="30" t="str">
        <f aca="false">IF(I29="","",ROUND(F29*(1-I29),0))</f>
        <v/>
      </c>
      <c r="K29" s="30" t="str">
        <f aca="false">IF(I29="","",ROUND(G29*(1-I29),0))</f>
        <v/>
      </c>
      <c r="L29" s="30" t="str">
        <f aca="false">IF(I29="","",ROUND(H29*(1-I29),0))</f>
        <v/>
      </c>
      <c r="M29" s="30" t="n">
        <f aca="false">$F$7</f>
        <v>0</v>
      </c>
      <c r="N29" s="13" t="str">
        <f aca="false">IF(J29="","",J29+M29)</f>
        <v/>
      </c>
      <c r="O29" s="13" t="str">
        <f aca="false">IF(K29="","",K29+M29)</f>
        <v/>
      </c>
      <c r="P29" s="13" t="str">
        <f aca="false">IF(L29="","",L29+M29)</f>
        <v/>
      </c>
      <c r="Q29" s="31" t="str">
        <f aca="false">IF(OR(C29="",C29=0,N29=""),"",1-N29/C29)</f>
        <v/>
      </c>
      <c r="R29" s="31" t="str">
        <f aca="false">IF(OR(D29="",D29=0,O29=""),"",1-O29/D29)</f>
        <v/>
      </c>
      <c r="S29" s="31" t="str">
        <f aca="false">IF(OR(E29="",E29=0,P29=""),"",1-P29/E29)</f>
        <v/>
      </c>
      <c r="T29" s="32" t="str">
        <f aca="false">IF(OR(N29="",O29=""),"",N29-O29)</f>
        <v/>
      </c>
      <c r="U29" s="32" t="str">
        <f aca="false">IF(OR(N29="",P29=""),"",N29-P29)</f>
        <v/>
      </c>
    </row>
    <row r="30" customFormat="false" ht="15" hidden="false" customHeight="true" outlineLevel="0" collapsed="false">
      <c r="A30" s="27" t="n">
        <v>46224</v>
      </c>
      <c r="B30" s="28" t="s">
        <v>42</v>
      </c>
      <c r="C30" s="12"/>
      <c r="D30" s="12"/>
      <c r="E30" s="12"/>
      <c r="F30" s="12"/>
      <c r="G30" s="12"/>
      <c r="H30" s="12"/>
      <c r="I30" s="29"/>
      <c r="J30" s="30" t="str">
        <f aca="false">IF(I30="","",ROUND(F30*(1-I30),0))</f>
        <v/>
      </c>
      <c r="K30" s="30" t="str">
        <f aca="false">IF(I30="","",ROUND(G30*(1-I30),0))</f>
        <v/>
      </c>
      <c r="L30" s="30" t="str">
        <f aca="false">IF(I30="","",ROUND(H30*(1-I30),0))</f>
        <v/>
      </c>
      <c r="M30" s="30" t="n">
        <f aca="false">$F$7</f>
        <v>0</v>
      </c>
      <c r="N30" s="13" t="str">
        <f aca="false">IF(J30="","",J30+M30)</f>
        <v/>
      </c>
      <c r="O30" s="13" t="str">
        <f aca="false">IF(K30="","",K30+M30)</f>
        <v/>
      </c>
      <c r="P30" s="13" t="str">
        <f aca="false">IF(L30="","",L30+M30)</f>
        <v/>
      </c>
      <c r="Q30" s="31" t="str">
        <f aca="false">IF(OR(C30="",C30=0,N30=""),"",1-N30/C30)</f>
        <v/>
      </c>
      <c r="R30" s="31" t="str">
        <f aca="false">IF(OR(D30="",D30=0,O30=""),"",1-O30/D30)</f>
        <v/>
      </c>
      <c r="S30" s="31" t="str">
        <f aca="false">IF(OR(E30="",E30=0,P30=""),"",1-P30/E30)</f>
        <v/>
      </c>
      <c r="T30" s="32" t="str">
        <f aca="false">IF(OR(N30="",O30=""),"",N30-O30)</f>
        <v/>
      </c>
      <c r="U30" s="32" t="str">
        <f aca="false">IF(OR(N30="",P30=""),"",N30-P30)</f>
        <v/>
      </c>
    </row>
    <row r="31" customFormat="false" ht="15" hidden="false" customHeight="true" outlineLevel="0" collapsed="false">
      <c r="A31" s="27" t="n">
        <v>46225</v>
      </c>
      <c r="B31" s="28" t="s">
        <v>36</v>
      </c>
      <c r="C31" s="12"/>
      <c r="D31" s="12"/>
      <c r="E31" s="12"/>
      <c r="F31" s="12"/>
      <c r="G31" s="12"/>
      <c r="H31" s="12"/>
      <c r="I31" s="29"/>
      <c r="J31" s="30" t="str">
        <f aca="false">IF(I31="","",ROUND(F31*(1-I31),0))</f>
        <v/>
      </c>
      <c r="K31" s="30" t="str">
        <f aca="false">IF(I31="","",ROUND(G31*(1-I31),0))</f>
        <v/>
      </c>
      <c r="L31" s="30" t="str">
        <f aca="false">IF(I31="","",ROUND(H31*(1-I31),0))</f>
        <v/>
      </c>
      <c r="M31" s="30" t="n">
        <f aca="false">$F$7</f>
        <v>0</v>
      </c>
      <c r="N31" s="13" t="str">
        <f aca="false">IF(J31="","",J31+M31)</f>
        <v/>
      </c>
      <c r="O31" s="13" t="str">
        <f aca="false">IF(K31="","",K31+M31)</f>
        <v/>
      </c>
      <c r="P31" s="13" t="str">
        <f aca="false">IF(L31="","",L31+M31)</f>
        <v/>
      </c>
      <c r="Q31" s="31" t="str">
        <f aca="false">IF(OR(C31="",C31=0,N31=""),"",1-N31/C31)</f>
        <v/>
      </c>
      <c r="R31" s="31" t="str">
        <f aca="false">IF(OR(D31="",D31=0,O31=""),"",1-O31/D31)</f>
        <v/>
      </c>
      <c r="S31" s="31" t="str">
        <f aca="false">IF(OR(E31="",E31=0,P31=""),"",1-P31/E31)</f>
        <v/>
      </c>
      <c r="T31" s="32" t="str">
        <f aca="false">IF(OR(N31="",O31=""),"",N31-O31)</f>
        <v/>
      </c>
      <c r="U31" s="32" t="str">
        <f aca="false">IF(OR(N31="",P31=""),"",N31-P31)</f>
        <v/>
      </c>
    </row>
    <row r="32" customFormat="false" ht="15" hidden="false" customHeight="true" outlineLevel="0" collapsed="false">
      <c r="A32" s="27" t="n">
        <v>46226</v>
      </c>
      <c r="B32" s="28" t="s">
        <v>37</v>
      </c>
      <c r="C32" s="12"/>
      <c r="D32" s="12"/>
      <c r="E32" s="12"/>
      <c r="F32" s="12"/>
      <c r="G32" s="12"/>
      <c r="H32" s="12"/>
      <c r="I32" s="29"/>
      <c r="J32" s="30" t="str">
        <f aca="false">IF(I32="","",ROUND(F32*(1-I32),0))</f>
        <v/>
      </c>
      <c r="K32" s="30" t="str">
        <f aca="false">IF(I32="","",ROUND(G32*(1-I32),0))</f>
        <v/>
      </c>
      <c r="L32" s="30" t="str">
        <f aca="false">IF(I32="","",ROUND(H32*(1-I32),0))</f>
        <v/>
      </c>
      <c r="M32" s="30" t="n">
        <f aca="false">$F$7</f>
        <v>0</v>
      </c>
      <c r="N32" s="13" t="str">
        <f aca="false">IF(J32="","",J32+M32)</f>
        <v/>
      </c>
      <c r="O32" s="13" t="str">
        <f aca="false">IF(K32="","",K32+M32)</f>
        <v/>
      </c>
      <c r="P32" s="13" t="str">
        <f aca="false">IF(L32="","",L32+M32)</f>
        <v/>
      </c>
      <c r="Q32" s="31" t="str">
        <f aca="false">IF(OR(C32="",C32=0,N32=""),"",1-N32/C32)</f>
        <v/>
      </c>
      <c r="R32" s="31" t="str">
        <f aca="false">IF(OR(D32="",D32=0,O32=""),"",1-O32/D32)</f>
        <v/>
      </c>
      <c r="S32" s="31" t="str">
        <f aca="false">IF(OR(E32="",E32=0,P32=""),"",1-P32/E32)</f>
        <v/>
      </c>
      <c r="T32" s="32" t="str">
        <f aca="false">IF(OR(N32="",O32=""),"",N32-O32)</f>
        <v/>
      </c>
      <c r="U32" s="32" t="str">
        <f aca="false">IF(OR(N32="",P32=""),"",N32-P32)</f>
        <v/>
      </c>
    </row>
    <row r="33" customFormat="false" ht="15" hidden="false" customHeight="true" outlineLevel="0" collapsed="false">
      <c r="A33" s="27" t="n">
        <v>46227</v>
      </c>
      <c r="B33" s="28" t="s">
        <v>38</v>
      </c>
      <c r="C33" s="12"/>
      <c r="D33" s="12"/>
      <c r="E33" s="12"/>
      <c r="F33" s="12"/>
      <c r="G33" s="12"/>
      <c r="H33" s="12"/>
      <c r="I33" s="29"/>
      <c r="J33" s="30" t="str">
        <f aca="false">IF(I33="","",ROUND(F33*(1-I33),0))</f>
        <v/>
      </c>
      <c r="K33" s="30" t="str">
        <f aca="false">IF(I33="","",ROUND(G33*(1-I33),0))</f>
        <v/>
      </c>
      <c r="L33" s="30" t="str">
        <f aca="false">IF(I33="","",ROUND(H33*(1-I33),0))</f>
        <v/>
      </c>
      <c r="M33" s="30" t="n">
        <f aca="false">$F$7</f>
        <v>0</v>
      </c>
      <c r="N33" s="13" t="str">
        <f aca="false">IF(J33="","",J33+M33)</f>
        <v/>
      </c>
      <c r="O33" s="13" t="str">
        <f aca="false">IF(K33="","",K33+M33)</f>
        <v/>
      </c>
      <c r="P33" s="13" t="str">
        <f aca="false">IF(L33="","",L33+M33)</f>
        <v/>
      </c>
      <c r="Q33" s="31" t="str">
        <f aca="false">IF(OR(C33="",C33=0,N33=""),"",1-N33/C33)</f>
        <v/>
      </c>
      <c r="R33" s="31" t="str">
        <f aca="false">IF(OR(D33="",D33=0,O33=""),"",1-O33/D33)</f>
        <v/>
      </c>
      <c r="S33" s="31" t="str">
        <f aca="false">IF(OR(E33="",E33=0,P33=""),"",1-P33/E33)</f>
        <v/>
      </c>
      <c r="T33" s="32" t="str">
        <f aca="false">IF(OR(N33="",O33=""),"",N33-O33)</f>
        <v/>
      </c>
      <c r="U33" s="32" t="str">
        <f aca="false">IF(OR(N33="",P33=""),"",N33-P33)</f>
        <v/>
      </c>
    </row>
    <row r="34" customFormat="false" ht="15" hidden="false" customHeight="true" outlineLevel="0" collapsed="false">
      <c r="A34" s="27" t="n">
        <v>46228</v>
      </c>
      <c r="B34" s="33" t="s">
        <v>39</v>
      </c>
      <c r="C34" s="12"/>
      <c r="D34" s="12"/>
      <c r="E34" s="12"/>
      <c r="F34" s="12"/>
      <c r="G34" s="12"/>
      <c r="H34" s="12"/>
      <c r="I34" s="29"/>
      <c r="J34" s="30" t="str">
        <f aca="false">IF(I34="","",ROUND(F34*(1-I34),0))</f>
        <v/>
      </c>
      <c r="K34" s="30" t="str">
        <f aca="false">IF(I34="","",ROUND(G34*(1-I34),0))</f>
        <v/>
      </c>
      <c r="L34" s="30" t="str">
        <f aca="false">IF(I34="","",ROUND(H34*(1-I34),0))</f>
        <v/>
      </c>
      <c r="M34" s="30" t="n">
        <f aca="false">$F$7</f>
        <v>0</v>
      </c>
      <c r="N34" s="13" t="str">
        <f aca="false">IF(J34="","",J34+M34)</f>
        <v/>
      </c>
      <c r="O34" s="13" t="str">
        <f aca="false">IF(K34="","",K34+M34)</f>
        <v/>
      </c>
      <c r="P34" s="13" t="str">
        <f aca="false">IF(L34="","",L34+M34)</f>
        <v/>
      </c>
      <c r="Q34" s="31" t="str">
        <f aca="false">IF(OR(C34="",C34=0,N34=""),"",1-N34/C34)</f>
        <v/>
      </c>
      <c r="R34" s="31" t="str">
        <f aca="false">IF(OR(D34="",D34=0,O34=""),"",1-O34/D34)</f>
        <v/>
      </c>
      <c r="S34" s="31" t="str">
        <f aca="false">IF(OR(E34="",E34=0,P34=""),"",1-P34/E34)</f>
        <v/>
      </c>
      <c r="T34" s="32" t="str">
        <f aca="false">IF(OR(N34="",O34=""),"",N34-O34)</f>
        <v/>
      </c>
      <c r="U34" s="32" t="str">
        <f aca="false">IF(OR(N34="",P34=""),"",N34-P34)</f>
        <v/>
      </c>
    </row>
    <row r="35" customFormat="false" ht="15" hidden="false" customHeight="true" outlineLevel="0" collapsed="false">
      <c r="A35" s="27" t="n">
        <v>46229</v>
      </c>
      <c r="B35" s="33" t="s">
        <v>40</v>
      </c>
      <c r="C35" s="12"/>
      <c r="D35" s="12"/>
      <c r="E35" s="12"/>
      <c r="F35" s="12"/>
      <c r="G35" s="12"/>
      <c r="H35" s="12"/>
      <c r="I35" s="29"/>
      <c r="J35" s="30" t="str">
        <f aca="false">IF(I35="","",ROUND(F35*(1-I35),0))</f>
        <v/>
      </c>
      <c r="K35" s="30" t="str">
        <f aca="false">IF(I35="","",ROUND(G35*(1-I35),0))</f>
        <v/>
      </c>
      <c r="L35" s="30" t="str">
        <f aca="false">IF(I35="","",ROUND(H35*(1-I35),0))</f>
        <v/>
      </c>
      <c r="M35" s="30" t="n">
        <f aca="false">$F$7</f>
        <v>0</v>
      </c>
      <c r="N35" s="13" t="str">
        <f aca="false">IF(J35="","",J35+M35)</f>
        <v/>
      </c>
      <c r="O35" s="13" t="str">
        <f aca="false">IF(K35="","",K35+M35)</f>
        <v/>
      </c>
      <c r="P35" s="13" t="str">
        <f aca="false">IF(L35="","",L35+M35)</f>
        <v/>
      </c>
      <c r="Q35" s="31" t="str">
        <f aca="false">IF(OR(C35="",C35=0,N35=""),"",1-N35/C35)</f>
        <v/>
      </c>
      <c r="R35" s="31" t="str">
        <f aca="false">IF(OR(D35="",D35=0,O35=""),"",1-O35/D35)</f>
        <v/>
      </c>
      <c r="S35" s="31" t="str">
        <f aca="false">IF(OR(E35="",E35=0,P35=""),"",1-P35/E35)</f>
        <v/>
      </c>
      <c r="T35" s="32" t="str">
        <f aca="false">IF(OR(N35="",O35=""),"",N35-O35)</f>
        <v/>
      </c>
      <c r="U35" s="32" t="str">
        <f aca="false">IF(OR(N35="",P35=""),"",N35-P35)</f>
        <v/>
      </c>
    </row>
    <row r="36" customFormat="false" ht="15" hidden="false" customHeight="true" outlineLevel="0" collapsed="false">
      <c r="A36" s="27" t="n">
        <v>46230</v>
      </c>
      <c r="B36" s="28" t="s">
        <v>41</v>
      </c>
      <c r="C36" s="12"/>
      <c r="D36" s="12"/>
      <c r="E36" s="12"/>
      <c r="F36" s="12"/>
      <c r="G36" s="12"/>
      <c r="H36" s="12"/>
      <c r="I36" s="29"/>
      <c r="J36" s="30" t="str">
        <f aca="false">IF(I36="","",ROUND(F36*(1-I36),0))</f>
        <v/>
      </c>
      <c r="K36" s="30" t="str">
        <f aca="false">IF(I36="","",ROUND(G36*(1-I36),0))</f>
        <v/>
      </c>
      <c r="L36" s="30" t="str">
        <f aca="false">IF(I36="","",ROUND(H36*(1-I36),0))</f>
        <v/>
      </c>
      <c r="M36" s="30" t="n">
        <f aca="false">$F$7</f>
        <v>0</v>
      </c>
      <c r="N36" s="13" t="str">
        <f aca="false">IF(J36="","",J36+M36)</f>
        <v/>
      </c>
      <c r="O36" s="13" t="str">
        <f aca="false">IF(K36="","",K36+M36)</f>
        <v/>
      </c>
      <c r="P36" s="13" t="str">
        <f aca="false">IF(L36="","",L36+M36)</f>
        <v/>
      </c>
      <c r="Q36" s="31" t="str">
        <f aca="false">IF(OR(C36="",C36=0,N36=""),"",1-N36/C36)</f>
        <v/>
      </c>
      <c r="R36" s="31" t="str">
        <f aca="false">IF(OR(D36="",D36=0,O36=""),"",1-O36/D36)</f>
        <v/>
      </c>
      <c r="S36" s="31" t="str">
        <f aca="false">IF(OR(E36="",E36=0,P36=""),"",1-P36/E36)</f>
        <v/>
      </c>
      <c r="T36" s="32" t="str">
        <f aca="false">IF(OR(N36="",O36=""),"",N36-O36)</f>
        <v/>
      </c>
      <c r="U36" s="32" t="str">
        <f aca="false">IF(OR(N36="",P36=""),"",N36-P36)</f>
        <v/>
      </c>
    </row>
    <row r="37" customFormat="false" ht="15" hidden="false" customHeight="true" outlineLevel="0" collapsed="false">
      <c r="A37" s="27" t="n">
        <v>46231</v>
      </c>
      <c r="B37" s="28" t="s">
        <v>42</v>
      </c>
      <c r="C37" s="12"/>
      <c r="D37" s="12"/>
      <c r="E37" s="12"/>
      <c r="F37" s="12"/>
      <c r="G37" s="12"/>
      <c r="H37" s="12"/>
      <c r="I37" s="29"/>
      <c r="J37" s="30" t="str">
        <f aca="false">IF(I37="","",ROUND(F37*(1-I37),0))</f>
        <v/>
      </c>
      <c r="K37" s="30" t="str">
        <f aca="false">IF(I37="","",ROUND(G37*(1-I37),0))</f>
        <v/>
      </c>
      <c r="L37" s="30" t="str">
        <f aca="false">IF(I37="","",ROUND(H37*(1-I37),0))</f>
        <v/>
      </c>
      <c r="M37" s="30" t="n">
        <f aca="false">$F$7</f>
        <v>0</v>
      </c>
      <c r="N37" s="13" t="str">
        <f aca="false">IF(J37="","",J37+M37)</f>
        <v/>
      </c>
      <c r="O37" s="13" t="str">
        <f aca="false">IF(K37="","",K37+M37)</f>
        <v/>
      </c>
      <c r="P37" s="13" t="str">
        <f aca="false">IF(L37="","",L37+M37)</f>
        <v/>
      </c>
      <c r="Q37" s="31" t="str">
        <f aca="false">IF(OR(C37="",C37=0,N37=""),"",1-N37/C37)</f>
        <v/>
      </c>
      <c r="R37" s="31" t="str">
        <f aca="false">IF(OR(D37="",D37=0,O37=""),"",1-O37/D37)</f>
        <v/>
      </c>
      <c r="S37" s="31" t="str">
        <f aca="false">IF(OR(E37="",E37=0,P37=""),"",1-P37/E37)</f>
        <v/>
      </c>
      <c r="T37" s="32" t="str">
        <f aca="false">IF(OR(N37="",O37=""),"",N37-O37)</f>
        <v/>
      </c>
      <c r="U37" s="32" t="str">
        <f aca="false">IF(OR(N37="",P37=""),"",N37-P37)</f>
        <v/>
      </c>
    </row>
    <row r="38" customFormat="false" ht="15" hidden="false" customHeight="true" outlineLevel="0" collapsed="false">
      <c r="A38" s="27" t="n">
        <v>46232</v>
      </c>
      <c r="B38" s="28" t="s">
        <v>36</v>
      </c>
      <c r="C38" s="12"/>
      <c r="D38" s="12"/>
      <c r="E38" s="12"/>
      <c r="F38" s="12"/>
      <c r="G38" s="12"/>
      <c r="H38" s="12"/>
      <c r="I38" s="29"/>
      <c r="J38" s="30" t="str">
        <f aca="false">IF(I38="","",ROUND(F38*(1-I38),0))</f>
        <v/>
      </c>
      <c r="K38" s="30" t="str">
        <f aca="false">IF(I38="","",ROUND(G38*(1-I38),0))</f>
        <v/>
      </c>
      <c r="L38" s="30" t="str">
        <f aca="false">IF(I38="","",ROUND(H38*(1-I38),0))</f>
        <v/>
      </c>
      <c r="M38" s="30" t="n">
        <f aca="false">$F$7</f>
        <v>0</v>
      </c>
      <c r="N38" s="13" t="str">
        <f aca="false">IF(J38="","",J38+M38)</f>
        <v/>
      </c>
      <c r="O38" s="13" t="str">
        <f aca="false">IF(K38="","",K38+M38)</f>
        <v/>
      </c>
      <c r="P38" s="13" t="str">
        <f aca="false">IF(L38="","",L38+M38)</f>
        <v/>
      </c>
      <c r="Q38" s="31" t="str">
        <f aca="false">IF(OR(C38="",C38=0,N38=""),"",1-N38/C38)</f>
        <v/>
      </c>
      <c r="R38" s="31" t="str">
        <f aca="false">IF(OR(D38="",D38=0,O38=""),"",1-O38/D38)</f>
        <v/>
      </c>
      <c r="S38" s="31" t="str">
        <f aca="false">IF(OR(E38="",E38=0,P38=""),"",1-P38/E38)</f>
        <v/>
      </c>
      <c r="T38" s="32" t="str">
        <f aca="false">IF(OR(N38="",O38=""),"",N38-O38)</f>
        <v/>
      </c>
      <c r="U38" s="32" t="str">
        <f aca="false">IF(OR(N38="",P38=""),"",N38-P38)</f>
        <v/>
      </c>
    </row>
    <row r="39" customFormat="false" ht="15" hidden="false" customHeight="true" outlineLevel="0" collapsed="false">
      <c r="A39" s="27" t="n">
        <v>46233</v>
      </c>
      <c r="B39" s="28" t="s">
        <v>37</v>
      </c>
      <c r="C39" s="12"/>
      <c r="D39" s="12"/>
      <c r="E39" s="12"/>
      <c r="F39" s="12"/>
      <c r="G39" s="12"/>
      <c r="H39" s="12"/>
      <c r="I39" s="29"/>
      <c r="J39" s="30" t="str">
        <f aca="false">IF(I39="","",ROUND(F39*(1-I39),0))</f>
        <v/>
      </c>
      <c r="K39" s="30" t="str">
        <f aca="false">IF(I39="","",ROUND(G39*(1-I39),0))</f>
        <v/>
      </c>
      <c r="L39" s="30" t="str">
        <f aca="false">IF(I39="","",ROUND(H39*(1-I39),0))</f>
        <v/>
      </c>
      <c r="M39" s="30" t="n">
        <f aca="false">$F$7</f>
        <v>0</v>
      </c>
      <c r="N39" s="13" t="str">
        <f aca="false">IF(J39="","",J39+M39)</f>
        <v/>
      </c>
      <c r="O39" s="13" t="str">
        <f aca="false">IF(K39="","",K39+M39)</f>
        <v/>
      </c>
      <c r="P39" s="13" t="str">
        <f aca="false">IF(L39="","",L39+M39)</f>
        <v/>
      </c>
      <c r="Q39" s="31" t="str">
        <f aca="false">IF(OR(C39="",C39=0,N39=""),"",1-N39/C39)</f>
        <v/>
      </c>
      <c r="R39" s="31" t="str">
        <f aca="false">IF(OR(D39="",D39=0,O39=""),"",1-O39/D39)</f>
        <v/>
      </c>
      <c r="S39" s="31" t="str">
        <f aca="false">IF(OR(E39="",E39=0,P39=""),"",1-P39/E39)</f>
        <v/>
      </c>
      <c r="T39" s="32" t="str">
        <f aca="false">IF(OR(N39="",O39=""),"",N39-O39)</f>
        <v/>
      </c>
      <c r="U39" s="32" t="str">
        <f aca="false">IF(OR(N39="",P39=""),"",N39-P39)</f>
        <v/>
      </c>
    </row>
    <row r="40" customFormat="false" ht="15" hidden="false" customHeight="true" outlineLevel="0" collapsed="false">
      <c r="A40" s="27" t="n">
        <v>46234</v>
      </c>
      <c r="B40" s="28" t="s">
        <v>38</v>
      </c>
      <c r="C40" s="12"/>
      <c r="D40" s="12"/>
      <c r="E40" s="12"/>
      <c r="F40" s="12"/>
      <c r="G40" s="12"/>
      <c r="H40" s="12"/>
      <c r="I40" s="29"/>
      <c r="J40" s="30" t="str">
        <f aca="false">IF(I40="","",ROUND(F40*(1-I40),0))</f>
        <v/>
      </c>
      <c r="K40" s="30" t="str">
        <f aca="false">IF(I40="","",ROUND(G40*(1-I40),0))</f>
        <v/>
      </c>
      <c r="L40" s="30" t="str">
        <f aca="false">IF(I40="","",ROUND(H40*(1-I40),0))</f>
        <v/>
      </c>
      <c r="M40" s="30" t="n">
        <f aca="false">$F$7</f>
        <v>0</v>
      </c>
      <c r="N40" s="13" t="str">
        <f aca="false">IF(J40="","",J40+M40)</f>
        <v/>
      </c>
      <c r="O40" s="13" t="str">
        <f aca="false">IF(K40="","",K40+M40)</f>
        <v/>
      </c>
      <c r="P40" s="13" t="str">
        <f aca="false">IF(L40="","",L40+M40)</f>
        <v/>
      </c>
      <c r="Q40" s="31" t="str">
        <f aca="false">IF(OR(C40="",C40=0,N40=""),"",1-N40/C40)</f>
        <v/>
      </c>
      <c r="R40" s="31" t="str">
        <f aca="false">IF(OR(D40="",D40=0,O40=""),"",1-O40/D40)</f>
        <v/>
      </c>
      <c r="S40" s="31" t="str">
        <f aca="false">IF(OR(E40="",E40=0,P40=""),"",1-P40/E40)</f>
        <v/>
      </c>
      <c r="T40" s="32" t="str">
        <f aca="false">IF(OR(N40="",O40=""),"",N40-O40)</f>
        <v/>
      </c>
      <c r="U40" s="32" t="str">
        <f aca="false">IF(OR(N40="",P40=""),"",N40-P40)</f>
        <v/>
      </c>
    </row>
    <row r="41" customFormat="false" ht="23.25" hidden="false" customHeight="true" outlineLevel="0" collapsed="false">
      <c r="A41" s="15" t="s">
        <v>43</v>
      </c>
      <c r="B41" s="15"/>
      <c r="C41" s="34" t="e">
        <f aca="false">AVERAGE(C10:C40)</f>
        <v>#DIV/0!</v>
      </c>
      <c r="D41" s="34" t="e">
        <f aca="false">AVERAGE(D10:D40)</f>
        <v>#DIV/0!</v>
      </c>
      <c r="E41" s="34" t="e">
        <f aca="false">AVERAGE(E10:E40)</f>
        <v>#DIV/0!</v>
      </c>
      <c r="F41" s="34" t="e">
        <f aca="false">AVERAGE(F10:F40)</f>
        <v>#DIV/0!</v>
      </c>
      <c r="G41" s="34" t="e">
        <f aca="false">AVERAGE(G10:G40)</f>
        <v>#DIV/0!</v>
      </c>
      <c r="H41" s="34" t="e">
        <f aca="false">AVERAGE(H10:H40)</f>
        <v>#DIV/0!</v>
      </c>
      <c r="I41" s="35" t="e">
        <f aca="false">AVERAGE(I10:I40)</f>
        <v>#DIV/0!</v>
      </c>
      <c r="J41" s="34" t="e">
        <f aca="false">AVERAGE(J10:J40)</f>
        <v>#DIV/0!</v>
      </c>
      <c r="K41" s="34" t="e">
        <f aca="false">AVERAGE(K10:K40)</f>
        <v>#DIV/0!</v>
      </c>
      <c r="L41" s="34" t="e">
        <f aca="false">AVERAGE(L10:L40)</f>
        <v>#DIV/0!</v>
      </c>
      <c r="M41" s="36" t="n">
        <f aca="false">$F$7</f>
        <v>0</v>
      </c>
      <c r="N41" s="34" t="e">
        <f aca="false">AVERAGE(N10:N40)</f>
        <v>#DIV/0!</v>
      </c>
      <c r="O41" s="34" t="e">
        <f aca="false">AVERAGE(O10:O40)</f>
        <v>#DIV/0!</v>
      </c>
      <c r="P41" s="34" t="e">
        <f aca="false">AVERAGE(P10:P40)</f>
        <v>#DIV/0!</v>
      </c>
      <c r="Q41" s="35" t="e">
        <f aca="false">AVERAGE(Q10:Q40)</f>
        <v>#DIV/0!</v>
      </c>
      <c r="R41" s="35" t="e">
        <f aca="false">AVERAGE(R10:R40)</f>
        <v>#DIV/0!</v>
      </c>
      <c r="S41" s="35" t="e">
        <f aca="false">AVERAGE(S10:S40)</f>
        <v>#DIV/0!</v>
      </c>
      <c r="T41" s="37" t="e">
        <f aca="false">AVERAGE(T10:T40)</f>
        <v>#DIV/0!</v>
      </c>
      <c r="U41" s="37" t="e">
        <f aca="false">AVERAGE(U10:U40)</f>
        <v>#DIV/0!</v>
      </c>
    </row>
    <row r="42" customFormat="false" ht="15" hidden="false" customHeight="true" outlineLevel="0" collapsed="false">
      <c r="A42" s="15" t="s">
        <v>44</v>
      </c>
      <c r="B42" s="15"/>
      <c r="C42" s="34" t="n">
        <f aca="false">MAX(C10:C40)</f>
        <v>0</v>
      </c>
      <c r="D42" s="34" t="n">
        <f aca="false">MAX(D10:D40)</f>
        <v>0</v>
      </c>
      <c r="E42" s="34" t="n">
        <f aca="false">MAX(E10:E40)</f>
        <v>0</v>
      </c>
      <c r="F42" s="34" t="n">
        <f aca="false">MAX(F10:F40)</f>
        <v>0</v>
      </c>
      <c r="G42" s="34" t="n">
        <f aca="false">MAX(G10:G40)</f>
        <v>0</v>
      </c>
      <c r="H42" s="34" t="n">
        <f aca="false">MAX(H10:H40)</f>
        <v>0</v>
      </c>
      <c r="J42" s="34" t="n">
        <f aca="false">MAX(J10:J40)</f>
        <v>0</v>
      </c>
      <c r="K42" s="34" t="n">
        <f aca="false">MAX(K10:K40)</f>
        <v>0</v>
      </c>
      <c r="L42" s="34" t="n">
        <f aca="false">MAX(L10:L40)</f>
        <v>0</v>
      </c>
      <c r="M42" s="36" t="n">
        <f aca="false">$F$7</f>
        <v>0</v>
      </c>
      <c r="N42" s="34" t="n">
        <f aca="false">MAX(N10:N40)</f>
        <v>0</v>
      </c>
      <c r="O42" s="34" t="n">
        <f aca="false">MAX(O10:O40)</f>
        <v>0</v>
      </c>
      <c r="P42" s="34" t="n">
        <f aca="false">MAX(P10:P40)</f>
        <v>0</v>
      </c>
      <c r="Q42" s="35" t="n">
        <f aca="false">MAX(Q10:Q40)</f>
        <v>0</v>
      </c>
      <c r="R42" s="35" t="n">
        <f aca="false">MAX(R10:R40)</f>
        <v>0</v>
      </c>
      <c r="S42" s="35" t="n">
        <f aca="false">MAX(S10:S40)</f>
        <v>0</v>
      </c>
      <c r="T42" s="37" t="n">
        <f aca="false">MAX(T10:T40)</f>
        <v>0</v>
      </c>
      <c r="U42" s="37" t="n">
        <f aca="false">MAX(U10:U40)</f>
        <v>0</v>
      </c>
    </row>
    <row r="43" customFormat="false" ht="15" hidden="false" customHeight="true" outlineLevel="0" collapsed="false">
      <c r="A43" s="15" t="s">
        <v>45</v>
      </c>
      <c r="B43" s="15"/>
      <c r="C43" s="34" t="n">
        <f aca="false">MIN(C10:C40)</f>
        <v>0</v>
      </c>
      <c r="D43" s="34" t="n">
        <f aca="false">MIN(D10:D40)</f>
        <v>0</v>
      </c>
      <c r="E43" s="34" t="n">
        <f aca="false">MIN(E10:E40)</f>
        <v>0</v>
      </c>
      <c r="F43" s="34" t="n">
        <f aca="false">MIN(F10:F40)</f>
        <v>0</v>
      </c>
      <c r="G43" s="34" t="n">
        <f aca="false">MIN(G10:G40)</f>
        <v>0</v>
      </c>
      <c r="H43" s="34" t="n">
        <f aca="false">MIN(H10:H40)</f>
        <v>0</v>
      </c>
      <c r="J43" s="34" t="n">
        <f aca="false">MIN(J10:J40)</f>
        <v>0</v>
      </c>
      <c r="K43" s="34" t="n">
        <f aca="false">MIN(K10:K40)</f>
        <v>0</v>
      </c>
      <c r="L43" s="34" t="n">
        <f aca="false">MIN(L10:L40)</f>
        <v>0</v>
      </c>
      <c r="M43" s="36" t="n">
        <f aca="false">$F$7</f>
        <v>0</v>
      </c>
      <c r="N43" s="34" t="n">
        <f aca="false">MIN(N10:N40)</f>
        <v>0</v>
      </c>
      <c r="O43" s="34" t="n">
        <f aca="false">MIN(O10:O40)</f>
        <v>0</v>
      </c>
      <c r="P43" s="34" t="n">
        <f aca="false">MIN(P10:P40)</f>
        <v>0</v>
      </c>
      <c r="Q43" s="35" t="n">
        <f aca="false">MIN(Q10:Q40)</f>
        <v>0</v>
      </c>
      <c r="R43" s="35" t="n">
        <f aca="false">MIN(R10:R40)</f>
        <v>0</v>
      </c>
      <c r="S43" s="35" t="n">
        <f aca="false">MIN(S10:S40)</f>
        <v>0</v>
      </c>
      <c r="T43" s="37" t="n">
        <f aca="false">MIN(T10:T40)</f>
        <v>0</v>
      </c>
      <c r="U43" s="37" t="n">
        <f aca="false">MIN(U10:U40)</f>
        <v>0</v>
      </c>
    </row>
  </sheetData>
  <mergeCells count="14">
    <mergeCell ref="A1:U1"/>
    <mergeCell ref="A2:U2"/>
    <mergeCell ref="A6:B6"/>
    <mergeCell ref="A7:B7"/>
    <mergeCell ref="A8:B8"/>
    <mergeCell ref="C8:E8"/>
    <mergeCell ref="F8:H8"/>
    <mergeCell ref="J8:L8"/>
    <mergeCell ref="N8:P8"/>
    <mergeCell ref="Q8:S8"/>
    <mergeCell ref="T8:U8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U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"/>
    <col collapsed="false" customWidth="true" hidden="false" outlineLevel="0" max="8" min="3" style="1" width="10"/>
    <col collapsed="false" customWidth="true" hidden="false" outlineLevel="0" max="9" min="9" style="1" width="8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6" min="14" style="1" width="11"/>
    <col collapsed="false" customWidth="true" hidden="false" outlineLevel="0" max="19" min="17" style="1" width="8"/>
    <col collapsed="false" customWidth="true" hidden="false" outlineLevel="0" max="21" min="20" style="1" width="10"/>
  </cols>
  <sheetData>
    <row r="1" customFormat="false" ht="30" hidden="false" customHeight="true" outlineLevel="0" collapsed="false">
      <c r="A1" s="44" t="s">
        <v>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customFormat="false" ht="11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customFormat="false" ht="15" hidden="false" customHeight="true" outlineLevel="0" collapsed="false">
      <c r="A4" s="4" t="s">
        <v>2</v>
      </c>
      <c r="B4" s="5" t="s">
        <v>3</v>
      </c>
      <c r="D4" s="4" t="s">
        <v>4</v>
      </c>
      <c r="E4" s="5" t="s">
        <v>5</v>
      </c>
      <c r="F4" s="1" t="s">
        <v>6</v>
      </c>
      <c r="G4" s="5" t="s">
        <v>7</v>
      </c>
      <c r="I4" s="4" t="s">
        <v>8</v>
      </c>
      <c r="J4" s="5" t="s">
        <v>9</v>
      </c>
      <c r="L4" s="4" t="s">
        <v>10</v>
      </c>
      <c r="M4" s="45" t="s">
        <v>53</v>
      </c>
    </row>
    <row r="6" customFormat="false" ht="15" hidden="false" customHeight="true" outlineLevel="0" collapsed="false">
      <c r="A6" s="7" t="s">
        <v>12</v>
      </c>
      <c r="B6" s="7"/>
      <c r="C6" s="8" t="s">
        <v>13</v>
      </c>
      <c r="D6" s="8" t="s">
        <v>14</v>
      </c>
      <c r="E6" s="8" t="s">
        <v>15</v>
      </c>
      <c r="F6" s="9" t="s">
        <v>16</v>
      </c>
      <c r="G6" s="10"/>
      <c r="H6" s="10"/>
      <c r="I6" s="10"/>
      <c r="J6" s="10"/>
    </row>
    <row r="7" customFormat="false" ht="15" hidden="false" customHeight="true" outlineLevel="0" collapsed="false">
      <c r="A7" s="11" t="s">
        <v>17</v>
      </c>
      <c r="B7" s="11"/>
      <c r="C7" s="12"/>
      <c r="D7" s="12"/>
      <c r="E7" s="12"/>
      <c r="F7" s="13" t="n">
        <f aca="false">SUM(C7:E7)</f>
        <v>0</v>
      </c>
      <c r="G7" s="14"/>
      <c r="H7" s="14"/>
      <c r="I7" s="14"/>
      <c r="J7" s="14"/>
    </row>
    <row r="8" customFormat="false" ht="18" hidden="false" customHeight="true" outlineLevel="0" collapsed="false">
      <c r="A8" s="15" t="s">
        <v>18</v>
      </c>
      <c r="B8" s="15"/>
      <c r="C8" s="8" t="s">
        <v>19</v>
      </c>
      <c r="D8" s="8"/>
      <c r="E8" s="8"/>
      <c r="F8" s="16" t="s">
        <v>20</v>
      </c>
      <c r="G8" s="16"/>
      <c r="H8" s="16"/>
      <c r="I8" s="17" t="s">
        <v>21</v>
      </c>
      <c r="J8" s="18" t="s">
        <v>22</v>
      </c>
      <c r="K8" s="18"/>
      <c r="L8" s="18"/>
      <c r="M8" s="19" t="s">
        <v>23</v>
      </c>
      <c r="N8" s="9" t="s">
        <v>24</v>
      </c>
      <c r="O8" s="9"/>
      <c r="P8" s="9"/>
      <c r="Q8" s="20" t="s">
        <v>25</v>
      </c>
      <c r="R8" s="20"/>
      <c r="S8" s="20"/>
      <c r="T8" s="21" t="s">
        <v>26</v>
      </c>
      <c r="U8" s="21"/>
    </row>
    <row r="9" customFormat="false" ht="36" hidden="false" customHeight="true" outlineLevel="0" collapsed="false">
      <c r="A9" s="15" t="s">
        <v>27</v>
      </c>
      <c r="B9" s="15" t="s">
        <v>28</v>
      </c>
      <c r="C9" s="8" t="s">
        <v>29</v>
      </c>
      <c r="D9" s="8" t="s">
        <v>30</v>
      </c>
      <c r="E9" s="22" t="s">
        <v>31</v>
      </c>
      <c r="F9" s="16" t="s">
        <v>29</v>
      </c>
      <c r="G9" s="16" t="s">
        <v>30</v>
      </c>
      <c r="H9" s="23" t="s">
        <v>31</v>
      </c>
      <c r="I9" s="24" t="s">
        <v>32</v>
      </c>
      <c r="J9" s="18" t="s">
        <v>29</v>
      </c>
      <c r="K9" s="18" t="s">
        <v>30</v>
      </c>
      <c r="L9" s="25" t="s">
        <v>31</v>
      </c>
      <c r="M9" s="19" t="s">
        <v>33</v>
      </c>
      <c r="N9" s="9" t="s">
        <v>29</v>
      </c>
      <c r="O9" s="9" t="s">
        <v>30</v>
      </c>
      <c r="P9" s="26" t="s">
        <v>31</v>
      </c>
      <c r="Q9" s="20" t="s">
        <v>29</v>
      </c>
      <c r="R9" s="20" t="s">
        <v>30</v>
      </c>
      <c r="S9" s="21" t="s">
        <v>31</v>
      </c>
      <c r="T9" s="20" t="s">
        <v>34</v>
      </c>
      <c r="U9" s="20" t="s">
        <v>35</v>
      </c>
    </row>
    <row r="10" customFormat="false" ht="15" hidden="false" customHeight="true" outlineLevel="0" collapsed="false">
      <c r="A10" s="27" t="n">
        <v>46204</v>
      </c>
      <c r="B10" s="28" t="s">
        <v>36</v>
      </c>
      <c r="C10" s="12"/>
      <c r="D10" s="12"/>
      <c r="E10" s="12"/>
      <c r="F10" s="12"/>
      <c r="G10" s="12"/>
      <c r="H10" s="12"/>
      <c r="I10" s="29"/>
      <c r="J10" s="30" t="str">
        <f aca="false">IF(I10="","",ROUND(F10*(1-I10),0))</f>
        <v/>
      </c>
      <c r="K10" s="30" t="str">
        <f aca="false">IF(I10="","",ROUND(G10*(1-I10),0))</f>
        <v/>
      </c>
      <c r="L10" s="30" t="str">
        <f aca="false">IF(I10="","",ROUND(H10*(1-I10),0))</f>
        <v/>
      </c>
      <c r="M10" s="30" t="n">
        <f aca="false">$F$7</f>
        <v>0</v>
      </c>
      <c r="N10" s="13" t="str">
        <f aca="false">IF(J10="","",J10+M10)</f>
        <v/>
      </c>
      <c r="O10" s="13" t="str">
        <f aca="false">IF(K10="","",K10+M10)</f>
        <v/>
      </c>
      <c r="P10" s="13" t="str">
        <f aca="false">IF(L10="","",L10+M10)</f>
        <v/>
      </c>
      <c r="Q10" s="31" t="str">
        <f aca="false">IF(OR(C10="",C10=0,N10=""),"",1-N10/C10)</f>
        <v/>
      </c>
      <c r="R10" s="31" t="str">
        <f aca="false">IF(OR(D10="",D10=0,O10=""),"",1-O10/D10)</f>
        <v/>
      </c>
      <c r="S10" s="31" t="str">
        <f aca="false">IF(OR(E10="",E10=0,P10=""),"",1-P10/E10)</f>
        <v/>
      </c>
      <c r="T10" s="32" t="str">
        <f aca="false">IF(OR(N10="",O10=""),"",N10-O10)</f>
        <v/>
      </c>
      <c r="U10" s="32" t="str">
        <f aca="false">IF(OR(N10="",P10=""),"",N10-P10)</f>
        <v/>
      </c>
    </row>
    <row r="11" customFormat="false" ht="15" hidden="false" customHeight="true" outlineLevel="0" collapsed="false">
      <c r="A11" s="27" t="n">
        <v>46205</v>
      </c>
      <c r="B11" s="28" t="s">
        <v>37</v>
      </c>
      <c r="C11" s="12"/>
      <c r="D11" s="12"/>
      <c r="E11" s="12"/>
      <c r="F11" s="12"/>
      <c r="G11" s="12"/>
      <c r="H11" s="12"/>
      <c r="I11" s="29"/>
      <c r="J11" s="30" t="str">
        <f aca="false">IF(I11="","",ROUND(F11*(1-I11),0))</f>
        <v/>
      </c>
      <c r="K11" s="30" t="str">
        <f aca="false">IF(I11="","",ROUND(G11*(1-I11),0))</f>
        <v/>
      </c>
      <c r="L11" s="30" t="str">
        <f aca="false">IF(I11="","",ROUND(H11*(1-I11),0))</f>
        <v/>
      </c>
      <c r="M11" s="30" t="n">
        <f aca="false">$F$7</f>
        <v>0</v>
      </c>
      <c r="N11" s="13" t="str">
        <f aca="false">IF(J11="","",J11+M11)</f>
        <v/>
      </c>
      <c r="O11" s="13" t="str">
        <f aca="false">IF(K11="","",K11+M11)</f>
        <v/>
      </c>
      <c r="P11" s="13" t="str">
        <f aca="false">IF(L11="","",L11+M11)</f>
        <v/>
      </c>
      <c r="Q11" s="31" t="str">
        <f aca="false">IF(OR(C11="",C11=0,N11=""),"",1-N11/C11)</f>
        <v/>
      </c>
      <c r="R11" s="31" t="str">
        <f aca="false">IF(OR(D11="",D11=0,O11=""),"",1-O11/D11)</f>
        <v/>
      </c>
      <c r="S11" s="31" t="str">
        <f aca="false">IF(OR(E11="",E11=0,P11=""),"",1-P11/E11)</f>
        <v/>
      </c>
      <c r="T11" s="32" t="str">
        <f aca="false">IF(OR(N11="",O11=""),"",N11-O11)</f>
        <v/>
      </c>
      <c r="U11" s="32" t="str">
        <f aca="false">IF(OR(N11="",P11=""),"",N11-P11)</f>
        <v/>
      </c>
    </row>
    <row r="12" customFormat="false" ht="15" hidden="false" customHeight="true" outlineLevel="0" collapsed="false">
      <c r="A12" s="27" t="n">
        <v>46206</v>
      </c>
      <c r="B12" s="28" t="s">
        <v>38</v>
      </c>
      <c r="C12" s="12"/>
      <c r="D12" s="12"/>
      <c r="E12" s="12"/>
      <c r="F12" s="12"/>
      <c r="G12" s="12"/>
      <c r="H12" s="12"/>
      <c r="I12" s="29"/>
      <c r="J12" s="30" t="str">
        <f aca="false">IF(I12="","",ROUND(F12*(1-I12),0))</f>
        <v/>
      </c>
      <c r="K12" s="30" t="str">
        <f aca="false">IF(I12="","",ROUND(G12*(1-I12),0))</f>
        <v/>
      </c>
      <c r="L12" s="30" t="str">
        <f aca="false">IF(I12="","",ROUND(H12*(1-I12),0))</f>
        <v/>
      </c>
      <c r="M12" s="30" t="n">
        <f aca="false">$F$7</f>
        <v>0</v>
      </c>
      <c r="N12" s="13" t="str">
        <f aca="false">IF(J12="","",J12+M12)</f>
        <v/>
      </c>
      <c r="O12" s="13" t="str">
        <f aca="false">IF(K12="","",K12+M12)</f>
        <v/>
      </c>
      <c r="P12" s="13" t="str">
        <f aca="false">IF(L12="","",L12+M12)</f>
        <v/>
      </c>
      <c r="Q12" s="31" t="str">
        <f aca="false">IF(OR(C12="",C12=0,N12=""),"",1-N12/C12)</f>
        <v/>
      </c>
      <c r="R12" s="31" t="str">
        <f aca="false">IF(OR(D12="",D12=0,O12=""),"",1-O12/D12)</f>
        <v/>
      </c>
      <c r="S12" s="31" t="str">
        <f aca="false">IF(OR(E12="",E12=0,P12=""),"",1-P12/E12)</f>
        <v/>
      </c>
      <c r="T12" s="32" t="str">
        <f aca="false">IF(OR(N12="",O12=""),"",N12-O12)</f>
        <v/>
      </c>
      <c r="U12" s="32" t="str">
        <f aca="false">IF(OR(N12="",P12=""),"",N12-P12)</f>
        <v/>
      </c>
    </row>
    <row r="13" customFormat="false" ht="15" hidden="false" customHeight="true" outlineLevel="0" collapsed="false">
      <c r="A13" s="27" t="n">
        <v>46207</v>
      </c>
      <c r="B13" s="33" t="s">
        <v>39</v>
      </c>
      <c r="C13" s="12"/>
      <c r="D13" s="12"/>
      <c r="E13" s="12"/>
      <c r="F13" s="12"/>
      <c r="G13" s="12"/>
      <c r="H13" s="12"/>
      <c r="I13" s="29"/>
      <c r="J13" s="30" t="str">
        <f aca="false">IF(I13="","",ROUND(F13*(1-I13),0))</f>
        <v/>
      </c>
      <c r="K13" s="30" t="str">
        <f aca="false">IF(I13="","",ROUND(G13*(1-I13),0))</f>
        <v/>
      </c>
      <c r="L13" s="30" t="str">
        <f aca="false">IF(I13="","",ROUND(H13*(1-I13),0))</f>
        <v/>
      </c>
      <c r="M13" s="30" t="n">
        <f aca="false">$F$7</f>
        <v>0</v>
      </c>
      <c r="N13" s="13" t="str">
        <f aca="false">IF(J13="","",J13+M13)</f>
        <v/>
      </c>
      <c r="O13" s="13" t="str">
        <f aca="false">IF(K13="","",K13+M13)</f>
        <v/>
      </c>
      <c r="P13" s="13" t="str">
        <f aca="false">IF(L13="","",L13+M13)</f>
        <v/>
      </c>
      <c r="Q13" s="31" t="str">
        <f aca="false">IF(OR(C13="",C13=0,N13=""),"",1-N13/C13)</f>
        <v/>
      </c>
      <c r="R13" s="31" t="str">
        <f aca="false">IF(OR(D13="",D13=0,O13=""),"",1-O13/D13)</f>
        <v/>
      </c>
      <c r="S13" s="31" t="str">
        <f aca="false">IF(OR(E13="",E13=0,P13=""),"",1-P13/E13)</f>
        <v/>
      </c>
      <c r="T13" s="32" t="str">
        <f aca="false">IF(OR(N13="",O13=""),"",N13-O13)</f>
        <v/>
      </c>
      <c r="U13" s="32" t="str">
        <f aca="false">IF(OR(N13="",P13=""),"",N13-P13)</f>
        <v/>
      </c>
    </row>
    <row r="14" customFormat="false" ht="15" hidden="false" customHeight="true" outlineLevel="0" collapsed="false">
      <c r="A14" s="27" t="n">
        <v>46208</v>
      </c>
      <c r="B14" s="33" t="s">
        <v>40</v>
      </c>
      <c r="C14" s="12"/>
      <c r="D14" s="12"/>
      <c r="E14" s="12"/>
      <c r="F14" s="12"/>
      <c r="G14" s="12"/>
      <c r="H14" s="12"/>
      <c r="I14" s="29"/>
      <c r="J14" s="30" t="str">
        <f aca="false">IF(I14="","",ROUND(F14*(1-I14),0))</f>
        <v/>
      </c>
      <c r="K14" s="30" t="str">
        <f aca="false">IF(I14="","",ROUND(G14*(1-I14),0))</f>
        <v/>
      </c>
      <c r="L14" s="30" t="str">
        <f aca="false">IF(I14="","",ROUND(H14*(1-I14),0))</f>
        <v/>
      </c>
      <c r="M14" s="30" t="n">
        <f aca="false">$F$7</f>
        <v>0</v>
      </c>
      <c r="N14" s="13" t="str">
        <f aca="false">IF(J14="","",J14+M14)</f>
        <v/>
      </c>
      <c r="O14" s="13" t="str">
        <f aca="false">IF(K14="","",K14+M14)</f>
        <v/>
      </c>
      <c r="P14" s="13" t="str">
        <f aca="false">IF(L14="","",L14+M14)</f>
        <v/>
      </c>
      <c r="Q14" s="31" t="str">
        <f aca="false">IF(OR(C14="",C14=0,N14=""),"",1-N14/C14)</f>
        <v/>
      </c>
      <c r="R14" s="31" t="str">
        <f aca="false">IF(OR(D14="",D14=0,O14=""),"",1-O14/D14)</f>
        <v/>
      </c>
      <c r="S14" s="31" t="str">
        <f aca="false">IF(OR(E14="",E14=0,P14=""),"",1-P14/E14)</f>
        <v/>
      </c>
      <c r="T14" s="32" t="str">
        <f aca="false">IF(OR(N14="",O14=""),"",N14-O14)</f>
        <v/>
      </c>
      <c r="U14" s="32" t="str">
        <f aca="false">IF(OR(N14="",P14=""),"",N14-P14)</f>
        <v/>
      </c>
    </row>
    <row r="15" customFormat="false" ht="15" hidden="false" customHeight="true" outlineLevel="0" collapsed="false">
      <c r="A15" s="27" t="n">
        <v>46209</v>
      </c>
      <c r="B15" s="28" t="s">
        <v>41</v>
      </c>
      <c r="C15" s="12"/>
      <c r="D15" s="12"/>
      <c r="E15" s="12"/>
      <c r="F15" s="12"/>
      <c r="G15" s="12"/>
      <c r="H15" s="12"/>
      <c r="I15" s="29"/>
      <c r="J15" s="30" t="str">
        <f aca="false">IF(I15="","",ROUND(F15*(1-I15),0))</f>
        <v/>
      </c>
      <c r="K15" s="30" t="str">
        <f aca="false">IF(I15="","",ROUND(G15*(1-I15),0))</f>
        <v/>
      </c>
      <c r="L15" s="30" t="str">
        <f aca="false">IF(I15="","",ROUND(H15*(1-I15),0))</f>
        <v/>
      </c>
      <c r="M15" s="30" t="n">
        <f aca="false">$F$7</f>
        <v>0</v>
      </c>
      <c r="N15" s="13" t="str">
        <f aca="false">IF(J15="","",J15+M15)</f>
        <v/>
      </c>
      <c r="O15" s="13" t="str">
        <f aca="false">IF(K15="","",K15+M15)</f>
        <v/>
      </c>
      <c r="P15" s="13" t="str">
        <f aca="false">IF(L15="","",L15+M15)</f>
        <v/>
      </c>
      <c r="Q15" s="31" t="str">
        <f aca="false">IF(OR(C15="",C15=0,N15=""),"",1-N15/C15)</f>
        <v/>
      </c>
      <c r="R15" s="31" t="str">
        <f aca="false">IF(OR(D15="",D15=0,O15=""),"",1-O15/D15)</f>
        <v/>
      </c>
      <c r="S15" s="31" t="str">
        <f aca="false">IF(OR(E15="",E15=0,P15=""),"",1-P15/E15)</f>
        <v/>
      </c>
      <c r="T15" s="32" t="str">
        <f aca="false">IF(OR(N15="",O15=""),"",N15-O15)</f>
        <v/>
      </c>
      <c r="U15" s="32" t="str">
        <f aca="false">IF(OR(N15="",P15=""),"",N15-P15)</f>
        <v/>
      </c>
    </row>
    <row r="16" customFormat="false" ht="15" hidden="false" customHeight="true" outlineLevel="0" collapsed="false">
      <c r="A16" s="27" t="n">
        <v>46210</v>
      </c>
      <c r="B16" s="28" t="s">
        <v>42</v>
      </c>
      <c r="C16" s="12"/>
      <c r="D16" s="12"/>
      <c r="E16" s="12"/>
      <c r="F16" s="12"/>
      <c r="G16" s="12"/>
      <c r="H16" s="12"/>
      <c r="I16" s="29"/>
      <c r="J16" s="30" t="str">
        <f aca="false">IF(I16="","",ROUND(F16*(1-I16),0))</f>
        <v/>
      </c>
      <c r="K16" s="30" t="str">
        <f aca="false">IF(I16="","",ROUND(G16*(1-I16),0))</f>
        <v/>
      </c>
      <c r="L16" s="30" t="str">
        <f aca="false">IF(I16="","",ROUND(H16*(1-I16),0))</f>
        <v/>
      </c>
      <c r="M16" s="30" t="n">
        <f aca="false">$F$7</f>
        <v>0</v>
      </c>
      <c r="N16" s="13" t="str">
        <f aca="false">IF(J16="","",J16+M16)</f>
        <v/>
      </c>
      <c r="O16" s="13" t="str">
        <f aca="false">IF(K16="","",K16+M16)</f>
        <v/>
      </c>
      <c r="P16" s="13" t="str">
        <f aca="false">IF(L16="","",L16+M16)</f>
        <v/>
      </c>
      <c r="Q16" s="31" t="str">
        <f aca="false">IF(OR(C16="",C16=0,N16=""),"",1-N16/C16)</f>
        <v/>
      </c>
      <c r="R16" s="31" t="str">
        <f aca="false">IF(OR(D16="",D16=0,O16=""),"",1-O16/D16)</f>
        <v/>
      </c>
      <c r="S16" s="31" t="str">
        <f aca="false">IF(OR(E16="",E16=0,P16=""),"",1-P16/E16)</f>
        <v/>
      </c>
      <c r="T16" s="32" t="str">
        <f aca="false">IF(OR(N16="",O16=""),"",N16-O16)</f>
        <v/>
      </c>
      <c r="U16" s="32" t="str">
        <f aca="false">IF(OR(N16="",P16=""),"",N16-P16)</f>
        <v/>
      </c>
    </row>
    <row r="17" customFormat="false" ht="15" hidden="false" customHeight="true" outlineLevel="0" collapsed="false">
      <c r="A17" s="27" t="n">
        <v>46211</v>
      </c>
      <c r="B17" s="28" t="s">
        <v>36</v>
      </c>
      <c r="C17" s="12"/>
      <c r="D17" s="12"/>
      <c r="E17" s="12"/>
      <c r="F17" s="12"/>
      <c r="G17" s="12"/>
      <c r="H17" s="12"/>
      <c r="I17" s="29"/>
      <c r="J17" s="30" t="str">
        <f aca="false">IF(I17="","",ROUND(F17*(1-I17),0))</f>
        <v/>
      </c>
      <c r="K17" s="30" t="str">
        <f aca="false">IF(I17="","",ROUND(G17*(1-I17),0))</f>
        <v/>
      </c>
      <c r="L17" s="30" t="str">
        <f aca="false">IF(I17="","",ROUND(H17*(1-I17),0))</f>
        <v/>
      </c>
      <c r="M17" s="30" t="n">
        <f aca="false">$F$7</f>
        <v>0</v>
      </c>
      <c r="N17" s="13" t="str">
        <f aca="false">IF(J17="","",J17+M17)</f>
        <v/>
      </c>
      <c r="O17" s="13" t="str">
        <f aca="false">IF(K17="","",K17+M17)</f>
        <v/>
      </c>
      <c r="P17" s="13" t="str">
        <f aca="false">IF(L17="","",L17+M17)</f>
        <v/>
      </c>
      <c r="Q17" s="31" t="str">
        <f aca="false">IF(OR(C17="",C17=0,N17=""),"",1-N17/C17)</f>
        <v/>
      </c>
      <c r="R17" s="31" t="str">
        <f aca="false">IF(OR(D17="",D17=0,O17=""),"",1-O17/D17)</f>
        <v/>
      </c>
      <c r="S17" s="31" t="str">
        <f aca="false">IF(OR(E17="",E17=0,P17=""),"",1-P17/E17)</f>
        <v/>
      </c>
      <c r="T17" s="32" t="str">
        <f aca="false">IF(OR(N17="",O17=""),"",N17-O17)</f>
        <v/>
      </c>
      <c r="U17" s="32" t="str">
        <f aca="false">IF(OR(N17="",P17=""),"",N17-P17)</f>
        <v/>
      </c>
    </row>
    <row r="18" customFormat="false" ht="15" hidden="false" customHeight="true" outlineLevel="0" collapsed="false">
      <c r="A18" s="27" t="n">
        <v>46212</v>
      </c>
      <c r="B18" s="28" t="s">
        <v>37</v>
      </c>
      <c r="C18" s="12"/>
      <c r="D18" s="12"/>
      <c r="E18" s="12"/>
      <c r="F18" s="12"/>
      <c r="G18" s="12"/>
      <c r="H18" s="12"/>
      <c r="I18" s="29"/>
      <c r="J18" s="30" t="str">
        <f aca="false">IF(I18="","",ROUND(F18*(1-I18),0))</f>
        <v/>
      </c>
      <c r="K18" s="30" t="str">
        <f aca="false">IF(I18="","",ROUND(G18*(1-I18),0))</f>
        <v/>
      </c>
      <c r="L18" s="30" t="str">
        <f aca="false">IF(I18="","",ROUND(H18*(1-I18),0))</f>
        <v/>
      </c>
      <c r="M18" s="30" t="n">
        <f aca="false">$F$7</f>
        <v>0</v>
      </c>
      <c r="N18" s="13" t="str">
        <f aca="false">IF(J18="","",J18+M18)</f>
        <v/>
      </c>
      <c r="O18" s="13" t="str">
        <f aca="false">IF(K18="","",K18+M18)</f>
        <v/>
      </c>
      <c r="P18" s="13" t="str">
        <f aca="false">IF(L18="","",L18+M18)</f>
        <v/>
      </c>
      <c r="Q18" s="31" t="str">
        <f aca="false">IF(OR(C18="",C18=0,N18=""),"",1-N18/C18)</f>
        <v/>
      </c>
      <c r="R18" s="31" t="str">
        <f aca="false">IF(OR(D18="",D18=0,O18=""),"",1-O18/D18)</f>
        <v/>
      </c>
      <c r="S18" s="31" t="str">
        <f aca="false">IF(OR(E18="",E18=0,P18=""),"",1-P18/E18)</f>
        <v/>
      </c>
      <c r="T18" s="32" t="str">
        <f aca="false">IF(OR(N18="",O18=""),"",N18-O18)</f>
        <v/>
      </c>
      <c r="U18" s="32" t="str">
        <f aca="false">IF(OR(N18="",P18=""),"",N18-P18)</f>
        <v/>
      </c>
    </row>
    <row r="19" customFormat="false" ht="15" hidden="false" customHeight="true" outlineLevel="0" collapsed="false">
      <c r="A19" s="27" t="n">
        <v>46213</v>
      </c>
      <c r="B19" s="28" t="s">
        <v>38</v>
      </c>
      <c r="C19" s="12"/>
      <c r="D19" s="12"/>
      <c r="E19" s="12"/>
      <c r="F19" s="12"/>
      <c r="G19" s="12"/>
      <c r="H19" s="12"/>
      <c r="I19" s="29"/>
      <c r="J19" s="30" t="str">
        <f aca="false">IF(I19="","",ROUND(F19*(1-I19),0))</f>
        <v/>
      </c>
      <c r="K19" s="30" t="str">
        <f aca="false">IF(I19="","",ROUND(G19*(1-I19),0))</f>
        <v/>
      </c>
      <c r="L19" s="30" t="str">
        <f aca="false">IF(I19="","",ROUND(H19*(1-I19),0))</f>
        <v/>
      </c>
      <c r="M19" s="30" t="n">
        <f aca="false">$F$7</f>
        <v>0</v>
      </c>
      <c r="N19" s="13" t="str">
        <f aca="false">IF(J19="","",J19+M19)</f>
        <v/>
      </c>
      <c r="O19" s="13" t="str">
        <f aca="false">IF(K19="","",K19+M19)</f>
        <v/>
      </c>
      <c r="P19" s="13" t="str">
        <f aca="false">IF(L19="","",L19+M19)</f>
        <v/>
      </c>
      <c r="Q19" s="31" t="str">
        <f aca="false">IF(OR(C19="",C19=0,N19=""),"",1-N19/C19)</f>
        <v/>
      </c>
      <c r="R19" s="31" t="str">
        <f aca="false">IF(OR(D19="",D19=0,O19=""),"",1-O19/D19)</f>
        <v/>
      </c>
      <c r="S19" s="31" t="str">
        <f aca="false">IF(OR(E19="",E19=0,P19=""),"",1-P19/E19)</f>
        <v/>
      </c>
      <c r="T19" s="32" t="str">
        <f aca="false">IF(OR(N19="",O19=""),"",N19-O19)</f>
        <v/>
      </c>
      <c r="U19" s="32" t="str">
        <f aca="false">IF(OR(N19="",P19=""),"",N19-P19)</f>
        <v/>
      </c>
    </row>
    <row r="20" customFormat="false" ht="15" hidden="false" customHeight="true" outlineLevel="0" collapsed="false">
      <c r="A20" s="27" t="n">
        <v>46214</v>
      </c>
      <c r="B20" s="33" t="s">
        <v>39</v>
      </c>
      <c r="C20" s="12"/>
      <c r="D20" s="12"/>
      <c r="E20" s="12"/>
      <c r="F20" s="12"/>
      <c r="G20" s="12"/>
      <c r="H20" s="12"/>
      <c r="I20" s="29"/>
      <c r="J20" s="30" t="str">
        <f aca="false">IF(I20="","",ROUND(F20*(1-I20),0))</f>
        <v/>
      </c>
      <c r="K20" s="30" t="str">
        <f aca="false">IF(I20="","",ROUND(G20*(1-I20),0))</f>
        <v/>
      </c>
      <c r="L20" s="30" t="str">
        <f aca="false">IF(I20="","",ROUND(H20*(1-I20),0))</f>
        <v/>
      </c>
      <c r="M20" s="30" t="n">
        <f aca="false">$F$7</f>
        <v>0</v>
      </c>
      <c r="N20" s="13" t="str">
        <f aca="false">IF(J20="","",J20+M20)</f>
        <v/>
      </c>
      <c r="O20" s="13" t="str">
        <f aca="false">IF(K20="","",K20+M20)</f>
        <v/>
      </c>
      <c r="P20" s="13" t="str">
        <f aca="false">IF(L20="","",L20+M20)</f>
        <v/>
      </c>
      <c r="Q20" s="31" t="str">
        <f aca="false">IF(OR(C20="",C20=0,N20=""),"",1-N20/C20)</f>
        <v/>
      </c>
      <c r="R20" s="31" t="str">
        <f aca="false">IF(OR(D20="",D20=0,O20=""),"",1-O20/D20)</f>
        <v/>
      </c>
      <c r="S20" s="31" t="str">
        <f aca="false">IF(OR(E20="",E20=0,P20=""),"",1-P20/E20)</f>
        <v/>
      </c>
      <c r="T20" s="32" t="str">
        <f aca="false">IF(OR(N20="",O20=""),"",N20-O20)</f>
        <v/>
      </c>
      <c r="U20" s="32" t="str">
        <f aca="false">IF(OR(N20="",P20=""),"",N20-P20)</f>
        <v/>
      </c>
    </row>
    <row r="21" customFormat="false" ht="15" hidden="false" customHeight="true" outlineLevel="0" collapsed="false">
      <c r="A21" s="27" t="n">
        <v>46215</v>
      </c>
      <c r="B21" s="33" t="s">
        <v>40</v>
      </c>
      <c r="C21" s="12"/>
      <c r="D21" s="12"/>
      <c r="E21" s="12"/>
      <c r="F21" s="12"/>
      <c r="G21" s="12"/>
      <c r="H21" s="12"/>
      <c r="I21" s="29"/>
      <c r="J21" s="30" t="str">
        <f aca="false">IF(I21="","",ROUND(F21*(1-I21),0))</f>
        <v/>
      </c>
      <c r="K21" s="30" t="str">
        <f aca="false">IF(I21="","",ROUND(G21*(1-I21),0))</f>
        <v/>
      </c>
      <c r="L21" s="30" t="str">
        <f aca="false">IF(I21="","",ROUND(H21*(1-I21),0))</f>
        <v/>
      </c>
      <c r="M21" s="30" t="n">
        <f aca="false">$F$7</f>
        <v>0</v>
      </c>
      <c r="N21" s="13" t="str">
        <f aca="false">IF(J21="","",J21+M21)</f>
        <v/>
      </c>
      <c r="O21" s="13" t="str">
        <f aca="false">IF(K21="","",K21+M21)</f>
        <v/>
      </c>
      <c r="P21" s="13" t="str">
        <f aca="false">IF(L21="","",L21+M21)</f>
        <v/>
      </c>
      <c r="Q21" s="31" t="str">
        <f aca="false">IF(OR(C21="",C21=0,N21=""),"",1-N21/C21)</f>
        <v/>
      </c>
      <c r="R21" s="31" t="str">
        <f aca="false">IF(OR(D21="",D21=0,O21=""),"",1-O21/D21)</f>
        <v/>
      </c>
      <c r="S21" s="31" t="str">
        <f aca="false">IF(OR(E21="",E21=0,P21=""),"",1-P21/E21)</f>
        <v/>
      </c>
      <c r="T21" s="32" t="str">
        <f aca="false">IF(OR(N21="",O21=""),"",N21-O21)</f>
        <v/>
      </c>
      <c r="U21" s="32" t="str">
        <f aca="false">IF(OR(N21="",P21=""),"",N21-P21)</f>
        <v/>
      </c>
    </row>
    <row r="22" customFormat="false" ht="15" hidden="false" customHeight="true" outlineLevel="0" collapsed="false">
      <c r="A22" s="27" t="n">
        <v>46216</v>
      </c>
      <c r="B22" s="28" t="s">
        <v>41</v>
      </c>
      <c r="C22" s="12"/>
      <c r="D22" s="12"/>
      <c r="E22" s="12"/>
      <c r="F22" s="12"/>
      <c r="G22" s="12"/>
      <c r="H22" s="12"/>
      <c r="I22" s="29"/>
      <c r="J22" s="30" t="str">
        <f aca="false">IF(I22="","",ROUND(F22*(1-I22),0))</f>
        <v/>
      </c>
      <c r="K22" s="30" t="str">
        <f aca="false">IF(I22="","",ROUND(G22*(1-I22),0))</f>
        <v/>
      </c>
      <c r="L22" s="30" t="str">
        <f aca="false">IF(I22="","",ROUND(H22*(1-I22),0))</f>
        <v/>
      </c>
      <c r="M22" s="30" t="n">
        <f aca="false">$F$7</f>
        <v>0</v>
      </c>
      <c r="N22" s="13" t="str">
        <f aca="false">IF(J22="","",J22+M22)</f>
        <v/>
      </c>
      <c r="O22" s="13" t="str">
        <f aca="false">IF(K22="","",K22+M22)</f>
        <v/>
      </c>
      <c r="P22" s="13" t="str">
        <f aca="false">IF(L22="","",L22+M22)</f>
        <v/>
      </c>
      <c r="Q22" s="31" t="str">
        <f aca="false">IF(OR(C22="",C22=0,N22=""),"",1-N22/C22)</f>
        <v/>
      </c>
      <c r="R22" s="31" t="str">
        <f aca="false">IF(OR(D22="",D22=0,O22=""),"",1-O22/D22)</f>
        <v/>
      </c>
      <c r="S22" s="31" t="str">
        <f aca="false">IF(OR(E22="",E22=0,P22=""),"",1-P22/E22)</f>
        <v/>
      </c>
      <c r="T22" s="32" t="str">
        <f aca="false">IF(OR(N22="",O22=""),"",N22-O22)</f>
        <v/>
      </c>
      <c r="U22" s="32" t="str">
        <f aca="false">IF(OR(N22="",P22=""),"",N22-P22)</f>
        <v/>
      </c>
    </row>
    <row r="23" customFormat="false" ht="15" hidden="false" customHeight="true" outlineLevel="0" collapsed="false">
      <c r="A23" s="27" t="n">
        <v>46217</v>
      </c>
      <c r="B23" s="28" t="s">
        <v>42</v>
      </c>
      <c r="C23" s="12"/>
      <c r="D23" s="12"/>
      <c r="E23" s="12"/>
      <c r="F23" s="12"/>
      <c r="G23" s="12"/>
      <c r="H23" s="12"/>
      <c r="I23" s="29"/>
      <c r="J23" s="30" t="str">
        <f aca="false">IF(I23="","",ROUND(F23*(1-I23),0))</f>
        <v/>
      </c>
      <c r="K23" s="30" t="str">
        <f aca="false">IF(I23="","",ROUND(G23*(1-I23),0))</f>
        <v/>
      </c>
      <c r="L23" s="30" t="str">
        <f aca="false">IF(I23="","",ROUND(H23*(1-I23),0))</f>
        <v/>
      </c>
      <c r="M23" s="30" t="n">
        <f aca="false">$F$7</f>
        <v>0</v>
      </c>
      <c r="N23" s="13" t="str">
        <f aca="false">IF(J23="","",J23+M23)</f>
        <v/>
      </c>
      <c r="O23" s="13" t="str">
        <f aca="false">IF(K23="","",K23+M23)</f>
        <v/>
      </c>
      <c r="P23" s="13" t="str">
        <f aca="false">IF(L23="","",L23+M23)</f>
        <v/>
      </c>
      <c r="Q23" s="31" t="str">
        <f aca="false">IF(OR(C23="",C23=0,N23=""),"",1-N23/C23)</f>
        <v/>
      </c>
      <c r="R23" s="31" t="str">
        <f aca="false">IF(OR(D23="",D23=0,O23=""),"",1-O23/D23)</f>
        <v/>
      </c>
      <c r="S23" s="31" t="str">
        <f aca="false">IF(OR(E23="",E23=0,P23=""),"",1-P23/E23)</f>
        <v/>
      </c>
      <c r="T23" s="32" t="str">
        <f aca="false">IF(OR(N23="",O23=""),"",N23-O23)</f>
        <v/>
      </c>
      <c r="U23" s="32" t="str">
        <f aca="false">IF(OR(N23="",P23=""),"",N23-P23)</f>
        <v/>
      </c>
    </row>
    <row r="24" customFormat="false" ht="15" hidden="false" customHeight="true" outlineLevel="0" collapsed="false">
      <c r="A24" s="27" t="n">
        <v>46218</v>
      </c>
      <c r="B24" s="28" t="s">
        <v>36</v>
      </c>
      <c r="C24" s="12"/>
      <c r="D24" s="12"/>
      <c r="E24" s="12"/>
      <c r="F24" s="12"/>
      <c r="G24" s="12"/>
      <c r="H24" s="12"/>
      <c r="I24" s="29"/>
      <c r="J24" s="30" t="str">
        <f aca="false">IF(I24="","",ROUND(F24*(1-I24),0))</f>
        <v/>
      </c>
      <c r="K24" s="30" t="str">
        <f aca="false">IF(I24="","",ROUND(G24*(1-I24),0))</f>
        <v/>
      </c>
      <c r="L24" s="30" t="str">
        <f aca="false">IF(I24="","",ROUND(H24*(1-I24),0))</f>
        <v/>
      </c>
      <c r="M24" s="30" t="n">
        <f aca="false">$F$7</f>
        <v>0</v>
      </c>
      <c r="N24" s="13" t="str">
        <f aca="false">IF(J24="","",J24+M24)</f>
        <v/>
      </c>
      <c r="O24" s="13" t="str">
        <f aca="false">IF(K24="","",K24+M24)</f>
        <v/>
      </c>
      <c r="P24" s="13" t="str">
        <f aca="false">IF(L24="","",L24+M24)</f>
        <v/>
      </c>
      <c r="Q24" s="31" t="str">
        <f aca="false">IF(OR(C24="",C24=0,N24=""),"",1-N24/C24)</f>
        <v/>
      </c>
      <c r="R24" s="31" t="str">
        <f aca="false">IF(OR(D24="",D24=0,O24=""),"",1-O24/D24)</f>
        <v/>
      </c>
      <c r="S24" s="31" t="str">
        <f aca="false">IF(OR(E24="",E24=0,P24=""),"",1-P24/E24)</f>
        <v/>
      </c>
      <c r="T24" s="32" t="str">
        <f aca="false">IF(OR(N24="",O24=""),"",N24-O24)</f>
        <v/>
      </c>
      <c r="U24" s="32" t="str">
        <f aca="false">IF(OR(N24="",P24=""),"",N24-P24)</f>
        <v/>
      </c>
    </row>
    <row r="25" customFormat="false" ht="15" hidden="false" customHeight="true" outlineLevel="0" collapsed="false">
      <c r="A25" s="27" t="n">
        <v>46219</v>
      </c>
      <c r="B25" s="28" t="s">
        <v>37</v>
      </c>
      <c r="C25" s="12"/>
      <c r="D25" s="12"/>
      <c r="E25" s="12"/>
      <c r="F25" s="12"/>
      <c r="G25" s="12"/>
      <c r="H25" s="12"/>
      <c r="I25" s="29"/>
      <c r="J25" s="30" t="str">
        <f aca="false">IF(I25="","",ROUND(F25*(1-I25),0))</f>
        <v/>
      </c>
      <c r="K25" s="30" t="str">
        <f aca="false">IF(I25="","",ROUND(G25*(1-I25),0))</f>
        <v/>
      </c>
      <c r="L25" s="30" t="str">
        <f aca="false">IF(I25="","",ROUND(H25*(1-I25),0))</f>
        <v/>
      </c>
      <c r="M25" s="30" t="n">
        <f aca="false">$F$7</f>
        <v>0</v>
      </c>
      <c r="N25" s="13" t="str">
        <f aca="false">IF(J25="","",J25+M25)</f>
        <v/>
      </c>
      <c r="O25" s="13" t="str">
        <f aca="false">IF(K25="","",K25+M25)</f>
        <v/>
      </c>
      <c r="P25" s="13" t="str">
        <f aca="false">IF(L25="","",L25+M25)</f>
        <v/>
      </c>
      <c r="Q25" s="31" t="str">
        <f aca="false">IF(OR(C25="",C25=0,N25=""),"",1-N25/C25)</f>
        <v/>
      </c>
      <c r="R25" s="31" t="str">
        <f aca="false">IF(OR(D25="",D25=0,O25=""),"",1-O25/D25)</f>
        <v/>
      </c>
      <c r="S25" s="31" t="str">
        <f aca="false">IF(OR(E25="",E25=0,P25=""),"",1-P25/E25)</f>
        <v/>
      </c>
      <c r="T25" s="32" t="str">
        <f aca="false">IF(OR(N25="",O25=""),"",N25-O25)</f>
        <v/>
      </c>
      <c r="U25" s="32" t="str">
        <f aca="false">IF(OR(N25="",P25=""),"",N25-P25)</f>
        <v/>
      </c>
    </row>
    <row r="26" customFormat="false" ht="15" hidden="false" customHeight="true" outlineLevel="0" collapsed="false">
      <c r="A26" s="27" t="n">
        <v>46220</v>
      </c>
      <c r="B26" s="28" t="s">
        <v>38</v>
      </c>
      <c r="C26" s="12"/>
      <c r="D26" s="12"/>
      <c r="E26" s="12"/>
      <c r="F26" s="12"/>
      <c r="G26" s="12"/>
      <c r="H26" s="12"/>
      <c r="I26" s="29"/>
      <c r="J26" s="30" t="str">
        <f aca="false">IF(I26="","",ROUND(F26*(1-I26),0))</f>
        <v/>
      </c>
      <c r="K26" s="30" t="str">
        <f aca="false">IF(I26="","",ROUND(G26*(1-I26),0))</f>
        <v/>
      </c>
      <c r="L26" s="30" t="str">
        <f aca="false">IF(I26="","",ROUND(H26*(1-I26),0))</f>
        <v/>
      </c>
      <c r="M26" s="30" t="n">
        <f aca="false">$F$7</f>
        <v>0</v>
      </c>
      <c r="N26" s="13" t="str">
        <f aca="false">IF(J26="","",J26+M26)</f>
        <v/>
      </c>
      <c r="O26" s="13" t="str">
        <f aca="false">IF(K26="","",K26+M26)</f>
        <v/>
      </c>
      <c r="P26" s="13" t="str">
        <f aca="false">IF(L26="","",L26+M26)</f>
        <v/>
      </c>
      <c r="Q26" s="31" t="str">
        <f aca="false">IF(OR(C26="",C26=0,N26=""),"",1-N26/C26)</f>
        <v/>
      </c>
      <c r="R26" s="31" t="str">
        <f aca="false">IF(OR(D26="",D26=0,O26=""),"",1-O26/D26)</f>
        <v/>
      </c>
      <c r="S26" s="31" t="str">
        <f aca="false">IF(OR(E26="",E26=0,P26=""),"",1-P26/E26)</f>
        <v/>
      </c>
      <c r="T26" s="32" t="str">
        <f aca="false">IF(OR(N26="",O26=""),"",N26-O26)</f>
        <v/>
      </c>
      <c r="U26" s="32" t="str">
        <f aca="false">IF(OR(N26="",P26=""),"",N26-P26)</f>
        <v/>
      </c>
    </row>
    <row r="27" customFormat="false" ht="15" hidden="false" customHeight="true" outlineLevel="0" collapsed="false">
      <c r="A27" s="27" t="n">
        <v>46221</v>
      </c>
      <c r="B27" s="33" t="s">
        <v>39</v>
      </c>
      <c r="C27" s="12"/>
      <c r="D27" s="12"/>
      <c r="E27" s="12"/>
      <c r="F27" s="12"/>
      <c r="G27" s="12"/>
      <c r="H27" s="12"/>
      <c r="I27" s="29"/>
      <c r="J27" s="30" t="str">
        <f aca="false">IF(I27="","",ROUND(F27*(1-I27),0))</f>
        <v/>
      </c>
      <c r="K27" s="30" t="str">
        <f aca="false">IF(I27="","",ROUND(G27*(1-I27),0))</f>
        <v/>
      </c>
      <c r="L27" s="30" t="str">
        <f aca="false">IF(I27="","",ROUND(H27*(1-I27),0))</f>
        <v/>
      </c>
      <c r="M27" s="30" t="n">
        <f aca="false">$F$7</f>
        <v>0</v>
      </c>
      <c r="N27" s="13" t="str">
        <f aca="false">IF(J27="","",J27+M27)</f>
        <v/>
      </c>
      <c r="O27" s="13" t="str">
        <f aca="false">IF(K27="","",K27+M27)</f>
        <v/>
      </c>
      <c r="P27" s="13" t="str">
        <f aca="false">IF(L27="","",L27+M27)</f>
        <v/>
      </c>
      <c r="Q27" s="31" t="str">
        <f aca="false">IF(OR(C27="",C27=0,N27=""),"",1-N27/C27)</f>
        <v/>
      </c>
      <c r="R27" s="31" t="str">
        <f aca="false">IF(OR(D27="",D27=0,O27=""),"",1-O27/D27)</f>
        <v/>
      </c>
      <c r="S27" s="31" t="str">
        <f aca="false">IF(OR(E27="",E27=0,P27=""),"",1-P27/E27)</f>
        <v/>
      </c>
      <c r="T27" s="32" t="str">
        <f aca="false">IF(OR(N27="",O27=""),"",N27-O27)</f>
        <v/>
      </c>
      <c r="U27" s="32" t="str">
        <f aca="false">IF(OR(N27="",P27=""),"",N27-P27)</f>
        <v/>
      </c>
    </row>
    <row r="28" customFormat="false" ht="15" hidden="false" customHeight="true" outlineLevel="0" collapsed="false">
      <c r="A28" s="27" t="n">
        <v>46222</v>
      </c>
      <c r="B28" s="33" t="s">
        <v>40</v>
      </c>
      <c r="C28" s="12"/>
      <c r="D28" s="12"/>
      <c r="E28" s="12"/>
      <c r="F28" s="12"/>
      <c r="G28" s="12"/>
      <c r="H28" s="12"/>
      <c r="I28" s="29"/>
      <c r="J28" s="30" t="str">
        <f aca="false">IF(I28="","",ROUND(F28*(1-I28),0))</f>
        <v/>
      </c>
      <c r="K28" s="30" t="str">
        <f aca="false">IF(I28="","",ROUND(G28*(1-I28),0))</f>
        <v/>
      </c>
      <c r="L28" s="30" t="str">
        <f aca="false">IF(I28="","",ROUND(H28*(1-I28),0))</f>
        <v/>
      </c>
      <c r="M28" s="30" t="n">
        <f aca="false">$F$7</f>
        <v>0</v>
      </c>
      <c r="N28" s="13" t="str">
        <f aca="false">IF(J28="","",J28+M28)</f>
        <v/>
      </c>
      <c r="O28" s="13" t="str">
        <f aca="false">IF(K28="","",K28+M28)</f>
        <v/>
      </c>
      <c r="P28" s="13" t="str">
        <f aca="false">IF(L28="","",L28+M28)</f>
        <v/>
      </c>
      <c r="Q28" s="31" t="str">
        <f aca="false">IF(OR(C28="",C28=0,N28=""),"",1-N28/C28)</f>
        <v/>
      </c>
      <c r="R28" s="31" t="str">
        <f aca="false">IF(OR(D28="",D28=0,O28=""),"",1-O28/D28)</f>
        <v/>
      </c>
      <c r="S28" s="31" t="str">
        <f aca="false">IF(OR(E28="",E28=0,P28=""),"",1-P28/E28)</f>
        <v/>
      </c>
      <c r="T28" s="32" t="str">
        <f aca="false">IF(OR(N28="",O28=""),"",N28-O28)</f>
        <v/>
      </c>
      <c r="U28" s="32" t="str">
        <f aca="false">IF(OR(N28="",P28=""),"",N28-P28)</f>
        <v/>
      </c>
    </row>
    <row r="29" customFormat="false" ht="15" hidden="false" customHeight="true" outlineLevel="0" collapsed="false">
      <c r="A29" s="27" t="n">
        <v>46223</v>
      </c>
      <c r="B29" s="28" t="s">
        <v>41</v>
      </c>
      <c r="C29" s="12"/>
      <c r="D29" s="12"/>
      <c r="E29" s="12"/>
      <c r="F29" s="12"/>
      <c r="G29" s="12"/>
      <c r="H29" s="12"/>
      <c r="I29" s="29"/>
      <c r="J29" s="30" t="str">
        <f aca="false">IF(I29="","",ROUND(F29*(1-I29),0))</f>
        <v/>
      </c>
      <c r="K29" s="30" t="str">
        <f aca="false">IF(I29="","",ROUND(G29*(1-I29),0))</f>
        <v/>
      </c>
      <c r="L29" s="30" t="str">
        <f aca="false">IF(I29="","",ROUND(H29*(1-I29),0))</f>
        <v/>
      </c>
      <c r="M29" s="30" t="n">
        <f aca="false">$F$7</f>
        <v>0</v>
      </c>
      <c r="N29" s="13" t="str">
        <f aca="false">IF(J29="","",J29+M29)</f>
        <v/>
      </c>
      <c r="O29" s="13" t="str">
        <f aca="false">IF(K29="","",K29+M29)</f>
        <v/>
      </c>
      <c r="P29" s="13" t="str">
        <f aca="false">IF(L29="","",L29+M29)</f>
        <v/>
      </c>
      <c r="Q29" s="31" t="str">
        <f aca="false">IF(OR(C29="",C29=0,N29=""),"",1-N29/C29)</f>
        <v/>
      </c>
      <c r="R29" s="31" t="str">
        <f aca="false">IF(OR(D29="",D29=0,O29=""),"",1-O29/D29)</f>
        <v/>
      </c>
      <c r="S29" s="31" t="str">
        <f aca="false">IF(OR(E29="",E29=0,P29=""),"",1-P29/E29)</f>
        <v/>
      </c>
      <c r="T29" s="32" t="str">
        <f aca="false">IF(OR(N29="",O29=""),"",N29-O29)</f>
        <v/>
      </c>
      <c r="U29" s="32" t="str">
        <f aca="false">IF(OR(N29="",P29=""),"",N29-P29)</f>
        <v/>
      </c>
    </row>
    <row r="30" customFormat="false" ht="15" hidden="false" customHeight="true" outlineLevel="0" collapsed="false">
      <c r="A30" s="27" t="n">
        <v>46224</v>
      </c>
      <c r="B30" s="28" t="s">
        <v>42</v>
      </c>
      <c r="C30" s="12"/>
      <c r="D30" s="12"/>
      <c r="E30" s="12"/>
      <c r="F30" s="12"/>
      <c r="G30" s="12"/>
      <c r="H30" s="12"/>
      <c r="I30" s="29"/>
      <c r="J30" s="30" t="str">
        <f aca="false">IF(I30="","",ROUND(F30*(1-I30),0))</f>
        <v/>
      </c>
      <c r="K30" s="30" t="str">
        <f aca="false">IF(I30="","",ROUND(G30*(1-I30),0))</f>
        <v/>
      </c>
      <c r="L30" s="30" t="str">
        <f aca="false">IF(I30="","",ROUND(H30*(1-I30),0))</f>
        <v/>
      </c>
      <c r="M30" s="30" t="n">
        <f aca="false">$F$7</f>
        <v>0</v>
      </c>
      <c r="N30" s="13" t="str">
        <f aca="false">IF(J30="","",J30+M30)</f>
        <v/>
      </c>
      <c r="O30" s="13" t="str">
        <f aca="false">IF(K30="","",K30+M30)</f>
        <v/>
      </c>
      <c r="P30" s="13" t="str">
        <f aca="false">IF(L30="","",L30+M30)</f>
        <v/>
      </c>
      <c r="Q30" s="31" t="str">
        <f aca="false">IF(OR(C30="",C30=0,N30=""),"",1-N30/C30)</f>
        <v/>
      </c>
      <c r="R30" s="31" t="str">
        <f aca="false">IF(OR(D30="",D30=0,O30=""),"",1-O30/D30)</f>
        <v/>
      </c>
      <c r="S30" s="31" t="str">
        <f aca="false">IF(OR(E30="",E30=0,P30=""),"",1-P30/E30)</f>
        <v/>
      </c>
      <c r="T30" s="32" t="str">
        <f aca="false">IF(OR(N30="",O30=""),"",N30-O30)</f>
        <v/>
      </c>
      <c r="U30" s="32" t="str">
        <f aca="false">IF(OR(N30="",P30=""),"",N30-P30)</f>
        <v/>
      </c>
    </row>
    <row r="31" customFormat="false" ht="15" hidden="false" customHeight="true" outlineLevel="0" collapsed="false">
      <c r="A31" s="27" t="n">
        <v>46225</v>
      </c>
      <c r="B31" s="28" t="s">
        <v>36</v>
      </c>
      <c r="C31" s="12"/>
      <c r="D31" s="12"/>
      <c r="E31" s="12"/>
      <c r="F31" s="12"/>
      <c r="G31" s="12"/>
      <c r="H31" s="12"/>
      <c r="I31" s="29"/>
      <c r="J31" s="30" t="str">
        <f aca="false">IF(I31="","",ROUND(F31*(1-I31),0))</f>
        <v/>
      </c>
      <c r="K31" s="30" t="str">
        <f aca="false">IF(I31="","",ROUND(G31*(1-I31),0))</f>
        <v/>
      </c>
      <c r="L31" s="30" t="str">
        <f aca="false">IF(I31="","",ROUND(H31*(1-I31),0))</f>
        <v/>
      </c>
      <c r="M31" s="30" t="n">
        <f aca="false">$F$7</f>
        <v>0</v>
      </c>
      <c r="N31" s="13" t="str">
        <f aca="false">IF(J31="","",J31+M31)</f>
        <v/>
      </c>
      <c r="O31" s="13" t="str">
        <f aca="false">IF(K31="","",K31+M31)</f>
        <v/>
      </c>
      <c r="P31" s="13" t="str">
        <f aca="false">IF(L31="","",L31+M31)</f>
        <v/>
      </c>
      <c r="Q31" s="31" t="str">
        <f aca="false">IF(OR(C31="",C31=0,N31=""),"",1-N31/C31)</f>
        <v/>
      </c>
      <c r="R31" s="31" t="str">
        <f aca="false">IF(OR(D31="",D31=0,O31=""),"",1-O31/D31)</f>
        <v/>
      </c>
      <c r="S31" s="31" t="str">
        <f aca="false">IF(OR(E31="",E31=0,P31=""),"",1-P31/E31)</f>
        <v/>
      </c>
      <c r="T31" s="32" t="str">
        <f aca="false">IF(OR(N31="",O31=""),"",N31-O31)</f>
        <v/>
      </c>
      <c r="U31" s="32" t="str">
        <f aca="false">IF(OR(N31="",P31=""),"",N31-P31)</f>
        <v/>
      </c>
    </row>
    <row r="32" customFormat="false" ht="15" hidden="false" customHeight="true" outlineLevel="0" collapsed="false">
      <c r="A32" s="27" t="n">
        <v>46226</v>
      </c>
      <c r="B32" s="28" t="s">
        <v>37</v>
      </c>
      <c r="C32" s="12"/>
      <c r="D32" s="12"/>
      <c r="E32" s="12"/>
      <c r="F32" s="12"/>
      <c r="G32" s="12"/>
      <c r="H32" s="12"/>
      <c r="I32" s="29"/>
      <c r="J32" s="30" t="str">
        <f aca="false">IF(I32="","",ROUND(F32*(1-I32),0))</f>
        <v/>
      </c>
      <c r="K32" s="30" t="str">
        <f aca="false">IF(I32="","",ROUND(G32*(1-I32),0))</f>
        <v/>
      </c>
      <c r="L32" s="30" t="str">
        <f aca="false">IF(I32="","",ROUND(H32*(1-I32),0))</f>
        <v/>
      </c>
      <c r="M32" s="30" t="n">
        <f aca="false">$F$7</f>
        <v>0</v>
      </c>
      <c r="N32" s="13" t="str">
        <f aca="false">IF(J32="","",J32+M32)</f>
        <v/>
      </c>
      <c r="O32" s="13" t="str">
        <f aca="false">IF(K32="","",K32+M32)</f>
        <v/>
      </c>
      <c r="P32" s="13" t="str">
        <f aca="false">IF(L32="","",L32+M32)</f>
        <v/>
      </c>
      <c r="Q32" s="31" t="str">
        <f aca="false">IF(OR(C32="",C32=0,N32=""),"",1-N32/C32)</f>
        <v/>
      </c>
      <c r="R32" s="31" t="str">
        <f aca="false">IF(OR(D32="",D32=0,O32=""),"",1-O32/D32)</f>
        <v/>
      </c>
      <c r="S32" s="31" t="str">
        <f aca="false">IF(OR(E32="",E32=0,P32=""),"",1-P32/E32)</f>
        <v/>
      </c>
      <c r="T32" s="32" t="str">
        <f aca="false">IF(OR(N32="",O32=""),"",N32-O32)</f>
        <v/>
      </c>
      <c r="U32" s="32" t="str">
        <f aca="false">IF(OR(N32="",P32=""),"",N32-P32)</f>
        <v/>
      </c>
    </row>
    <row r="33" customFormat="false" ht="15" hidden="false" customHeight="true" outlineLevel="0" collapsed="false">
      <c r="A33" s="27" t="n">
        <v>46227</v>
      </c>
      <c r="B33" s="28" t="s">
        <v>38</v>
      </c>
      <c r="C33" s="12"/>
      <c r="D33" s="12"/>
      <c r="E33" s="12"/>
      <c r="F33" s="12"/>
      <c r="G33" s="12"/>
      <c r="H33" s="12"/>
      <c r="I33" s="29"/>
      <c r="J33" s="30" t="str">
        <f aca="false">IF(I33="","",ROUND(F33*(1-I33),0))</f>
        <v/>
      </c>
      <c r="K33" s="30" t="str">
        <f aca="false">IF(I33="","",ROUND(G33*(1-I33),0))</f>
        <v/>
      </c>
      <c r="L33" s="30" t="str">
        <f aca="false">IF(I33="","",ROUND(H33*(1-I33),0))</f>
        <v/>
      </c>
      <c r="M33" s="30" t="n">
        <f aca="false">$F$7</f>
        <v>0</v>
      </c>
      <c r="N33" s="13" t="str">
        <f aca="false">IF(J33="","",J33+M33)</f>
        <v/>
      </c>
      <c r="O33" s="13" t="str">
        <f aca="false">IF(K33="","",K33+M33)</f>
        <v/>
      </c>
      <c r="P33" s="13" t="str">
        <f aca="false">IF(L33="","",L33+M33)</f>
        <v/>
      </c>
      <c r="Q33" s="31" t="str">
        <f aca="false">IF(OR(C33="",C33=0,N33=""),"",1-N33/C33)</f>
        <v/>
      </c>
      <c r="R33" s="31" t="str">
        <f aca="false">IF(OR(D33="",D33=0,O33=""),"",1-O33/D33)</f>
        <v/>
      </c>
      <c r="S33" s="31" t="str">
        <f aca="false">IF(OR(E33="",E33=0,P33=""),"",1-P33/E33)</f>
        <v/>
      </c>
      <c r="T33" s="32" t="str">
        <f aca="false">IF(OR(N33="",O33=""),"",N33-O33)</f>
        <v/>
      </c>
      <c r="U33" s="32" t="str">
        <f aca="false">IF(OR(N33="",P33=""),"",N33-P33)</f>
        <v/>
      </c>
    </row>
    <row r="34" customFormat="false" ht="15" hidden="false" customHeight="true" outlineLevel="0" collapsed="false">
      <c r="A34" s="27" t="n">
        <v>46228</v>
      </c>
      <c r="B34" s="33" t="s">
        <v>39</v>
      </c>
      <c r="C34" s="12"/>
      <c r="D34" s="12"/>
      <c r="E34" s="12"/>
      <c r="F34" s="12"/>
      <c r="G34" s="12"/>
      <c r="H34" s="12"/>
      <c r="I34" s="29"/>
      <c r="J34" s="30" t="str">
        <f aca="false">IF(I34="","",ROUND(F34*(1-I34),0))</f>
        <v/>
      </c>
      <c r="K34" s="30" t="str">
        <f aca="false">IF(I34="","",ROUND(G34*(1-I34),0))</f>
        <v/>
      </c>
      <c r="L34" s="30" t="str">
        <f aca="false">IF(I34="","",ROUND(H34*(1-I34),0))</f>
        <v/>
      </c>
      <c r="M34" s="30" t="n">
        <f aca="false">$F$7</f>
        <v>0</v>
      </c>
      <c r="N34" s="13" t="str">
        <f aca="false">IF(J34="","",J34+M34)</f>
        <v/>
      </c>
      <c r="O34" s="13" t="str">
        <f aca="false">IF(K34="","",K34+M34)</f>
        <v/>
      </c>
      <c r="P34" s="13" t="str">
        <f aca="false">IF(L34="","",L34+M34)</f>
        <v/>
      </c>
      <c r="Q34" s="31" t="str">
        <f aca="false">IF(OR(C34="",C34=0,N34=""),"",1-N34/C34)</f>
        <v/>
      </c>
      <c r="R34" s="31" t="str">
        <f aca="false">IF(OR(D34="",D34=0,O34=""),"",1-O34/D34)</f>
        <v/>
      </c>
      <c r="S34" s="31" t="str">
        <f aca="false">IF(OR(E34="",E34=0,P34=""),"",1-P34/E34)</f>
        <v/>
      </c>
      <c r="T34" s="32" t="str">
        <f aca="false">IF(OR(N34="",O34=""),"",N34-O34)</f>
        <v/>
      </c>
      <c r="U34" s="32" t="str">
        <f aca="false">IF(OR(N34="",P34=""),"",N34-P34)</f>
        <v/>
      </c>
    </row>
    <row r="35" customFormat="false" ht="15" hidden="false" customHeight="true" outlineLevel="0" collapsed="false">
      <c r="A35" s="27" t="n">
        <v>46229</v>
      </c>
      <c r="B35" s="33" t="s">
        <v>40</v>
      </c>
      <c r="C35" s="12"/>
      <c r="D35" s="12"/>
      <c r="E35" s="12"/>
      <c r="F35" s="12"/>
      <c r="G35" s="12"/>
      <c r="H35" s="12"/>
      <c r="I35" s="29"/>
      <c r="J35" s="30" t="str">
        <f aca="false">IF(I35="","",ROUND(F35*(1-I35),0))</f>
        <v/>
      </c>
      <c r="K35" s="30" t="str">
        <f aca="false">IF(I35="","",ROUND(G35*(1-I35),0))</f>
        <v/>
      </c>
      <c r="L35" s="30" t="str">
        <f aca="false">IF(I35="","",ROUND(H35*(1-I35),0))</f>
        <v/>
      </c>
      <c r="M35" s="30" t="n">
        <f aca="false">$F$7</f>
        <v>0</v>
      </c>
      <c r="N35" s="13" t="str">
        <f aca="false">IF(J35="","",J35+M35)</f>
        <v/>
      </c>
      <c r="O35" s="13" t="str">
        <f aca="false">IF(K35="","",K35+M35)</f>
        <v/>
      </c>
      <c r="P35" s="13" t="str">
        <f aca="false">IF(L35="","",L35+M35)</f>
        <v/>
      </c>
      <c r="Q35" s="31" t="str">
        <f aca="false">IF(OR(C35="",C35=0,N35=""),"",1-N35/C35)</f>
        <v/>
      </c>
      <c r="R35" s="31" t="str">
        <f aca="false">IF(OR(D35="",D35=0,O35=""),"",1-O35/D35)</f>
        <v/>
      </c>
      <c r="S35" s="31" t="str">
        <f aca="false">IF(OR(E35="",E35=0,P35=""),"",1-P35/E35)</f>
        <v/>
      </c>
      <c r="T35" s="32" t="str">
        <f aca="false">IF(OR(N35="",O35=""),"",N35-O35)</f>
        <v/>
      </c>
      <c r="U35" s="32" t="str">
        <f aca="false">IF(OR(N35="",P35=""),"",N35-P35)</f>
        <v/>
      </c>
    </row>
    <row r="36" customFormat="false" ht="15" hidden="false" customHeight="true" outlineLevel="0" collapsed="false">
      <c r="A36" s="27" t="n">
        <v>46230</v>
      </c>
      <c r="B36" s="28" t="s">
        <v>41</v>
      </c>
      <c r="C36" s="12"/>
      <c r="D36" s="12"/>
      <c r="E36" s="12"/>
      <c r="F36" s="12"/>
      <c r="G36" s="12"/>
      <c r="H36" s="12"/>
      <c r="I36" s="29"/>
      <c r="J36" s="30" t="str">
        <f aca="false">IF(I36="","",ROUND(F36*(1-I36),0))</f>
        <v/>
      </c>
      <c r="K36" s="30" t="str">
        <f aca="false">IF(I36="","",ROUND(G36*(1-I36),0))</f>
        <v/>
      </c>
      <c r="L36" s="30" t="str">
        <f aca="false">IF(I36="","",ROUND(H36*(1-I36),0))</f>
        <v/>
      </c>
      <c r="M36" s="30" t="n">
        <f aca="false">$F$7</f>
        <v>0</v>
      </c>
      <c r="N36" s="13" t="str">
        <f aca="false">IF(J36="","",J36+M36)</f>
        <v/>
      </c>
      <c r="O36" s="13" t="str">
        <f aca="false">IF(K36="","",K36+M36)</f>
        <v/>
      </c>
      <c r="P36" s="13" t="str">
        <f aca="false">IF(L36="","",L36+M36)</f>
        <v/>
      </c>
      <c r="Q36" s="31" t="str">
        <f aca="false">IF(OR(C36="",C36=0,N36=""),"",1-N36/C36)</f>
        <v/>
      </c>
      <c r="R36" s="31" t="str">
        <f aca="false">IF(OR(D36="",D36=0,O36=""),"",1-O36/D36)</f>
        <v/>
      </c>
      <c r="S36" s="31" t="str">
        <f aca="false">IF(OR(E36="",E36=0,P36=""),"",1-P36/E36)</f>
        <v/>
      </c>
      <c r="T36" s="32" t="str">
        <f aca="false">IF(OR(N36="",O36=""),"",N36-O36)</f>
        <v/>
      </c>
      <c r="U36" s="32" t="str">
        <f aca="false">IF(OR(N36="",P36=""),"",N36-P36)</f>
        <v/>
      </c>
    </row>
    <row r="37" customFormat="false" ht="15" hidden="false" customHeight="true" outlineLevel="0" collapsed="false">
      <c r="A37" s="27" t="n">
        <v>46231</v>
      </c>
      <c r="B37" s="28" t="s">
        <v>42</v>
      </c>
      <c r="C37" s="12"/>
      <c r="D37" s="12"/>
      <c r="E37" s="12"/>
      <c r="F37" s="12"/>
      <c r="G37" s="12"/>
      <c r="H37" s="12"/>
      <c r="I37" s="29"/>
      <c r="J37" s="30" t="str">
        <f aca="false">IF(I37="","",ROUND(F37*(1-I37),0))</f>
        <v/>
      </c>
      <c r="K37" s="30" t="str">
        <f aca="false">IF(I37="","",ROUND(G37*(1-I37),0))</f>
        <v/>
      </c>
      <c r="L37" s="30" t="str">
        <f aca="false">IF(I37="","",ROUND(H37*(1-I37),0))</f>
        <v/>
      </c>
      <c r="M37" s="30" t="n">
        <f aca="false">$F$7</f>
        <v>0</v>
      </c>
      <c r="N37" s="13" t="str">
        <f aca="false">IF(J37="","",J37+M37)</f>
        <v/>
      </c>
      <c r="O37" s="13" t="str">
        <f aca="false">IF(K37="","",K37+M37)</f>
        <v/>
      </c>
      <c r="P37" s="13" t="str">
        <f aca="false">IF(L37="","",L37+M37)</f>
        <v/>
      </c>
      <c r="Q37" s="31" t="str">
        <f aca="false">IF(OR(C37="",C37=0,N37=""),"",1-N37/C37)</f>
        <v/>
      </c>
      <c r="R37" s="31" t="str">
        <f aca="false">IF(OR(D37="",D37=0,O37=""),"",1-O37/D37)</f>
        <v/>
      </c>
      <c r="S37" s="31" t="str">
        <f aca="false">IF(OR(E37="",E37=0,P37=""),"",1-P37/E37)</f>
        <v/>
      </c>
      <c r="T37" s="32" t="str">
        <f aca="false">IF(OR(N37="",O37=""),"",N37-O37)</f>
        <v/>
      </c>
      <c r="U37" s="32" t="str">
        <f aca="false">IF(OR(N37="",P37=""),"",N37-P37)</f>
        <v/>
      </c>
    </row>
    <row r="38" customFormat="false" ht="15" hidden="false" customHeight="true" outlineLevel="0" collapsed="false">
      <c r="A38" s="27" t="n">
        <v>46232</v>
      </c>
      <c r="B38" s="28" t="s">
        <v>36</v>
      </c>
      <c r="C38" s="12"/>
      <c r="D38" s="12"/>
      <c r="E38" s="12"/>
      <c r="F38" s="12"/>
      <c r="G38" s="12"/>
      <c r="H38" s="12"/>
      <c r="I38" s="29"/>
      <c r="J38" s="30" t="str">
        <f aca="false">IF(I38="","",ROUND(F38*(1-I38),0))</f>
        <v/>
      </c>
      <c r="K38" s="30" t="str">
        <f aca="false">IF(I38="","",ROUND(G38*(1-I38),0))</f>
        <v/>
      </c>
      <c r="L38" s="30" t="str">
        <f aca="false">IF(I38="","",ROUND(H38*(1-I38),0))</f>
        <v/>
      </c>
      <c r="M38" s="30" t="n">
        <f aca="false">$F$7</f>
        <v>0</v>
      </c>
      <c r="N38" s="13" t="str">
        <f aca="false">IF(J38="","",J38+M38)</f>
        <v/>
      </c>
      <c r="O38" s="13" t="str">
        <f aca="false">IF(K38="","",K38+M38)</f>
        <v/>
      </c>
      <c r="P38" s="13" t="str">
        <f aca="false">IF(L38="","",L38+M38)</f>
        <v/>
      </c>
      <c r="Q38" s="31" t="str">
        <f aca="false">IF(OR(C38="",C38=0,N38=""),"",1-N38/C38)</f>
        <v/>
      </c>
      <c r="R38" s="31" t="str">
        <f aca="false">IF(OR(D38="",D38=0,O38=""),"",1-O38/D38)</f>
        <v/>
      </c>
      <c r="S38" s="31" t="str">
        <f aca="false">IF(OR(E38="",E38=0,P38=""),"",1-P38/E38)</f>
        <v/>
      </c>
      <c r="T38" s="32" t="str">
        <f aca="false">IF(OR(N38="",O38=""),"",N38-O38)</f>
        <v/>
      </c>
      <c r="U38" s="32" t="str">
        <f aca="false">IF(OR(N38="",P38=""),"",N38-P38)</f>
        <v/>
      </c>
    </row>
    <row r="39" customFormat="false" ht="15" hidden="false" customHeight="true" outlineLevel="0" collapsed="false">
      <c r="A39" s="27" t="n">
        <v>46233</v>
      </c>
      <c r="B39" s="28" t="s">
        <v>37</v>
      </c>
      <c r="C39" s="12"/>
      <c r="D39" s="12"/>
      <c r="E39" s="12"/>
      <c r="F39" s="12"/>
      <c r="G39" s="12"/>
      <c r="H39" s="12"/>
      <c r="I39" s="29"/>
      <c r="J39" s="30" t="str">
        <f aca="false">IF(I39="","",ROUND(F39*(1-I39),0))</f>
        <v/>
      </c>
      <c r="K39" s="30" t="str">
        <f aca="false">IF(I39="","",ROUND(G39*(1-I39),0))</f>
        <v/>
      </c>
      <c r="L39" s="30" t="str">
        <f aca="false">IF(I39="","",ROUND(H39*(1-I39),0))</f>
        <v/>
      </c>
      <c r="M39" s="30" t="n">
        <f aca="false">$F$7</f>
        <v>0</v>
      </c>
      <c r="N39" s="13" t="str">
        <f aca="false">IF(J39="","",J39+M39)</f>
        <v/>
      </c>
      <c r="O39" s="13" t="str">
        <f aca="false">IF(K39="","",K39+M39)</f>
        <v/>
      </c>
      <c r="P39" s="13" t="str">
        <f aca="false">IF(L39="","",L39+M39)</f>
        <v/>
      </c>
      <c r="Q39" s="31" t="str">
        <f aca="false">IF(OR(C39="",C39=0,N39=""),"",1-N39/C39)</f>
        <v/>
      </c>
      <c r="R39" s="31" t="str">
        <f aca="false">IF(OR(D39="",D39=0,O39=""),"",1-O39/D39)</f>
        <v/>
      </c>
      <c r="S39" s="31" t="str">
        <f aca="false">IF(OR(E39="",E39=0,P39=""),"",1-P39/E39)</f>
        <v/>
      </c>
      <c r="T39" s="32" t="str">
        <f aca="false">IF(OR(N39="",O39=""),"",N39-O39)</f>
        <v/>
      </c>
      <c r="U39" s="32" t="str">
        <f aca="false">IF(OR(N39="",P39=""),"",N39-P39)</f>
        <v/>
      </c>
    </row>
    <row r="40" customFormat="false" ht="15" hidden="false" customHeight="true" outlineLevel="0" collapsed="false">
      <c r="A40" s="27" t="n">
        <v>46234</v>
      </c>
      <c r="B40" s="28" t="s">
        <v>38</v>
      </c>
      <c r="C40" s="12"/>
      <c r="D40" s="12"/>
      <c r="E40" s="12"/>
      <c r="F40" s="12"/>
      <c r="G40" s="12"/>
      <c r="H40" s="12"/>
      <c r="I40" s="29"/>
      <c r="J40" s="30" t="str">
        <f aca="false">IF(I40="","",ROUND(F40*(1-I40),0))</f>
        <v/>
      </c>
      <c r="K40" s="30" t="str">
        <f aca="false">IF(I40="","",ROUND(G40*(1-I40),0))</f>
        <v/>
      </c>
      <c r="L40" s="30" t="str">
        <f aca="false">IF(I40="","",ROUND(H40*(1-I40),0))</f>
        <v/>
      </c>
      <c r="M40" s="30" t="n">
        <f aca="false">$F$7</f>
        <v>0</v>
      </c>
      <c r="N40" s="13" t="str">
        <f aca="false">IF(J40="","",J40+M40)</f>
        <v/>
      </c>
      <c r="O40" s="13" t="str">
        <f aca="false">IF(K40="","",K40+M40)</f>
        <v/>
      </c>
      <c r="P40" s="13" t="str">
        <f aca="false">IF(L40="","",L40+M40)</f>
        <v/>
      </c>
      <c r="Q40" s="31" t="str">
        <f aca="false">IF(OR(C40="",C40=0,N40=""),"",1-N40/C40)</f>
        <v/>
      </c>
      <c r="R40" s="31" t="str">
        <f aca="false">IF(OR(D40="",D40=0,O40=""),"",1-O40/D40)</f>
        <v/>
      </c>
      <c r="S40" s="31" t="str">
        <f aca="false">IF(OR(E40="",E40=0,P40=""),"",1-P40/E40)</f>
        <v/>
      </c>
      <c r="T40" s="32" t="str">
        <f aca="false">IF(OR(N40="",O40=""),"",N40-O40)</f>
        <v/>
      </c>
      <c r="U40" s="32" t="str">
        <f aca="false">IF(OR(N40="",P40=""),"",N40-P40)</f>
        <v/>
      </c>
    </row>
    <row r="41" customFormat="false" ht="23.25" hidden="false" customHeight="true" outlineLevel="0" collapsed="false">
      <c r="A41" s="15" t="s">
        <v>43</v>
      </c>
      <c r="B41" s="15"/>
      <c r="C41" s="34" t="e">
        <f aca="false">AVERAGE(C10:C40)</f>
        <v>#DIV/0!</v>
      </c>
      <c r="D41" s="34" t="e">
        <f aca="false">AVERAGE(D10:D40)</f>
        <v>#DIV/0!</v>
      </c>
      <c r="E41" s="34" t="e">
        <f aca="false">AVERAGE(E10:E40)</f>
        <v>#DIV/0!</v>
      </c>
      <c r="F41" s="34" t="e">
        <f aca="false">AVERAGE(F10:F40)</f>
        <v>#DIV/0!</v>
      </c>
      <c r="G41" s="34" t="e">
        <f aca="false">AVERAGE(G10:G40)</f>
        <v>#DIV/0!</v>
      </c>
      <c r="H41" s="34" t="e">
        <f aca="false">AVERAGE(H10:H40)</f>
        <v>#DIV/0!</v>
      </c>
      <c r="I41" s="35" t="e">
        <f aca="false">AVERAGE(I10:I40)</f>
        <v>#DIV/0!</v>
      </c>
      <c r="J41" s="34" t="e">
        <f aca="false">AVERAGE(J10:J40)</f>
        <v>#DIV/0!</v>
      </c>
      <c r="K41" s="34" t="e">
        <f aca="false">AVERAGE(K10:K40)</f>
        <v>#DIV/0!</v>
      </c>
      <c r="L41" s="34" t="e">
        <f aca="false">AVERAGE(L10:L40)</f>
        <v>#DIV/0!</v>
      </c>
      <c r="M41" s="36" t="n">
        <f aca="false">$F$7</f>
        <v>0</v>
      </c>
      <c r="N41" s="34" t="e">
        <f aca="false">AVERAGE(N10:N40)</f>
        <v>#DIV/0!</v>
      </c>
      <c r="O41" s="34" t="e">
        <f aca="false">AVERAGE(O10:O40)</f>
        <v>#DIV/0!</v>
      </c>
      <c r="P41" s="34" t="e">
        <f aca="false">AVERAGE(P10:P40)</f>
        <v>#DIV/0!</v>
      </c>
      <c r="Q41" s="35" t="e">
        <f aca="false">AVERAGE(Q10:Q40)</f>
        <v>#DIV/0!</v>
      </c>
      <c r="R41" s="35" t="e">
        <f aca="false">AVERAGE(R10:R40)</f>
        <v>#DIV/0!</v>
      </c>
      <c r="S41" s="35" t="e">
        <f aca="false">AVERAGE(S10:S40)</f>
        <v>#DIV/0!</v>
      </c>
      <c r="T41" s="37" t="e">
        <f aca="false">AVERAGE(T10:T40)</f>
        <v>#DIV/0!</v>
      </c>
      <c r="U41" s="37" t="e">
        <f aca="false">AVERAGE(U10:U40)</f>
        <v>#DIV/0!</v>
      </c>
    </row>
    <row r="42" customFormat="false" ht="15" hidden="false" customHeight="true" outlineLevel="0" collapsed="false">
      <c r="A42" s="15" t="s">
        <v>44</v>
      </c>
      <c r="B42" s="15"/>
      <c r="C42" s="34" t="n">
        <f aca="false">MAX(C10:C40)</f>
        <v>0</v>
      </c>
      <c r="D42" s="34" t="n">
        <f aca="false">MAX(D10:D40)</f>
        <v>0</v>
      </c>
      <c r="E42" s="34" t="n">
        <f aca="false">MAX(E10:E40)</f>
        <v>0</v>
      </c>
      <c r="F42" s="34" t="n">
        <f aca="false">MAX(F10:F40)</f>
        <v>0</v>
      </c>
      <c r="G42" s="34" t="n">
        <f aca="false">MAX(G10:G40)</f>
        <v>0</v>
      </c>
      <c r="H42" s="34" t="n">
        <f aca="false">MAX(H10:H40)</f>
        <v>0</v>
      </c>
      <c r="J42" s="34" t="n">
        <f aca="false">MAX(J10:J40)</f>
        <v>0</v>
      </c>
      <c r="K42" s="34" t="n">
        <f aca="false">MAX(K10:K40)</f>
        <v>0</v>
      </c>
      <c r="L42" s="34" t="n">
        <f aca="false">MAX(L10:L40)</f>
        <v>0</v>
      </c>
      <c r="M42" s="36" t="n">
        <f aca="false">$F$7</f>
        <v>0</v>
      </c>
      <c r="N42" s="34" t="n">
        <f aca="false">MAX(N10:N40)</f>
        <v>0</v>
      </c>
      <c r="O42" s="34" t="n">
        <f aca="false">MAX(O10:O40)</f>
        <v>0</v>
      </c>
      <c r="P42" s="34" t="n">
        <f aca="false">MAX(P10:P40)</f>
        <v>0</v>
      </c>
      <c r="Q42" s="35" t="n">
        <f aca="false">MAX(Q10:Q40)</f>
        <v>0</v>
      </c>
      <c r="R42" s="35" t="n">
        <f aca="false">MAX(R10:R40)</f>
        <v>0</v>
      </c>
      <c r="S42" s="35" t="n">
        <f aca="false">MAX(S10:S40)</f>
        <v>0</v>
      </c>
      <c r="T42" s="37" t="n">
        <f aca="false">MAX(T10:T40)</f>
        <v>0</v>
      </c>
      <c r="U42" s="37" t="n">
        <f aca="false">MAX(U10:U40)</f>
        <v>0</v>
      </c>
    </row>
    <row r="43" customFormat="false" ht="15" hidden="false" customHeight="true" outlineLevel="0" collapsed="false">
      <c r="A43" s="15" t="s">
        <v>45</v>
      </c>
      <c r="B43" s="15"/>
      <c r="C43" s="34" t="n">
        <f aca="false">MIN(C10:C40)</f>
        <v>0</v>
      </c>
      <c r="D43" s="34" t="n">
        <f aca="false">MIN(D10:D40)</f>
        <v>0</v>
      </c>
      <c r="E43" s="34" t="n">
        <f aca="false">MIN(E10:E40)</f>
        <v>0</v>
      </c>
      <c r="F43" s="34" t="n">
        <f aca="false">MIN(F10:F40)</f>
        <v>0</v>
      </c>
      <c r="G43" s="34" t="n">
        <f aca="false">MIN(G10:G40)</f>
        <v>0</v>
      </c>
      <c r="H43" s="34" t="n">
        <f aca="false">MIN(H10:H40)</f>
        <v>0</v>
      </c>
      <c r="J43" s="34" t="n">
        <f aca="false">MIN(J10:J40)</f>
        <v>0</v>
      </c>
      <c r="K43" s="34" t="n">
        <f aca="false">MIN(K10:K40)</f>
        <v>0</v>
      </c>
      <c r="L43" s="34" t="n">
        <f aca="false">MIN(L10:L40)</f>
        <v>0</v>
      </c>
      <c r="M43" s="36" t="n">
        <f aca="false">$F$7</f>
        <v>0</v>
      </c>
      <c r="N43" s="34" t="n">
        <f aca="false">MIN(N10:N40)</f>
        <v>0</v>
      </c>
      <c r="O43" s="34" t="n">
        <f aca="false">MIN(O10:O40)</f>
        <v>0</v>
      </c>
      <c r="P43" s="34" t="n">
        <f aca="false">MIN(P10:P40)</f>
        <v>0</v>
      </c>
      <c r="Q43" s="35" t="n">
        <f aca="false">MIN(Q10:Q40)</f>
        <v>0</v>
      </c>
      <c r="R43" s="35" t="n">
        <f aca="false">MIN(R10:R40)</f>
        <v>0</v>
      </c>
      <c r="S43" s="35" t="n">
        <f aca="false">MIN(S10:S40)</f>
        <v>0</v>
      </c>
      <c r="T43" s="37" t="n">
        <f aca="false">MIN(T10:T40)</f>
        <v>0</v>
      </c>
      <c r="U43" s="37" t="n">
        <f aca="false">MIN(U10:U40)</f>
        <v>0</v>
      </c>
    </row>
  </sheetData>
  <mergeCells count="14">
    <mergeCell ref="A1:U1"/>
    <mergeCell ref="A2:U2"/>
    <mergeCell ref="A6:B6"/>
    <mergeCell ref="A7:B7"/>
    <mergeCell ref="A8:B8"/>
    <mergeCell ref="C8:E8"/>
    <mergeCell ref="F8:H8"/>
    <mergeCell ref="J8:L8"/>
    <mergeCell ref="N8:P8"/>
    <mergeCell ref="Q8:S8"/>
    <mergeCell ref="T8:U8"/>
    <mergeCell ref="A41:B41"/>
    <mergeCell ref="A42:B42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0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46" t="s">
        <v>54</v>
      </c>
      <c r="B1" s="47"/>
      <c r="C1" s="47"/>
    </row>
    <row r="2" customFormat="false" ht="15" hidden="false" customHeight="true" outlineLevel="0" collapsed="false">
      <c r="A2" s="47"/>
      <c r="B2" s="47"/>
      <c r="C2" s="47"/>
    </row>
    <row r="3" customFormat="false" ht="15" hidden="false" customHeight="true" outlineLevel="0" collapsed="false">
      <c r="A3" s="48" t="s">
        <v>55</v>
      </c>
      <c r="B3" s="48" t="s">
        <v>56</v>
      </c>
      <c r="C3" s="48" t="s">
        <v>57</v>
      </c>
    </row>
    <row r="4" customFormat="false" ht="15" hidden="false" customHeight="true" outlineLevel="0" collapsed="false">
      <c r="A4" s="49" t="s">
        <v>58</v>
      </c>
      <c r="B4" s="49" t="s">
        <v>59</v>
      </c>
      <c r="C4" s="49" t="s">
        <v>60</v>
      </c>
    </row>
    <row r="5" customFormat="false" ht="15" hidden="false" customHeight="true" outlineLevel="0" collapsed="false">
      <c r="A5" s="49" t="s">
        <v>61</v>
      </c>
      <c r="B5" s="49" t="s">
        <v>62</v>
      </c>
      <c r="C5" s="49" t="s">
        <v>63</v>
      </c>
    </row>
    <row r="6" customFormat="false" ht="15" hidden="false" customHeight="true" outlineLevel="0" collapsed="false">
      <c r="A6" s="49" t="s">
        <v>2</v>
      </c>
      <c r="B6" s="49" t="s">
        <v>64</v>
      </c>
      <c r="C6" s="49" t="s">
        <v>65</v>
      </c>
    </row>
    <row r="7" customFormat="false" ht="15" hidden="false" customHeight="true" outlineLevel="0" collapsed="false">
      <c r="A7" s="49" t="s">
        <v>4</v>
      </c>
      <c r="B7" s="49" t="s">
        <v>66</v>
      </c>
      <c r="C7" s="50" t="s">
        <v>67</v>
      </c>
    </row>
    <row r="8" customFormat="false" ht="15" hidden="false" customHeight="true" outlineLevel="0" collapsed="false">
      <c r="A8" s="49" t="s">
        <v>8</v>
      </c>
      <c r="B8" s="50" t="s">
        <v>68</v>
      </c>
      <c r="C8" s="49" t="s">
        <v>69</v>
      </c>
    </row>
    <row r="9" customFormat="false" ht="15" hidden="false" customHeight="true" outlineLevel="0" collapsed="false">
      <c r="A9" s="49" t="s">
        <v>70</v>
      </c>
      <c r="B9" s="49" t="s">
        <v>71</v>
      </c>
      <c r="C9" s="49" t="s">
        <v>72</v>
      </c>
    </row>
    <row r="10" customFormat="false" ht="15" hidden="false" customHeight="true" outlineLevel="0" collapsed="false">
      <c r="A10" s="49" t="s">
        <v>19</v>
      </c>
      <c r="B10" s="50" t="s">
        <v>73</v>
      </c>
      <c r="C10" s="49" t="s">
        <v>74</v>
      </c>
    </row>
    <row r="11" customFormat="false" ht="15" hidden="false" customHeight="true" outlineLevel="0" collapsed="false">
      <c r="A11" s="49" t="s">
        <v>20</v>
      </c>
      <c r="B11" s="49" t="s">
        <v>75</v>
      </c>
      <c r="C11" s="49" t="s">
        <v>74</v>
      </c>
    </row>
    <row r="12" customFormat="false" ht="15" hidden="false" customHeight="true" outlineLevel="0" collapsed="false">
      <c r="A12" s="50" t="s">
        <v>76</v>
      </c>
      <c r="B12" s="49" t="s">
        <v>77</v>
      </c>
      <c r="C12" s="50" t="s">
        <v>78</v>
      </c>
    </row>
    <row r="13" customFormat="false" ht="15" hidden="false" customHeight="true" outlineLevel="0" collapsed="false">
      <c r="A13" s="47"/>
      <c r="B13" s="47"/>
      <c r="C13" s="47"/>
    </row>
    <row r="14" customFormat="false" ht="15" hidden="false" customHeight="true" outlineLevel="0" collapsed="false">
      <c r="A14" s="51" t="s">
        <v>79</v>
      </c>
      <c r="B14" s="47"/>
      <c r="C14" s="47"/>
    </row>
    <row r="15" customFormat="false" ht="15" hidden="false" customHeight="true" outlineLevel="0" collapsed="false">
      <c r="A15" s="52" t="s">
        <v>22</v>
      </c>
      <c r="B15" s="52" t="s">
        <v>80</v>
      </c>
      <c r="C15" s="52" t="s">
        <v>81</v>
      </c>
    </row>
    <row r="16" customFormat="false" ht="15" hidden="false" customHeight="true" outlineLevel="0" collapsed="false">
      <c r="A16" s="52" t="s">
        <v>12</v>
      </c>
      <c r="B16" s="52" t="s">
        <v>82</v>
      </c>
      <c r="C16" s="52" t="s">
        <v>83</v>
      </c>
    </row>
    <row r="17" customFormat="false" ht="15" hidden="false" customHeight="true" outlineLevel="0" collapsed="false">
      <c r="A17" s="52" t="s">
        <v>24</v>
      </c>
      <c r="B17" s="52" t="s">
        <v>84</v>
      </c>
      <c r="C17" s="52" t="s">
        <v>85</v>
      </c>
    </row>
    <row r="18" customFormat="false" ht="15" hidden="false" customHeight="true" outlineLevel="0" collapsed="false">
      <c r="A18" s="52" t="s">
        <v>32</v>
      </c>
      <c r="B18" s="47" t="s">
        <v>86</v>
      </c>
      <c r="C18" s="52" t="s">
        <v>87</v>
      </c>
    </row>
    <row r="19" customFormat="false" ht="12" hidden="false" customHeight="true" outlineLevel="0" collapsed="false">
      <c r="A19" s="52" t="s">
        <v>88</v>
      </c>
      <c r="B19" s="52" t="s">
        <v>89</v>
      </c>
      <c r="C19" s="52" t="s">
        <v>90</v>
      </c>
    </row>
    <row r="20" customFormat="false" ht="12" hidden="false" customHeight="true" outlineLevel="0" collapsed="false">
      <c r="A20" s="52" t="s">
        <v>91</v>
      </c>
      <c r="B20" s="52" t="s">
        <v>92</v>
      </c>
      <c r="C20" s="52" t="s">
        <v>90</v>
      </c>
    </row>
    <row r="21" customFormat="false" ht="15" hidden="false" customHeight="true" outlineLevel="0" collapsed="false">
      <c r="A21" s="47"/>
      <c r="B21" s="47"/>
      <c r="C21" s="47"/>
    </row>
    <row r="22" customFormat="false" ht="15" hidden="false" customHeight="true" outlineLevel="0" collapsed="false">
      <c r="A22" s="53" t="s">
        <v>93</v>
      </c>
      <c r="B22" s="47"/>
      <c r="C22" s="47"/>
    </row>
    <row r="23" customFormat="false" ht="15" hidden="false" customHeight="true" outlineLevel="0" collapsed="false">
      <c r="A23" s="52" t="s">
        <v>11</v>
      </c>
      <c r="B23" s="52" t="s">
        <v>94</v>
      </c>
      <c r="C23" s="52" t="s">
        <v>95</v>
      </c>
    </row>
    <row r="24" customFormat="false" ht="15" hidden="false" customHeight="true" outlineLevel="0" collapsed="false">
      <c r="A24" s="52" t="s">
        <v>47</v>
      </c>
      <c r="B24" s="52" t="s">
        <v>96</v>
      </c>
      <c r="C24" s="52" t="s">
        <v>97</v>
      </c>
    </row>
    <row r="25" customFormat="false" ht="15" hidden="false" customHeight="true" outlineLevel="0" collapsed="false">
      <c r="A25" s="52" t="s">
        <v>49</v>
      </c>
      <c r="B25" s="52" t="s">
        <v>98</v>
      </c>
      <c r="C25" s="52" t="s">
        <v>97</v>
      </c>
    </row>
    <row r="26" customFormat="false" ht="15" hidden="false" customHeight="true" outlineLevel="0" collapsed="false">
      <c r="A26" s="52" t="s">
        <v>51</v>
      </c>
      <c r="B26" s="52" t="s">
        <v>99</v>
      </c>
      <c r="C26" s="52" t="s">
        <v>97</v>
      </c>
    </row>
    <row r="27" customFormat="false" ht="15" hidden="false" customHeight="true" outlineLevel="0" collapsed="false">
      <c r="A27" s="52" t="s">
        <v>53</v>
      </c>
      <c r="B27" s="52" t="s">
        <v>100</v>
      </c>
      <c r="C27" s="52" t="s">
        <v>97</v>
      </c>
    </row>
    <row r="28" customFormat="false" ht="15" hidden="false" customHeight="true" outlineLevel="0" collapsed="false">
      <c r="A28" s="47"/>
      <c r="B28" s="47"/>
      <c r="C28" s="47"/>
    </row>
    <row r="29" customFormat="false" ht="15" hidden="false" customHeight="true" outlineLevel="0" collapsed="false">
      <c r="A29" s="54" t="s">
        <v>101</v>
      </c>
      <c r="B29" s="47"/>
      <c r="C29" s="47"/>
    </row>
    <row r="30" customFormat="false" ht="15" hidden="false" customHeight="true" outlineLevel="0" collapsed="false">
      <c r="A30" s="47" t="s">
        <v>102</v>
      </c>
      <c r="B30" s="52" t="s">
        <v>103</v>
      </c>
      <c r="C30" s="47"/>
    </row>
    <row r="31" customFormat="false" ht="15" hidden="false" customHeight="true" outlineLevel="0" collapsed="false">
      <c r="A31" s="47" t="s">
        <v>104</v>
      </c>
      <c r="B31" s="47" t="s">
        <v>105</v>
      </c>
      <c r="C31" s="47"/>
    </row>
    <row r="32" customFormat="false" ht="15" hidden="false" customHeight="true" outlineLevel="0" collapsed="false">
      <c r="A32" s="47" t="s">
        <v>106</v>
      </c>
      <c r="B32" s="52" t="s">
        <v>107</v>
      </c>
      <c r="C32" s="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2026-05-08T17:46:12Z</dcterms:created>
  <dc:creator>openpyxl</dc:creator>
  <dc:description/>
  <dc:language>en-US</dc:language>
  <cp:lastModifiedBy/>
  <dcterms:modified xsi:type="dcterms:W3CDTF">2026-05-08T17:46:43Z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